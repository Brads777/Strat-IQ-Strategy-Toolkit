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PESTEL" sheetId="2" state="visible" r:id="rId4"/>
    <sheet name="Five Forces" sheetId="3" state="visible" r:id="rId5"/>
    <sheet name="KSF Scorecard" sheetId="4" state="visible" r:id="rId6"/>
    <sheet name="VRIO" sheetId="5" state="visible" r:id="rId7"/>
    <sheet name="SWOT-TOWS" sheetId="6" state="visible" r:id="rId8"/>
    <sheet name="Decision Matrix" sheetId="7" state="visible" r:id="rId9"/>
    <sheet name="Expected Value" sheetId="8" state="visible" r:id="rId10"/>
    <sheet name="Business Case" sheetId="9" state="visible" r:id="rId11"/>
    <sheet name="Risk Analysis" sheetId="10" state="visible" r:id="rId12"/>
    <sheet name="Balanced Scorecard" sheetId="11" state="visible" r:id="rId13"/>
    <sheet name="Strategy Map" sheetId="12" state="visible" r:id="rId14"/>
    <sheet name="GLO-BUS CIR" sheetId="13" state="visible" r:id="rId15"/>
    <sheet name="GLO-BUS Planner" sheetId="14" state="visible" r:id="rId16"/>
    <sheet name="Y6 Results" sheetId="15" state="visible" r:id="rId17"/>
    <sheet name="Tracking" sheetId="16" state="visible" r:id="rId18"/>
  </sheets>
  <definedNames>
    <definedName function="false" hidden="false" name="CreditScale" vbProcedure="false">Tracking!$J$6:$J$26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Credit rating gap is in notches (positive = at or above expectation).</t>
        </r>
      </text>
    </comment>
  </commentList>
</comments>
</file>

<file path=xl/sharedStrings.xml><?xml version="1.0" encoding="utf-8"?>
<sst xmlns="http://schemas.openxmlformats.org/spreadsheetml/2006/main" count="878" uniqueCount="588">
  <si>
    <t xml:space="preserve">StratOS Workbook</t>
  </si>
  <si>
    <t xml:space="preserve">Strategy analysis worksheets</t>
  </si>
  <si>
    <t xml:space="preserve">Blank template.</t>
  </si>
  <si>
    <t xml:space="preserve">How to use</t>
  </si>
  <si>
    <t xml:space="preserve">Each sheet is one StratOS framework. Type only in the cream cells (blue text). Grey cells are formulas: they score, rank and flag automatically. Every finding should name its evidence in the Source column, the same rule StratOS follows.</t>
  </si>
  <si>
    <t xml:space="preserve">Colour key</t>
  </si>
  <si>
    <t xml:space="preserve">Blue on cream = input · black on grey = formula · green / amber / red = status.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</si>
  <si>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</si>
  <si>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</si>
  <si>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</si>
  <si>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</si>
  <si>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KSF Scorecard</t>
  </si>
  <si>
    <t xml:space="preserve">Weighted KSFs, every competitor scored, totals and rank; weights must sum to 100%.</t>
  </si>
  <si>
    <t xml:space="preserve">VRIO</t>
  </si>
  <si>
    <t xml:space="preserve">Yes / No / ? for each test; the verdict and the KSF reality check are calculated.</t>
  </si>
  <si>
    <t xml:space="preserve">SWOT-TOWS</t>
  </si>
  <si>
    <t xml:space="preserve">Four traced lists and the TOWS options that pair them.</t>
  </si>
  <si>
    <t xml:space="preserve">Decision Matrix</t>
  </si>
  <si>
    <t xml:space="preserve">Criteria weights × option scores, with a weighted total and rank; do nothing included.</t>
  </si>
  <si>
    <t xml:space="preserve">Expected Value</t>
  </si>
  <si>
    <t xml:space="preserve">Scenario probabilities × NPVs, expected NPV, worst case, maximin, value of information, and a Bayes' rule pilot check (EVSI).</t>
  </si>
  <si>
    <t xml:space="preserve">Business Case</t>
  </si>
  <si>
    <t xml:space="preserve">Driver-based cash flows, NPV, IRR and cumulative cash.</t>
  </si>
  <si>
    <t xml:space="preserve">Risk Analysis</t>
  </si>
  <si>
    <t xml:space="preserve">Exhibit Q-3: a tornado chart (which driver moves NPV most) and a 1,000-run Monte Carlo simulation (median, P10-P90, chance NPV is below zero) over your low / likely / high ranges.</t>
  </si>
  <si>
    <t xml:space="preserve">Balanced Scorecard</t>
  </si>
  <si>
    <t xml:space="preserve">Objectives and measures in four perspectives, leading vs lagging, status vs target, balance check.</t>
  </si>
  <si>
    <t xml:space="preserve">Strategy Map</t>
  </si>
  <si>
    <t xml:space="preserve">Objectives by perspective and their cause-and-effect links; picture included when built from a ledger.</t>
  </si>
  <si>
    <t xml:space="preserve">GLO-BUS CIR</t>
  </si>
  <si>
    <t xml:space="preserve">Paste the CIR figures; each company is placed in a strategic group automatically.</t>
  </si>
  <si>
    <t xml:space="preserve">Y# Results</t>
  </si>
  <si>
    <t xml:space="preserve">One tab per GLO-BUS year: the five scored KPIs against investor expectations, company and product results, market share by region, the decisions entered and the CIR.</t>
  </si>
  <si>
    <t xml:space="preserve">Tracking</t>
  </si>
  <si>
    <t xml:space="preserve">Trends across the years, pulled from the Year tabs, with charts: EPS, ROE, stock price, image and credit rating, market share, cost per unit, revenue and profit, margins.</t>
  </si>
  <si>
    <t xml:space="preserve">GLO-BUS Planner</t>
  </si>
  <si>
    <t xml:space="preserve">Plan every decision for each year in one place, in screen order; flags changes bigger than your threshold and years where price and advertising are both cut. You enter the decisions in GLO-BUS yourself; the capture skill can then check them against this plan.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</si>
  <si>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</si>
  <si>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</si>
  <si>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StratOS Strategy Lab · Apache-2.0</t>
  </si>
  <si>
    <t xml:space="preserve">PESTEL Analysis</t>
  </si>
  <si>
    <t xml:space="preserve">Macro findings, each tied to a P&amp;L line. Priority = impact × certainty (1-25).</t>
  </si>
  <si>
    <t xml:space="preserve">Blue text on cream = your inputs.  Black on grey = formulas (do not type over them).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</si>
  <si>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</si>
  <si>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</si>
  <si>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</si>
  <si>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</si>
  <si>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</si>
  <si>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</si>
  <si>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</si>
  <si>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P&amp;L line</t>
  </si>
  <si>
    <t xml:space="preserve">Source / evidence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</si>
  <si>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</si>
  <si>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</si>
  <si>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</si>
  <si>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</si>
  <si>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</si>
  <si>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</si>
  <si>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</si>
  <si>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</si>
  <si>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</si>
  <si>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</si>
  <si>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</si>
  <si>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</si>
  <si>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</si>
  <si>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</si>
  <si>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</si>
  <si>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</si>
  <si>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</si>
  <si>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</si>
  <si>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</si>
  <si>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</si>
  <si>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</si>
  <si>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</si>
  <si>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</si>
  <si>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</si>
  <si>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</si>
  <si>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</si>
  <si>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</si>
  <si>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</si>
  <si>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</si>
  <si>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</si>
  <si>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</si>
  <si>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</si>
  <si>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</si>
  <si>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</si>
  <si>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</si>
  <si>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</si>
  <si>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</si>
  <si>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</si>
  <si>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</si>
  <si>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</si>
  <si>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</si>
  <si>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</si>
  <si>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</si>
  <si>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</si>
  <si>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</si>
  <si>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</si>
  <si>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Competitor 1</t>
  </si>
  <si>
    <t xml:space="preserve">Competitor 2</t>
  </si>
  <si>
    <t xml:space="preserve">Competitor 3</t>
  </si>
  <si>
    <t xml:space="preserve">Competitor 4</t>
  </si>
  <si>
    <t xml:space="preserve">Competitor 5</t>
  </si>
  <si>
    <t xml:space="preserve">Competitor 6</t>
  </si>
  <si>
    <t xml:space="preserve">Weight check (must be 100%)</t>
  </si>
  <si>
    <t xml:space="preserve">Weighted score (out of 5)</t>
  </si>
  <si>
    <t xml:space="preserve">Rank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</si>
  <si>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</si>
  <si>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</si>
  <si>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</si>
  <si>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Type</t>
  </si>
  <si>
    <t xml:space="preserve">Valuable?</t>
  </si>
  <si>
    <t xml:space="preserve">Rare?</t>
  </si>
  <si>
    <t xml:space="preserve">Inimitable?</t>
  </si>
  <si>
    <t xml:space="preserve">Organized?</t>
  </si>
  <si>
    <t xml:space="preserve">Verdict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</si>
  <si>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</si>
  <si>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</si>
  <si>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</si>
  <si>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</si>
  <si>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</si>
  <si>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</si>
  <si>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</si>
  <si>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</si>
  <si>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</si>
  <si>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</si>
  <si>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W1</t>
  </si>
  <si>
    <t xml:space="preserve">S2</t>
  </si>
  <si>
    <t xml:space="preserve">W2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</si>
  <si>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</si>
  <si>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</si>
  <si>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</si>
  <si>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</si>
  <si>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</si>
  <si>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</si>
  <si>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</si>
  <si>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</si>
  <si>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</si>
  <si>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</si>
  <si>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</si>
  <si>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T1</t>
  </si>
  <si>
    <t xml:space="preserve">O2</t>
  </si>
  <si>
    <t xml:space="preserve">T2</t>
  </si>
  <si>
    <t xml:space="preserve">O3</t>
  </si>
  <si>
    <t xml:space="preserve">T3</t>
  </si>
  <si>
    <t xml:space="preserve">O4</t>
  </si>
  <si>
    <t xml:space="preserve">T4</t>
  </si>
  <si>
    <t xml:space="preserve">O5</t>
  </si>
  <si>
    <t xml:space="preserve">T5</t>
  </si>
  <si>
    <t xml:space="preserve">O6</t>
  </si>
  <si>
    <t xml:space="preserve">T6</t>
  </si>
  <si>
    <t xml:space="preserve">Cell</t>
  </si>
  <si>
    <t xml:space="preserve">TOWS strategic option</t>
  </si>
  <si>
    <t xml:space="preserve">Pairs (e.g. S1 × O1)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</si>
  <si>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</si>
  <si>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</si>
  <si>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</si>
  <si>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</si>
  <si>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Option 1</t>
  </si>
  <si>
    <t xml:space="preserve">Option 2</t>
  </si>
  <si>
    <t xml:space="preserve">Option 3</t>
  </si>
  <si>
    <t xml:space="preserve">Option 4</t>
  </si>
  <si>
    <t xml:space="preserve">Option 5</t>
  </si>
  <si>
    <t xml:space="preserve">The matrix ranks; it does not choose. The recommendation is yours.</t>
  </si>
  <si>
    <t xml:space="preserve">Probabilities as percentages that sum to 100% per option; NPV in $M. Follows the course handout 'Choosing Among Strategic Alternatives'.</t>
  </si>
  <si>
    <t xml:space="preserve">Option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</si>
  <si>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</si>
  <si>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</si>
  <si>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</si>
  <si>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</si>
  <si>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</si>
  <si>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</si>
  <si>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</si>
  <si>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</si>
  <si>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</si>
  <si>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</si>
  <si>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</si>
  <si>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</si>
  <si>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</si>
  <si>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</si>
  <si>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</si>
  <si>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</si>
  <si>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</si>
  <si>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</si>
  <si>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</si>
  <si>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</si>
  <si>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</si>
  <si>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</si>
  <si>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</si>
  <si>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</si>
  <si>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</si>
  <si>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</si>
  <si>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</si>
  <si>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</si>
  <si>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</si>
  <si>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</si>
  <si>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</si>
  <si>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</si>
  <si>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</si>
  <si>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</si>
  <si>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</si>
  <si>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</si>
  <si>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</si>
  <si>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</si>
  <si>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One option. Year 0 is the investment year. Working capital is released in the final year. Money in $.</t>
  </si>
  <si>
    <t xml:space="preserve">Assumptions</t>
  </si>
  <si>
    <t xml:space="preserve">Discount rate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</si>
  <si>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</si>
  <si>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</si>
  <si>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</si>
  <si>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</si>
  <si>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</si>
  <si>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</si>
  <si>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</si>
  <si>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</si>
  <si>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</si>
  <si>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</si>
  <si>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Price per unit</t>
  </si>
  <si>
    <t xml:space="preserve">Variable cost per unit</t>
  </si>
  <si>
    <t xml:space="preserve">Fixed costs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</si>
  <si>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</si>
  <si>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</si>
  <si>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</si>
  <si>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</si>
  <si>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</si>
  <si>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</si>
  <si>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</si>
  <si>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</si>
  <si>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</si>
  <si>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</si>
  <si>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</si>
  <si>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</si>
  <si>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</si>
  <si>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</si>
  <si>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</si>
  <si>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Driver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</si>
  <si>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</si>
  <si>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</si>
  <si>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</si>
  <si>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</si>
  <si>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</si>
  <si>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</si>
  <si>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</si>
  <si>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</si>
  <si>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</si>
  <si>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</si>
  <si>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</si>
  <si>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</si>
  <si>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</si>
  <si>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</si>
  <si>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</si>
  <si>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</si>
  <si>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</si>
  <si>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</si>
  <si>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</si>
  <si>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</si>
  <si>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</si>
  <si>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Plan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</si>
  <si>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</si>
  <si>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</si>
  <si>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</si>
  <si>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</si>
  <si>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</si>
  <si>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</si>
  <si>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</si>
  <si>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</si>
  <si>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</si>
  <si>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</si>
  <si>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</si>
  <si>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</si>
  <si>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</si>
  <si>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</si>
  <si>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</si>
  <si>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</si>
  <si>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</si>
  <si>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</si>
  <si>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</si>
  <si>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</si>
  <si>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</si>
  <si>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</si>
  <si>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</si>
  <si>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</si>
  <si>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</si>
  <si>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</si>
  <si>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</si>
  <si>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</si>
  <si>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</si>
  <si>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</si>
  <si>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</si>
  <si>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</si>
  <si>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</si>
  <si>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</si>
  <si>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</si>
  <si>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</si>
  <si>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</si>
  <si>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</si>
  <si>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</si>
  <si>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</si>
  <si>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</si>
  <si>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</si>
  <si>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</si>
  <si>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</si>
  <si>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</si>
  <si>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</si>
  <si>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Target</t>
  </si>
  <si>
    <t xml:space="preserve">Actual</t>
  </si>
  <si>
    <t xml:space="preserve">% of target</t>
  </si>
  <si>
    <t xml:space="preserve">Status</t>
  </si>
  <si>
    <t xml:space="preserve">Owner</t>
  </si>
  <si>
    <t xml:space="preserve">Initiative</t>
  </si>
  <si>
    <t xml:space="preserve">Traces to</t>
  </si>
  <si>
    <t xml:space="preserve">Balance check</t>
  </si>
  <si>
    <t xml:space="preserve">Financial</t>
  </si>
  <si>
    <t xml:space="preserve">Customer</t>
  </si>
  <si>
    <t xml:space="preserve">Internal process</t>
  </si>
  <si>
    <t xml:space="preserve">Learning and growth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</si>
  <si>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</si>
  <si>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</si>
  <si>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</si>
  <si>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</si>
  <si>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</si>
  <si>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</si>
  <si>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</si>
  <si>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</si>
  <si>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Company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</si>
  <si>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</si>
  <si>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</si>
  <si>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</si>
  <si>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</si>
  <si>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</si>
  <si>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</si>
  <si>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Industry averages (share-weighted)</t>
  </si>
  <si>
    <t xml:space="preserve">Price</t>
  </si>
  <si>
    <t xml:space="preserve">P/Q</t>
  </si>
  <si>
    <t xml:space="preserve">Camera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</si>
  <si>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</si>
  <si>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</si>
  <si>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</si>
  <si>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</si>
  <si>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</si>
  <si>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</si>
  <si>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Decision</t>
  </si>
  <si>
    <t xml:space="preserve">Unit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</si>
  <si>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</si>
  <si>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</si>
  <si>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</si>
  <si>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</si>
  <si>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</si>
  <si>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</si>
  <si>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</si>
  <si>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</si>
  <si>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</si>
  <si>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</si>
  <si>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</si>
  <si>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</si>
  <si>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</si>
  <si>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</si>
  <si>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strategy.drone</t>
  </si>
  <si>
    <t xml:space="preserve">Strategy (Drones)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</si>
  <si>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</si>
  <si>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</si>
  <si>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</si>
  <si>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</si>
  <si>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</si>
  <si>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</si>
  <si>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</si>
  <si>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</si>
  <si>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</si>
  <si>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</si>
  <si>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</si>
  <si>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</si>
  <si>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</si>
  <si>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</si>
  <si>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</si>
  <si>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</si>
  <si>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</si>
  <si>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</si>
  <si>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</si>
  <si>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</si>
  <si>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</si>
  <si>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</si>
  <si>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</si>
  <si>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</si>
  <si>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</si>
  <si>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</si>
  <si>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</si>
  <si>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</si>
  <si>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</si>
  <si>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</si>
  <si>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</si>
  <si>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</si>
  <si>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</si>
  <si>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</si>
  <si>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</si>
  <si>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</si>
  <si>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</si>
  <si>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</si>
  <si>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</si>
  <si>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</si>
  <si>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</si>
  <si>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</si>
  <si>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</si>
  <si>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</si>
  <si>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</si>
  <si>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</si>
  <si>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</si>
  <si>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</si>
  <si>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</si>
  <si>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</si>
  <si>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</si>
  <si>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</si>
  <si>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</si>
  <si>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</si>
  <si>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</si>
  <si>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</si>
  <si>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</si>
  <si>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</si>
  <si>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</si>
  <si>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</si>
  <si>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</si>
  <si>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</si>
  <si>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</si>
  <si>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</si>
  <si>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</si>
  <si>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</si>
  <si>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</si>
  <si>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</si>
  <si>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</si>
  <si>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</si>
  <si>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</si>
  <si>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</si>
  <si>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</si>
  <si>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</si>
  <si>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</si>
  <si>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</si>
  <si>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</si>
  <si>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</si>
  <si>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</si>
  <si>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</si>
  <si>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</si>
  <si>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</si>
  <si>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</si>
  <si>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</si>
  <si>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</si>
  <si>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</si>
  <si>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</si>
  <si>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</si>
  <si>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</si>
  <si>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</si>
  <si>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</si>
  <si>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</si>
  <si>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</si>
  <si>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</si>
  <si>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</si>
  <si>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</si>
  <si>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</si>
  <si>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</si>
  <si>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</si>
  <si>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</si>
  <si>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</si>
  <si>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</si>
  <si>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</si>
  <si>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</si>
  <si>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</si>
  <si>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</si>
  <si>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</si>
  <si>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</si>
  <si>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</si>
  <si>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</si>
  <si>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</si>
  <si>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</si>
  <si>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Finance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</si>
  <si>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</si>
  <si>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</si>
  <si>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</si>
  <si>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</si>
  <si>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</si>
  <si>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</si>
  <si>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</si>
  <si>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</si>
  <si>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</si>
  <si>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</si>
  <si>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</si>
  <si>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</si>
  <si>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</si>
  <si>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</si>
  <si>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</si>
  <si>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</si>
  <si>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</si>
  <si>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</si>
  <si>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</si>
  <si>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</si>
  <si>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</si>
  <si>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</si>
  <si>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</si>
  <si>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</si>
  <si>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</si>
  <si>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</si>
  <si>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</si>
  <si>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</si>
  <si>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</si>
  <si>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</si>
  <si>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</si>
  <si>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</si>
  <si>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</si>
  <si>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</si>
  <si>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</si>
  <si>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</si>
  <si>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Year 6 results</t>
  </si>
  <si>
    <t xml:space="preserve">From the team's capture of this year's reports. Correct any value that was misread. Figures in the units shown; edit the cream cells.</t>
  </si>
  <si>
    <t xml:space="preserve">Scored KPI</t>
  </si>
  <si>
    <t xml:space="preserve">Investor expectation</t>
  </si>
  <si>
    <t xml:space="preserve">Gap</t>
  </si>
  <si>
    <t xml:space="preserve">Met?</t>
  </si>
  <si>
    <t xml:space="preserve">Earnings per share (EPS)</t>
  </si>
  <si>
    <t xml:space="preserve">Return on equity (ROE)</t>
  </si>
  <si>
    <t xml:space="preserve">Stock price</t>
  </si>
  <si>
    <t xml:space="preserve">Credit rating</t>
  </si>
  <si>
    <t xml:space="preserve">Image rating</t>
  </si>
  <si>
    <t xml:space="preserve">Company result</t>
  </si>
  <si>
    <t xml:space="preserve">Value</t>
  </si>
  <si>
    <t xml:space="preserve">Overall score (points)</t>
  </si>
  <si>
    <t xml:space="preserve">Rank in the industry (rank)</t>
  </si>
  <si>
    <t xml:space="preserve">Net revenues ($000s)</t>
  </si>
  <si>
    <t xml:space="preserve">Net profit ($000s)</t>
  </si>
  <si>
    <t xml:space="preserve">Ending cash ($000s)</t>
  </si>
  <si>
    <t xml:space="preserve">Product result</t>
  </si>
  <si>
    <t xml:space="preserve">Cameras</t>
  </si>
  <si>
    <t xml:space="preserve">Drones</t>
  </si>
  <si>
    <t xml:space="preserve">Units sold (000s)</t>
  </si>
  <si>
    <t xml:space="preserve">Average price ($)</t>
  </si>
  <si>
    <t xml:space="preserve">P/Q rating (stars)</t>
  </si>
  <si>
    <t xml:space="preserve">Cost per unit ($)</t>
  </si>
  <si>
    <t xml:space="preserve">Operating margin (%)</t>
  </si>
  <si>
    <t xml:space="preserve">Industry average price ($)</t>
  </si>
  <si>
    <t xml:space="preserve">Industry average P/Q (stars)</t>
  </si>
  <si>
    <t xml:space="preserve">Industry average cost per unit ($)</t>
  </si>
  <si>
    <t xml:space="preserve">Price vs industry average</t>
  </si>
  <si>
    <t xml:space="preserve">Cost per unit vs industry average</t>
  </si>
  <si>
    <t xml:space="preserve">Market share (%)</t>
  </si>
  <si>
    <t xml:space="preserve">North America</t>
  </si>
  <si>
    <t xml:space="preserve">Europe-Africa</t>
  </si>
  <si>
    <t xml:space="preserve">Asia-Pacific</t>
  </si>
  <si>
    <t xml:space="preserve">Latin America</t>
  </si>
  <si>
    <t xml:space="preserve">Average across regions</t>
  </si>
  <si>
    <t xml:space="preserve">GLO-BUS trends</t>
  </si>
  <si>
    <t xml:space="preserve">Pulled by formula from the Year tabs. Rebuild the workbook after each round to add the new year. Charts update when a Year tab changes.</t>
  </si>
  <si>
    <t xml:space="preserve">EPS</t>
  </si>
  <si>
    <t xml:space="preserve">AAA</t>
  </si>
  <si>
    <t xml:space="preserve">EPS expectation</t>
  </si>
  <si>
    <t xml:space="preserve">AA+</t>
  </si>
  <si>
    <t xml:space="preserve">ROE</t>
  </si>
  <si>
    <t xml:space="preserve">AA</t>
  </si>
  <si>
    <t xml:space="preserve">ROE expectation</t>
  </si>
  <si>
    <t xml:space="preserve">AA-</t>
  </si>
  <si>
    <t xml:space="preserve">A+</t>
  </si>
  <si>
    <t xml:space="preserve">Stock price expectation</t>
  </si>
  <si>
    <t xml:space="preserve">A</t>
  </si>
  <si>
    <t xml:space="preserve">A-</t>
  </si>
  <si>
    <t xml:space="preserve">Credit rating score (AAA = 21)</t>
  </si>
  <si>
    <t xml:space="preserve">BBB+</t>
  </si>
  <si>
    <t xml:space="preserve">BBB</t>
  </si>
  <si>
    <t xml:space="preserve">Image rating expectation</t>
  </si>
  <si>
    <t xml:space="preserve">BBB-</t>
  </si>
  <si>
    <t xml:space="preserve">Overall score</t>
  </si>
  <si>
    <t xml:space="preserve">BB+</t>
  </si>
  <si>
    <t xml:space="preserve">BB</t>
  </si>
  <si>
    <t xml:space="preserve">BB-</t>
  </si>
  <si>
    <t xml:space="preserve">B+</t>
  </si>
  <si>
    <t xml:space="preserve">B</t>
  </si>
  <si>
    <t xml:space="preserve">Cameras: market share (avg %)</t>
  </si>
  <si>
    <t xml:space="preserve">B-</t>
  </si>
  <si>
    <t xml:space="preserve">Drones: market share (avg %)</t>
  </si>
  <si>
    <t xml:space="preserve">CCC+</t>
  </si>
  <si>
    <t xml:space="preserve">Cameras: cost per unit ($)</t>
  </si>
  <si>
    <t xml:space="preserve">CCC</t>
  </si>
  <si>
    <t xml:space="preserve">Cameras: industry cost per unit ($)</t>
  </si>
  <si>
    <t xml:space="preserve">CCC-</t>
  </si>
  <si>
    <t xml:space="preserve">Drones: cost per unit ($)</t>
  </si>
  <si>
    <t xml:space="preserve">CC</t>
  </si>
  <si>
    <t xml:space="preserve">Drones: industry cost per unit ($)</t>
  </si>
  <si>
    <t xml:space="preserve">C</t>
  </si>
  <si>
    <t xml:space="preserve">Cameras: price ($)</t>
  </si>
  <si>
    <t xml:space="preserve">Drones: price ($)</t>
  </si>
  <si>
    <t xml:space="preserve">Cameras: P/Q</t>
  </si>
  <si>
    <t xml:space="preserve">Drones: P/Q</t>
  </si>
  <si>
    <t xml:space="preserve">Cameras: operating margin</t>
  </si>
  <si>
    <t xml:space="preserve">Drones: operating margin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</si>
</sst>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"/>
    <numFmt numFmtId="166" formatCode="0.0"/>
    <numFmt numFmtId="167" formatCode="0%"/>
    <numFmt numFmtId="168" formatCode="0.00"/>
    <numFmt numFmtId="169" formatCode="0.0%"/>
    <numFmt numFmtId="170" formatCode="#,##0"/>
    <numFmt numFmtId="171" formatCode="\$#,##0"/>
    <numFmt numFmtId="172" formatCode="\$#,##0;&quot;($&quot;#,##0\);\-"/>
    <numFmt numFmtId="173" formatCode="\$#,##0,,\M"/>
    <numFmt numFmtId="174" formatCode="General"/>
    <numFmt numFmtId="175" formatCode="#,##0.00"/>
    <numFmt numFmtId="176" formatCode="\$#,##0.00"/>
    <numFmt numFmtId="177" formatCode="\$0.00"/>
    <numFmt numFmtId="178" formatCode="\+0;\-0;0"/>
    <numFmt numFmtId="179" formatCode="\+0.0%;\-0.0%;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BBBBB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3557"/>
        <bgColor rgb="FF333333"/>
      </patternFill>
    </fill>
    <fill>
      <patternFill patternType="solid">
        <fgColor rgb="FFFFF9DB"/>
        <bgColor rgb="FFFFF0C2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888888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8F0DF"/>
      <rgbColor rgb="FFFFF0C2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D3557"/>
      <rgbColor rgb="FF2D936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Price per unit</c:v>
                </c:pt>
                <c:pt idx="1">
                  <c:v>Price per unit</c:v>
                </c:pt>
                <c:pt idx="2">
                  <c:v>Price per unit</c:v>
                </c:pt>
                <c:pt idx="3">
                  <c:v>Price per unit</c:v>
                </c:pt>
                <c:pt idx="4">
                  <c:v>Price per unit</c:v>
                </c:pt>
                <c:pt idx="5">
                  <c:v>Price per unit</c:v>
                </c:pt>
              </c:strCache>
            </c:strRef>
          </c:cat>
          <c:val>
            <c:numRef>
              <c:f>'Risk Analysis'!$E$32:$E$37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Price per unit</c:v>
                </c:pt>
                <c:pt idx="1">
                  <c:v>Price per unit</c:v>
                </c:pt>
                <c:pt idx="2">
                  <c:v>Price per unit</c:v>
                </c:pt>
                <c:pt idx="3">
                  <c:v>Price per unit</c:v>
                </c:pt>
                <c:pt idx="4">
                  <c:v>Price per unit</c:v>
                </c:pt>
                <c:pt idx="5">
                  <c:v>Price per unit</c:v>
                </c:pt>
              </c:strCache>
            </c:strRef>
          </c:cat>
          <c:val>
            <c:numRef>
              <c:f>'Risk Analysis'!$F$32:$F$37</c:f>
              <c:numCache>
                <c:formatCode>General</c:formatCode>
                <c:ptCount val="6"/>
              </c:numCache>
            </c:numRef>
          </c:val>
        </c:ser>
        <c:gapWidth val="150"/>
        <c:overlap val="100"/>
        <c:axId val="6795980"/>
        <c:axId val="382560"/>
      </c:barChart>
      <c:catAx>
        <c:axId val="67959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60"/>
        <c:crosses val="autoZero"/>
        <c:auto val="1"/>
        <c:lblAlgn val="ctr"/>
        <c:lblOffset val="100"/>
        <c:noMultiLvlLbl val="0"/>
      </c:catAx>
      <c:valAx>
        <c:axId val="382560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59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$0M</c:v>
                </c:pt>
                <c:pt idx="1">
                  <c:v>$0M</c:v>
                </c:pt>
                <c:pt idx="2">
                  <c:v>$0M</c:v>
                </c:pt>
                <c:pt idx="3">
                  <c:v>$0M</c:v>
                </c:pt>
                <c:pt idx="4">
                  <c:v>$0M</c:v>
                </c:pt>
                <c:pt idx="5">
                  <c:v>$0M</c:v>
                </c:pt>
                <c:pt idx="6">
                  <c:v>$0M</c:v>
                </c:pt>
                <c:pt idx="7">
                  <c:v>$0M</c:v>
                </c:pt>
                <c:pt idx="8">
                  <c:v>$0M</c:v>
                </c:pt>
                <c:pt idx="9">
                  <c:v>$0M</c:v>
                </c:pt>
                <c:pt idx="10">
                  <c:v>$0M</c:v>
                </c:pt>
                <c:pt idx="11">
                  <c:v>$0M</c:v>
                </c:pt>
                <c:pt idx="12">
                  <c:v>$0M</c:v>
                </c:pt>
                <c:pt idx="13">
                  <c:v>$0M</c:v>
                </c:pt>
                <c:pt idx="14">
                  <c:v>$0M</c:v>
                </c:pt>
                <c:pt idx="15">
                  <c:v>$0M</c:v>
                </c:pt>
                <c:pt idx="16">
                  <c:v>$0M</c:v>
                </c:pt>
                <c:pt idx="17">
                  <c:v>$0M</c:v>
                </c:pt>
                <c:pt idx="18">
                  <c:v>$0M</c:v>
                </c:pt>
                <c:pt idx="19">
                  <c:v>$0M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0"/>
        <c:overlap val="0"/>
        <c:axId val="89136868"/>
        <c:axId val="25858770"/>
      </c:barChart>
      <c:catAx>
        <c:axId val="89136868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8770"/>
        <c:crosses val="autoZero"/>
        <c:auto val="1"/>
        <c:lblAlgn val="ctr"/>
        <c:lblOffset val="100"/>
        <c:noMultiLvlLbl val="0"/>
      </c:catAx>
      <c:valAx>
        <c:axId val="2585877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36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Tracking!A6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Tracking!$B$6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Tracking!A7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Tracking!$B$7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921899"/>
        <c:axId val="58070590"/>
      </c:lineChart>
      <c:catAx>
        <c:axId val="10921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70590"/>
        <c:crosses val="autoZero"/>
        <c:auto val="1"/>
        <c:lblAlgn val="ctr"/>
        <c:lblOffset val="100"/>
        <c:noMultiLvlLbl val="0"/>
      </c:catAx>
      <c:valAx>
        <c:axId val="58070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218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Tracking!$B$8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Tracking!A9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Tracking!$B$9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636334"/>
        <c:axId val="89318948"/>
      </c:lineChart>
      <c:catAx>
        <c:axId val="24636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18948"/>
        <c:crosses val="autoZero"/>
        <c:auto val="1"/>
        <c:lblAlgn val="ctr"/>
        <c:lblOffset val="100"/>
        <c:noMultiLvlLbl val="0"/>
      </c:catAx>
      <c:valAx>
        <c:axId val="893189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363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Tracking!A10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Tracking!A11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Tracking!$B$11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30166"/>
        <c:axId val="22868142"/>
      </c:lineChart>
      <c:catAx>
        <c:axId val="55630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8142"/>
        <c:crosses val="autoZero"/>
        <c:auto val="1"/>
        <c:lblAlgn val="ctr"/>
        <c:lblOffset val="100"/>
        <c:noMultiLvlLbl val="0"/>
      </c:catAx>
      <c:valAx>
        <c:axId val="228681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301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and credit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Tracking!A14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Tracking!$B$14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Tracking!A15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Tracking!$B$15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Tracking!A13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2d936c"/>
            </a:solidFill>
            <a:ln w="2808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Tracking!$B$13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375993"/>
        <c:axId val="15879305"/>
      </c:lineChart>
      <c:catAx>
        <c:axId val="61375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79305"/>
        <c:crosses val="autoZero"/>
        <c:auto val="1"/>
        <c:lblAlgn val="ctr"/>
        <c:lblOffset val="100"/>
        <c:noMultiLvlLbl val="0"/>
      </c:catAx>
      <c:valAx>
        <c:axId val="158793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759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Tracking!A21</c:f>
              <c:strCache>
                <c:ptCount val="1"/>
                <c:pt idx="0">
                  <c:v>Cameras: market share (avg %)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Tracking!$B$21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Tracking!A22</c:f>
              <c:strCache>
                <c:ptCount val="1"/>
                <c:pt idx="0">
                  <c:v>Drones: market share (avg %)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Tracking!$B$22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17711"/>
        <c:axId val="27890752"/>
      </c:lineChart>
      <c:catAx>
        <c:axId val="4351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90752"/>
        <c:crosses val="autoZero"/>
        <c:auto val="1"/>
        <c:lblAlgn val="ctr"/>
        <c:lblOffset val="100"/>
        <c:noMultiLvlLbl val="0"/>
      </c:catAx>
      <c:valAx>
        <c:axId val="27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177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Tracking!A23</c:f>
              <c:strCache>
                <c:ptCount val="1"/>
                <c:pt idx="0">
                  <c:v>Cameras: cost per unit ($)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Tracking!$B$23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Tracking!A24</c:f>
              <c:strCache>
                <c:ptCount val="1"/>
                <c:pt idx="0">
                  <c:v>Cameras: industry cost per unit ($)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Tracking!$B$24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Tracking!A25</c:f>
              <c:strCache>
                <c:ptCount val="1"/>
                <c:pt idx="0">
                  <c:v>Drones: cost per unit ($)</c:v>
                </c:pt>
              </c:strCache>
            </c:strRef>
          </c:tx>
          <c:spPr>
            <a:solidFill>
              <a:srgbClr val="2d936c"/>
            </a:solidFill>
            <a:ln w="2808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Tracking!$B$25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Tracking!A26</c:f>
              <c:strCache>
                <c:ptCount val="1"/>
                <c:pt idx="0">
                  <c:v>Drones: industry cost per unit ($)</c:v>
                </c:pt>
              </c:strCache>
            </c:strRef>
          </c:tx>
          <c:spPr>
            <a:solidFill>
              <a:srgbClr val="c44536"/>
            </a:solidFill>
            <a:ln w="2808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Tracking!$B$26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773315"/>
        <c:axId val="1026019"/>
      </c:lineChart>
      <c:catAx>
        <c:axId val="53773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019"/>
        <c:crosses val="autoZero"/>
        <c:auto val="1"/>
        <c:lblAlgn val="ctr"/>
        <c:lblOffset val="100"/>
        <c:noMultiLvlLbl val="0"/>
      </c:catAx>
      <c:valAx>
        <c:axId val="10260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33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Tracking!A18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Tracking!$B$18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Tracking!A19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Tracking!$B$19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904543"/>
        <c:axId val="91734872"/>
      </c:lineChart>
      <c:catAx>
        <c:axId val="889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34872"/>
        <c:crosses val="autoZero"/>
        <c:auto val="1"/>
        <c:lblAlgn val="ctr"/>
        <c:lblOffset val="100"/>
        <c:noMultiLvlLbl val="0"/>
      </c:catAx>
      <c:valAx>
        <c:axId val="9173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045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Tracking!A31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Tracking!$B$31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Tracking!A32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</c:f>
              <c:strCache>
                <c:ptCount val="1"/>
                <c:pt idx="0">
                  <c:v>Year 6</c:v>
                </c:pt>
              </c:strCache>
            </c:strRef>
          </c:cat>
          <c:val>
            <c:numRef>
              <c:f>Tracking!$B$32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7752"/>
        <c:axId val="16086252"/>
      </c:lineChart>
      <c:catAx>
        <c:axId val="125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86252"/>
        <c:crosses val="autoZero"/>
        <c:auto val="1"/>
        <c:lblAlgn val="ctr"/>
        <c:lblOffset val="100"/>
        <c:noMultiLvlLbl val="0"/>
      </c:catAx>
      <c:valAx>
        <c:axId val="1608625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7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39</xdr:row>
      <xdr:rowOff>177480</xdr:rowOff>
    </xdr:to>
    <xdr:graphicFrame>
      <xdr:nvGraphicFramePr>
        <xdr:cNvPr id="0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55</xdr:row>
      <xdr:rowOff>144720</xdr:rowOff>
    </xdr:from>
    <xdr:to>
      <xdr:col>9</xdr:col>
      <xdr:colOff>747360</xdr:colOff>
      <xdr:row>67</xdr:row>
      <xdr:rowOff>177480</xdr:rowOff>
    </xdr:to>
    <xdr:graphicFrame>
      <xdr:nvGraphicFramePr>
        <xdr:cNvPr id="1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131040</xdr:rowOff>
    </xdr:from>
    <xdr:to>
      <xdr:col>4</xdr:col>
      <xdr:colOff>253440</xdr:colOff>
      <xdr:row>47</xdr:row>
      <xdr:rowOff>55440</xdr:rowOff>
    </xdr:to>
    <xdr:graphicFrame>
      <xdr:nvGraphicFramePr>
        <xdr:cNvPr id="2" name="Chart 1"/>
        <xdr:cNvGraphicFramePr/>
      </xdr:nvGraphicFramePr>
      <xdr:xfrm>
        <a:off x="0" y="6667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131040</xdr:rowOff>
    </xdr:from>
    <xdr:to>
      <xdr:col>15</xdr:col>
      <xdr:colOff>578880</xdr:colOff>
      <xdr:row>47</xdr:row>
      <xdr:rowOff>55440</xdr:rowOff>
    </xdr:to>
    <xdr:graphicFrame>
      <xdr:nvGraphicFramePr>
        <xdr:cNvPr id="3" name="Chart 2"/>
        <xdr:cNvGraphicFramePr/>
      </xdr:nvGraphicFramePr>
      <xdr:xfrm>
        <a:off x="6440760" y="6667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49</xdr:row>
      <xdr:rowOff>131040</xdr:rowOff>
    </xdr:from>
    <xdr:to>
      <xdr:col>4</xdr:col>
      <xdr:colOff>253440</xdr:colOff>
      <xdr:row>63</xdr:row>
      <xdr:rowOff>55800</xdr:rowOff>
    </xdr:to>
    <xdr:graphicFrame>
      <xdr:nvGraphicFramePr>
        <xdr:cNvPr id="4" name="Chart 3"/>
        <xdr:cNvGraphicFramePr/>
      </xdr:nvGraphicFramePr>
      <xdr:xfrm>
        <a:off x="0" y="971568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49</xdr:row>
      <xdr:rowOff>131040</xdr:rowOff>
    </xdr:from>
    <xdr:to>
      <xdr:col>15</xdr:col>
      <xdr:colOff>578880</xdr:colOff>
      <xdr:row>63</xdr:row>
      <xdr:rowOff>55800</xdr:rowOff>
    </xdr:to>
    <xdr:graphicFrame>
      <xdr:nvGraphicFramePr>
        <xdr:cNvPr id="5" name="Chart 4"/>
        <xdr:cNvGraphicFramePr/>
      </xdr:nvGraphicFramePr>
      <xdr:xfrm>
        <a:off x="6440760" y="971568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65</xdr:row>
      <xdr:rowOff>130680</xdr:rowOff>
    </xdr:from>
    <xdr:to>
      <xdr:col>4</xdr:col>
      <xdr:colOff>253440</xdr:colOff>
      <xdr:row>79</xdr:row>
      <xdr:rowOff>55440</xdr:rowOff>
    </xdr:to>
    <xdr:graphicFrame>
      <xdr:nvGraphicFramePr>
        <xdr:cNvPr id="6" name="Chart 5"/>
        <xdr:cNvGraphicFramePr/>
      </xdr:nvGraphicFramePr>
      <xdr:xfrm>
        <a:off x="0" y="12763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65</xdr:row>
      <xdr:rowOff>130680</xdr:rowOff>
    </xdr:from>
    <xdr:to>
      <xdr:col>15</xdr:col>
      <xdr:colOff>578880</xdr:colOff>
      <xdr:row>79</xdr:row>
      <xdr:rowOff>55440</xdr:rowOff>
    </xdr:to>
    <xdr:graphicFrame>
      <xdr:nvGraphicFramePr>
        <xdr:cNvPr id="7" name="Chart 6"/>
        <xdr:cNvGraphicFramePr/>
      </xdr:nvGraphicFramePr>
      <xdr:xfrm>
        <a:off x="6440760" y="12763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81</xdr:row>
      <xdr:rowOff>131040</xdr:rowOff>
    </xdr:from>
    <xdr:to>
      <xdr:col>4</xdr:col>
      <xdr:colOff>253440</xdr:colOff>
      <xdr:row>95</xdr:row>
      <xdr:rowOff>55440</xdr:rowOff>
    </xdr:to>
    <xdr:graphicFrame>
      <xdr:nvGraphicFramePr>
        <xdr:cNvPr id="8" name="Chart 7"/>
        <xdr:cNvGraphicFramePr/>
      </xdr:nvGraphicFramePr>
      <xdr:xfrm>
        <a:off x="0" y="15811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81</xdr:row>
      <xdr:rowOff>131040</xdr:rowOff>
    </xdr:from>
    <xdr:to>
      <xdr:col>15</xdr:col>
      <xdr:colOff>578880</xdr:colOff>
      <xdr:row>95</xdr:row>
      <xdr:rowOff>55440</xdr:rowOff>
    </xdr:to>
    <xdr:graphicFrame>
      <xdr:nvGraphicFramePr>
        <xdr:cNvPr id="9" name="Chart 8"/>
        <xdr:cNvGraphicFramePr/>
      </xdr:nvGraphicFramePr>
      <xdr:xfrm>
        <a:off x="6440760" y="15811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4" customFormat="false" ht="23.85" hidden="false" customHeight="false" outlineLevel="0" collapsed="false">
      <c r="B14" s="4" t="s">
        <v>19</v>
      </c>
      <c r="C14" s="5" t="s">
        <v>20</v>
      </c>
    </row>
    <row r="15" customFormat="false" ht="15" hidden="false" customHeight="false" outlineLevel="0" collapsed="false">
      <c r="B15" s="4" t="s">
        <v>21</v>
      </c>
      <c r="C15" s="5" t="s">
        <v>22</v>
      </c>
    </row>
    <row r="16" customFormat="false" ht="23.85" hidden="false" customHeight="false" outlineLevel="0" collapsed="false">
      <c r="B16" s="4" t="s">
        <v>23</v>
      </c>
      <c r="C16" s="5" t="s">
        <v>24</v>
      </c>
    </row>
    <row r="17" customFormat="false" ht="15" hidden="false" customHeight="false" outlineLevel="0" collapsed="false">
      <c r="B17" s="4" t="s">
        <v>25</v>
      </c>
      <c r="C17" s="5" t="s">
        <v>26</v>
      </c>
    </row>
    <row r="18" customFormat="false" ht="15" hidden="false" customHeight="fals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4" t="s">
        <v>29</v>
      </c>
      <c r="C19" s="5" t="s">
        <v>30</v>
      </c>
    </row>
    <row r="20" customFormat="false" ht="23.85" hidden="false" customHeight="false" outlineLevel="0" collapsed="false">
      <c r="B20" s="4" t="s">
        <v>31</v>
      </c>
      <c r="C20" s="5" t="s">
        <v>32</v>
      </c>
    </row>
    <row r="21" customFormat="false" ht="23.85" hidden="false" customHeight="false" outlineLevel="0" collapsed="false">
      <c r="B21" s="4" t="s">
        <v>33</v>
      </c>
      <c r="C21" s="5" t="s">
        <v>34</v>
      </c>
    </row>
    <row r="22" customFormat="false" ht="35.05" hidden="false" customHeight="false" outlineLevel="0" collapsed="false">
      <c r="B22" s="4" t="s">
        <v>35</v>
      </c>
      <c r="C22" s="5" t="s">
        <v>36</v>
      </c>
    </row>
    <row r="23" customFormat="false" ht="23.85" hidden="false" customHeight="false" outlineLevel="0" collapsed="false">
      <c r="B23" s="4" t="s">
        <v>37</v>
      </c>
      <c r="C23" s="5" t="s">
        <v>38</v>
      </c>
    </row>
    <row r="25" customFormat="false" ht="15" hidden="false" customHeight="false" outlineLevel="0" collapsed="false">
      <c r="B2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6" t="s">
        <v>40</v>
      </c>
    </row>
    <row r="2" customFormat="false" ht="15" hidden="false" customHeight="false" outlineLevel="0" collapsed="false">
      <c r="A2" s="3" t="s">
        <v>41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43</v>
      </c>
      <c r="B5" s="8" t="s">
        <v>44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50</v>
      </c>
      <c r="I5" s="8" t="s">
        <v>51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10" t="str">
        <f aca="false">IF(AND(ISNUMBER(E6),ISNUMBER(F6)),E6*F6,"")</f>
        <v/>
      </c>
      <c r="H6" s="9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10" t="str">
        <f aca="false">IF(AND(ISNUMBER(E7),ISNUMBER(F7)),E7*F7,"")</f>
        <v/>
      </c>
      <c r="H7" s="9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10" t="str">
        <f aca="false">IF(AND(ISNUMBER(E8),ISNUMBER(F8)),E8*F8,"")</f>
        <v/>
      </c>
      <c r="H8" s="9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10" t="str">
        <f aca="false">IF(AND(ISNUMBER(E9),ISNUMBER(F9)),E9*F9,"")</f>
        <v/>
      </c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10" t="str">
        <f aca="false">IF(AND(ISNUMBER(E10),ISNUMBER(F10)),E10*F10,"")</f>
        <v/>
      </c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10" t="str">
        <f aca="false">IF(AND(ISNUMBER(E11),ISNUMBER(F11)),E11*F11,"")</f>
        <v/>
      </c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10" t="str">
        <f aca="false">IF(AND(ISNUMBER(E12),ISNUMBER(F12)),E12*F12,"")</f>
        <v/>
      </c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10" t="str">
        <f aca="false">IF(AND(ISNUMBER(E13),ISNUMBER(F13)),E13*F13,"")</f>
        <v/>
      </c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10" t="str">
        <f aca="false">IF(AND(ISNUMBER(E14),ISNUMBER(F14)),E14*F14,"")</f>
        <v/>
      </c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10" t="str">
        <f aca="false">IF(AND(ISNUMBER(E15),ISNUMBER(F15)),E15*F15,"")</f>
        <v/>
      </c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10" t="str">
        <f aca="false">IF(AND(ISNUMBER(E16),ISNUMBER(F16)),E16*F16,"")</f>
        <v/>
      </c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10" t="str">
        <f aca="false">IF(AND(ISNUMBER(E17),ISNUMBER(F17)),E17*F17,"")</f>
        <v/>
      </c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10" t="str">
        <f aca="false">IF(AND(ISNUMBER(E18),ISNUMBER(F18)),E18*F18,"")</f>
        <v/>
      </c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10" t="str">
        <f aca="false">IF(AND(ISNUMBER(E19),ISNUMBER(F19)),E19*F19,"")</f>
        <v/>
      </c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0" t="str">
        <f aca="false">IF(AND(ISNUMBER(E20),ISNUMBER(F20)),E20*F20,"")</f>
        <v/>
      </c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10" t="str">
        <f aca="false">IF(AND(ISNUMBER(E21),ISNUMBER(F21)),E21*F21,"")</f>
        <v/>
      </c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10" t="str">
        <f aca="false">IF(AND(ISNUMBER(E22),ISNUMBER(F22)),E22*F22,"")</f>
        <v/>
      </c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10" t="str">
        <f aca="false">IF(AND(ISNUMBER(E23),ISNUMBER(F23)),E23*F23,"")</f>
        <v/>
      </c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10" t="str">
        <f aca="false">IF(AND(ISNUMBER(E24),ISNUMBER(F24)),E24*F24,"")</f>
        <v/>
      </c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10" t="str">
        <f aca="false">IF(AND(ISNUMBER(E25),ISNUMBER(F25)),E25*F25,"")</f>
        <v/>
      </c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10" t="str">
        <f aca="false">IF(AND(ISNUMBER(E26),ISNUMBER(F26)),E26*F26,"")</f>
        <v/>
      </c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10" t="str">
        <f aca="false">IF(AND(ISNUMBER(E27),ISNUMBER(F27)),E27*F27,"")</f>
        <v/>
      </c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10" t="str">
        <f aca="false">IF(AND(ISNUMBER(E28),ISNUMBER(F28)),E28*F28,"")</f>
        <v/>
      </c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10" t="str">
        <f aca="false">IF(AND(ISNUMBER(E29),ISNUMBER(F29)),E29*F29,"")</f>
        <v/>
      </c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10" t="str">
        <f aca="false">IF(AND(ISNUMBER(E30),ISNUMBER(F30)),E30*F30,"")</f>
        <v/>
      </c>
      <c r="H30" s="9"/>
      <c r="I30" s="9"/>
    </row>
    <row r="32" customFormat="false" ht="15" hidden="false" customHeight="false" outlineLevel="0" collapsed="false">
      <c r="B32" s="11" t="s">
        <v>52</v>
      </c>
      <c r="C32" s="10" t="n">
        <f aca="false">COUNTA(C6:C30)</f>
        <v>0</v>
      </c>
    </row>
    <row r="33" customFormat="false" ht="23.85" hidden="false" customHeight="false" outlineLevel="0" collapsed="false">
      <c r="B33" s="11" t="s">
        <v>53</v>
      </c>
      <c r="C33" s="10" t="n">
        <f aca="false">COUNTIF(G6:G30,"&gt;=16")</f>
        <v>0</v>
      </c>
    </row>
    <row r="34" customFormat="false" ht="23.85" hidden="false" customHeight="false" outlineLevel="0" collapsed="false">
      <c r="B34" s="11" t="s">
        <v>54</v>
      </c>
      <c r="C34" s="10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OS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6" t="s">
        <v>55</v>
      </c>
    </row>
    <row r="2" customFormat="false" ht="15" hidden="false" customHeight="false" outlineLevel="0" collapsed="false">
      <c r="A2" s="3" t="s">
        <v>56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57</v>
      </c>
      <c r="B5" s="8" t="s">
        <v>58</v>
      </c>
      <c r="C5" s="8" t="s">
        <v>59</v>
      </c>
      <c r="D5" s="8" t="s">
        <v>60</v>
      </c>
    </row>
    <row r="6" customFormat="false" ht="15" hidden="false" customHeight="false" outlineLevel="0" collapsed="false">
      <c r="A6" s="5" t="s">
        <v>61</v>
      </c>
      <c r="B6" s="5" t="s">
        <v>62</v>
      </c>
      <c r="C6" s="9"/>
      <c r="D6" s="9"/>
    </row>
    <row r="7" customFormat="false" ht="15" hidden="false" customHeight="false" outlineLevel="0" collapsed="false">
      <c r="A7" s="5" t="s">
        <v>61</v>
      </c>
      <c r="B7" s="5" t="s">
        <v>63</v>
      </c>
      <c r="C7" s="9"/>
      <c r="D7" s="9"/>
    </row>
    <row r="8" customFormat="false" ht="15" hidden="false" customHeight="false" outlineLevel="0" collapsed="false">
      <c r="A8" s="5" t="s">
        <v>61</v>
      </c>
      <c r="B8" s="5" t="s">
        <v>64</v>
      </c>
      <c r="C8" s="9"/>
      <c r="D8" s="9"/>
    </row>
    <row r="9" customFormat="false" ht="15" hidden="false" customHeight="false" outlineLevel="0" collapsed="false">
      <c r="A9" s="5" t="s">
        <v>61</v>
      </c>
      <c r="B9" s="5" t="s">
        <v>65</v>
      </c>
      <c r="C9" s="9"/>
      <c r="D9" s="9"/>
    </row>
    <row r="10" customFormat="false" ht="15" hidden="false" customHeight="false" outlineLevel="0" collapsed="false">
      <c r="A10" s="5" t="s">
        <v>66</v>
      </c>
      <c r="B10" s="5" t="s">
        <v>67</v>
      </c>
      <c r="C10" s="9"/>
      <c r="D10" s="9"/>
    </row>
    <row r="11" customFormat="false" ht="15" hidden="false" customHeight="false" outlineLevel="0" collapsed="false">
      <c r="A11" s="5" t="s">
        <v>66</v>
      </c>
      <c r="B11" s="5" t="s">
        <v>68</v>
      </c>
      <c r="C11" s="9"/>
      <c r="D11" s="9"/>
    </row>
    <row r="12" customFormat="false" ht="15" hidden="false" customHeight="false" outlineLevel="0" collapsed="false">
      <c r="A12" s="5" t="s">
        <v>66</v>
      </c>
      <c r="B12" s="5" t="s">
        <v>69</v>
      </c>
      <c r="C12" s="9"/>
      <c r="D12" s="9"/>
    </row>
    <row r="13" customFormat="false" ht="15" hidden="false" customHeight="false" outlineLevel="0" collapsed="false">
      <c r="A13" s="5" t="s">
        <v>66</v>
      </c>
      <c r="B13" s="5" t="s">
        <v>70</v>
      </c>
      <c r="C13" s="9"/>
      <c r="D13" s="9"/>
    </row>
    <row r="14" customFormat="false" ht="15" hidden="false" customHeight="false" outlineLevel="0" collapsed="false">
      <c r="A14" s="5" t="s">
        <v>71</v>
      </c>
      <c r="B14" s="5" t="s">
        <v>72</v>
      </c>
      <c r="C14" s="9"/>
      <c r="D14" s="9"/>
    </row>
    <row r="15" customFormat="false" ht="15" hidden="false" customHeight="false" outlineLevel="0" collapsed="false">
      <c r="A15" s="5" t="s">
        <v>71</v>
      </c>
      <c r="B15" s="5" t="s">
        <v>73</v>
      </c>
      <c r="C15" s="9"/>
      <c r="D15" s="9"/>
    </row>
    <row r="16" customFormat="false" ht="15" hidden="false" customHeight="false" outlineLevel="0" collapsed="false">
      <c r="A16" s="5" t="s">
        <v>71</v>
      </c>
      <c r="B16" s="5" t="s">
        <v>68</v>
      </c>
      <c r="C16" s="9"/>
      <c r="D16" s="9"/>
    </row>
    <row r="17" customFormat="false" ht="15" hidden="false" customHeight="false" outlineLevel="0" collapsed="false">
      <c r="A17" s="5" t="s">
        <v>71</v>
      </c>
      <c r="B17" s="5" t="s">
        <v>74</v>
      </c>
      <c r="C17" s="9"/>
      <c r="D17" s="9"/>
    </row>
    <row r="18" customFormat="false" ht="15" hidden="false" customHeight="false" outlineLevel="0" collapsed="false">
      <c r="A18" s="5" t="s">
        <v>75</v>
      </c>
      <c r="B18" s="5" t="s">
        <v>76</v>
      </c>
      <c r="C18" s="9"/>
      <c r="D18" s="9"/>
    </row>
    <row r="19" customFormat="false" ht="15" hidden="false" customHeight="false" outlineLevel="0" collapsed="false">
      <c r="A19" s="5" t="s">
        <v>75</v>
      </c>
      <c r="B19" s="5" t="s">
        <v>77</v>
      </c>
      <c r="C19" s="9"/>
      <c r="D19" s="9"/>
    </row>
    <row r="20" customFormat="false" ht="15" hidden="false" customHeight="false" outlineLevel="0" collapsed="false">
      <c r="A20" s="5" t="s">
        <v>75</v>
      </c>
      <c r="B20" s="5" t="s">
        <v>78</v>
      </c>
      <c r="C20" s="9"/>
      <c r="D20" s="9"/>
    </row>
    <row r="21" customFormat="false" ht="15" hidden="false" customHeight="false" outlineLevel="0" collapsed="false">
      <c r="A21" s="5" t="s">
        <v>75</v>
      </c>
      <c r="B21" s="5" t="s">
        <v>79</v>
      </c>
      <c r="C21" s="9"/>
      <c r="D21" s="9"/>
    </row>
    <row r="22" customFormat="false" ht="15" hidden="false" customHeight="false" outlineLevel="0" collapsed="false">
      <c r="A22" s="5" t="s">
        <v>80</v>
      </c>
      <c r="B22" s="5" t="s">
        <v>81</v>
      </c>
      <c r="C22" s="9"/>
      <c r="D22" s="9"/>
    </row>
    <row r="23" customFormat="false" ht="15" hidden="false" customHeight="false" outlineLevel="0" collapsed="false">
      <c r="A23" s="5" t="s">
        <v>80</v>
      </c>
      <c r="B23" s="5" t="s">
        <v>68</v>
      </c>
      <c r="C23" s="9"/>
      <c r="D23" s="9"/>
    </row>
    <row r="24" customFormat="false" ht="15" hidden="false" customHeight="false" outlineLevel="0" collapsed="false">
      <c r="A24" s="5" t="s">
        <v>80</v>
      </c>
      <c r="B24" s="5" t="s">
        <v>82</v>
      </c>
      <c r="C24" s="9"/>
      <c r="D24" s="9"/>
    </row>
    <row r="25" customFormat="false" ht="15" hidden="false" customHeight="false" outlineLevel="0" collapsed="false">
      <c r="A25" s="5" t="s">
        <v>80</v>
      </c>
      <c r="B25" s="5" t="s">
        <v>83</v>
      </c>
      <c r="C25" s="9"/>
      <c r="D25" s="9"/>
    </row>
    <row r="27" customFormat="false" ht="35.05" hidden="false" customHeight="false" outlineLevel="0" collapsed="false">
      <c r="A27" s="8" t="s">
        <v>57</v>
      </c>
      <c r="B27" s="8" t="s">
        <v>84</v>
      </c>
      <c r="C27" s="8" t="s">
        <v>85</v>
      </c>
      <c r="D27" s="8" t="s">
        <v>86</v>
      </c>
      <c r="E27" s="8" t="s">
        <v>87</v>
      </c>
      <c r="F27" s="8" t="s">
        <v>88</v>
      </c>
    </row>
    <row r="28" customFormat="false" ht="15" hidden="false" customHeight="false" outlineLevel="0" collapsed="false">
      <c r="A28" s="11" t="s">
        <v>61</v>
      </c>
      <c r="B28" s="12" t="str">
        <f aca="false">IFERROR(AVERAGEIF($A$6:$A$25,A28,$C$6:$C$25),"")</f>
        <v/>
      </c>
      <c r="C28" s="13"/>
      <c r="D28" s="12" t="str">
        <f aca="false">IF(ISNUMBER(C28),C28,B28)</f>
        <v/>
      </c>
      <c r="E28" s="14" t="str">
        <f aca="false">IF(D28="","",IF(D28&gt;=4,"Strong",IF(D28&gt;=2.5,"Moderate","Weak")))</f>
        <v/>
      </c>
      <c r="F28" s="13"/>
    </row>
    <row r="29" customFormat="false" ht="15" hidden="false" customHeight="false" outlineLevel="0" collapsed="false">
      <c r="A29" s="11" t="s">
        <v>66</v>
      </c>
      <c r="B29" s="12" t="str">
        <f aca="false">IFERROR(AVERAGEIF($A$6:$A$25,A29,$C$6:$C$25),"")</f>
        <v/>
      </c>
      <c r="C29" s="13"/>
      <c r="D29" s="12" t="str">
        <f aca="false">IF(ISNUMBER(C29),C29,B29)</f>
        <v/>
      </c>
      <c r="E29" s="14" t="str">
        <f aca="false">IF(D29="","",IF(D29&gt;=4,"Strong",IF(D29&gt;=2.5,"Moderate","Weak")))</f>
        <v/>
      </c>
      <c r="F29" s="13"/>
    </row>
    <row r="30" customFormat="false" ht="15" hidden="false" customHeight="false" outlineLevel="0" collapsed="false">
      <c r="A30" s="11" t="s">
        <v>71</v>
      </c>
      <c r="B30" s="12" t="str">
        <f aca="false">IFERROR(AVERAGEIF($A$6:$A$25,A30,$C$6:$C$25),"")</f>
        <v/>
      </c>
      <c r="C30" s="13"/>
      <c r="D30" s="12" t="str">
        <f aca="false">IF(ISNUMBER(C30),C30,B30)</f>
        <v/>
      </c>
      <c r="E30" s="14" t="str">
        <f aca="false">IF(D30="","",IF(D30&gt;=4,"Strong",IF(D30&gt;=2.5,"Moderate","Weak")))</f>
        <v/>
      </c>
      <c r="F30" s="13"/>
    </row>
    <row r="31" customFormat="false" ht="15" hidden="false" customHeight="false" outlineLevel="0" collapsed="false">
      <c r="A31" s="11" t="s">
        <v>75</v>
      </c>
      <c r="B31" s="12" t="str">
        <f aca="false">IFERROR(AVERAGEIF($A$6:$A$25,A31,$C$6:$C$25),"")</f>
        <v/>
      </c>
      <c r="C31" s="13"/>
      <c r="D31" s="12" t="str">
        <f aca="false">IF(ISNUMBER(C31),C31,B31)</f>
        <v/>
      </c>
      <c r="E31" s="14" t="str">
        <f aca="false">IF(D31="","",IF(D31&gt;=4,"Strong",IF(D31&gt;=2.5,"Moderate","Weak")))</f>
        <v/>
      </c>
      <c r="F31" s="13"/>
    </row>
    <row r="32" customFormat="false" ht="15" hidden="false" customHeight="false" outlineLevel="0" collapsed="false">
      <c r="A32" s="11" t="s">
        <v>80</v>
      </c>
      <c r="B32" s="12" t="str">
        <f aca="false">IFERROR(AVERAGEIF($A$6:$A$25,A32,$C$6:$C$25),"")</f>
        <v/>
      </c>
      <c r="C32" s="13"/>
      <c r="D32" s="12" t="str">
        <f aca="false">IF(ISNUMBER(C32),C32,B32)</f>
        <v/>
      </c>
      <c r="E32" s="14" t="str">
        <f aca="false">IF(D32="","",IF(D32&gt;=4,"Strong",IF(D32&gt;=2.5,"Moderate","Weak")))</f>
        <v/>
      </c>
      <c r="F32" s="13"/>
    </row>
    <row r="34" customFormat="false" ht="15" hidden="false" customHeight="false" outlineLevel="0" collapsed="false">
      <c r="A34" s="11" t="s">
        <v>89</v>
      </c>
      <c r="B34" s="15" t="str">
        <f aca="false">IFERROR(6-AVERAGE(D28:D32),"")</f>
        <v/>
      </c>
    </row>
    <row r="35" customFormat="false" ht="15" hidden="false" customHeight="false" outlineLevel="0" collapsed="false">
      <c r="A35" s="11" t="s">
        <v>90</v>
      </c>
      <c r="B35" s="12" t="str">
        <f aca="false">IF(COUNT(F28:F32)=5,6-AVERAGE(F28:F32),"")</f>
        <v/>
      </c>
    </row>
    <row r="37" customFormat="false" ht="15" hidden="false" customHeight="false" outlineLevel="0" collapsed="false">
      <c r="A37" s="3" t="s">
        <v>91</v>
      </c>
    </row>
    <row r="38" customFormat="false" ht="15" hidden="false" customHeight="false" outlineLevel="0" collapsed="false">
      <c r="A38" s="3" t="s">
        <v>92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6" t="s">
        <v>93</v>
      </c>
    </row>
    <row r="2" customFormat="false" ht="15" hidden="false" customHeight="false" outlineLevel="0" collapsed="false">
      <c r="A2" s="3" t="s">
        <v>94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43</v>
      </c>
      <c r="B5" s="8" t="s">
        <v>95</v>
      </c>
      <c r="C5" s="8" t="s">
        <v>96</v>
      </c>
      <c r="D5" s="8" t="s">
        <v>97</v>
      </c>
      <c r="E5" s="16" t="s">
        <v>98</v>
      </c>
      <c r="F5" s="16" t="s">
        <v>99</v>
      </c>
      <c r="G5" s="16" t="s">
        <v>100</v>
      </c>
      <c r="H5" s="16" t="s">
        <v>101</v>
      </c>
      <c r="I5" s="16" t="s">
        <v>102</v>
      </c>
      <c r="J5" s="16" t="s">
        <v>103</v>
      </c>
    </row>
    <row r="6" customFormat="false" ht="15" hidden="false" customHeight="false" outlineLevel="0" collapsed="false">
      <c r="A6" s="9"/>
      <c r="B6" s="9"/>
      <c r="C6" s="17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/>
      <c r="B7" s="9"/>
      <c r="C7" s="17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/>
      <c r="B8" s="9"/>
      <c r="C8" s="17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17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17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17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17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17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17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17"/>
      <c r="D15" s="9"/>
      <c r="E15" s="9"/>
      <c r="F15" s="9"/>
      <c r="G15" s="9"/>
      <c r="H15" s="9"/>
      <c r="I15" s="9"/>
      <c r="J15" s="9"/>
    </row>
    <row r="16" customFormat="false" ht="23.85" hidden="false" customHeight="false" outlineLevel="0" collapsed="false">
      <c r="B16" s="11" t="s">
        <v>104</v>
      </c>
      <c r="C16" s="18" t="n">
        <f aca="false">SUM(C6:C15)</f>
        <v>0</v>
      </c>
      <c r="D16" s="14" t="str">
        <f aca="false">IF(ABS(C16-1)&lt;0.001,"OK","Weights must sum to 100%")</f>
        <v>Weights must sum to 100%</v>
      </c>
    </row>
    <row r="17" customFormat="false" ht="15" hidden="false" customHeight="false" outlineLevel="0" collapsed="false">
      <c r="B17" s="11" t="s">
        <v>105</v>
      </c>
      <c r="E17" s="19" t="str">
        <f aca="false">IF(COUNT(E6:E15)=0,"",SUMPRODUCT($C$6:$C$15,E6:E15))</f>
        <v/>
      </c>
      <c r="F17" s="19" t="str">
        <f aca="false">IF(COUNT(F6:F15)=0,"",SUMPRODUCT($C$6:$C$15,F6:F15))</f>
        <v/>
      </c>
      <c r="G17" s="19" t="str">
        <f aca="false">IF(COUNT(G6:G15)=0,"",SUMPRODUCT($C$6:$C$15,G6:G15))</f>
        <v/>
      </c>
      <c r="H17" s="19" t="str">
        <f aca="false">IF(COUNT(H6:H15)=0,"",SUMPRODUCT($C$6:$C$15,H6:H15))</f>
        <v/>
      </c>
      <c r="I17" s="19" t="str">
        <f aca="false">IF(COUNT(I6:I15)=0,"",SUMPRODUCT($C$6:$C$15,I6:I15))</f>
        <v/>
      </c>
      <c r="J17" s="19" t="str">
        <f aca="false">IF(COUNT(J6:J15)=0,"",SUMPRODUCT($C$6:$C$15,J6:J15))</f>
        <v/>
      </c>
    </row>
    <row r="18" customFormat="false" ht="15" hidden="false" customHeight="false" outlineLevel="0" collapsed="false">
      <c r="B18" s="11" t="s">
        <v>106</v>
      </c>
      <c r="E18" s="10" t="str">
        <f aca="false">IF(E17="","",RANK(E17,$E$17:$J$17))</f>
        <v/>
      </c>
      <c r="F18" s="10" t="str">
        <f aca="false">IF(F17="","",RANK(F17,$E$17:$J$17))</f>
        <v/>
      </c>
      <c r="G18" s="10" t="str">
        <f aca="false">IF(G17="","",RANK(G17,$E$17:$J$17))</f>
        <v/>
      </c>
      <c r="H18" s="10" t="str">
        <f aca="false">IF(H17="","",RANK(H17,$E$17:$J$17))</f>
        <v/>
      </c>
      <c r="I18" s="10" t="str">
        <f aca="false">IF(I17="","",RANK(I17,$E$17:$J$17))</f>
        <v/>
      </c>
      <c r="J18" s="10" t="str">
        <f aca="false">IF(J17="","",RANK(J17,$E$17:$J$17))</f>
        <v/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6" t="s">
        <v>107</v>
      </c>
    </row>
    <row r="2" customFormat="false" ht="15" hidden="false" customHeight="false" outlineLevel="0" collapsed="false">
      <c r="A2" s="3" t="s">
        <v>108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109</v>
      </c>
      <c r="B5" s="8" t="s">
        <v>110</v>
      </c>
      <c r="C5" s="8" t="s">
        <v>111</v>
      </c>
      <c r="D5" s="8" t="s">
        <v>112</v>
      </c>
      <c r="E5" s="8" t="s">
        <v>113</v>
      </c>
      <c r="F5" s="8" t="s">
        <v>114</v>
      </c>
      <c r="G5" s="8" t="s">
        <v>115</v>
      </c>
      <c r="H5" s="8" t="s">
        <v>116</v>
      </c>
      <c r="I5" s="8" t="s">
        <v>117</v>
      </c>
      <c r="J5" s="8" t="s">
        <v>118</v>
      </c>
      <c r="K5" s="8" t="s">
        <v>119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14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/>
      </c>
      <c r="H6" s="9"/>
      <c r="I6" s="17"/>
      <c r="J6" s="14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/>
      </c>
      <c r="K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14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/>
      </c>
      <c r="H7" s="9"/>
      <c r="I7" s="17"/>
      <c r="J7" s="14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/>
      </c>
      <c r="K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14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/>
      </c>
      <c r="H8" s="9"/>
      <c r="I8" s="17"/>
      <c r="J8" s="14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/>
      </c>
      <c r="K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14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/>
      </c>
      <c r="H9" s="9"/>
      <c r="I9" s="17"/>
      <c r="J9" s="14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14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9"/>
      <c r="I10" s="17"/>
      <c r="J10" s="14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14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9"/>
      <c r="I11" s="17"/>
      <c r="J11" s="14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14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9"/>
      <c r="I12" s="17"/>
      <c r="J12" s="14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14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9"/>
      <c r="I13" s="17"/>
      <c r="J13" s="14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14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9"/>
      <c r="I14" s="17"/>
      <c r="J14" s="14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14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9"/>
      <c r="I15" s="17"/>
      <c r="J15" s="14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14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9"/>
      <c r="I16" s="17"/>
      <c r="J16" s="14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14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9"/>
      <c r="I17" s="17"/>
      <c r="J17" s="14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14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9"/>
      <c r="I18" s="17"/>
      <c r="J18" s="14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14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9"/>
      <c r="I19" s="17"/>
      <c r="J19" s="14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4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9"/>
      <c r="I20" s="17"/>
      <c r="J20" s="14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9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6" t="s">
        <v>120</v>
      </c>
    </row>
    <row r="2" customFormat="false" ht="15" hidden="false" customHeight="false" outlineLevel="0" collapsed="false">
      <c r="A2" s="3" t="s">
        <v>121</v>
      </c>
    </row>
    <row r="3" customFormat="false" ht="15" hidden="false" customHeight="false" outlineLevel="0" collapsed="false">
      <c r="A3" s="7" t="s">
        <v>42</v>
      </c>
    </row>
    <row r="5" customFormat="false" ht="15" hidden="false" customHeight="false" outlineLevel="0" collapsed="false">
      <c r="A5" s="8" t="s">
        <v>43</v>
      </c>
      <c r="B5" s="8" t="s">
        <v>122</v>
      </c>
      <c r="C5" s="8" t="s">
        <v>123</v>
      </c>
      <c r="E5" s="8" t="s">
        <v>43</v>
      </c>
      <c r="F5" s="8" t="s">
        <v>124</v>
      </c>
      <c r="G5" s="8" t="s">
        <v>123</v>
      </c>
    </row>
    <row r="6" customFormat="false" ht="15" hidden="false" customHeight="false" outlineLevel="0" collapsed="false">
      <c r="A6" s="11" t="s">
        <v>125</v>
      </c>
      <c r="B6" s="9"/>
      <c r="C6" s="9"/>
      <c r="E6" s="11" t="s">
        <v>126</v>
      </c>
      <c r="F6" s="9"/>
      <c r="G6" s="9"/>
    </row>
    <row r="7" customFormat="false" ht="15" hidden="false" customHeight="false" outlineLevel="0" collapsed="false">
      <c r="A7" s="11" t="s">
        <v>127</v>
      </c>
      <c r="B7" s="9"/>
      <c r="C7" s="9"/>
      <c r="E7" s="11" t="s">
        <v>128</v>
      </c>
      <c r="F7" s="9"/>
      <c r="G7" s="9"/>
    </row>
    <row r="8" customFormat="false" ht="15" hidden="false" customHeight="false" outlineLevel="0" collapsed="false">
      <c r="A8" s="11" t="s">
        <v>129</v>
      </c>
      <c r="B8" s="9"/>
      <c r="C8" s="9"/>
      <c r="E8" s="11" t="s">
        <v>130</v>
      </c>
      <c r="F8" s="9"/>
      <c r="G8" s="9"/>
    </row>
    <row r="9" customFormat="false" ht="15" hidden="false" customHeight="false" outlineLevel="0" collapsed="false">
      <c r="A9" s="11" t="s">
        <v>131</v>
      </c>
      <c r="B9" s="9"/>
      <c r="C9" s="9"/>
      <c r="E9" s="11" t="s">
        <v>132</v>
      </c>
      <c r="F9" s="9"/>
      <c r="G9" s="9"/>
    </row>
    <row r="10" customFormat="false" ht="15" hidden="false" customHeight="false" outlineLevel="0" collapsed="false">
      <c r="A10" s="11" t="s">
        <v>133</v>
      </c>
      <c r="B10" s="9"/>
      <c r="C10" s="9"/>
      <c r="E10" s="11" t="s">
        <v>134</v>
      </c>
      <c r="F10" s="9"/>
      <c r="G10" s="9"/>
    </row>
    <row r="11" customFormat="false" ht="15" hidden="false" customHeight="false" outlineLevel="0" collapsed="false">
      <c r="A11" s="11" t="s">
        <v>135</v>
      </c>
      <c r="B11" s="9"/>
      <c r="C11" s="9"/>
      <c r="E11" s="11" t="s">
        <v>136</v>
      </c>
      <c r="F11" s="9"/>
      <c r="G11" s="9"/>
    </row>
    <row r="14" customFormat="false" ht="15" hidden="false" customHeight="false" outlineLevel="0" collapsed="false">
      <c r="A14" s="8" t="s">
        <v>43</v>
      </c>
      <c r="B14" s="8" t="s">
        <v>137</v>
      </c>
      <c r="C14" s="8" t="s">
        <v>123</v>
      </c>
      <c r="E14" s="8" t="s">
        <v>43</v>
      </c>
      <c r="F14" s="8" t="s">
        <v>138</v>
      </c>
      <c r="G14" s="8" t="s">
        <v>123</v>
      </c>
    </row>
    <row r="15" customFormat="false" ht="15" hidden="false" customHeight="false" outlineLevel="0" collapsed="false">
      <c r="A15" s="11" t="s">
        <v>139</v>
      </c>
      <c r="B15" s="9"/>
      <c r="C15" s="9"/>
      <c r="E15" s="11" t="s">
        <v>140</v>
      </c>
      <c r="F15" s="9"/>
      <c r="G15" s="9"/>
    </row>
    <row r="16" customFormat="false" ht="15" hidden="false" customHeight="false" outlineLevel="0" collapsed="false">
      <c r="A16" s="11" t="s">
        <v>141</v>
      </c>
      <c r="B16" s="9"/>
      <c r="C16" s="9"/>
      <c r="E16" s="11" t="s">
        <v>142</v>
      </c>
      <c r="F16" s="9"/>
      <c r="G16" s="9"/>
    </row>
    <row r="17" customFormat="false" ht="15" hidden="false" customHeight="false" outlineLevel="0" collapsed="false">
      <c r="A17" s="11" t="s">
        <v>143</v>
      </c>
      <c r="B17" s="9"/>
      <c r="C17" s="9"/>
      <c r="E17" s="11" t="s">
        <v>144</v>
      </c>
      <c r="F17" s="9"/>
      <c r="G17" s="9"/>
    </row>
    <row r="18" customFormat="false" ht="15" hidden="false" customHeight="false" outlineLevel="0" collapsed="false">
      <c r="A18" s="11" t="s">
        <v>145</v>
      </c>
      <c r="B18" s="9"/>
      <c r="C18" s="9"/>
      <c r="E18" s="11" t="s">
        <v>146</v>
      </c>
      <c r="F18" s="9"/>
      <c r="G18" s="9"/>
    </row>
    <row r="19" customFormat="false" ht="15" hidden="false" customHeight="false" outlineLevel="0" collapsed="false">
      <c r="A19" s="11" t="s">
        <v>147</v>
      </c>
      <c r="B19" s="9"/>
      <c r="C19" s="9"/>
      <c r="E19" s="11" t="s">
        <v>148</v>
      </c>
      <c r="F19" s="9"/>
      <c r="G19" s="9"/>
    </row>
    <row r="20" customFormat="false" ht="15" hidden="false" customHeight="false" outlineLevel="0" collapsed="false">
      <c r="A20" s="11" t="s">
        <v>149</v>
      </c>
      <c r="B20" s="9"/>
      <c r="C20" s="9"/>
      <c r="E20" s="11" t="s">
        <v>150</v>
      </c>
      <c r="F20" s="9"/>
      <c r="G20" s="9"/>
    </row>
    <row r="23" customFormat="false" ht="15" hidden="false" customHeight="false" outlineLevel="0" collapsed="false">
      <c r="A23" s="8" t="s">
        <v>151</v>
      </c>
      <c r="B23" s="8" t="s">
        <v>152</v>
      </c>
      <c r="C23" s="8" t="s">
        <v>153</v>
      </c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  <row r="26" customFormat="false" ht="15" hidden="false" customHeight="false" outlineLevel="0" collapsed="false">
      <c r="A26" s="9"/>
      <c r="B26" s="9"/>
      <c r="C26" s="9"/>
    </row>
    <row r="27" customFormat="false" ht="15" hidden="false" customHeight="false" outlineLevel="0" collapsed="false">
      <c r="A27" s="9"/>
      <c r="B27" s="9"/>
      <c r="C27" s="9"/>
    </row>
    <row r="28" customFormat="false" ht="15" hidden="false" customHeight="false" outlineLevel="0" collapsed="false">
      <c r="A28" s="9"/>
      <c r="B28" s="9"/>
      <c r="C28" s="9"/>
    </row>
    <row r="29" customFormat="false" ht="15" hidden="false" customHeight="false" outlineLevel="0" collapsed="false">
      <c r="A29" s="9"/>
      <c r="B29" s="9"/>
      <c r="C29" s="9"/>
    </row>
    <row r="30" customFormat="false" ht="15" hidden="false" customHeight="false" outlineLevel="0" collapsed="false">
      <c r="A30" s="9"/>
      <c r="B30" s="9"/>
      <c r="C30" s="9"/>
    </row>
    <row r="31" customFormat="false" ht="15" hidden="false" customHeight="false" outlineLevel="0" collapsed="false">
      <c r="A31" s="9"/>
      <c r="B31" s="9"/>
      <c r="C31" s="9"/>
    </row>
    <row r="32" customFormat="false" ht="15" hidden="false" customHeight="false" outlineLevel="0" collapsed="false">
      <c r="A32" s="9"/>
      <c r="B32" s="9"/>
      <c r="C32" s="9"/>
    </row>
    <row r="33" customFormat="false" ht="15" hidden="false" customHeight="false" outlineLevel="0" collapsed="false">
      <c r="A33" s="9"/>
      <c r="B33" s="9"/>
      <c r="C33" s="9"/>
    </row>
    <row r="34" customFormat="false" ht="15" hidden="false" customHeight="false" outlineLevel="0" collapsed="false">
      <c r="A34" s="9"/>
      <c r="B34" s="9"/>
      <c r="C34" s="9"/>
    </row>
    <row r="35" customFormat="false" ht="15" hidden="false" customHeight="false" outlineLevel="0" collapsed="false">
      <c r="A35" s="9"/>
      <c r="B35" s="9"/>
      <c r="C35" s="9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6" t="s">
        <v>17</v>
      </c>
    </row>
    <row r="2" customFormat="false" ht="15" hidden="false" customHeight="false" outlineLevel="0" collapsed="false">
      <c r="A2" s="3" t="s">
        <v>154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155</v>
      </c>
      <c r="B5" s="8" t="s">
        <v>156</v>
      </c>
      <c r="C5" s="8" t="s">
        <v>157</v>
      </c>
      <c r="D5" s="16" t="s">
        <v>158</v>
      </c>
      <c r="E5" s="16" t="s">
        <v>159</v>
      </c>
      <c r="F5" s="16" t="s">
        <v>160</v>
      </c>
      <c r="G5" s="16" t="s">
        <v>161</v>
      </c>
      <c r="H5" s="16" t="s">
        <v>162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11" t="s">
        <v>105</v>
      </c>
      <c r="D14" s="19" t="str">
        <f aca="false">IF(COUNT(D6:D13)=0,"",SUMPRODUCT($B$6:$B$13,D6:D13)/SUMPRODUCT($B$6:$B$13*(D6:D13&lt;&gt;"")))</f>
        <v/>
      </c>
      <c r="E14" s="19" t="str">
        <f aca="false">IF(COUNT(E6:E13)=0,"",SUMPRODUCT($B$6:$B$13,E6:E13)/SUMPRODUCT($B$6:$B$13*(E6:E13&lt;&gt;"")))</f>
        <v/>
      </c>
      <c r="F14" s="19" t="str">
        <f aca="false">IF(COUNT(F6:F13)=0,"",SUMPRODUCT($B$6:$B$13,F6:F13)/SUMPRODUCT($B$6:$B$13*(F6:F13&lt;&gt;"")))</f>
        <v/>
      </c>
      <c r="G14" s="19" t="str">
        <f aca="false">IF(COUNT(G6:G13)=0,"",SUMPRODUCT($B$6:$B$13,G6:G13)/SUMPRODUCT($B$6:$B$13*(G6:G13&lt;&gt;"")))</f>
        <v/>
      </c>
      <c r="H14" s="19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11" t="s">
        <v>106</v>
      </c>
      <c r="D15" s="10" t="str">
        <f aca="false">IF(D14="","",RANK(D14,$D$14:$H$14))</f>
        <v/>
      </c>
      <c r="E15" s="10" t="str">
        <f aca="false">IF(E14="","",RANK(E14,$D$14:$H$14))</f>
        <v/>
      </c>
      <c r="F15" s="10" t="str">
        <f aca="false">IF(F14="","",RANK(F14,$D$14:$H$14))</f>
        <v/>
      </c>
      <c r="G15" s="10" t="str">
        <f aca="false">IF(G14="","",RANK(G14,$D$14:$H$14))</f>
        <v/>
      </c>
      <c r="H15" s="10" t="str">
        <f aca="false">IF(H14="","",RANK(H14,$D$14:$H$14))</f>
        <v/>
      </c>
    </row>
    <row r="17" customFormat="false" ht="23.85" hidden="false" customHeight="false" outlineLevel="0" collapsed="false">
      <c r="A17" s="5" t="s">
        <v>163</v>
      </c>
    </row>
  </sheetData>
  <dataValidations count="1">
    <dataValidation allowBlank="true" error="Enter a whole number from 1 to 5." errorStyle="stop" errorTitle="StratOS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6" t="s">
        <v>19</v>
      </c>
    </row>
    <row r="2" customFormat="false" ht="15" hidden="false" customHeight="false" outlineLevel="0" collapsed="false">
      <c r="A2" s="3" t="s">
        <v>164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165</v>
      </c>
      <c r="B5" s="8" t="s">
        <v>166</v>
      </c>
      <c r="C5" s="8" t="s">
        <v>167</v>
      </c>
      <c r="D5" s="8" t="s">
        <v>168</v>
      </c>
      <c r="E5" s="8" t="s">
        <v>169</v>
      </c>
      <c r="F5" s="8" t="s">
        <v>170</v>
      </c>
      <c r="G5" s="8" t="s">
        <v>171</v>
      </c>
      <c r="H5" s="8" t="s">
        <v>172</v>
      </c>
      <c r="I5" s="8" t="s">
        <v>173</v>
      </c>
      <c r="J5" s="8" t="s">
        <v>174</v>
      </c>
      <c r="K5" s="8" t="s">
        <v>175</v>
      </c>
    </row>
    <row r="6" customFormat="false" ht="15" hidden="false" customHeight="false" outlineLevel="0" collapsed="false">
      <c r="A6" s="9"/>
      <c r="B6" s="17"/>
      <c r="C6" s="13"/>
      <c r="D6" s="17"/>
      <c r="E6" s="13"/>
      <c r="F6" s="17"/>
      <c r="G6" s="13"/>
      <c r="H6" s="14" t="str">
        <f aca="false">IF(A6="","",IF(ABS(B6+D6+F6-1)&lt;0.001,"OK","Must sum to 100%"))</f>
        <v/>
      </c>
      <c r="I6" s="19" t="str">
        <f aca="false">IF(A6="","",B6*C6+D6*E6+F6*G6)</f>
        <v/>
      </c>
      <c r="J6" s="12" t="str">
        <f aca="false">IF(A6="","",MIN(C6,E6,G6))</f>
        <v/>
      </c>
      <c r="K6" s="12" t="str">
        <f aca="false">IF(A6="","",MAX(C6,E6,G6))</f>
        <v/>
      </c>
    </row>
    <row r="7" customFormat="false" ht="15" hidden="false" customHeight="false" outlineLevel="0" collapsed="false">
      <c r="A7" s="9"/>
      <c r="B7" s="17"/>
      <c r="C7" s="13"/>
      <c r="D7" s="17"/>
      <c r="E7" s="13"/>
      <c r="F7" s="17"/>
      <c r="G7" s="13"/>
      <c r="H7" s="14" t="str">
        <f aca="false">IF(A7="","",IF(ABS(B7+D7+F7-1)&lt;0.001,"OK","Must sum to 100%"))</f>
        <v/>
      </c>
      <c r="I7" s="19" t="str">
        <f aca="false">IF(A7="","",B7*C7+D7*E7+F7*G7)</f>
        <v/>
      </c>
      <c r="J7" s="12" t="str">
        <f aca="false">IF(A7="","",MIN(C7,E7,G7))</f>
        <v/>
      </c>
      <c r="K7" s="12" t="str">
        <f aca="false">IF(A7="","",MAX(C7,E7,G7))</f>
        <v/>
      </c>
    </row>
    <row r="8" customFormat="false" ht="15" hidden="false" customHeight="false" outlineLevel="0" collapsed="false">
      <c r="A8" s="9"/>
      <c r="B8" s="17"/>
      <c r="C8" s="13"/>
      <c r="D8" s="17"/>
      <c r="E8" s="13"/>
      <c r="F8" s="17"/>
      <c r="G8" s="13"/>
      <c r="H8" s="14" t="str">
        <f aca="false">IF(A8="","",IF(ABS(B8+D8+F8-1)&lt;0.001,"OK","Must sum to 100%"))</f>
        <v/>
      </c>
      <c r="I8" s="19" t="str">
        <f aca="false">IF(A8="","",B8*C8+D8*E8+F8*G8)</f>
        <v/>
      </c>
      <c r="J8" s="12" t="str">
        <f aca="false">IF(A8="","",MIN(C8,E8,G8))</f>
        <v/>
      </c>
      <c r="K8" s="12" t="str">
        <f aca="false">IF(A8="","",MAX(C8,E8,G8))</f>
        <v/>
      </c>
    </row>
    <row r="9" customFormat="false" ht="15" hidden="false" customHeight="false" outlineLevel="0" collapsed="false">
      <c r="A9" s="9"/>
      <c r="B9" s="17"/>
      <c r="C9" s="13"/>
      <c r="D9" s="17"/>
      <c r="E9" s="13"/>
      <c r="F9" s="17"/>
      <c r="G9" s="13"/>
      <c r="H9" s="14" t="str">
        <f aca="false">IF(A9="","",IF(ABS(B9+D9+F9-1)&lt;0.001,"OK","Must sum to 100%"))</f>
        <v/>
      </c>
      <c r="I9" s="19" t="str">
        <f aca="false">IF(A9="","",B9*C9+D9*E9+F9*G9)</f>
        <v/>
      </c>
      <c r="J9" s="12" t="str">
        <f aca="false">IF(A9="","",MIN(C9,E9,G9))</f>
        <v/>
      </c>
      <c r="K9" s="12" t="str">
        <f aca="false">IF(A9="","",MAX(C9,E9,G9))</f>
        <v/>
      </c>
    </row>
    <row r="10" customFormat="false" ht="15" hidden="false" customHeight="false" outlineLevel="0" collapsed="false">
      <c r="A10" s="9"/>
      <c r="B10" s="17"/>
      <c r="C10" s="13"/>
      <c r="D10" s="17"/>
      <c r="E10" s="13"/>
      <c r="F10" s="17"/>
      <c r="G10" s="13"/>
      <c r="H10" s="14" t="str">
        <f aca="false">IF(A10="","",IF(ABS(B10+D10+F10-1)&lt;0.001,"OK","Must sum to 100%"))</f>
        <v/>
      </c>
      <c r="I10" s="19" t="str">
        <f aca="false">IF(A10="","",B10*C10+D10*E10+F10*G10)</f>
        <v/>
      </c>
      <c r="J10" s="12" t="str">
        <f aca="false">IF(A10="","",MIN(C10,E10,G10))</f>
        <v/>
      </c>
      <c r="K10" s="12" t="str">
        <f aca="false">IF(A10="","",MAX(C10,E10,G10))</f>
        <v/>
      </c>
    </row>
    <row r="11" customFormat="false" ht="15" hidden="false" customHeight="false" outlineLevel="0" collapsed="false">
      <c r="A11" s="9"/>
      <c r="B11" s="17"/>
      <c r="C11" s="13"/>
      <c r="D11" s="17"/>
      <c r="E11" s="13"/>
      <c r="F11" s="17"/>
      <c r="G11" s="13"/>
      <c r="H11" s="14" t="str">
        <f aca="false">IF(A11="","",IF(ABS(B11+D11+F11-1)&lt;0.001,"OK","Must sum to 100%"))</f>
        <v/>
      </c>
      <c r="I11" s="19" t="str">
        <f aca="false">IF(A11="","",B11*C11+D11*E11+F11*G11)</f>
        <v/>
      </c>
      <c r="J11" s="12" t="str">
        <f aca="false">IF(A11="","",MIN(C11,E11,G11))</f>
        <v/>
      </c>
      <c r="K11" s="12" t="str">
        <f aca="false">IF(A11="","",MAX(C11,E11,G11))</f>
        <v/>
      </c>
    </row>
    <row r="13" customFormat="false" ht="15" hidden="false" customHeight="false" outlineLevel="0" collapsed="false">
      <c r="A13" s="11" t="s">
        <v>176</v>
      </c>
      <c r="B13" s="20" t="str">
        <f aca="false">IFERROR(INDEX(A6:A11,MATCH(MAX(I6:I11),I6:I11,0)),"")</f>
        <v/>
      </c>
    </row>
    <row r="14" customFormat="false" ht="23.85" hidden="false" customHeight="false" outlineLevel="0" collapsed="false">
      <c r="A14" s="11" t="s">
        <v>177</v>
      </c>
      <c r="B14" s="20" t="str">
        <f aca="false">IFERROR(INDEX(A6:A11,MATCH(MAX(J6:J11),J6:J11,0)),"")</f>
        <v/>
      </c>
    </row>
    <row r="15" customFormat="false" ht="23.85" hidden="false" customHeight="true" outlineLevel="0" collapsed="false">
      <c r="A15" s="11" t="s">
        <v>178</v>
      </c>
      <c r="B15" s="19" t="str">
        <f aca="false">IFERROR(INDEX(B6:B11,MATCH(MAX(I6:I11),I6:I11,0))*MAX(C6:C11)+INDEX(D6:D11,MATCH(MAX(I6:I11),I6:I11,0))*MAX(E6:E11)+INDEX(F6:F11,MATCH(MAX(I6:I11),I6:I11,0))*MAX(G6:G11)-MAX(I6:I11),"")</f>
        <v/>
      </c>
      <c r="C15" s="21" t="s">
        <v>179</v>
      </c>
      <c r="D15" s="21"/>
      <c r="E15" s="21"/>
      <c r="F15" s="21"/>
      <c r="G15" s="21"/>
      <c r="H15" s="21"/>
      <c r="I15" s="21"/>
      <c r="J15" s="21"/>
      <c r="K15" s="21"/>
    </row>
    <row r="18" customFormat="false" ht="23.85" hidden="false" customHeight="true" outlineLevel="0" collapsed="false">
      <c r="A18" s="11" t="s">
        <v>180</v>
      </c>
      <c r="B18" s="21" t="s">
        <v>181</v>
      </c>
      <c r="C18" s="21"/>
      <c r="D18" s="21"/>
      <c r="E18" s="21"/>
      <c r="F18" s="21"/>
      <c r="G18" s="21"/>
      <c r="H18" s="21"/>
      <c r="I18" s="21"/>
      <c r="J18" s="21"/>
      <c r="K18" s="21"/>
    </row>
    <row r="19" customFormat="false" ht="30" hidden="false" customHeight="true" outlineLevel="0" collapsed="false">
      <c r="A19" s="8" t="s">
        <v>182</v>
      </c>
      <c r="B19" s="8" t="s">
        <v>183</v>
      </c>
      <c r="C19" s="8" t="s">
        <v>184</v>
      </c>
      <c r="D19" s="8" t="s">
        <v>185</v>
      </c>
      <c r="E19" s="8" t="s">
        <v>186</v>
      </c>
      <c r="F19" s="8" t="s">
        <v>187</v>
      </c>
      <c r="G19" s="8" t="s">
        <v>188</v>
      </c>
    </row>
    <row r="20" customFormat="false" ht="15" hidden="false" customHeight="false" outlineLevel="0" collapsed="false">
      <c r="A20" s="5" t="s">
        <v>189</v>
      </c>
      <c r="B20" s="22" t="str">
        <f aca="false">IF(B6="","",B6)</f>
        <v/>
      </c>
      <c r="C20" s="17"/>
      <c r="D20" s="17"/>
      <c r="E20" s="14" t="str">
        <f aca="false">IF(C20="","",IF(ABS(C20+D20-1)&lt;0.001,"OK","Must sum to 100%"))</f>
        <v/>
      </c>
      <c r="F20" s="23" t="str">
        <f aca="false">IFERROR(B20*C20/SUMPRODUCT($B$20:$B$22,$C$20:$C$22),"")</f>
        <v/>
      </c>
      <c r="G20" s="23" t="str">
        <f aca="false">IFERROR(B20*D20/SUMPRODUCT($B$20:$B$22,$D$20:$D$22),"")</f>
        <v/>
      </c>
    </row>
    <row r="21" customFormat="false" ht="15" hidden="false" customHeight="false" outlineLevel="0" collapsed="false">
      <c r="A21" s="5" t="s">
        <v>190</v>
      </c>
      <c r="B21" s="22" t="str">
        <f aca="false">IF(D6="","",D6)</f>
        <v/>
      </c>
      <c r="C21" s="17"/>
      <c r="D21" s="17"/>
      <c r="E21" s="14" t="str">
        <f aca="false">IF(C21="","",IF(ABS(C21+D21-1)&lt;0.001,"OK","Must sum to 100%"))</f>
        <v/>
      </c>
      <c r="F21" s="23" t="str">
        <f aca="false">IFERROR(B21*C21/SUMPRODUCT($B$20:$B$22,$C$20:$C$22),"")</f>
        <v/>
      </c>
      <c r="G21" s="23" t="str">
        <f aca="false">IFERROR(B21*D21/SUMPRODUCT($B$20:$B$22,$D$20:$D$22),"")</f>
        <v/>
      </c>
    </row>
    <row r="22" customFormat="false" ht="15" hidden="false" customHeight="false" outlineLevel="0" collapsed="false">
      <c r="A22" s="5" t="s">
        <v>191</v>
      </c>
      <c r="B22" s="22" t="str">
        <f aca="false">IF(F6="","",F6)</f>
        <v/>
      </c>
      <c r="C22" s="17"/>
      <c r="D22" s="17"/>
      <c r="E22" s="14" t="str">
        <f aca="false">IF(C22="","",IF(ABS(C22+D22-1)&lt;0.001,"OK","Must sum to 100%"))</f>
        <v/>
      </c>
      <c r="F22" s="23" t="str">
        <f aca="false">IFERROR(B22*C22/SUMPRODUCT($B$20:$B$22,$C$20:$C$22),"")</f>
        <v/>
      </c>
      <c r="G22" s="23" t="str">
        <f aca="false">IFERROR(B22*D22/SUMPRODUCT($B$20:$B$22,$D$20:$D$22),"")</f>
        <v/>
      </c>
    </row>
    <row r="23" customFormat="false" ht="15" hidden="false" customHeight="false" outlineLevel="0" collapsed="false">
      <c r="A23" s="11" t="s">
        <v>192</v>
      </c>
      <c r="F23" s="24" t="n">
        <f aca="false">IFERROR(SUMPRODUCT(B20:B22,C20:C22),"")</f>
        <v>0</v>
      </c>
      <c r="G23" s="24" t="n">
        <f aca="false">IFERROR(SUMPRODUCT(B20:B22,D20:D22),"")</f>
        <v>0</v>
      </c>
    </row>
    <row r="25" customFormat="false" ht="30" hidden="false" customHeight="true" outlineLevel="0" collapsed="false">
      <c r="A25" s="8" t="s">
        <v>165</v>
      </c>
      <c r="B25" s="8" t="s">
        <v>193</v>
      </c>
      <c r="C25" s="8" t="s">
        <v>194</v>
      </c>
      <c r="D25" s="8" t="s">
        <v>195</v>
      </c>
    </row>
    <row r="26" customFormat="false" ht="15" hidden="false" customHeight="false" outlineLevel="0" collapsed="false">
      <c r="A26" s="14" t="str">
        <f aca="false">IF(A6="","",A6)</f>
        <v/>
      </c>
      <c r="B26" s="25" t="str">
        <f aca="false">IF(A6="","",I6)</f>
        <v/>
      </c>
      <c r="C26" s="25" t="str">
        <f aca="false">IF(OR(A6="",F20=""),"",C6*F20+E6*F21+G6*F22)</f>
        <v/>
      </c>
      <c r="D26" s="25" t="str">
        <f aca="false">IF(OR(A6="",G20=""),"",C6*G20+E6*G21+G6*G22)</f>
        <v/>
      </c>
    </row>
    <row r="27" customFormat="false" ht="15" hidden="false" customHeight="false" outlineLevel="0" collapsed="false">
      <c r="A27" s="14" t="str">
        <f aca="false">IF(A7="","",A7)</f>
        <v/>
      </c>
      <c r="B27" s="25" t="str">
        <f aca="false">IF(A7="","",I7)</f>
        <v/>
      </c>
      <c r="C27" s="25" t="str">
        <f aca="false">IF(OR(A7="",F20=""),"",C7*F20+E7*F21+G7*F22)</f>
        <v/>
      </c>
      <c r="D27" s="25" t="str">
        <f aca="false">IF(OR(A7="",G20=""),"",C7*G20+E7*G21+G7*G22)</f>
        <v/>
      </c>
    </row>
    <row r="28" customFormat="false" ht="15" hidden="false" customHeight="false" outlineLevel="0" collapsed="false">
      <c r="A28" s="14" t="str">
        <f aca="false">IF(A8="","",A8)</f>
        <v/>
      </c>
      <c r="B28" s="25" t="str">
        <f aca="false">IF(A8="","",I8)</f>
        <v/>
      </c>
      <c r="C28" s="25" t="str">
        <f aca="false">IF(OR(A8="",F20=""),"",C8*F20+E8*F21+G8*F22)</f>
        <v/>
      </c>
      <c r="D28" s="25" t="str">
        <f aca="false">IF(OR(A8="",G20=""),"",C8*G20+E8*G21+G8*G22)</f>
        <v/>
      </c>
    </row>
    <row r="29" customFormat="false" ht="15" hidden="false" customHeight="false" outlineLevel="0" collapsed="false">
      <c r="A29" s="14" t="str">
        <f aca="false">IF(A9="","",A9)</f>
        <v/>
      </c>
      <c r="B29" s="25" t="str">
        <f aca="false">IF(A9="","",I9)</f>
        <v/>
      </c>
      <c r="C29" s="25" t="str">
        <f aca="false">IF(OR(A9="",F20=""),"",C9*F20+E9*F21+G9*F22)</f>
        <v/>
      </c>
      <c r="D29" s="25" t="str">
        <f aca="false">IF(OR(A9="",G20=""),"",C9*G20+E9*G21+G9*G22)</f>
        <v/>
      </c>
    </row>
    <row r="30" customFormat="false" ht="15" hidden="false" customHeight="false" outlineLevel="0" collapsed="false">
      <c r="A30" s="14" t="str">
        <f aca="false">IF(A10="","",A10)</f>
        <v/>
      </c>
      <c r="B30" s="25" t="str">
        <f aca="false">IF(A10="","",I10)</f>
        <v/>
      </c>
      <c r="C30" s="25" t="str">
        <f aca="false">IF(OR(A10="",F20=""),"",C10*F20+E10*F21+G10*F22)</f>
        <v/>
      </c>
      <c r="D30" s="25" t="str">
        <f aca="false">IF(OR(A10="",G20=""),"",C10*G20+E10*G21+G10*G22)</f>
        <v/>
      </c>
    </row>
    <row r="31" customFormat="false" ht="15" hidden="false" customHeight="false" outlineLevel="0" collapsed="false">
      <c r="A31" s="14" t="str">
        <f aca="false">IF(A11="","",A11)</f>
        <v/>
      </c>
      <c r="B31" s="25" t="str">
        <f aca="false">IF(A11="","",I11)</f>
        <v/>
      </c>
      <c r="C31" s="25" t="str">
        <f aca="false">IF(OR(A11="",F20=""),"",C11*F20+E11*F21+G11*F22)</f>
        <v/>
      </c>
      <c r="D31" s="25" t="str">
        <f aca="false">IF(OR(A11="",G20=""),"",C11*G20+E11*G21+G11*G22)</f>
        <v/>
      </c>
    </row>
    <row r="33" customFormat="false" ht="23.85" hidden="false" customHeight="true" outlineLevel="0" collapsed="false">
      <c r="A33" s="11" t="s">
        <v>196</v>
      </c>
      <c r="B33" s="20" t="str">
        <f aca="false">IFERROR(INDEX(A26:A31,MATCH(MAX(C26:C31),C26:C31,0)),"")</f>
        <v/>
      </c>
      <c r="C33" s="21" t="s">
        <v>197</v>
      </c>
      <c r="D33" s="21"/>
      <c r="E33" s="21"/>
      <c r="F33" s="21"/>
      <c r="G33" s="21"/>
      <c r="H33" s="21"/>
      <c r="I33" s="21"/>
      <c r="J33" s="21"/>
      <c r="K33" s="21"/>
    </row>
    <row r="34" customFormat="false" ht="23.85" hidden="false" customHeight="false" outlineLevel="0" collapsed="false">
      <c r="A34" s="11" t="s">
        <v>198</v>
      </c>
      <c r="B34" s="20" t="str">
        <f aca="false">IFERROR(INDEX(A26:A31,MATCH(MAX(D26:D31),D26:D31,0)),"")</f>
        <v/>
      </c>
      <c r="C34" s="21"/>
      <c r="D34" s="21"/>
      <c r="E34" s="21"/>
      <c r="F34" s="21"/>
      <c r="G34" s="21"/>
      <c r="H34" s="21"/>
      <c r="I34" s="21"/>
      <c r="J34" s="21"/>
      <c r="K34" s="21"/>
    </row>
    <row r="35" customFormat="false" ht="23.85" hidden="false" customHeight="false" outlineLevel="0" collapsed="false">
      <c r="A35" s="11" t="s">
        <v>199</v>
      </c>
      <c r="B35" s="19" t="n">
        <f aca="false">IFERROR(F23*MAX(C26:C31)+G23*MAX(D26:D31),"")</f>
        <v>0</v>
      </c>
    </row>
    <row r="36" customFormat="false" ht="15" hidden="false" customHeight="false" outlineLevel="0" collapsed="false">
      <c r="A36" s="11" t="s">
        <v>200</v>
      </c>
      <c r="B36" s="19" t="n">
        <f aca="false">IFERROR(B35-MAX(I6:I11),"")</f>
        <v>0</v>
      </c>
    </row>
    <row r="37" customFormat="false" ht="15" hidden="false" customHeight="false" outlineLevel="0" collapsed="false">
      <c r="A37" s="11" t="s">
        <v>201</v>
      </c>
      <c r="B37" s="26"/>
    </row>
    <row r="38" customFormat="false" ht="23.85" hidden="false" customHeight="false" outlineLevel="0" collapsed="false">
      <c r="A38" s="11" t="s">
        <v>202</v>
      </c>
      <c r="B38" s="19" t="str">
        <f aca="false">IFERROR(IF(B37="","",B36-B37),"")</f>
        <v/>
      </c>
    </row>
    <row r="39" customFormat="false" ht="15" hidden="false" customHeight="false" outlineLevel="0" collapsed="false">
      <c r="A39" s="11" t="s">
        <v>203</v>
      </c>
      <c r="B39" s="18" t="str">
        <f aca="false">IFERROR(B36/B15,"")</f>
        <v/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6" t="s">
        <v>21</v>
      </c>
    </row>
    <row r="2" customFormat="false" ht="15" hidden="false" customHeight="false" outlineLevel="0" collapsed="false">
      <c r="A2" s="3" t="s">
        <v>204</v>
      </c>
    </row>
    <row r="3" customFormat="false" ht="15" hidden="false" customHeight="false" outlineLevel="0" collapsed="false">
      <c r="A3" s="7" t="s">
        <v>42</v>
      </c>
    </row>
    <row r="5" customFormat="false" ht="15" hidden="false" customHeight="false" outlineLevel="0" collapsed="false">
      <c r="A5" s="11" t="s">
        <v>205</v>
      </c>
    </row>
    <row r="6" customFormat="false" ht="15" hidden="false" customHeight="false" outlineLevel="0" collapsed="false">
      <c r="A6" s="5" t="s">
        <v>206</v>
      </c>
      <c r="B6" s="27"/>
    </row>
    <row r="7" customFormat="false" ht="15" hidden="false" customHeight="false" outlineLevel="0" collapsed="false">
      <c r="A7" s="5" t="s">
        <v>207</v>
      </c>
      <c r="B7" s="27"/>
    </row>
    <row r="8" customFormat="false" ht="15" hidden="false" customHeight="false" outlineLevel="0" collapsed="false">
      <c r="A8" s="5" t="s">
        <v>208</v>
      </c>
      <c r="B8" s="27"/>
    </row>
    <row r="10" customFormat="false" ht="15" hidden="false" customHeight="false" outlineLevel="0" collapsed="false">
      <c r="A10" s="8" t="s">
        <v>209</v>
      </c>
      <c r="B10" s="8" t="s">
        <v>210</v>
      </c>
      <c r="C10" s="8" t="s">
        <v>211</v>
      </c>
      <c r="D10" s="8" t="s">
        <v>212</v>
      </c>
      <c r="E10" s="8" t="s">
        <v>213</v>
      </c>
      <c r="F10" s="8" t="s">
        <v>214</v>
      </c>
      <c r="G10" s="8" t="s">
        <v>215</v>
      </c>
    </row>
    <row r="11" customFormat="false" ht="15" hidden="false" customHeight="false" outlineLevel="0" collapsed="false">
      <c r="A11" s="5" t="s">
        <v>216</v>
      </c>
      <c r="B11" s="28"/>
      <c r="C11" s="28"/>
      <c r="D11" s="28"/>
      <c r="E11" s="28"/>
      <c r="F11" s="28"/>
      <c r="G11" s="28"/>
    </row>
    <row r="12" customFormat="false" ht="15" hidden="false" customHeight="false" outlineLevel="0" collapsed="false">
      <c r="A12" s="5" t="s">
        <v>217</v>
      </c>
      <c r="B12" s="29"/>
      <c r="C12" s="29"/>
      <c r="D12" s="29"/>
      <c r="E12" s="29"/>
      <c r="F12" s="29"/>
      <c r="G12" s="29"/>
    </row>
    <row r="13" customFormat="false" ht="15" hidden="false" customHeight="false" outlineLevel="0" collapsed="false">
      <c r="A13" s="5" t="s">
        <v>218</v>
      </c>
      <c r="B13" s="29"/>
      <c r="C13" s="29"/>
      <c r="D13" s="29"/>
      <c r="E13" s="29"/>
      <c r="F13" s="29"/>
      <c r="G13" s="29"/>
    </row>
    <row r="14" customFormat="false" ht="15" hidden="false" customHeight="false" outlineLevel="0" collapsed="false">
      <c r="A14" s="5" t="s">
        <v>219</v>
      </c>
      <c r="B14" s="29"/>
      <c r="C14" s="29"/>
      <c r="D14" s="29"/>
      <c r="E14" s="29"/>
      <c r="F14" s="29"/>
      <c r="G14" s="29"/>
    </row>
    <row r="15" customFormat="false" ht="15" hidden="false" customHeight="false" outlineLevel="0" collapsed="false">
      <c r="A15" s="5" t="s">
        <v>220</v>
      </c>
      <c r="B15" s="29"/>
      <c r="C15" s="29"/>
      <c r="D15" s="29"/>
      <c r="E15" s="29"/>
      <c r="F15" s="29"/>
      <c r="G15" s="29"/>
    </row>
    <row r="16" customFormat="false" ht="15" hidden="false" customHeight="false" outlineLevel="0" collapsed="false">
      <c r="A16" s="5" t="s">
        <v>221</v>
      </c>
      <c r="B16" s="30" t="n">
        <f aca="false">B11*B12</f>
        <v>0</v>
      </c>
      <c r="C16" s="30" t="n">
        <f aca="false">C11*C12</f>
        <v>0</v>
      </c>
      <c r="D16" s="30" t="n">
        <f aca="false">D11*D12</f>
        <v>0</v>
      </c>
      <c r="E16" s="30" t="n">
        <f aca="false">E11*E12</f>
        <v>0</v>
      </c>
      <c r="F16" s="30" t="n">
        <f aca="false">F11*F12</f>
        <v>0</v>
      </c>
      <c r="G16" s="30" t="n">
        <f aca="false">G11*G12</f>
        <v>0</v>
      </c>
    </row>
    <row r="17" customFormat="false" ht="15" hidden="false" customHeight="false" outlineLevel="0" collapsed="false">
      <c r="A17" s="5" t="s">
        <v>222</v>
      </c>
      <c r="B17" s="30" t="n">
        <f aca="false">B11*(B12-B13)</f>
        <v>0</v>
      </c>
      <c r="C17" s="30" t="n">
        <f aca="false">C11*(C12-C13)</f>
        <v>0</v>
      </c>
      <c r="D17" s="30" t="n">
        <f aca="false">D11*(D12-D13)</f>
        <v>0</v>
      </c>
      <c r="E17" s="30" t="n">
        <f aca="false">E11*(E12-E13)</f>
        <v>0</v>
      </c>
      <c r="F17" s="30" t="n">
        <f aca="false">F11*(F12-F13)</f>
        <v>0</v>
      </c>
      <c r="G17" s="30" t="n">
        <f aca="false">G11*(G12-G13)</f>
        <v>0</v>
      </c>
    </row>
    <row r="18" customFormat="false" ht="15" hidden="false" customHeight="false" outlineLevel="0" collapsed="false">
      <c r="A18" s="5" t="s">
        <v>223</v>
      </c>
      <c r="B18" s="30" t="n">
        <f aca="false">B17-B14</f>
        <v>0</v>
      </c>
      <c r="C18" s="30" t="n">
        <f aca="false">C17-C14</f>
        <v>0</v>
      </c>
      <c r="D18" s="30" t="n">
        <f aca="false">D17-D14</f>
        <v>0</v>
      </c>
      <c r="E18" s="30" t="n">
        <f aca="false">E17-E14</f>
        <v>0</v>
      </c>
      <c r="F18" s="30" t="n">
        <f aca="false">F17-F14</f>
        <v>0</v>
      </c>
      <c r="G18" s="30" t="n">
        <f aca="false">G17-G14</f>
        <v>0</v>
      </c>
    </row>
    <row r="19" customFormat="false" ht="15" hidden="false" customHeight="false" outlineLevel="0" collapsed="false">
      <c r="A19" s="5" t="s">
        <v>224</v>
      </c>
      <c r="B19" s="30" t="n">
        <f aca="false">MAX(0,B18)*$B$7</f>
        <v>0</v>
      </c>
      <c r="C19" s="30" t="n">
        <f aca="false">MAX(0,C18)*$B$7</f>
        <v>0</v>
      </c>
      <c r="D19" s="30" t="n">
        <f aca="false">MAX(0,D18)*$B$7</f>
        <v>0</v>
      </c>
      <c r="E19" s="30" t="n">
        <f aca="false">MAX(0,E18)*$B$7</f>
        <v>0</v>
      </c>
      <c r="F19" s="30" t="n">
        <f aca="false">MAX(0,F18)*$B$7</f>
        <v>0</v>
      </c>
      <c r="G19" s="30" t="n">
        <f aca="false">MAX(0,G18)*$B$7</f>
        <v>0</v>
      </c>
    </row>
    <row r="20" customFormat="false" ht="15" hidden="false" customHeight="false" outlineLevel="0" collapsed="false">
      <c r="A20" s="5" t="s">
        <v>225</v>
      </c>
      <c r="B20" s="30" t="n">
        <f aca="false">B16*$B$8</f>
        <v>0</v>
      </c>
      <c r="C20" s="30" t="n">
        <f aca="false">C16*$B$8</f>
        <v>0</v>
      </c>
      <c r="D20" s="30" t="n">
        <f aca="false">D16*$B$8</f>
        <v>0</v>
      </c>
      <c r="E20" s="30" t="n">
        <f aca="false">E16*$B$8</f>
        <v>0</v>
      </c>
      <c r="F20" s="30" t="n">
        <f aca="false">F16*$B$8</f>
        <v>0</v>
      </c>
      <c r="G20" s="30" t="n">
        <f aca="false">G16*$B$8</f>
        <v>0</v>
      </c>
    </row>
    <row r="21" customFormat="false" ht="15" hidden="false" customHeight="false" outlineLevel="0" collapsed="false">
      <c r="A21" s="5" t="s">
        <v>226</v>
      </c>
      <c r="B21" s="30" t="n">
        <f aca="false">B20</f>
        <v>0</v>
      </c>
      <c r="C21" s="30" t="n">
        <f aca="false">C20-B20</f>
        <v>0</v>
      </c>
      <c r="D21" s="30" t="n">
        <f aca="false">D20-C20</f>
        <v>0</v>
      </c>
      <c r="E21" s="30" t="n">
        <f aca="false">E20-D20</f>
        <v>0</v>
      </c>
      <c r="F21" s="30" t="n">
        <f aca="false">F20-E20</f>
        <v>0</v>
      </c>
      <c r="G21" s="30" t="n">
        <f aca="false">G20-F20</f>
        <v>0</v>
      </c>
    </row>
    <row r="22" customFormat="false" ht="15" hidden="false" customHeight="false" outlineLevel="0" collapsed="false">
      <c r="A22" s="11" t="s">
        <v>227</v>
      </c>
      <c r="B22" s="31" t="n">
        <f aca="false">B18-B19-B21-B15</f>
        <v>0</v>
      </c>
      <c r="C22" s="31" t="n">
        <f aca="false">C18-C19-C21-C15</f>
        <v>0</v>
      </c>
      <c r="D22" s="31" t="n">
        <f aca="false">D18-D19-D21-D15</f>
        <v>0</v>
      </c>
      <c r="E22" s="31" t="n">
        <f aca="false">E18-E19-E21-E15</f>
        <v>0</v>
      </c>
      <c r="F22" s="31" t="n">
        <f aca="false">F18-F19-F21-F15</f>
        <v>0</v>
      </c>
      <c r="G22" s="31" t="n">
        <f aca="false">G18-G19-G21-G15+G20</f>
        <v>0</v>
      </c>
    </row>
    <row r="23" customFormat="false" ht="15" hidden="false" customHeight="false" outlineLevel="0" collapsed="false">
      <c r="A23" s="5" t="s">
        <v>228</v>
      </c>
      <c r="B23" s="30" t="n">
        <f aca="false">B22</f>
        <v>0</v>
      </c>
      <c r="C23" s="30" t="n">
        <f aca="false">B23+C22</f>
        <v>0</v>
      </c>
      <c r="D23" s="30" t="n">
        <f aca="false">C23+D22</f>
        <v>0</v>
      </c>
      <c r="E23" s="30" t="n">
        <f aca="false">D23+E22</f>
        <v>0</v>
      </c>
      <c r="F23" s="30" t="n">
        <f aca="false">E23+F22</f>
        <v>0</v>
      </c>
      <c r="G23" s="30" t="n">
        <f aca="false">F23+G22</f>
        <v>0</v>
      </c>
    </row>
    <row r="25" customFormat="false" ht="15" hidden="false" customHeight="false" outlineLevel="0" collapsed="false">
      <c r="A25" s="11" t="s">
        <v>229</v>
      </c>
      <c r="B25" s="31" t="str">
        <f aca="false">IF(COUNT(B11:G11)=0,"",B22+NPV($B$6,C22:G22))</f>
        <v/>
      </c>
    </row>
    <row r="26" customFormat="false" ht="15" hidden="false" customHeight="false" outlineLevel="0" collapsed="false">
      <c r="A26" s="11" t="s">
        <v>230</v>
      </c>
      <c r="B26" s="24" t="str">
        <f aca="false">IFERROR(IRR(B22:G22),"n/a")</f>
        <v>n/a</v>
      </c>
    </row>
    <row r="27" customFormat="false" ht="15" hidden="false" customHeight="false" outlineLevel="0" collapsed="false">
      <c r="A27" s="11" t="s">
        <v>231</v>
      </c>
      <c r="B27" s="20" t="str">
        <f aca="false">IF(ISNUMBER(B26),IF(B26&gt;=$B$6,"Yes","No"),"")</f>
        <v/>
      </c>
    </row>
    <row r="29" customFormat="false" ht="35.05" hidden="false" customHeight="false" outlineLevel="0" collapsed="false">
      <c r="A29" s="5" t="s">
        <v>232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6" t="s">
        <v>233</v>
      </c>
    </row>
    <row r="2" customFormat="false" ht="15" hidden="false" customHeight="false" outlineLevel="0" collapsed="false">
      <c r="A2" s="3" t="s">
        <v>234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235</v>
      </c>
      <c r="B5" s="8" t="s">
        <v>236</v>
      </c>
      <c r="C5" s="8" t="s">
        <v>237</v>
      </c>
      <c r="D5" s="8" t="s">
        <v>238</v>
      </c>
      <c r="E5" s="8" t="s">
        <v>239</v>
      </c>
      <c r="F5" s="8" t="s">
        <v>240</v>
      </c>
      <c r="G5" s="8" t="s">
        <v>241</v>
      </c>
    </row>
    <row r="6" customFormat="false" ht="15" hidden="false" customHeight="false" outlineLevel="0" collapsed="false">
      <c r="A6" s="5" t="s">
        <v>217</v>
      </c>
      <c r="B6" s="27"/>
      <c r="C6" s="27"/>
      <c r="D6" s="27"/>
      <c r="E6" s="23" t="n">
        <f aca="false">IF(B6="",F6,B6)</f>
        <v>0</v>
      </c>
      <c r="F6" s="23" t="n">
        <f aca="false">IF(C6="",0,C6)</f>
        <v>0</v>
      </c>
      <c r="G6" s="23" t="n">
        <f aca="false">IF(D6="",F6,D6)</f>
        <v>0</v>
      </c>
    </row>
    <row r="7" customFormat="false" ht="15" hidden="false" customHeight="false" outlineLevel="0" collapsed="false">
      <c r="A7" s="5" t="s">
        <v>216</v>
      </c>
      <c r="B7" s="27"/>
      <c r="C7" s="27"/>
      <c r="D7" s="27"/>
      <c r="E7" s="23" t="n">
        <f aca="false">IF(B7="",F7,B7)</f>
        <v>0</v>
      </c>
      <c r="F7" s="23" t="n">
        <f aca="false">IF(C7="",0,C7)</f>
        <v>0</v>
      </c>
      <c r="G7" s="23" t="n">
        <f aca="false">IF(D7="",F7,D7)</f>
        <v>0</v>
      </c>
    </row>
    <row r="8" customFormat="false" ht="15" hidden="false" customHeight="false" outlineLevel="0" collapsed="false">
      <c r="A8" s="5" t="s">
        <v>218</v>
      </c>
      <c r="B8" s="27"/>
      <c r="C8" s="27"/>
      <c r="D8" s="27"/>
      <c r="E8" s="23" t="n">
        <f aca="false">IF(B8="",F8,B8)</f>
        <v>0</v>
      </c>
      <c r="F8" s="23" t="n">
        <f aca="false">IF(C8="",0,C8)</f>
        <v>0</v>
      </c>
      <c r="G8" s="23" t="n">
        <f aca="false">IF(D8="",F8,D8)</f>
        <v>0</v>
      </c>
    </row>
    <row r="9" customFormat="false" ht="15" hidden="false" customHeight="false" outlineLevel="0" collapsed="false">
      <c r="A9" s="5" t="s">
        <v>219</v>
      </c>
      <c r="B9" s="27"/>
      <c r="C9" s="27"/>
      <c r="D9" s="27"/>
      <c r="E9" s="23" t="n">
        <f aca="false">IF(B9="",F9,B9)</f>
        <v>0</v>
      </c>
      <c r="F9" s="23" t="n">
        <f aca="false">IF(C9="",0,C9)</f>
        <v>0</v>
      </c>
      <c r="G9" s="23" t="n">
        <f aca="false">IF(D9="",F9,D9)</f>
        <v>0</v>
      </c>
    </row>
    <row r="10" customFormat="false" ht="15" hidden="false" customHeight="false" outlineLevel="0" collapsed="false">
      <c r="A10" s="5" t="s">
        <v>220</v>
      </c>
      <c r="B10" s="27"/>
      <c r="C10" s="27"/>
      <c r="D10" s="27"/>
      <c r="E10" s="23" t="n">
        <f aca="false">IF(B10="",F10,B10)</f>
        <v>0</v>
      </c>
      <c r="F10" s="23" t="n">
        <f aca="false">IF(C10="",0,C10)</f>
        <v>0</v>
      </c>
      <c r="G10" s="23" t="n">
        <f aca="false">IF(D10="",F10,D10)</f>
        <v>0</v>
      </c>
    </row>
    <row r="11" customFormat="false" ht="15" hidden="false" customHeight="false" outlineLevel="0" collapsed="false">
      <c r="A11" s="5" t="s">
        <v>242</v>
      </c>
      <c r="B11" s="27"/>
      <c r="C11" s="27"/>
      <c r="D11" s="27"/>
      <c r="E11" s="23" t="n">
        <f aca="false">IF(B11="",F11,B11)</f>
        <v>0</v>
      </c>
      <c r="F11" s="23" t="n">
        <f aca="false">IF(C11="",'Business Case'!$B$6,C11)</f>
        <v>0</v>
      </c>
      <c r="G11" s="23" t="n">
        <f aca="false">IF(D11="",F11,D11)</f>
        <v>0</v>
      </c>
    </row>
    <row r="12" customFormat="false" ht="15" hidden="false" customHeight="false" outlineLevel="0" collapsed="false">
      <c r="A12" s="5" t="s">
        <v>243</v>
      </c>
      <c r="B12" s="14" t="str">
        <f aca="false">IF(SUMPRODUCT((E6:E11&gt;F6:F11)+(F6:F11&gt;G6:G11))=0,"OK","Need low &lt;= likely &lt;= high")</f>
        <v>OK</v>
      </c>
      <c r="C12" s="14"/>
      <c r="D12" s="14"/>
    </row>
    <row r="14" customFormat="false" ht="35.05" hidden="false" customHeight="false" outlineLevel="0" collapsed="false">
      <c r="A14" s="11" t="s">
        <v>244</v>
      </c>
    </row>
    <row r="15" customFormat="false" ht="15" hidden="false" customHeight="false" outlineLevel="0" collapsed="false">
      <c r="A15" s="8" t="s">
        <v>182</v>
      </c>
      <c r="B15" s="8" t="s">
        <v>245</v>
      </c>
      <c r="C15" s="8" t="s">
        <v>246</v>
      </c>
      <c r="D15" s="8" t="s">
        <v>247</v>
      </c>
      <c r="E15" s="8" t="s">
        <v>248</v>
      </c>
      <c r="F15" s="8" t="s">
        <v>249</v>
      </c>
      <c r="G15" s="8" t="s">
        <v>250</v>
      </c>
      <c r="H15" s="8" t="s">
        <v>251</v>
      </c>
      <c r="I15" s="8" t="s">
        <v>252</v>
      </c>
      <c r="J15" s="8" t="s">
        <v>253</v>
      </c>
      <c r="K15" s="8" t="s">
        <v>254</v>
      </c>
      <c r="L15" s="8" t="s">
        <v>255</v>
      </c>
      <c r="M15" s="8" t="s">
        <v>256</v>
      </c>
      <c r="N15" s="8" t="s">
        <v>229</v>
      </c>
    </row>
    <row r="16" customFormat="false" ht="15" hidden="false" customHeight="false" outlineLevel="0" collapsed="false">
      <c r="A16" s="5" t="s">
        <v>257</v>
      </c>
      <c r="B16" s="25" t="n">
        <f aca="false">1</f>
        <v>1</v>
      </c>
      <c r="C16" s="25" t="n">
        <f aca="false">1</f>
        <v>1</v>
      </c>
      <c r="D16" s="25" t="n">
        <f aca="false">1</f>
        <v>1</v>
      </c>
      <c r="E16" s="25" t="n">
        <f aca="false">1</f>
        <v>1</v>
      </c>
      <c r="F16" s="25" t="n">
        <f aca="false">1</f>
        <v>1</v>
      </c>
      <c r="G16" s="23" t="n">
        <f aca="false">'Business Case'!$B$6</f>
        <v>0</v>
      </c>
      <c r="H16" s="30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0</v>
      </c>
      <c r="I16" s="30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0</v>
      </c>
      <c r="J16" s="30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0</v>
      </c>
      <c r="K16" s="30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0</v>
      </c>
      <c r="L16" s="30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0</v>
      </c>
      <c r="M16" s="30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0</v>
      </c>
      <c r="N16" s="31" t="str">
        <f aca="false">IF(COUNT('Business Case'!B11:G11)=0,"",H16+NPV(G16,I16:M16))</f>
        <v/>
      </c>
    </row>
    <row r="17" customFormat="false" ht="15" hidden="false" customHeight="false" outlineLevel="0" collapsed="false">
      <c r="A17" s="5" t="s">
        <v>258</v>
      </c>
      <c r="B17" s="25" t="n">
        <f aca="false">1+E6</f>
        <v>1</v>
      </c>
      <c r="C17" s="25" t="n">
        <f aca="false">1</f>
        <v>1</v>
      </c>
      <c r="D17" s="25" t="n">
        <f aca="false">1</f>
        <v>1</v>
      </c>
      <c r="E17" s="25" t="n">
        <f aca="false">1</f>
        <v>1</v>
      </c>
      <c r="F17" s="25" t="n">
        <f aca="false">1</f>
        <v>1</v>
      </c>
      <c r="G17" s="23" t="n">
        <f aca="false">'Business Case'!$B$6</f>
        <v>0</v>
      </c>
      <c r="H17" s="30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0</v>
      </c>
      <c r="I17" s="30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0</v>
      </c>
      <c r="J17" s="30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0</v>
      </c>
      <c r="K17" s="30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0</v>
      </c>
      <c r="L17" s="30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0</v>
      </c>
      <c r="M17" s="30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0</v>
      </c>
      <c r="N17" s="31" t="str">
        <f aca="false">IF(COUNT('Business Case'!B11:G11)=0,"",H17+NPV(G17,I17:M17))</f>
        <v/>
      </c>
    </row>
    <row r="18" customFormat="false" ht="15" hidden="false" customHeight="false" outlineLevel="0" collapsed="false">
      <c r="A18" s="5" t="s">
        <v>259</v>
      </c>
      <c r="B18" s="25" t="n">
        <f aca="false">1+G6</f>
        <v>1</v>
      </c>
      <c r="C18" s="25" t="n">
        <f aca="false">1</f>
        <v>1</v>
      </c>
      <c r="D18" s="25" t="n">
        <f aca="false">1</f>
        <v>1</v>
      </c>
      <c r="E18" s="25" t="n">
        <f aca="false">1</f>
        <v>1</v>
      </c>
      <c r="F18" s="25" t="n">
        <f aca="false">1</f>
        <v>1</v>
      </c>
      <c r="G18" s="23" t="n">
        <f aca="false">'Business Case'!$B$6</f>
        <v>0</v>
      </c>
      <c r="H18" s="30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0</v>
      </c>
      <c r="I18" s="30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0</v>
      </c>
      <c r="J18" s="30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0</v>
      </c>
      <c r="K18" s="30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0</v>
      </c>
      <c r="L18" s="30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0</v>
      </c>
      <c r="M18" s="30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0</v>
      </c>
      <c r="N18" s="31" t="str">
        <f aca="false">IF(COUNT('Business Case'!B11:G11)=0,"",H18+NPV(G18,I18:M18))</f>
        <v/>
      </c>
    </row>
    <row r="19" customFormat="false" ht="15" hidden="false" customHeight="false" outlineLevel="0" collapsed="false">
      <c r="A19" s="5" t="s">
        <v>260</v>
      </c>
      <c r="B19" s="25" t="n">
        <f aca="false">1</f>
        <v>1</v>
      </c>
      <c r="C19" s="25" t="n">
        <f aca="false">1+E7</f>
        <v>1</v>
      </c>
      <c r="D19" s="25" t="n">
        <f aca="false">1</f>
        <v>1</v>
      </c>
      <c r="E19" s="25" t="n">
        <f aca="false">1</f>
        <v>1</v>
      </c>
      <c r="F19" s="25" t="n">
        <f aca="false">1</f>
        <v>1</v>
      </c>
      <c r="G19" s="23" t="n">
        <f aca="false">'Business Case'!$B$6</f>
        <v>0</v>
      </c>
      <c r="H19" s="30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0</v>
      </c>
      <c r="I19" s="30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0</v>
      </c>
      <c r="J19" s="30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0</v>
      </c>
      <c r="K19" s="30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0</v>
      </c>
      <c r="L19" s="30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0</v>
      </c>
      <c r="M19" s="30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0</v>
      </c>
      <c r="N19" s="31" t="str">
        <f aca="false">IF(COUNT('Business Case'!B11:G11)=0,"",H19+NPV(G19,I19:M19))</f>
        <v/>
      </c>
    </row>
    <row r="20" customFormat="false" ht="15" hidden="false" customHeight="false" outlineLevel="0" collapsed="false">
      <c r="A20" s="5" t="s">
        <v>261</v>
      </c>
      <c r="B20" s="25" t="n">
        <f aca="false">1</f>
        <v>1</v>
      </c>
      <c r="C20" s="25" t="n">
        <f aca="false">1+G7</f>
        <v>1</v>
      </c>
      <c r="D20" s="25" t="n">
        <f aca="false">1</f>
        <v>1</v>
      </c>
      <c r="E20" s="25" t="n">
        <f aca="false">1</f>
        <v>1</v>
      </c>
      <c r="F20" s="25" t="n">
        <f aca="false">1</f>
        <v>1</v>
      </c>
      <c r="G20" s="23" t="n">
        <f aca="false">'Business Case'!$B$6</f>
        <v>0</v>
      </c>
      <c r="H20" s="30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0</v>
      </c>
      <c r="I20" s="30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0</v>
      </c>
      <c r="J20" s="30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0</v>
      </c>
      <c r="K20" s="30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0</v>
      </c>
      <c r="L20" s="30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0</v>
      </c>
      <c r="M20" s="30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0</v>
      </c>
      <c r="N20" s="31" t="str">
        <f aca="false">IF(COUNT('Business Case'!B11:G11)=0,"",H20+NPV(G20,I20:M20))</f>
        <v/>
      </c>
    </row>
    <row r="21" customFormat="false" ht="15" hidden="false" customHeight="false" outlineLevel="0" collapsed="false">
      <c r="A21" s="5" t="s">
        <v>262</v>
      </c>
      <c r="B21" s="25" t="n">
        <f aca="false">1</f>
        <v>1</v>
      </c>
      <c r="C21" s="25" t="n">
        <f aca="false">1</f>
        <v>1</v>
      </c>
      <c r="D21" s="25" t="n">
        <f aca="false">1+E8</f>
        <v>1</v>
      </c>
      <c r="E21" s="25" t="n">
        <f aca="false">1</f>
        <v>1</v>
      </c>
      <c r="F21" s="25" t="n">
        <f aca="false">1</f>
        <v>1</v>
      </c>
      <c r="G21" s="23" t="n">
        <f aca="false">'Business Case'!$B$6</f>
        <v>0</v>
      </c>
      <c r="H21" s="30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0</v>
      </c>
      <c r="I21" s="30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0</v>
      </c>
      <c r="J21" s="30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0</v>
      </c>
      <c r="K21" s="30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0</v>
      </c>
      <c r="L21" s="30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0</v>
      </c>
      <c r="M21" s="30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0</v>
      </c>
      <c r="N21" s="31" t="str">
        <f aca="false">IF(COUNT('Business Case'!B11:G11)=0,"",H21+NPV(G21,I21:M21))</f>
        <v/>
      </c>
    </row>
    <row r="22" customFormat="false" ht="15" hidden="false" customHeight="false" outlineLevel="0" collapsed="false">
      <c r="A22" s="5" t="s">
        <v>263</v>
      </c>
      <c r="B22" s="25" t="n">
        <f aca="false">1</f>
        <v>1</v>
      </c>
      <c r="C22" s="25" t="n">
        <f aca="false">1</f>
        <v>1</v>
      </c>
      <c r="D22" s="25" t="n">
        <f aca="false">1+G8</f>
        <v>1</v>
      </c>
      <c r="E22" s="25" t="n">
        <f aca="false">1</f>
        <v>1</v>
      </c>
      <c r="F22" s="25" t="n">
        <f aca="false">1</f>
        <v>1</v>
      </c>
      <c r="G22" s="23" t="n">
        <f aca="false">'Business Case'!$B$6</f>
        <v>0</v>
      </c>
      <c r="H22" s="30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0</v>
      </c>
      <c r="I22" s="30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0</v>
      </c>
      <c r="J22" s="30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0</v>
      </c>
      <c r="K22" s="30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0</v>
      </c>
      <c r="L22" s="30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0</v>
      </c>
      <c r="M22" s="30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0</v>
      </c>
      <c r="N22" s="31" t="str">
        <f aca="false">IF(COUNT('Business Case'!B11:G11)=0,"",H22+NPV(G22,I22:M22))</f>
        <v/>
      </c>
    </row>
    <row r="23" customFormat="false" ht="15" hidden="false" customHeight="false" outlineLevel="0" collapsed="false">
      <c r="A23" s="5" t="s">
        <v>264</v>
      </c>
      <c r="B23" s="25" t="n">
        <f aca="false">1</f>
        <v>1</v>
      </c>
      <c r="C23" s="25" t="n">
        <f aca="false">1</f>
        <v>1</v>
      </c>
      <c r="D23" s="25" t="n">
        <f aca="false">1</f>
        <v>1</v>
      </c>
      <c r="E23" s="25" t="n">
        <f aca="false">1+E9</f>
        <v>1</v>
      </c>
      <c r="F23" s="25" t="n">
        <f aca="false">1</f>
        <v>1</v>
      </c>
      <c r="G23" s="23" t="n">
        <f aca="false">'Business Case'!$B$6</f>
        <v>0</v>
      </c>
      <c r="H23" s="30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0</v>
      </c>
      <c r="I23" s="30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0</v>
      </c>
      <c r="J23" s="30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0</v>
      </c>
      <c r="K23" s="30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0</v>
      </c>
      <c r="L23" s="30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0</v>
      </c>
      <c r="M23" s="30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0</v>
      </c>
      <c r="N23" s="31" t="str">
        <f aca="false">IF(COUNT('Business Case'!B11:G11)=0,"",H23+NPV(G23,I23:M23))</f>
        <v/>
      </c>
    </row>
    <row r="24" customFormat="false" ht="15" hidden="false" customHeight="false" outlineLevel="0" collapsed="false">
      <c r="A24" s="5" t="s">
        <v>265</v>
      </c>
      <c r="B24" s="25" t="n">
        <f aca="false">1</f>
        <v>1</v>
      </c>
      <c r="C24" s="25" t="n">
        <f aca="false">1</f>
        <v>1</v>
      </c>
      <c r="D24" s="25" t="n">
        <f aca="false">1</f>
        <v>1</v>
      </c>
      <c r="E24" s="25" t="n">
        <f aca="false">1+G9</f>
        <v>1</v>
      </c>
      <c r="F24" s="25" t="n">
        <f aca="false">1</f>
        <v>1</v>
      </c>
      <c r="G24" s="23" t="n">
        <f aca="false">'Business Case'!$B$6</f>
        <v>0</v>
      </c>
      <c r="H24" s="30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0</v>
      </c>
      <c r="I24" s="30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0</v>
      </c>
      <c r="J24" s="30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0</v>
      </c>
      <c r="K24" s="30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0</v>
      </c>
      <c r="L24" s="30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0</v>
      </c>
      <c r="M24" s="30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0</v>
      </c>
      <c r="N24" s="31" t="str">
        <f aca="false">IF(COUNT('Business Case'!B11:G11)=0,"",H24+NPV(G24,I24:M24))</f>
        <v/>
      </c>
    </row>
    <row r="25" customFormat="false" ht="15" hidden="false" customHeight="false" outlineLevel="0" collapsed="false">
      <c r="A25" s="5" t="s">
        <v>266</v>
      </c>
      <c r="B25" s="25" t="n">
        <f aca="false">1</f>
        <v>1</v>
      </c>
      <c r="C25" s="25" t="n">
        <f aca="false">1</f>
        <v>1</v>
      </c>
      <c r="D25" s="25" t="n">
        <f aca="false">1</f>
        <v>1</v>
      </c>
      <c r="E25" s="25" t="n">
        <f aca="false">1</f>
        <v>1</v>
      </c>
      <c r="F25" s="25" t="n">
        <f aca="false">1+E10</f>
        <v>1</v>
      </c>
      <c r="G25" s="23" t="n">
        <f aca="false">'Business Case'!$B$6</f>
        <v>0</v>
      </c>
      <c r="H25" s="30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0</v>
      </c>
      <c r="I25" s="30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0</v>
      </c>
      <c r="J25" s="30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0</v>
      </c>
      <c r="K25" s="30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0</v>
      </c>
      <c r="L25" s="30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0</v>
      </c>
      <c r="M25" s="30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0</v>
      </c>
      <c r="N25" s="31" t="str">
        <f aca="false">IF(COUNT('Business Case'!B11:G11)=0,"",H25+NPV(G25,I25:M25))</f>
        <v/>
      </c>
    </row>
    <row r="26" customFormat="false" ht="15" hidden="false" customHeight="false" outlineLevel="0" collapsed="false">
      <c r="A26" s="5" t="s">
        <v>267</v>
      </c>
      <c r="B26" s="25" t="n">
        <f aca="false">1</f>
        <v>1</v>
      </c>
      <c r="C26" s="25" t="n">
        <f aca="false">1</f>
        <v>1</v>
      </c>
      <c r="D26" s="25" t="n">
        <f aca="false">1</f>
        <v>1</v>
      </c>
      <c r="E26" s="25" t="n">
        <f aca="false">1</f>
        <v>1</v>
      </c>
      <c r="F26" s="25" t="n">
        <f aca="false">1+G10</f>
        <v>1</v>
      </c>
      <c r="G26" s="23" t="n">
        <f aca="false">'Business Case'!$B$6</f>
        <v>0</v>
      </c>
      <c r="H26" s="30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0</v>
      </c>
      <c r="I26" s="30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0</v>
      </c>
      <c r="J26" s="30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0</v>
      </c>
      <c r="K26" s="30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0</v>
      </c>
      <c r="L26" s="30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0</v>
      </c>
      <c r="M26" s="30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0</v>
      </c>
      <c r="N26" s="31" t="str">
        <f aca="false">IF(COUNT('Business Case'!B11:G11)=0,"",H26+NPV(G26,I26:M26))</f>
        <v/>
      </c>
    </row>
    <row r="27" customFormat="false" ht="15" hidden="false" customHeight="false" outlineLevel="0" collapsed="false">
      <c r="A27" s="5" t="s">
        <v>268</v>
      </c>
      <c r="B27" s="25" t="n">
        <f aca="false">1</f>
        <v>1</v>
      </c>
      <c r="C27" s="25" t="n">
        <f aca="false">1</f>
        <v>1</v>
      </c>
      <c r="D27" s="25" t="n">
        <f aca="false">1</f>
        <v>1</v>
      </c>
      <c r="E27" s="25" t="n">
        <f aca="false">1</f>
        <v>1</v>
      </c>
      <c r="F27" s="25" t="n">
        <f aca="false">1</f>
        <v>1</v>
      </c>
      <c r="G27" s="23" t="n">
        <f aca="false">E11</f>
        <v>0</v>
      </c>
      <c r="H27" s="30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0</v>
      </c>
      <c r="I27" s="30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0</v>
      </c>
      <c r="J27" s="30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0</v>
      </c>
      <c r="K27" s="30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0</v>
      </c>
      <c r="L27" s="30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0</v>
      </c>
      <c r="M27" s="30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0</v>
      </c>
      <c r="N27" s="31" t="str">
        <f aca="false">IF(COUNT('Business Case'!B11:G11)=0,"",H27+NPV(G27,I27:M27))</f>
        <v/>
      </c>
    </row>
    <row r="28" customFormat="false" ht="15" hidden="false" customHeight="false" outlineLevel="0" collapsed="false">
      <c r="A28" s="5" t="s">
        <v>269</v>
      </c>
      <c r="B28" s="25" t="n">
        <f aca="false">1</f>
        <v>1</v>
      </c>
      <c r="C28" s="25" t="n">
        <f aca="false">1</f>
        <v>1</v>
      </c>
      <c r="D28" s="25" t="n">
        <f aca="false">1</f>
        <v>1</v>
      </c>
      <c r="E28" s="25" t="n">
        <f aca="false">1</f>
        <v>1</v>
      </c>
      <c r="F28" s="25" t="n">
        <f aca="false">1</f>
        <v>1</v>
      </c>
      <c r="G28" s="23" t="n">
        <f aca="false">G11</f>
        <v>0</v>
      </c>
      <c r="H28" s="30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0</v>
      </c>
      <c r="I28" s="30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0</v>
      </c>
      <c r="J28" s="30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0</v>
      </c>
      <c r="K28" s="30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0</v>
      </c>
      <c r="L28" s="30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0</v>
      </c>
      <c r="M28" s="30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0</v>
      </c>
      <c r="N28" s="31" t="str">
        <f aca="false">IF(COUNT('Business Case'!B11:G11)=0,"",H28+NPV(G28,I28:M28))</f>
        <v/>
      </c>
    </row>
    <row r="30" customFormat="false" ht="23.85" hidden="false" customHeight="false" outlineLevel="0" collapsed="false">
      <c r="A30" s="11" t="s">
        <v>270</v>
      </c>
    </row>
    <row r="31" customFormat="false" ht="30" hidden="false" customHeight="true" outlineLevel="0" collapsed="false">
      <c r="A31" s="8" t="s">
        <v>235</v>
      </c>
      <c r="B31" s="8" t="s">
        <v>271</v>
      </c>
      <c r="C31" s="8" t="s">
        <v>272</v>
      </c>
      <c r="D31" s="8" t="s">
        <v>273</v>
      </c>
      <c r="E31" s="8" t="s">
        <v>274</v>
      </c>
      <c r="F31" s="8" t="s">
        <v>275</v>
      </c>
      <c r="G31" s="8" t="s">
        <v>276</v>
      </c>
      <c r="H31" s="8" t="s">
        <v>277</v>
      </c>
    </row>
    <row r="32" customFormat="false" ht="15" hidden="false" customHeight="false" outlineLevel="0" collapsed="false">
      <c r="A32" s="14" t="str">
        <f aca="false">INDEX($A$40:$A$45,MATCH(LARGE($D$40:$D$45,1),$D$40:$D$45,0))</f>
        <v>Price per unit</v>
      </c>
      <c r="B32" s="30" t="str">
        <f aca="false">INDEX($B$40:$B$45,MATCH(LARGE($D$40:$D$45,1),$D$40:$D$45,0))</f>
        <v/>
      </c>
      <c r="C32" s="30" t="str">
        <f aca="false">INDEX($C$40:$C$45,MATCH(LARGE($D$40:$D$45,1),$D$40:$D$45,0))</f>
        <v/>
      </c>
      <c r="D32" s="32" t="str">
        <f aca="false">IFERROR(ABS(C32-B32),"")</f>
        <v/>
      </c>
      <c r="E32" s="30" t="str">
        <f aca="false">IFERROR(B32-$N$16,"")</f>
        <v/>
      </c>
      <c r="F32" s="30" t="str">
        <f aca="false">IFERROR(C32-$N$16,"")</f>
        <v/>
      </c>
      <c r="G32" s="14" t="str">
        <f aca="false">IF(B32="","",IF(MIN(B32,C32)&lt;0,IF(MAX(B32,C32)&gt;0,"Yes","Below zero"),"No"))</f>
        <v/>
      </c>
      <c r="H32" s="14" t="n">
        <f aca="false">1</f>
        <v>1</v>
      </c>
    </row>
    <row r="33" customFormat="false" ht="15" hidden="false" customHeight="false" outlineLevel="0" collapsed="false">
      <c r="A33" s="14" t="str">
        <f aca="false">INDEX($A$40:$A$45,MATCH(LARGE($D$40:$D$45,2),$D$40:$D$45,0))</f>
        <v>Price per unit</v>
      </c>
      <c r="B33" s="30" t="str">
        <f aca="false">INDEX($B$40:$B$45,MATCH(LARGE($D$40:$D$45,2),$D$40:$D$45,0))</f>
        <v/>
      </c>
      <c r="C33" s="30" t="str">
        <f aca="false">INDEX($C$40:$C$45,MATCH(LARGE($D$40:$D$45,2),$D$40:$D$45,0))</f>
        <v/>
      </c>
      <c r="D33" s="32" t="str">
        <f aca="false">IFERROR(ABS(C33-B33),"")</f>
        <v/>
      </c>
      <c r="E33" s="30" t="str">
        <f aca="false">IFERROR(B33-$N$16,"")</f>
        <v/>
      </c>
      <c r="F33" s="30" t="str">
        <f aca="false">IFERROR(C33-$N$16,"")</f>
        <v/>
      </c>
      <c r="G33" s="14" t="str">
        <f aca="false">IF(B33="","",IF(MIN(B33,C33)&lt;0,IF(MAX(B33,C33)&gt;0,"Yes","Below zero"),"No"))</f>
        <v/>
      </c>
      <c r="H33" s="14" t="n">
        <f aca="false">2</f>
        <v>2</v>
      </c>
    </row>
    <row r="34" customFormat="false" ht="15" hidden="false" customHeight="false" outlineLevel="0" collapsed="false">
      <c r="A34" s="14" t="str">
        <f aca="false">INDEX($A$40:$A$45,MATCH(LARGE($D$40:$D$45,3),$D$40:$D$45,0))</f>
        <v>Price per unit</v>
      </c>
      <c r="B34" s="30" t="str">
        <f aca="false">INDEX($B$40:$B$45,MATCH(LARGE($D$40:$D$45,3),$D$40:$D$45,0))</f>
        <v/>
      </c>
      <c r="C34" s="30" t="str">
        <f aca="false">INDEX($C$40:$C$45,MATCH(LARGE($D$40:$D$45,3),$D$40:$D$45,0))</f>
        <v/>
      </c>
      <c r="D34" s="32" t="str">
        <f aca="false">IFERROR(ABS(C34-B34),"")</f>
        <v/>
      </c>
      <c r="E34" s="30" t="str">
        <f aca="false">IFERROR(B34-$N$16,"")</f>
        <v/>
      </c>
      <c r="F34" s="30" t="str">
        <f aca="false">IFERROR(C34-$N$16,"")</f>
        <v/>
      </c>
      <c r="G34" s="14" t="str">
        <f aca="false">IF(B34="","",IF(MIN(B34,C34)&lt;0,IF(MAX(B34,C34)&gt;0,"Yes","Below zero"),"No"))</f>
        <v/>
      </c>
      <c r="H34" s="14" t="n">
        <f aca="false">3</f>
        <v>3</v>
      </c>
    </row>
    <row r="35" customFormat="false" ht="15" hidden="false" customHeight="false" outlineLevel="0" collapsed="false">
      <c r="A35" s="14" t="str">
        <f aca="false">INDEX($A$40:$A$45,MATCH(LARGE($D$40:$D$45,4),$D$40:$D$45,0))</f>
        <v>Price per unit</v>
      </c>
      <c r="B35" s="30" t="str">
        <f aca="false">INDEX($B$40:$B$45,MATCH(LARGE($D$40:$D$45,4),$D$40:$D$45,0))</f>
        <v/>
      </c>
      <c r="C35" s="30" t="str">
        <f aca="false">INDEX($C$40:$C$45,MATCH(LARGE($D$40:$D$45,4),$D$40:$D$45,0))</f>
        <v/>
      </c>
      <c r="D35" s="32" t="str">
        <f aca="false">IFERROR(ABS(C35-B35),"")</f>
        <v/>
      </c>
      <c r="E35" s="30" t="str">
        <f aca="false">IFERROR(B35-$N$16,"")</f>
        <v/>
      </c>
      <c r="F35" s="30" t="str">
        <f aca="false">IFERROR(C35-$N$16,"")</f>
        <v/>
      </c>
      <c r="G35" s="14" t="str">
        <f aca="false">IF(B35="","",IF(MIN(B35,C35)&lt;0,IF(MAX(B35,C35)&gt;0,"Yes","Below zero"),"No"))</f>
        <v/>
      </c>
      <c r="H35" s="14" t="n">
        <f aca="false">4</f>
        <v>4</v>
      </c>
    </row>
    <row r="36" customFormat="false" ht="15" hidden="false" customHeight="false" outlineLevel="0" collapsed="false">
      <c r="A36" s="14" t="str">
        <f aca="false">INDEX($A$40:$A$45,MATCH(LARGE($D$40:$D$45,5),$D$40:$D$45,0))</f>
        <v>Price per unit</v>
      </c>
      <c r="B36" s="30" t="str">
        <f aca="false">INDEX($B$40:$B$45,MATCH(LARGE($D$40:$D$45,5),$D$40:$D$45,0))</f>
        <v/>
      </c>
      <c r="C36" s="30" t="str">
        <f aca="false">INDEX($C$40:$C$45,MATCH(LARGE($D$40:$D$45,5),$D$40:$D$45,0))</f>
        <v/>
      </c>
      <c r="D36" s="32" t="str">
        <f aca="false">IFERROR(ABS(C36-B36),"")</f>
        <v/>
      </c>
      <c r="E36" s="30" t="str">
        <f aca="false">IFERROR(B36-$N$16,"")</f>
        <v/>
      </c>
      <c r="F36" s="30" t="str">
        <f aca="false">IFERROR(C36-$N$16,"")</f>
        <v/>
      </c>
      <c r="G36" s="14" t="str">
        <f aca="false">IF(B36="","",IF(MIN(B36,C36)&lt;0,IF(MAX(B36,C36)&gt;0,"Yes","Below zero"),"No"))</f>
        <v/>
      </c>
      <c r="H36" s="14" t="n">
        <f aca="false">5</f>
        <v>5</v>
      </c>
    </row>
    <row r="37" customFormat="false" ht="15" hidden="false" customHeight="false" outlineLevel="0" collapsed="false">
      <c r="A37" s="14" t="str">
        <f aca="false">INDEX($A$40:$A$45,MATCH(LARGE($D$40:$D$45,6),$D$40:$D$45,0))</f>
        <v>Price per unit</v>
      </c>
      <c r="B37" s="30" t="str">
        <f aca="false">INDEX($B$40:$B$45,MATCH(LARGE($D$40:$D$45,6),$D$40:$D$45,0))</f>
        <v/>
      </c>
      <c r="C37" s="30" t="str">
        <f aca="false">INDEX($C$40:$C$45,MATCH(LARGE($D$40:$D$45,6),$D$40:$D$45,0))</f>
        <v/>
      </c>
      <c r="D37" s="32" t="str">
        <f aca="false">IFERROR(ABS(C37-B37),"")</f>
        <v/>
      </c>
      <c r="E37" s="30" t="str">
        <f aca="false">IFERROR(B37-$N$16,"")</f>
        <v/>
      </c>
      <c r="F37" s="30" t="str">
        <f aca="false">IFERROR(C37-$N$16,"")</f>
        <v/>
      </c>
      <c r="G37" s="14" t="str">
        <f aca="false">IF(B37="","",IF(MIN(B37,C37)&lt;0,IF(MAX(B37,C37)&gt;0,"Yes","Below zero"),"No"))</f>
        <v/>
      </c>
      <c r="H37" s="14" t="n">
        <f aca="false">6</f>
        <v>6</v>
      </c>
    </row>
    <row r="39" customFormat="false" ht="15" hidden="false" customHeight="false" outlineLevel="0" collapsed="false">
      <c r="A39" s="5" t="s">
        <v>278</v>
      </c>
    </row>
    <row r="40" customFormat="false" ht="15" hidden="false" customHeight="false" outlineLevel="0" collapsed="false">
      <c r="A40" s="5" t="s">
        <v>217</v>
      </c>
      <c r="B40" s="30" t="str">
        <f aca="false">N17</f>
        <v/>
      </c>
      <c r="C40" s="30" t="str">
        <f aca="false">N18</f>
        <v/>
      </c>
      <c r="D40" s="33" t="n">
        <f aca="false">IFERROR(ABS(C40-B40)+ROW()/1000000000,0)</f>
        <v>0</v>
      </c>
    </row>
    <row r="41" customFormat="false" ht="15" hidden="false" customHeight="false" outlineLevel="0" collapsed="false">
      <c r="A41" s="5" t="s">
        <v>216</v>
      </c>
      <c r="B41" s="30" t="str">
        <f aca="false">N19</f>
        <v/>
      </c>
      <c r="C41" s="30" t="str">
        <f aca="false">N20</f>
        <v/>
      </c>
      <c r="D41" s="33" t="n">
        <f aca="false">IFERROR(ABS(C41-B41)+ROW()/1000000000,0)</f>
        <v>0</v>
      </c>
    </row>
    <row r="42" customFormat="false" ht="15" hidden="false" customHeight="false" outlineLevel="0" collapsed="false">
      <c r="A42" s="5" t="s">
        <v>218</v>
      </c>
      <c r="B42" s="30" t="str">
        <f aca="false">N21</f>
        <v/>
      </c>
      <c r="C42" s="30" t="str">
        <f aca="false">N22</f>
        <v/>
      </c>
      <c r="D42" s="33" t="n">
        <f aca="false">IFERROR(ABS(C42-B42)+ROW()/1000000000,0)</f>
        <v>0</v>
      </c>
    </row>
    <row r="43" customFormat="false" ht="15" hidden="false" customHeight="false" outlineLevel="0" collapsed="false">
      <c r="A43" s="5" t="s">
        <v>219</v>
      </c>
      <c r="B43" s="30" t="str">
        <f aca="false">N23</f>
        <v/>
      </c>
      <c r="C43" s="30" t="str">
        <f aca="false">N24</f>
        <v/>
      </c>
      <c r="D43" s="33" t="n">
        <f aca="false">IFERROR(ABS(C43-B43)+ROW()/1000000000,0)</f>
        <v>0</v>
      </c>
    </row>
    <row r="44" customFormat="false" ht="15" hidden="false" customHeight="false" outlineLevel="0" collapsed="false">
      <c r="A44" s="5" t="s">
        <v>220</v>
      </c>
      <c r="B44" s="30" t="str">
        <f aca="false">N25</f>
        <v/>
      </c>
      <c r="C44" s="30" t="str">
        <f aca="false">N26</f>
        <v/>
      </c>
      <c r="D44" s="33" t="n">
        <f aca="false">IFERROR(ABS(C44-B44)+ROW()/1000000000,0)</f>
        <v>0</v>
      </c>
    </row>
    <row r="45" customFormat="false" ht="15" hidden="false" customHeight="false" outlineLevel="0" collapsed="false">
      <c r="A45" s="5" t="s">
        <v>242</v>
      </c>
      <c r="B45" s="30" t="str">
        <f aca="false">N27</f>
        <v/>
      </c>
      <c r="C45" s="30" t="str">
        <f aca="false">N28</f>
        <v/>
      </c>
      <c r="D45" s="33" t="n">
        <f aca="false">IFERROR(ABS(C45-B45)+ROW()/1000000000,0)</f>
        <v>0</v>
      </c>
    </row>
    <row r="48" customFormat="false" ht="15" hidden="false" customHeight="true" outlineLevel="0" collapsed="false">
      <c r="A48" s="34" t="s">
        <v>279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customFormat="false" ht="15" hidden="false" customHeight="false" outlineLevel="0" collapsed="false">
      <c r="A49" s="5" t="s">
        <v>280</v>
      </c>
      <c r="B49" s="30" t="str">
        <f aca="false">IFERROR(AVERAGE($N$81:$N$1080),"")</f>
        <v/>
      </c>
    </row>
    <row r="50" customFormat="false" ht="15" hidden="false" customHeight="false" outlineLevel="0" collapsed="false">
      <c r="A50" s="11" t="s">
        <v>281</v>
      </c>
      <c r="B50" s="31" t="str">
        <f aca="false">IFERROR(MEDIAN($N$81:$N$1080),"")</f>
        <v/>
      </c>
    </row>
    <row r="51" customFormat="false" ht="15" hidden="false" customHeight="false" outlineLevel="0" collapsed="false">
      <c r="A51" s="5" t="s">
        <v>282</v>
      </c>
      <c r="B51" s="30" t="str">
        <f aca="false">IFERROR(PERCENTILE($N$81:$N$1080,0.1),"")</f>
        <v/>
      </c>
    </row>
    <row r="52" customFormat="false" ht="15" hidden="false" customHeight="false" outlineLevel="0" collapsed="false">
      <c r="A52" s="5" t="s">
        <v>283</v>
      </c>
      <c r="B52" s="30" t="str">
        <f aca="false">IFERROR(PERCENTILE($N$81:$N$1080,0.9),"")</f>
        <v/>
      </c>
    </row>
    <row r="53" customFormat="false" ht="15" hidden="false" customHeight="false" outlineLevel="0" collapsed="false">
      <c r="A53" s="5" t="s">
        <v>284</v>
      </c>
      <c r="B53" s="30" t="str">
        <f aca="false">IFERROR(STDEV($N$81:$N$1080),"")</f>
        <v/>
      </c>
    </row>
    <row r="54" customFormat="false" ht="15" hidden="false" customHeight="false" outlineLevel="0" collapsed="false">
      <c r="A54" s="11" t="s">
        <v>285</v>
      </c>
      <c r="B54" s="24" t="str">
        <f aca="false">IFERROR(COUNTIF($N$81:$N$1080,"&lt;0")/COUNT($N$81:$N$1080),"")</f>
        <v/>
      </c>
    </row>
    <row r="55" customFormat="false" ht="15" hidden="false" customHeight="false" outlineLevel="0" collapsed="false">
      <c r="A55" s="5" t="s">
        <v>286</v>
      </c>
      <c r="B55" s="30" t="str">
        <f aca="false">IFERROR(N16,"")</f>
        <v/>
      </c>
    </row>
    <row r="56" customFormat="false" ht="30" hidden="false" customHeight="true" outlineLevel="0" collapsed="false">
      <c r="A56" s="21" t="s">
        <v>287</v>
      </c>
      <c r="B56" s="21"/>
      <c r="C56" s="21"/>
      <c r="D56" s="21"/>
      <c r="E56" s="21"/>
      <c r="F56" s="21"/>
      <c r="G56" s="21"/>
      <c r="H56" s="21"/>
    </row>
    <row r="58" customFormat="false" ht="30" hidden="false" customHeight="true" outlineLevel="0" collapsed="false">
      <c r="A58" s="8" t="s">
        <v>288</v>
      </c>
      <c r="B58" s="8" t="s">
        <v>289</v>
      </c>
      <c r="C58" s="8" t="s">
        <v>290</v>
      </c>
    </row>
    <row r="59" customFormat="false" ht="15" hidden="false" customHeight="false" outlineLevel="0" collapsed="false">
      <c r="A59" s="35" t="n">
        <f aca="false">MIN($N$81:$N$1080)+(MAX($N$81:$N$1080)-MIN($N$81:$N$1080))*0/20</f>
        <v>0</v>
      </c>
      <c r="B59" s="35" t="n">
        <f aca="false">MIN($N$81:$N$1080)+(MAX($N$81:$N$1080)-MIN($N$81:$N$1080))*1/20</f>
        <v>0</v>
      </c>
      <c r="C59" s="10" t="n">
        <f aca="false">COUNTIFS($N$81:$N$1080,"&gt;="&amp;A59,$N$81:$N$1080,"&lt;"&amp;B59)</f>
        <v>0</v>
      </c>
    </row>
    <row r="60" customFormat="false" ht="15" hidden="false" customHeight="false" outlineLevel="0" collapsed="false">
      <c r="A60" s="35" t="n">
        <f aca="false">MIN($N$81:$N$1080)+(MAX($N$81:$N$1080)-MIN($N$81:$N$1080))*1/20</f>
        <v>0</v>
      </c>
      <c r="B60" s="35" t="n">
        <f aca="false">MIN($N$81:$N$1080)+(MAX($N$81:$N$1080)-MIN($N$81:$N$1080))*2/20</f>
        <v>0</v>
      </c>
      <c r="C60" s="10" t="n">
        <f aca="false">COUNTIFS($N$81:$N$1080,"&gt;="&amp;A60,$N$81:$N$1080,"&lt;"&amp;B60)</f>
        <v>0</v>
      </c>
    </row>
    <row r="61" customFormat="false" ht="15" hidden="false" customHeight="false" outlineLevel="0" collapsed="false">
      <c r="A61" s="35" t="n">
        <f aca="false">MIN($N$81:$N$1080)+(MAX($N$81:$N$1080)-MIN($N$81:$N$1080))*2/20</f>
        <v>0</v>
      </c>
      <c r="B61" s="35" t="n">
        <f aca="false">MIN($N$81:$N$1080)+(MAX($N$81:$N$1080)-MIN($N$81:$N$1080))*3/20</f>
        <v>0</v>
      </c>
      <c r="C61" s="10" t="n">
        <f aca="false">COUNTIFS($N$81:$N$1080,"&gt;="&amp;A61,$N$81:$N$1080,"&lt;"&amp;B61)</f>
        <v>0</v>
      </c>
    </row>
    <row r="62" customFormat="false" ht="15" hidden="false" customHeight="false" outlineLevel="0" collapsed="false">
      <c r="A62" s="35" t="n">
        <f aca="false">MIN($N$81:$N$1080)+(MAX($N$81:$N$1080)-MIN($N$81:$N$1080))*3/20</f>
        <v>0</v>
      </c>
      <c r="B62" s="35" t="n">
        <f aca="false">MIN($N$81:$N$1080)+(MAX($N$81:$N$1080)-MIN($N$81:$N$1080))*4/20</f>
        <v>0</v>
      </c>
      <c r="C62" s="10" t="n">
        <f aca="false">COUNTIFS($N$81:$N$1080,"&gt;="&amp;A62,$N$81:$N$1080,"&lt;"&amp;B62)</f>
        <v>0</v>
      </c>
    </row>
    <row r="63" customFormat="false" ht="15" hidden="false" customHeight="false" outlineLevel="0" collapsed="false">
      <c r="A63" s="35" t="n">
        <f aca="false">MIN($N$81:$N$1080)+(MAX($N$81:$N$1080)-MIN($N$81:$N$1080))*4/20</f>
        <v>0</v>
      </c>
      <c r="B63" s="35" t="n">
        <f aca="false">MIN($N$81:$N$1080)+(MAX($N$81:$N$1080)-MIN($N$81:$N$1080))*5/20</f>
        <v>0</v>
      </c>
      <c r="C63" s="10" t="n">
        <f aca="false">COUNTIFS($N$81:$N$1080,"&gt;="&amp;A63,$N$81:$N$1080,"&lt;"&amp;B63)</f>
        <v>0</v>
      </c>
    </row>
    <row r="64" customFormat="false" ht="15" hidden="false" customHeight="false" outlineLevel="0" collapsed="false">
      <c r="A64" s="35" t="n">
        <f aca="false">MIN($N$81:$N$1080)+(MAX($N$81:$N$1080)-MIN($N$81:$N$1080))*5/20</f>
        <v>0</v>
      </c>
      <c r="B64" s="35" t="n">
        <f aca="false">MIN($N$81:$N$1080)+(MAX($N$81:$N$1080)-MIN($N$81:$N$1080))*6/20</f>
        <v>0</v>
      </c>
      <c r="C64" s="10" t="n">
        <f aca="false">COUNTIFS($N$81:$N$1080,"&gt;="&amp;A64,$N$81:$N$1080,"&lt;"&amp;B64)</f>
        <v>0</v>
      </c>
    </row>
    <row r="65" customFormat="false" ht="15" hidden="false" customHeight="false" outlineLevel="0" collapsed="false">
      <c r="A65" s="35" t="n">
        <f aca="false">MIN($N$81:$N$1080)+(MAX($N$81:$N$1080)-MIN($N$81:$N$1080))*6/20</f>
        <v>0</v>
      </c>
      <c r="B65" s="35" t="n">
        <f aca="false">MIN($N$81:$N$1080)+(MAX($N$81:$N$1080)-MIN($N$81:$N$1080))*7/20</f>
        <v>0</v>
      </c>
      <c r="C65" s="10" t="n">
        <f aca="false">COUNTIFS($N$81:$N$1080,"&gt;="&amp;A65,$N$81:$N$1080,"&lt;"&amp;B65)</f>
        <v>0</v>
      </c>
    </row>
    <row r="66" customFormat="false" ht="15" hidden="false" customHeight="false" outlineLevel="0" collapsed="false">
      <c r="A66" s="35" t="n">
        <f aca="false">MIN($N$81:$N$1080)+(MAX($N$81:$N$1080)-MIN($N$81:$N$1080))*7/20</f>
        <v>0</v>
      </c>
      <c r="B66" s="35" t="n">
        <f aca="false">MIN($N$81:$N$1080)+(MAX($N$81:$N$1080)-MIN($N$81:$N$1080))*8/20</f>
        <v>0</v>
      </c>
      <c r="C66" s="10" t="n">
        <f aca="false">COUNTIFS($N$81:$N$1080,"&gt;="&amp;A66,$N$81:$N$1080,"&lt;"&amp;B66)</f>
        <v>0</v>
      </c>
    </row>
    <row r="67" customFormat="false" ht="15" hidden="false" customHeight="false" outlineLevel="0" collapsed="false">
      <c r="A67" s="35" t="n">
        <f aca="false">MIN($N$81:$N$1080)+(MAX($N$81:$N$1080)-MIN($N$81:$N$1080))*8/20</f>
        <v>0</v>
      </c>
      <c r="B67" s="35" t="n">
        <f aca="false">MIN($N$81:$N$1080)+(MAX($N$81:$N$1080)-MIN($N$81:$N$1080))*9/20</f>
        <v>0</v>
      </c>
      <c r="C67" s="10" t="n">
        <f aca="false">COUNTIFS($N$81:$N$1080,"&gt;="&amp;A67,$N$81:$N$1080,"&lt;"&amp;B67)</f>
        <v>0</v>
      </c>
    </row>
    <row r="68" customFormat="false" ht="15" hidden="false" customHeight="false" outlineLevel="0" collapsed="false">
      <c r="A68" s="35" t="n">
        <f aca="false">MIN($N$81:$N$1080)+(MAX($N$81:$N$1080)-MIN($N$81:$N$1080))*9/20</f>
        <v>0</v>
      </c>
      <c r="B68" s="35" t="n">
        <f aca="false">MIN($N$81:$N$1080)+(MAX($N$81:$N$1080)-MIN($N$81:$N$1080))*10/20</f>
        <v>0</v>
      </c>
      <c r="C68" s="10" t="n">
        <f aca="false">COUNTIFS($N$81:$N$1080,"&gt;="&amp;A68,$N$81:$N$1080,"&lt;"&amp;B68)</f>
        <v>0</v>
      </c>
    </row>
    <row r="69" customFormat="false" ht="15" hidden="false" customHeight="false" outlineLevel="0" collapsed="false">
      <c r="A69" s="35" t="n">
        <f aca="false">MIN($N$81:$N$1080)+(MAX($N$81:$N$1080)-MIN($N$81:$N$1080))*10/20</f>
        <v>0</v>
      </c>
      <c r="B69" s="35" t="n">
        <f aca="false">MIN($N$81:$N$1080)+(MAX($N$81:$N$1080)-MIN($N$81:$N$1080))*11/20</f>
        <v>0</v>
      </c>
      <c r="C69" s="10" t="n">
        <f aca="false">COUNTIFS($N$81:$N$1080,"&gt;="&amp;A69,$N$81:$N$1080,"&lt;"&amp;B69)</f>
        <v>0</v>
      </c>
    </row>
    <row r="70" customFormat="false" ht="15" hidden="false" customHeight="false" outlineLevel="0" collapsed="false">
      <c r="A70" s="35" t="n">
        <f aca="false">MIN($N$81:$N$1080)+(MAX($N$81:$N$1080)-MIN($N$81:$N$1080))*11/20</f>
        <v>0</v>
      </c>
      <c r="B70" s="35" t="n">
        <f aca="false">MIN($N$81:$N$1080)+(MAX($N$81:$N$1080)-MIN($N$81:$N$1080))*12/20</f>
        <v>0</v>
      </c>
      <c r="C70" s="10" t="n">
        <f aca="false">COUNTIFS($N$81:$N$1080,"&gt;="&amp;A70,$N$81:$N$1080,"&lt;"&amp;B70)</f>
        <v>0</v>
      </c>
    </row>
    <row r="71" customFormat="false" ht="15" hidden="false" customHeight="false" outlineLevel="0" collapsed="false">
      <c r="A71" s="35" t="n">
        <f aca="false">MIN($N$81:$N$1080)+(MAX($N$81:$N$1080)-MIN($N$81:$N$1080))*12/20</f>
        <v>0</v>
      </c>
      <c r="B71" s="35" t="n">
        <f aca="false">MIN($N$81:$N$1080)+(MAX($N$81:$N$1080)-MIN($N$81:$N$1080))*13/20</f>
        <v>0</v>
      </c>
      <c r="C71" s="10" t="n">
        <f aca="false">COUNTIFS($N$81:$N$1080,"&gt;="&amp;A71,$N$81:$N$1080,"&lt;"&amp;B71)</f>
        <v>0</v>
      </c>
    </row>
    <row r="72" customFormat="false" ht="15" hidden="false" customHeight="false" outlineLevel="0" collapsed="false">
      <c r="A72" s="35" t="n">
        <f aca="false">MIN($N$81:$N$1080)+(MAX($N$81:$N$1080)-MIN($N$81:$N$1080))*13/20</f>
        <v>0</v>
      </c>
      <c r="B72" s="35" t="n">
        <f aca="false">MIN($N$81:$N$1080)+(MAX($N$81:$N$1080)-MIN($N$81:$N$1080))*14/20</f>
        <v>0</v>
      </c>
      <c r="C72" s="10" t="n">
        <f aca="false">COUNTIFS($N$81:$N$1080,"&gt;="&amp;A72,$N$81:$N$1080,"&lt;"&amp;B72)</f>
        <v>0</v>
      </c>
    </row>
    <row r="73" customFormat="false" ht="15" hidden="false" customHeight="false" outlineLevel="0" collapsed="false">
      <c r="A73" s="35" t="n">
        <f aca="false">MIN($N$81:$N$1080)+(MAX($N$81:$N$1080)-MIN($N$81:$N$1080))*14/20</f>
        <v>0</v>
      </c>
      <c r="B73" s="35" t="n">
        <f aca="false">MIN($N$81:$N$1080)+(MAX($N$81:$N$1080)-MIN($N$81:$N$1080))*15/20</f>
        <v>0</v>
      </c>
      <c r="C73" s="10" t="n">
        <f aca="false">COUNTIFS($N$81:$N$1080,"&gt;="&amp;A73,$N$81:$N$1080,"&lt;"&amp;B73)</f>
        <v>0</v>
      </c>
    </row>
    <row r="74" customFormat="false" ht="15" hidden="false" customHeight="false" outlineLevel="0" collapsed="false">
      <c r="A74" s="35" t="n">
        <f aca="false">MIN($N$81:$N$1080)+(MAX($N$81:$N$1080)-MIN($N$81:$N$1080))*15/20</f>
        <v>0</v>
      </c>
      <c r="B74" s="35" t="n">
        <f aca="false">MIN($N$81:$N$1080)+(MAX($N$81:$N$1080)-MIN($N$81:$N$1080))*16/20</f>
        <v>0</v>
      </c>
      <c r="C74" s="10" t="n">
        <f aca="false">COUNTIFS($N$81:$N$1080,"&gt;="&amp;A74,$N$81:$N$1080,"&lt;"&amp;B74)</f>
        <v>0</v>
      </c>
    </row>
    <row r="75" customFormat="false" ht="15" hidden="false" customHeight="false" outlineLevel="0" collapsed="false">
      <c r="A75" s="35" t="n">
        <f aca="false">MIN($N$81:$N$1080)+(MAX($N$81:$N$1080)-MIN($N$81:$N$1080))*16/20</f>
        <v>0</v>
      </c>
      <c r="B75" s="35" t="n">
        <f aca="false">MIN($N$81:$N$1080)+(MAX($N$81:$N$1080)-MIN($N$81:$N$1080))*17/20</f>
        <v>0</v>
      </c>
      <c r="C75" s="10" t="n">
        <f aca="false">COUNTIFS($N$81:$N$1080,"&gt;="&amp;A75,$N$81:$N$1080,"&lt;"&amp;B75)</f>
        <v>0</v>
      </c>
    </row>
    <row r="76" customFormat="false" ht="15" hidden="false" customHeight="false" outlineLevel="0" collapsed="false">
      <c r="A76" s="35" t="n">
        <f aca="false">MIN($N$81:$N$1080)+(MAX($N$81:$N$1080)-MIN($N$81:$N$1080))*17/20</f>
        <v>0</v>
      </c>
      <c r="B76" s="35" t="n">
        <f aca="false">MIN($N$81:$N$1080)+(MAX($N$81:$N$1080)-MIN($N$81:$N$1080))*18/20</f>
        <v>0</v>
      </c>
      <c r="C76" s="10" t="n">
        <f aca="false">COUNTIFS($N$81:$N$1080,"&gt;="&amp;A76,$N$81:$N$1080,"&lt;"&amp;B76)</f>
        <v>0</v>
      </c>
    </row>
    <row r="77" customFormat="false" ht="15" hidden="false" customHeight="false" outlineLevel="0" collapsed="false">
      <c r="A77" s="35" t="n">
        <f aca="false">MIN($N$81:$N$1080)+(MAX($N$81:$N$1080)-MIN($N$81:$N$1080))*18/20</f>
        <v>0</v>
      </c>
      <c r="B77" s="35" t="n">
        <f aca="false">MIN($N$81:$N$1080)+(MAX($N$81:$N$1080)-MIN($N$81:$N$1080))*19/20</f>
        <v>0</v>
      </c>
      <c r="C77" s="10" t="n">
        <f aca="false">COUNTIFS($N$81:$N$1080,"&gt;="&amp;A77,$N$81:$N$1080,"&lt;"&amp;B77)</f>
        <v>0</v>
      </c>
    </row>
    <row r="78" customFormat="false" ht="15" hidden="false" customHeight="false" outlineLevel="0" collapsed="false">
      <c r="A78" s="35" t="n">
        <f aca="false">MIN($N$81:$N$1080)+(MAX($N$81:$N$1080)-MIN($N$81:$N$1080))*19/20</f>
        <v>0</v>
      </c>
      <c r="B78" s="35" t="n">
        <f aca="false">MIN($N$81:$N$1080)+(MAX($N$81:$N$1080)-MIN($N$81:$N$1080))*20/20</f>
        <v>0</v>
      </c>
      <c r="C78" s="10" t="n">
        <f aca="false">COUNTIFS($N$81:$N$1080,"&gt;="&amp;A78,$N$81:$N$1080,"&lt;="&amp;B78)</f>
        <v>0</v>
      </c>
    </row>
    <row r="80" customFormat="false" ht="23.85" hidden="false" customHeight="false" outlineLevel="0" collapsed="false">
      <c r="A80" s="8" t="s">
        <v>291</v>
      </c>
      <c r="B80" s="8" t="s">
        <v>245</v>
      </c>
      <c r="C80" s="8" t="s">
        <v>246</v>
      </c>
      <c r="D80" s="8" t="s">
        <v>247</v>
      </c>
      <c r="E80" s="8" t="s">
        <v>248</v>
      </c>
      <c r="F80" s="8" t="s">
        <v>249</v>
      </c>
      <c r="G80" s="8" t="s">
        <v>250</v>
      </c>
      <c r="H80" s="8" t="s">
        <v>251</v>
      </c>
      <c r="I80" s="8" t="s">
        <v>252</v>
      </c>
      <c r="J80" s="8" t="s">
        <v>253</v>
      </c>
      <c r="K80" s="8" t="s">
        <v>254</v>
      </c>
      <c r="L80" s="8" t="s">
        <v>255</v>
      </c>
      <c r="M80" s="8" t="s">
        <v>256</v>
      </c>
      <c r="N80" s="8" t="s">
        <v>229</v>
      </c>
      <c r="P80" s="8" t="s">
        <v>292</v>
      </c>
      <c r="Q80" s="8" t="s">
        <v>293</v>
      </c>
      <c r="R80" s="8" t="s">
        <v>294</v>
      </c>
      <c r="S80" s="8" t="s">
        <v>295</v>
      </c>
      <c r="T80" s="8" t="s">
        <v>296</v>
      </c>
      <c r="U80" s="8" t="s">
        <v>297</v>
      </c>
    </row>
    <row r="81" customFormat="false" ht="15" hidden="false" customHeight="false" outlineLevel="0" collapsed="false">
      <c r="A81" s="36" t="n">
        <v>1</v>
      </c>
      <c r="B81" s="37" t="n">
        <f aca="false">1+IF($G$6=$E$6,$F$6,IF(P81&lt;($F$6-$E$6)/($G$6-$E$6),$E$6+SQRT(P81*($G$6-$E$6)*($F$6-$E$6)),$G$6-SQRT((1-P81)*($G$6-$E$6)*($G$6-$F$6))))</f>
        <v>1</v>
      </c>
      <c r="C81" s="37" t="n">
        <f aca="false">1+IF($G$7=$E$7,$F$7,IF(Q81&lt;($F$7-$E$7)/($G$7-$E$7),$E$7+SQRT(Q81*($G$7-$E$7)*($F$7-$E$7)),$G$7-SQRT((1-Q81)*($G$7-$E$7)*($G$7-$F$7))))</f>
        <v>1</v>
      </c>
      <c r="D81" s="37" t="n">
        <f aca="false">1+IF($G$8=$E$8,$F$8,IF(R81&lt;($F$8-$E$8)/($G$8-$E$8),$E$8+SQRT(R81*($G$8-$E$8)*($F$8-$E$8)),$G$8-SQRT((1-R81)*($G$8-$E$8)*($G$8-$F$8))))</f>
        <v>1</v>
      </c>
      <c r="E81" s="37" t="n">
        <f aca="false">1+IF($G$9=$E$9,$F$9,IF(S81&lt;($F$9-$E$9)/($G$9-$E$9),$E$9+SQRT(S81*($G$9-$E$9)*($F$9-$E$9)),$G$9-SQRT((1-S81)*($G$9-$E$9)*($G$9-$F$9))))</f>
        <v>1</v>
      </c>
      <c r="F81" s="37" t="n">
        <f aca="false">1+IF($G$10=$E$10,$F$10,IF(T81&lt;($F$10-$E$10)/($G$10-$E$10),$E$10+SQRT(T81*($G$10-$E$10)*($F$10-$E$10)),$G$10-SQRT((1-T81)*($G$10-$E$10)*($G$10-$F$10))))</f>
        <v>1</v>
      </c>
      <c r="G81" s="38" t="n">
        <f aca="false">IF($G$11=$E$11,$F$11,IF(U81&lt;($F$11-$E$11)/($G$11-$E$11),$E$11+SQRT(U81*($G$11-$E$11)*($F$11-$E$11)),$G$11-SQRT((1-U81)*($G$11-$E$11)*($G$11-$F$11))))</f>
        <v>0</v>
      </c>
      <c r="H81" s="39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0</v>
      </c>
      <c r="I81" s="39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0</v>
      </c>
      <c r="J81" s="39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0</v>
      </c>
      <c r="K81" s="39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0</v>
      </c>
      <c r="L81" s="39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0</v>
      </c>
      <c r="M81" s="39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0</v>
      </c>
      <c r="N81" s="39" t="str">
        <f aca="false">IF(COUNT('Business Case'!B11:G11)=0,"",H81+NPV(G81,I81:M81))</f>
        <v/>
      </c>
      <c r="P81" s="40" t="n">
        <f aca="true">RAND()</f>
        <v>0.804357296890402</v>
      </c>
      <c r="Q81" s="40" t="n">
        <f aca="true">RAND()</f>
        <v>0.263772841811302</v>
      </c>
      <c r="R81" s="40" t="n">
        <f aca="true">RAND()</f>
        <v>0.738608627047381</v>
      </c>
      <c r="S81" s="40" t="n">
        <f aca="true">RAND()</f>
        <v>0.0813201261812847</v>
      </c>
      <c r="T81" s="40" t="n">
        <f aca="true">RAND()</f>
        <v>0.208680178448861</v>
      </c>
      <c r="U81" s="40" t="n">
        <f aca="true">RAND()</f>
        <v>0.203353990145269</v>
      </c>
    </row>
    <row r="82" customFormat="false" ht="15" hidden="false" customHeight="false" outlineLevel="0" collapsed="false">
      <c r="A82" s="36" t="n">
        <v>2</v>
      </c>
      <c r="B82" s="37" t="n">
        <f aca="false">1+IF($G$6=$E$6,$F$6,IF(P82&lt;($F$6-$E$6)/($G$6-$E$6),$E$6+SQRT(P82*($G$6-$E$6)*($F$6-$E$6)),$G$6-SQRT((1-P82)*($G$6-$E$6)*($G$6-$F$6))))</f>
        <v>1</v>
      </c>
      <c r="C82" s="37" t="n">
        <f aca="false">1+IF($G$7=$E$7,$F$7,IF(Q82&lt;($F$7-$E$7)/($G$7-$E$7),$E$7+SQRT(Q82*($G$7-$E$7)*($F$7-$E$7)),$G$7-SQRT((1-Q82)*($G$7-$E$7)*($G$7-$F$7))))</f>
        <v>1</v>
      </c>
      <c r="D82" s="37" t="n">
        <f aca="false">1+IF($G$8=$E$8,$F$8,IF(R82&lt;($F$8-$E$8)/($G$8-$E$8),$E$8+SQRT(R82*($G$8-$E$8)*($F$8-$E$8)),$G$8-SQRT((1-R82)*($G$8-$E$8)*($G$8-$F$8))))</f>
        <v>1</v>
      </c>
      <c r="E82" s="37" t="n">
        <f aca="false">1+IF($G$9=$E$9,$F$9,IF(S82&lt;($F$9-$E$9)/($G$9-$E$9),$E$9+SQRT(S82*($G$9-$E$9)*($F$9-$E$9)),$G$9-SQRT((1-S82)*($G$9-$E$9)*($G$9-$F$9))))</f>
        <v>1</v>
      </c>
      <c r="F82" s="37" t="n">
        <f aca="false">1+IF($G$10=$E$10,$F$10,IF(T82&lt;($F$10-$E$10)/($G$10-$E$10),$E$10+SQRT(T82*($G$10-$E$10)*($F$10-$E$10)),$G$10-SQRT((1-T82)*($G$10-$E$10)*($G$10-$F$10))))</f>
        <v>1</v>
      </c>
      <c r="G82" s="38" t="n">
        <f aca="false">IF($G$11=$E$11,$F$11,IF(U82&lt;($F$11-$E$11)/($G$11-$E$11),$E$11+SQRT(U82*($G$11-$E$11)*($F$11-$E$11)),$G$11-SQRT((1-U82)*($G$11-$E$11)*($G$11-$F$11))))</f>
        <v>0</v>
      </c>
      <c r="H82" s="39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0</v>
      </c>
      <c r="I82" s="39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0</v>
      </c>
      <c r="J82" s="39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0</v>
      </c>
      <c r="K82" s="39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0</v>
      </c>
      <c r="L82" s="39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0</v>
      </c>
      <c r="M82" s="39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0</v>
      </c>
      <c r="N82" s="39" t="str">
        <f aca="false">IF(COUNT('Business Case'!B11:G11)=0,"",H82+NPV(G82,I82:M82))</f>
        <v/>
      </c>
      <c r="P82" s="40" t="n">
        <f aca="true">RAND()</f>
        <v>0.621061795851896</v>
      </c>
      <c r="Q82" s="40" t="n">
        <f aca="true">RAND()</f>
        <v>0.951282659662741</v>
      </c>
      <c r="R82" s="40" t="n">
        <f aca="true">RAND()</f>
        <v>0.605158328304242</v>
      </c>
      <c r="S82" s="40" t="n">
        <f aca="true">RAND()</f>
        <v>0.511400184251044</v>
      </c>
      <c r="T82" s="40" t="n">
        <f aca="true">RAND()</f>
        <v>0.212749961396775</v>
      </c>
      <c r="U82" s="40" t="n">
        <f aca="true">RAND()</f>
        <v>0.377316983746845</v>
      </c>
    </row>
    <row r="83" customFormat="false" ht="15" hidden="false" customHeight="false" outlineLevel="0" collapsed="false">
      <c r="A83" s="36" t="n">
        <v>3</v>
      </c>
      <c r="B83" s="37" t="n">
        <f aca="false">1+IF($G$6=$E$6,$F$6,IF(P83&lt;($F$6-$E$6)/($G$6-$E$6),$E$6+SQRT(P83*($G$6-$E$6)*($F$6-$E$6)),$G$6-SQRT((1-P83)*($G$6-$E$6)*($G$6-$F$6))))</f>
        <v>1</v>
      </c>
      <c r="C83" s="37" t="n">
        <f aca="false">1+IF($G$7=$E$7,$F$7,IF(Q83&lt;($F$7-$E$7)/($G$7-$E$7),$E$7+SQRT(Q83*($G$7-$E$7)*($F$7-$E$7)),$G$7-SQRT((1-Q83)*($G$7-$E$7)*($G$7-$F$7))))</f>
        <v>1</v>
      </c>
      <c r="D83" s="37" t="n">
        <f aca="false">1+IF($G$8=$E$8,$F$8,IF(R83&lt;($F$8-$E$8)/($G$8-$E$8),$E$8+SQRT(R83*($G$8-$E$8)*($F$8-$E$8)),$G$8-SQRT((1-R83)*($G$8-$E$8)*($G$8-$F$8))))</f>
        <v>1</v>
      </c>
      <c r="E83" s="37" t="n">
        <f aca="false">1+IF($G$9=$E$9,$F$9,IF(S83&lt;($F$9-$E$9)/($G$9-$E$9),$E$9+SQRT(S83*($G$9-$E$9)*($F$9-$E$9)),$G$9-SQRT((1-S83)*($G$9-$E$9)*($G$9-$F$9))))</f>
        <v>1</v>
      </c>
      <c r="F83" s="37" t="n">
        <f aca="false">1+IF($G$10=$E$10,$F$10,IF(T83&lt;($F$10-$E$10)/($G$10-$E$10),$E$10+SQRT(T83*($G$10-$E$10)*($F$10-$E$10)),$G$10-SQRT((1-T83)*($G$10-$E$10)*($G$10-$F$10))))</f>
        <v>1</v>
      </c>
      <c r="G83" s="38" t="n">
        <f aca="false">IF($G$11=$E$11,$F$11,IF(U83&lt;($F$11-$E$11)/($G$11-$E$11),$E$11+SQRT(U83*($G$11-$E$11)*($F$11-$E$11)),$G$11-SQRT((1-U83)*($G$11-$E$11)*($G$11-$F$11))))</f>
        <v>0</v>
      </c>
      <c r="H83" s="39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0</v>
      </c>
      <c r="I83" s="39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0</v>
      </c>
      <c r="J83" s="39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0</v>
      </c>
      <c r="K83" s="39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0</v>
      </c>
      <c r="L83" s="39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0</v>
      </c>
      <c r="M83" s="39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0</v>
      </c>
      <c r="N83" s="39" t="str">
        <f aca="false">IF(COUNT('Business Case'!B11:G11)=0,"",H83+NPV(G83,I83:M83))</f>
        <v/>
      </c>
      <c r="P83" s="40" t="n">
        <f aca="true">RAND()</f>
        <v>0.244750380517086</v>
      </c>
      <c r="Q83" s="40" t="n">
        <f aca="true">RAND()</f>
        <v>0.770941667457172</v>
      </c>
      <c r="R83" s="40" t="n">
        <f aca="true">RAND()</f>
        <v>0.0586839216490666</v>
      </c>
      <c r="S83" s="40" t="n">
        <f aca="true">RAND()</f>
        <v>0.646751566415538</v>
      </c>
      <c r="T83" s="40" t="n">
        <f aca="true">RAND()</f>
        <v>0.271479379281778</v>
      </c>
      <c r="U83" s="40" t="n">
        <f aca="true">RAND()</f>
        <v>0.00144798684423976</v>
      </c>
    </row>
    <row r="84" customFormat="false" ht="15" hidden="false" customHeight="false" outlineLevel="0" collapsed="false">
      <c r="A84" s="36" t="n">
        <v>4</v>
      </c>
      <c r="B84" s="37" t="n">
        <f aca="false">1+IF($G$6=$E$6,$F$6,IF(P84&lt;($F$6-$E$6)/($G$6-$E$6),$E$6+SQRT(P84*($G$6-$E$6)*($F$6-$E$6)),$G$6-SQRT((1-P84)*($G$6-$E$6)*($G$6-$F$6))))</f>
        <v>1</v>
      </c>
      <c r="C84" s="37" t="n">
        <f aca="false">1+IF($G$7=$E$7,$F$7,IF(Q84&lt;($F$7-$E$7)/($G$7-$E$7),$E$7+SQRT(Q84*($G$7-$E$7)*($F$7-$E$7)),$G$7-SQRT((1-Q84)*($G$7-$E$7)*($G$7-$F$7))))</f>
        <v>1</v>
      </c>
      <c r="D84" s="37" t="n">
        <f aca="false">1+IF($G$8=$E$8,$F$8,IF(R84&lt;($F$8-$E$8)/($G$8-$E$8),$E$8+SQRT(R84*($G$8-$E$8)*($F$8-$E$8)),$G$8-SQRT((1-R84)*($G$8-$E$8)*($G$8-$F$8))))</f>
        <v>1</v>
      </c>
      <c r="E84" s="37" t="n">
        <f aca="false">1+IF($G$9=$E$9,$F$9,IF(S84&lt;($F$9-$E$9)/($G$9-$E$9),$E$9+SQRT(S84*($G$9-$E$9)*($F$9-$E$9)),$G$9-SQRT((1-S84)*($G$9-$E$9)*($G$9-$F$9))))</f>
        <v>1</v>
      </c>
      <c r="F84" s="37" t="n">
        <f aca="false">1+IF($G$10=$E$10,$F$10,IF(T84&lt;($F$10-$E$10)/($G$10-$E$10),$E$10+SQRT(T84*($G$10-$E$10)*($F$10-$E$10)),$G$10-SQRT((1-T84)*($G$10-$E$10)*($G$10-$F$10))))</f>
        <v>1</v>
      </c>
      <c r="G84" s="38" t="n">
        <f aca="false">IF($G$11=$E$11,$F$11,IF(U84&lt;($F$11-$E$11)/($G$11-$E$11),$E$11+SQRT(U84*($G$11-$E$11)*($F$11-$E$11)),$G$11-SQRT((1-U84)*($G$11-$E$11)*($G$11-$F$11))))</f>
        <v>0</v>
      </c>
      <c r="H84" s="39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0</v>
      </c>
      <c r="I84" s="39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0</v>
      </c>
      <c r="J84" s="39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0</v>
      </c>
      <c r="K84" s="39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0</v>
      </c>
      <c r="L84" s="39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0</v>
      </c>
      <c r="M84" s="39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0</v>
      </c>
      <c r="N84" s="39" t="str">
        <f aca="false">IF(COUNT('Business Case'!B11:G11)=0,"",H84+NPV(G84,I84:M84))</f>
        <v/>
      </c>
      <c r="P84" s="40" t="n">
        <f aca="true">RAND()</f>
        <v>0.448871651491128</v>
      </c>
      <c r="Q84" s="40" t="n">
        <f aca="true">RAND()</f>
        <v>0.499298957840299</v>
      </c>
      <c r="R84" s="40" t="n">
        <f aca="true">RAND()</f>
        <v>0.603839494187854</v>
      </c>
      <c r="S84" s="40" t="n">
        <f aca="true">RAND()</f>
        <v>0.734764406251732</v>
      </c>
      <c r="T84" s="40" t="n">
        <f aca="true">RAND()</f>
        <v>0.523189293125313</v>
      </c>
      <c r="U84" s="40" t="n">
        <f aca="true">RAND()</f>
        <v>0.73328095288869</v>
      </c>
    </row>
    <row r="85" customFormat="false" ht="15" hidden="false" customHeight="false" outlineLevel="0" collapsed="false">
      <c r="A85" s="36" t="n">
        <v>5</v>
      </c>
      <c r="B85" s="37" t="n">
        <f aca="false">1+IF($G$6=$E$6,$F$6,IF(P85&lt;($F$6-$E$6)/($G$6-$E$6),$E$6+SQRT(P85*($G$6-$E$6)*($F$6-$E$6)),$G$6-SQRT((1-P85)*($G$6-$E$6)*($G$6-$F$6))))</f>
        <v>1</v>
      </c>
      <c r="C85" s="37" t="n">
        <f aca="false">1+IF($G$7=$E$7,$F$7,IF(Q85&lt;($F$7-$E$7)/($G$7-$E$7),$E$7+SQRT(Q85*($G$7-$E$7)*($F$7-$E$7)),$G$7-SQRT((1-Q85)*($G$7-$E$7)*($G$7-$F$7))))</f>
        <v>1</v>
      </c>
      <c r="D85" s="37" t="n">
        <f aca="false">1+IF($G$8=$E$8,$F$8,IF(R85&lt;($F$8-$E$8)/($G$8-$E$8),$E$8+SQRT(R85*($G$8-$E$8)*($F$8-$E$8)),$G$8-SQRT((1-R85)*($G$8-$E$8)*($G$8-$F$8))))</f>
        <v>1</v>
      </c>
      <c r="E85" s="37" t="n">
        <f aca="false">1+IF($G$9=$E$9,$F$9,IF(S85&lt;($F$9-$E$9)/($G$9-$E$9),$E$9+SQRT(S85*($G$9-$E$9)*($F$9-$E$9)),$G$9-SQRT((1-S85)*($G$9-$E$9)*($G$9-$F$9))))</f>
        <v>1</v>
      </c>
      <c r="F85" s="37" t="n">
        <f aca="false">1+IF($G$10=$E$10,$F$10,IF(T85&lt;($F$10-$E$10)/($G$10-$E$10),$E$10+SQRT(T85*($G$10-$E$10)*($F$10-$E$10)),$G$10-SQRT((1-T85)*($G$10-$E$10)*($G$10-$F$10))))</f>
        <v>1</v>
      </c>
      <c r="G85" s="38" t="n">
        <f aca="false">IF($G$11=$E$11,$F$11,IF(U85&lt;($F$11-$E$11)/($G$11-$E$11),$E$11+SQRT(U85*($G$11-$E$11)*($F$11-$E$11)),$G$11-SQRT((1-U85)*($G$11-$E$11)*($G$11-$F$11))))</f>
        <v>0</v>
      </c>
      <c r="H85" s="39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0</v>
      </c>
      <c r="I85" s="39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0</v>
      </c>
      <c r="J85" s="39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0</v>
      </c>
      <c r="K85" s="39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0</v>
      </c>
      <c r="L85" s="39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0</v>
      </c>
      <c r="M85" s="39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0</v>
      </c>
      <c r="N85" s="39" t="str">
        <f aca="false">IF(COUNT('Business Case'!B11:G11)=0,"",H85+NPV(G85,I85:M85))</f>
        <v/>
      </c>
      <c r="P85" s="40" t="n">
        <f aca="true">RAND()</f>
        <v>0.455630572980331</v>
      </c>
      <c r="Q85" s="40" t="n">
        <f aca="true">RAND()</f>
        <v>0.659709885357325</v>
      </c>
      <c r="R85" s="40" t="n">
        <f aca="true">RAND()</f>
        <v>0.234873313515397</v>
      </c>
      <c r="S85" s="40" t="n">
        <f aca="true">RAND()</f>
        <v>0.457981514371179</v>
      </c>
      <c r="T85" s="40" t="n">
        <f aca="true">RAND()</f>
        <v>0.905351759849505</v>
      </c>
      <c r="U85" s="40" t="n">
        <f aca="true">RAND()</f>
        <v>0.53426117044199</v>
      </c>
    </row>
    <row r="86" customFormat="false" ht="15" hidden="false" customHeight="false" outlineLevel="0" collapsed="false">
      <c r="A86" s="36" t="n">
        <v>6</v>
      </c>
      <c r="B86" s="37" t="n">
        <f aca="false">1+IF($G$6=$E$6,$F$6,IF(P86&lt;($F$6-$E$6)/($G$6-$E$6),$E$6+SQRT(P86*($G$6-$E$6)*($F$6-$E$6)),$G$6-SQRT((1-P86)*($G$6-$E$6)*($G$6-$F$6))))</f>
        <v>1</v>
      </c>
      <c r="C86" s="37" t="n">
        <f aca="false">1+IF($G$7=$E$7,$F$7,IF(Q86&lt;($F$7-$E$7)/($G$7-$E$7),$E$7+SQRT(Q86*($G$7-$E$7)*($F$7-$E$7)),$G$7-SQRT((1-Q86)*($G$7-$E$7)*($G$7-$F$7))))</f>
        <v>1</v>
      </c>
      <c r="D86" s="37" t="n">
        <f aca="false">1+IF($G$8=$E$8,$F$8,IF(R86&lt;($F$8-$E$8)/($G$8-$E$8),$E$8+SQRT(R86*($G$8-$E$8)*($F$8-$E$8)),$G$8-SQRT((1-R86)*($G$8-$E$8)*($G$8-$F$8))))</f>
        <v>1</v>
      </c>
      <c r="E86" s="37" t="n">
        <f aca="false">1+IF($G$9=$E$9,$F$9,IF(S86&lt;($F$9-$E$9)/($G$9-$E$9),$E$9+SQRT(S86*($G$9-$E$9)*($F$9-$E$9)),$G$9-SQRT((1-S86)*($G$9-$E$9)*($G$9-$F$9))))</f>
        <v>1</v>
      </c>
      <c r="F86" s="37" t="n">
        <f aca="false">1+IF($G$10=$E$10,$F$10,IF(T86&lt;($F$10-$E$10)/($G$10-$E$10),$E$10+SQRT(T86*($G$10-$E$10)*($F$10-$E$10)),$G$10-SQRT((1-T86)*($G$10-$E$10)*($G$10-$F$10))))</f>
        <v>1</v>
      </c>
      <c r="G86" s="38" t="n">
        <f aca="false">IF($G$11=$E$11,$F$11,IF(U86&lt;($F$11-$E$11)/($G$11-$E$11),$E$11+SQRT(U86*($G$11-$E$11)*($F$11-$E$11)),$G$11-SQRT((1-U86)*($G$11-$E$11)*($G$11-$F$11))))</f>
        <v>0</v>
      </c>
      <c r="H86" s="39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0</v>
      </c>
      <c r="I86" s="39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0</v>
      </c>
      <c r="J86" s="39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0</v>
      </c>
      <c r="K86" s="39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0</v>
      </c>
      <c r="L86" s="39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0</v>
      </c>
      <c r="M86" s="39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0</v>
      </c>
      <c r="N86" s="39" t="str">
        <f aca="false">IF(COUNT('Business Case'!B11:G11)=0,"",H86+NPV(G86,I86:M86))</f>
        <v/>
      </c>
      <c r="P86" s="40" t="n">
        <f aca="true">RAND()</f>
        <v>0.866551103425096</v>
      </c>
      <c r="Q86" s="40" t="n">
        <f aca="true">RAND()</f>
        <v>0.923606811763146</v>
      </c>
      <c r="R86" s="40" t="n">
        <f aca="true">RAND()</f>
        <v>0.983710501645712</v>
      </c>
      <c r="S86" s="40" t="n">
        <f aca="true">RAND()</f>
        <v>0.346774801982472</v>
      </c>
      <c r="T86" s="40" t="n">
        <f aca="true">RAND()</f>
        <v>0.683110943767435</v>
      </c>
      <c r="U86" s="40" t="n">
        <f aca="true">RAND()</f>
        <v>0.811536046200959</v>
      </c>
    </row>
    <row r="87" customFormat="false" ht="15" hidden="false" customHeight="false" outlineLevel="0" collapsed="false">
      <c r="A87" s="36" t="n">
        <v>7</v>
      </c>
      <c r="B87" s="37" t="n">
        <f aca="false">1+IF($G$6=$E$6,$F$6,IF(P87&lt;($F$6-$E$6)/($G$6-$E$6),$E$6+SQRT(P87*($G$6-$E$6)*($F$6-$E$6)),$G$6-SQRT((1-P87)*($G$6-$E$6)*($G$6-$F$6))))</f>
        <v>1</v>
      </c>
      <c r="C87" s="37" t="n">
        <f aca="false">1+IF($G$7=$E$7,$F$7,IF(Q87&lt;($F$7-$E$7)/($G$7-$E$7),$E$7+SQRT(Q87*($G$7-$E$7)*($F$7-$E$7)),$G$7-SQRT((1-Q87)*($G$7-$E$7)*($G$7-$F$7))))</f>
        <v>1</v>
      </c>
      <c r="D87" s="37" t="n">
        <f aca="false">1+IF($G$8=$E$8,$F$8,IF(R87&lt;($F$8-$E$8)/($G$8-$E$8),$E$8+SQRT(R87*($G$8-$E$8)*($F$8-$E$8)),$G$8-SQRT((1-R87)*($G$8-$E$8)*($G$8-$F$8))))</f>
        <v>1</v>
      </c>
      <c r="E87" s="37" t="n">
        <f aca="false">1+IF($G$9=$E$9,$F$9,IF(S87&lt;($F$9-$E$9)/($G$9-$E$9),$E$9+SQRT(S87*($G$9-$E$9)*($F$9-$E$9)),$G$9-SQRT((1-S87)*($G$9-$E$9)*($G$9-$F$9))))</f>
        <v>1</v>
      </c>
      <c r="F87" s="37" t="n">
        <f aca="false">1+IF($G$10=$E$10,$F$10,IF(T87&lt;($F$10-$E$10)/($G$10-$E$10),$E$10+SQRT(T87*($G$10-$E$10)*($F$10-$E$10)),$G$10-SQRT((1-T87)*($G$10-$E$10)*($G$10-$F$10))))</f>
        <v>1</v>
      </c>
      <c r="G87" s="38" t="n">
        <f aca="false">IF($G$11=$E$11,$F$11,IF(U87&lt;($F$11-$E$11)/($G$11-$E$11),$E$11+SQRT(U87*($G$11-$E$11)*($F$11-$E$11)),$G$11-SQRT((1-U87)*($G$11-$E$11)*($G$11-$F$11))))</f>
        <v>0</v>
      </c>
      <c r="H87" s="39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0</v>
      </c>
      <c r="I87" s="39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0</v>
      </c>
      <c r="J87" s="39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0</v>
      </c>
      <c r="K87" s="39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0</v>
      </c>
      <c r="L87" s="39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0</v>
      </c>
      <c r="M87" s="39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0</v>
      </c>
      <c r="N87" s="39" t="str">
        <f aca="false">IF(COUNT('Business Case'!B11:G11)=0,"",H87+NPV(G87,I87:M87))</f>
        <v/>
      </c>
      <c r="P87" s="40" t="n">
        <f aca="true">RAND()</f>
        <v>0.986047958878198</v>
      </c>
      <c r="Q87" s="40" t="n">
        <f aca="true">RAND()</f>
        <v>0.359357313625259</v>
      </c>
      <c r="R87" s="40" t="n">
        <f aca="true">RAND()</f>
        <v>0.719157568294167</v>
      </c>
      <c r="S87" s="40" t="n">
        <f aca="true">RAND()</f>
        <v>0.331186654956349</v>
      </c>
      <c r="T87" s="40" t="n">
        <f aca="true">RAND()</f>
        <v>0.860902530103956</v>
      </c>
      <c r="U87" s="40" t="n">
        <f aca="true">RAND()</f>
        <v>0.889050149987433</v>
      </c>
    </row>
    <row r="88" customFormat="false" ht="15" hidden="false" customHeight="false" outlineLevel="0" collapsed="false">
      <c r="A88" s="36" t="n">
        <v>8</v>
      </c>
      <c r="B88" s="37" t="n">
        <f aca="false">1+IF($G$6=$E$6,$F$6,IF(P88&lt;($F$6-$E$6)/($G$6-$E$6),$E$6+SQRT(P88*($G$6-$E$6)*($F$6-$E$6)),$G$6-SQRT((1-P88)*($G$6-$E$6)*($G$6-$F$6))))</f>
        <v>1</v>
      </c>
      <c r="C88" s="37" t="n">
        <f aca="false">1+IF($G$7=$E$7,$F$7,IF(Q88&lt;($F$7-$E$7)/($G$7-$E$7),$E$7+SQRT(Q88*($G$7-$E$7)*($F$7-$E$7)),$G$7-SQRT((1-Q88)*($G$7-$E$7)*($G$7-$F$7))))</f>
        <v>1</v>
      </c>
      <c r="D88" s="37" t="n">
        <f aca="false">1+IF($G$8=$E$8,$F$8,IF(R88&lt;($F$8-$E$8)/($G$8-$E$8),$E$8+SQRT(R88*($G$8-$E$8)*($F$8-$E$8)),$G$8-SQRT((1-R88)*($G$8-$E$8)*($G$8-$F$8))))</f>
        <v>1</v>
      </c>
      <c r="E88" s="37" t="n">
        <f aca="false">1+IF($G$9=$E$9,$F$9,IF(S88&lt;($F$9-$E$9)/($G$9-$E$9),$E$9+SQRT(S88*($G$9-$E$9)*($F$9-$E$9)),$G$9-SQRT((1-S88)*($G$9-$E$9)*($G$9-$F$9))))</f>
        <v>1</v>
      </c>
      <c r="F88" s="37" t="n">
        <f aca="false">1+IF($G$10=$E$10,$F$10,IF(T88&lt;($F$10-$E$10)/($G$10-$E$10),$E$10+SQRT(T88*($G$10-$E$10)*($F$10-$E$10)),$G$10-SQRT((1-T88)*($G$10-$E$10)*($G$10-$F$10))))</f>
        <v>1</v>
      </c>
      <c r="G88" s="38" t="n">
        <f aca="false">IF($G$11=$E$11,$F$11,IF(U88&lt;($F$11-$E$11)/($G$11-$E$11),$E$11+SQRT(U88*($G$11-$E$11)*($F$11-$E$11)),$G$11-SQRT((1-U88)*($G$11-$E$11)*($G$11-$F$11))))</f>
        <v>0</v>
      </c>
      <c r="H88" s="39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0</v>
      </c>
      <c r="I88" s="39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0</v>
      </c>
      <c r="J88" s="39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0</v>
      </c>
      <c r="K88" s="39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0</v>
      </c>
      <c r="L88" s="39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0</v>
      </c>
      <c r="M88" s="39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0</v>
      </c>
      <c r="N88" s="39" t="str">
        <f aca="false">IF(COUNT('Business Case'!B11:G11)=0,"",H88+NPV(G88,I88:M88))</f>
        <v/>
      </c>
      <c r="P88" s="40" t="n">
        <f aca="true">RAND()</f>
        <v>0.269263592302225</v>
      </c>
      <c r="Q88" s="40" t="n">
        <f aca="true">RAND()</f>
        <v>0.761365181417037</v>
      </c>
      <c r="R88" s="40" t="n">
        <f aca="true">RAND()</f>
        <v>0.674461897137052</v>
      </c>
      <c r="S88" s="40" t="n">
        <f aca="true">RAND()</f>
        <v>0.94264777829047</v>
      </c>
      <c r="T88" s="40" t="n">
        <f aca="true">RAND()</f>
        <v>0.594592858454652</v>
      </c>
      <c r="U88" s="40" t="n">
        <f aca="true">RAND()</f>
        <v>0.119680132867366</v>
      </c>
    </row>
    <row r="89" customFormat="false" ht="15" hidden="false" customHeight="false" outlineLevel="0" collapsed="false">
      <c r="A89" s="36" t="n">
        <v>9</v>
      </c>
      <c r="B89" s="37" t="n">
        <f aca="false">1+IF($G$6=$E$6,$F$6,IF(P89&lt;($F$6-$E$6)/($G$6-$E$6),$E$6+SQRT(P89*($G$6-$E$6)*($F$6-$E$6)),$G$6-SQRT((1-P89)*($G$6-$E$6)*($G$6-$F$6))))</f>
        <v>1</v>
      </c>
      <c r="C89" s="37" t="n">
        <f aca="false">1+IF($G$7=$E$7,$F$7,IF(Q89&lt;($F$7-$E$7)/($G$7-$E$7),$E$7+SQRT(Q89*($G$7-$E$7)*($F$7-$E$7)),$G$7-SQRT((1-Q89)*($G$7-$E$7)*($G$7-$F$7))))</f>
        <v>1</v>
      </c>
      <c r="D89" s="37" t="n">
        <f aca="false">1+IF($G$8=$E$8,$F$8,IF(R89&lt;($F$8-$E$8)/($G$8-$E$8),$E$8+SQRT(R89*($G$8-$E$8)*($F$8-$E$8)),$G$8-SQRT((1-R89)*($G$8-$E$8)*($G$8-$F$8))))</f>
        <v>1</v>
      </c>
      <c r="E89" s="37" t="n">
        <f aca="false">1+IF($G$9=$E$9,$F$9,IF(S89&lt;($F$9-$E$9)/($G$9-$E$9),$E$9+SQRT(S89*($G$9-$E$9)*($F$9-$E$9)),$G$9-SQRT((1-S89)*($G$9-$E$9)*($G$9-$F$9))))</f>
        <v>1</v>
      </c>
      <c r="F89" s="37" t="n">
        <f aca="false">1+IF($G$10=$E$10,$F$10,IF(T89&lt;($F$10-$E$10)/($G$10-$E$10),$E$10+SQRT(T89*($G$10-$E$10)*($F$10-$E$10)),$G$10-SQRT((1-T89)*($G$10-$E$10)*($G$10-$F$10))))</f>
        <v>1</v>
      </c>
      <c r="G89" s="38" t="n">
        <f aca="false">IF($G$11=$E$11,$F$11,IF(U89&lt;($F$11-$E$11)/($G$11-$E$11),$E$11+SQRT(U89*($G$11-$E$11)*($F$11-$E$11)),$G$11-SQRT((1-U89)*($G$11-$E$11)*($G$11-$F$11))))</f>
        <v>0</v>
      </c>
      <c r="H89" s="39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0</v>
      </c>
      <c r="I89" s="39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0</v>
      </c>
      <c r="J89" s="39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0</v>
      </c>
      <c r="K89" s="39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0</v>
      </c>
      <c r="L89" s="39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0</v>
      </c>
      <c r="M89" s="39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0</v>
      </c>
      <c r="N89" s="39" t="str">
        <f aca="false">IF(COUNT('Business Case'!B11:G11)=0,"",H89+NPV(G89,I89:M89))</f>
        <v/>
      </c>
      <c r="P89" s="40" t="n">
        <f aca="true">RAND()</f>
        <v>0.929547418768606</v>
      </c>
      <c r="Q89" s="40" t="n">
        <f aca="true">RAND()</f>
        <v>0.155159606213298</v>
      </c>
      <c r="R89" s="40" t="n">
        <f aca="true">RAND()</f>
        <v>0.809248784868542</v>
      </c>
      <c r="S89" s="40" t="n">
        <f aca="true">RAND()</f>
        <v>0.920605235273045</v>
      </c>
      <c r="T89" s="40" t="n">
        <f aca="true">RAND()</f>
        <v>0.0585950132716292</v>
      </c>
      <c r="U89" s="40" t="n">
        <f aca="true">RAND()</f>
        <v>0.583769946530979</v>
      </c>
    </row>
    <row r="90" customFormat="false" ht="15" hidden="false" customHeight="false" outlineLevel="0" collapsed="false">
      <c r="A90" s="36" t="n">
        <v>10</v>
      </c>
      <c r="B90" s="37" t="n">
        <f aca="false">1+IF($G$6=$E$6,$F$6,IF(P90&lt;($F$6-$E$6)/($G$6-$E$6),$E$6+SQRT(P90*($G$6-$E$6)*($F$6-$E$6)),$G$6-SQRT((1-P90)*($G$6-$E$6)*($G$6-$F$6))))</f>
        <v>1</v>
      </c>
      <c r="C90" s="37" t="n">
        <f aca="false">1+IF($G$7=$E$7,$F$7,IF(Q90&lt;($F$7-$E$7)/($G$7-$E$7),$E$7+SQRT(Q90*($G$7-$E$7)*($F$7-$E$7)),$G$7-SQRT((1-Q90)*($G$7-$E$7)*($G$7-$F$7))))</f>
        <v>1</v>
      </c>
      <c r="D90" s="37" t="n">
        <f aca="false">1+IF($G$8=$E$8,$F$8,IF(R90&lt;($F$8-$E$8)/($G$8-$E$8),$E$8+SQRT(R90*($G$8-$E$8)*($F$8-$E$8)),$G$8-SQRT((1-R90)*($G$8-$E$8)*($G$8-$F$8))))</f>
        <v>1</v>
      </c>
      <c r="E90" s="37" t="n">
        <f aca="false">1+IF($G$9=$E$9,$F$9,IF(S90&lt;($F$9-$E$9)/($G$9-$E$9),$E$9+SQRT(S90*($G$9-$E$9)*($F$9-$E$9)),$G$9-SQRT((1-S90)*($G$9-$E$9)*($G$9-$F$9))))</f>
        <v>1</v>
      </c>
      <c r="F90" s="37" t="n">
        <f aca="false">1+IF($G$10=$E$10,$F$10,IF(T90&lt;($F$10-$E$10)/($G$10-$E$10),$E$10+SQRT(T90*($G$10-$E$10)*($F$10-$E$10)),$G$10-SQRT((1-T90)*($G$10-$E$10)*($G$10-$F$10))))</f>
        <v>1</v>
      </c>
      <c r="G90" s="38" t="n">
        <f aca="false">IF($G$11=$E$11,$F$11,IF(U90&lt;($F$11-$E$11)/($G$11-$E$11),$E$11+SQRT(U90*($G$11-$E$11)*($F$11-$E$11)),$G$11-SQRT((1-U90)*($G$11-$E$11)*($G$11-$F$11))))</f>
        <v>0</v>
      </c>
      <c r="H90" s="39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0</v>
      </c>
      <c r="I90" s="39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0</v>
      </c>
      <c r="J90" s="39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0</v>
      </c>
      <c r="K90" s="39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0</v>
      </c>
      <c r="L90" s="39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0</v>
      </c>
      <c r="M90" s="39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0</v>
      </c>
      <c r="N90" s="39" t="str">
        <f aca="false">IF(COUNT('Business Case'!B11:G11)=0,"",H90+NPV(G90,I90:M90))</f>
        <v/>
      </c>
      <c r="P90" s="40" t="n">
        <f aca="true">RAND()</f>
        <v>0.616113060513049</v>
      </c>
      <c r="Q90" s="40" t="n">
        <f aca="true">RAND()</f>
        <v>0.418748220572872</v>
      </c>
      <c r="R90" s="40" t="n">
        <f aca="true">RAND()</f>
        <v>0.836958043820391</v>
      </c>
      <c r="S90" s="40" t="n">
        <f aca="true">RAND()</f>
        <v>0.471163271595141</v>
      </c>
      <c r="T90" s="40" t="n">
        <f aca="true">RAND()</f>
        <v>0.801352018124157</v>
      </c>
      <c r="U90" s="40" t="n">
        <f aca="true">RAND()</f>
        <v>0.128831433716198</v>
      </c>
    </row>
    <row r="91" customFormat="false" ht="15" hidden="false" customHeight="false" outlineLevel="0" collapsed="false">
      <c r="A91" s="36" t="n">
        <v>11</v>
      </c>
      <c r="B91" s="37" t="n">
        <f aca="false">1+IF($G$6=$E$6,$F$6,IF(P91&lt;($F$6-$E$6)/($G$6-$E$6),$E$6+SQRT(P91*($G$6-$E$6)*($F$6-$E$6)),$G$6-SQRT((1-P91)*($G$6-$E$6)*($G$6-$F$6))))</f>
        <v>1</v>
      </c>
      <c r="C91" s="37" t="n">
        <f aca="false">1+IF($G$7=$E$7,$F$7,IF(Q91&lt;($F$7-$E$7)/($G$7-$E$7),$E$7+SQRT(Q91*($G$7-$E$7)*($F$7-$E$7)),$G$7-SQRT((1-Q91)*($G$7-$E$7)*($G$7-$F$7))))</f>
        <v>1</v>
      </c>
      <c r="D91" s="37" t="n">
        <f aca="false">1+IF($G$8=$E$8,$F$8,IF(R91&lt;($F$8-$E$8)/($G$8-$E$8),$E$8+SQRT(R91*($G$8-$E$8)*($F$8-$E$8)),$G$8-SQRT((1-R91)*($G$8-$E$8)*($G$8-$F$8))))</f>
        <v>1</v>
      </c>
      <c r="E91" s="37" t="n">
        <f aca="false">1+IF($G$9=$E$9,$F$9,IF(S91&lt;($F$9-$E$9)/($G$9-$E$9),$E$9+SQRT(S91*($G$9-$E$9)*($F$9-$E$9)),$G$9-SQRT((1-S91)*($G$9-$E$9)*($G$9-$F$9))))</f>
        <v>1</v>
      </c>
      <c r="F91" s="37" t="n">
        <f aca="false">1+IF($G$10=$E$10,$F$10,IF(T91&lt;($F$10-$E$10)/($G$10-$E$10),$E$10+SQRT(T91*($G$10-$E$10)*($F$10-$E$10)),$G$10-SQRT((1-T91)*($G$10-$E$10)*($G$10-$F$10))))</f>
        <v>1</v>
      </c>
      <c r="G91" s="38" t="n">
        <f aca="false">IF($G$11=$E$11,$F$11,IF(U91&lt;($F$11-$E$11)/($G$11-$E$11),$E$11+SQRT(U91*($G$11-$E$11)*($F$11-$E$11)),$G$11-SQRT((1-U91)*($G$11-$E$11)*($G$11-$F$11))))</f>
        <v>0</v>
      </c>
      <c r="H91" s="39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0</v>
      </c>
      <c r="I91" s="39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0</v>
      </c>
      <c r="J91" s="39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0</v>
      </c>
      <c r="K91" s="39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0</v>
      </c>
      <c r="L91" s="39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0</v>
      </c>
      <c r="M91" s="39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0</v>
      </c>
      <c r="N91" s="39" t="str">
        <f aca="false">IF(COUNT('Business Case'!B11:G11)=0,"",H91+NPV(G91,I91:M91))</f>
        <v/>
      </c>
      <c r="P91" s="40" t="n">
        <f aca="true">RAND()</f>
        <v>0.0824186458727187</v>
      </c>
      <c r="Q91" s="40" t="n">
        <f aca="true">RAND()</f>
        <v>0.857596017953675</v>
      </c>
      <c r="R91" s="40" t="n">
        <f aca="true">RAND()</f>
        <v>0.91255543428856</v>
      </c>
      <c r="S91" s="40" t="n">
        <f aca="true">RAND()</f>
        <v>0.157971647272923</v>
      </c>
      <c r="T91" s="40" t="n">
        <f aca="true">RAND()</f>
        <v>0.145496350662596</v>
      </c>
      <c r="U91" s="40" t="n">
        <f aca="true">RAND()</f>
        <v>0.755989727351354</v>
      </c>
    </row>
    <row r="92" customFormat="false" ht="15" hidden="false" customHeight="false" outlineLevel="0" collapsed="false">
      <c r="A92" s="36" t="n">
        <v>12</v>
      </c>
      <c r="B92" s="37" t="n">
        <f aca="false">1+IF($G$6=$E$6,$F$6,IF(P92&lt;($F$6-$E$6)/($G$6-$E$6),$E$6+SQRT(P92*($G$6-$E$6)*($F$6-$E$6)),$G$6-SQRT((1-P92)*($G$6-$E$6)*($G$6-$F$6))))</f>
        <v>1</v>
      </c>
      <c r="C92" s="37" t="n">
        <f aca="false">1+IF($G$7=$E$7,$F$7,IF(Q92&lt;($F$7-$E$7)/($G$7-$E$7),$E$7+SQRT(Q92*($G$7-$E$7)*($F$7-$E$7)),$G$7-SQRT((1-Q92)*($G$7-$E$7)*($G$7-$F$7))))</f>
        <v>1</v>
      </c>
      <c r="D92" s="37" t="n">
        <f aca="false">1+IF($G$8=$E$8,$F$8,IF(R92&lt;($F$8-$E$8)/($G$8-$E$8),$E$8+SQRT(R92*($G$8-$E$8)*($F$8-$E$8)),$G$8-SQRT((1-R92)*($G$8-$E$8)*($G$8-$F$8))))</f>
        <v>1</v>
      </c>
      <c r="E92" s="37" t="n">
        <f aca="false">1+IF($G$9=$E$9,$F$9,IF(S92&lt;($F$9-$E$9)/($G$9-$E$9),$E$9+SQRT(S92*($G$9-$E$9)*($F$9-$E$9)),$G$9-SQRT((1-S92)*($G$9-$E$9)*($G$9-$F$9))))</f>
        <v>1</v>
      </c>
      <c r="F92" s="37" t="n">
        <f aca="false">1+IF($G$10=$E$10,$F$10,IF(T92&lt;($F$10-$E$10)/($G$10-$E$10),$E$10+SQRT(T92*($G$10-$E$10)*($F$10-$E$10)),$G$10-SQRT((1-T92)*($G$10-$E$10)*($G$10-$F$10))))</f>
        <v>1</v>
      </c>
      <c r="G92" s="38" t="n">
        <f aca="false">IF($G$11=$E$11,$F$11,IF(U92&lt;($F$11-$E$11)/($G$11-$E$11),$E$11+SQRT(U92*($G$11-$E$11)*($F$11-$E$11)),$G$11-SQRT((1-U92)*($G$11-$E$11)*($G$11-$F$11))))</f>
        <v>0</v>
      </c>
      <c r="H92" s="39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0</v>
      </c>
      <c r="I92" s="39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0</v>
      </c>
      <c r="J92" s="39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0</v>
      </c>
      <c r="K92" s="39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0</v>
      </c>
      <c r="L92" s="39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0</v>
      </c>
      <c r="M92" s="39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0</v>
      </c>
      <c r="N92" s="39" t="str">
        <f aca="false">IF(COUNT('Business Case'!B11:G11)=0,"",H92+NPV(G92,I92:M92))</f>
        <v/>
      </c>
      <c r="P92" s="40" t="n">
        <f aca="true">RAND()</f>
        <v>0.270271889771244</v>
      </c>
      <c r="Q92" s="40" t="n">
        <f aca="true">RAND()</f>
        <v>0.667506812353322</v>
      </c>
      <c r="R92" s="40" t="n">
        <f aca="true">RAND()</f>
        <v>0.560508066462158</v>
      </c>
      <c r="S92" s="40" t="n">
        <f aca="true">RAND()</f>
        <v>0.583650528218551</v>
      </c>
      <c r="T92" s="40" t="n">
        <f aca="true">RAND()</f>
        <v>0.901995255310931</v>
      </c>
      <c r="U92" s="40" t="n">
        <f aca="true">RAND()</f>
        <v>0.354201092010715</v>
      </c>
    </row>
    <row r="93" customFormat="false" ht="15" hidden="false" customHeight="false" outlineLevel="0" collapsed="false">
      <c r="A93" s="36" t="n">
        <v>13</v>
      </c>
      <c r="B93" s="37" t="n">
        <f aca="false">1+IF($G$6=$E$6,$F$6,IF(P93&lt;($F$6-$E$6)/($G$6-$E$6),$E$6+SQRT(P93*($G$6-$E$6)*($F$6-$E$6)),$G$6-SQRT((1-P93)*($G$6-$E$6)*($G$6-$F$6))))</f>
        <v>1</v>
      </c>
      <c r="C93" s="37" t="n">
        <f aca="false">1+IF($G$7=$E$7,$F$7,IF(Q93&lt;($F$7-$E$7)/($G$7-$E$7),$E$7+SQRT(Q93*($G$7-$E$7)*($F$7-$E$7)),$G$7-SQRT((1-Q93)*($G$7-$E$7)*($G$7-$F$7))))</f>
        <v>1</v>
      </c>
      <c r="D93" s="37" t="n">
        <f aca="false">1+IF($G$8=$E$8,$F$8,IF(R93&lt;($F$8-$E$8)/($G$8-$E$8),$E$8+SQRT(R93*($G$8-$E$8)*($F$8-$E$8)),$G$8-SQRT((1-R93)*($G$8-$E$8)*($G$8-$F$8))))</f>
        <v>1</v>
      </c>
      <c r="E93" s="37" t="n">
        <f aca="false">1+IF($G$9=$E$9,$F$9,IF(S93&lt;($F$9-$E$9)/($G$9-$E$9),$E$9+SQRT(S93*($G$9-$E$9)*($F$9-$E$9)),$G$9-SQRT((1-S93)*($G$9-$E$9)*($G$9-$F$9))))</f>
        <v>1</v>
      </c>
      <c r="F93" s="37" t="n">
        <f aca="false">1+IF($G$10=$E$10,$F$10,IF(T93&lt;($F$10-$E$10)/($G$10-$E$10),$E$10+SQRT(T93*($G$10-$E$10)*($F$10-$E$10)),$G$10-SQRT((1-T93)*($G$10-$E$10)*($G$10-$F$10))))</f>
        <v>1</v>
      </c>
      <c r="G93" s="38" t="n">
        <f aca="false">IF($G$11=$E$11,$F$11,IF(U93&lt;($F$11-$E$11)/($G$11-$E$11),$E$11+SQRT(U93*($G$11-$E$11)*($F$11-$E$11)),$G$11-SQRT((1-U93)*($G$11-$E$11)*($G$11-$F$11))))</f>
        <v>0</v>
      </c>
      <c r="H93" s="39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0</v>
      </c>
      <c r="I93" s="39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0</v>
      </c>
      <c r="J93" s="39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0</v>
      </c>
      <c r="K93" s="39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0</v>
      </c>
      <c r="L93" s="39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0</v>
      </c>
      <c r="M93" s="39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0</v>
      </c>
      <c r="N93" s="39" t="str">
        <f aca="false">IF(COUNT('Business Case'!B11:G11)=0,"",H93+NPV(G93,I93:M93))</f>
        <v/>
      </c>
      <c r="P93" s="40" t="n">
        <f aca="true">RAND()</f>
        <v>0.751097676906326</v>
      </c>
      <c r="Q93" s="40" t="n">
        <f aca="true">RAND()</f>
        <v>0.163167092475608</v>
      </c>
      <c r="R93" s="40" t="n">
        <f aca="true">RAND()</f>
        <v>0.0494103688136223</v>
      </c>
      <c r="S93" s="40" t="n">
        <f aca="true">RAND()</f>
        <v>0.59661179180069</v>
      </c>
      <c r="T93" s="40" t="n">
        <f aca="true">RAND()</f>
        <v>0.372018635404141</v>
      </c>
      <c r="U93" s="40" t="n">
        <f aca="true">RAND()</f>
        <v>0.920630820607228</v>
      </c>
    </row>
    <row r="94" customFormat="false" ht="15" hidden="false" customHeight="false" outlineLevel="0" collapsed="false">
      <c r="A94" s="36" t="n">
        <v>14</v>
      </c>
      <c r="B94" s="37" t="n">
        <f aca="false">1+IF($G$6=$E$6,$F$6,IF(P94&lt;($F$6-$E$6)/($G$6-$E$6),$E$6+SQRT(P94*($G$6-$E$6)*($F$6-$E$6)),$G$6-SQRT((1-P94)*($G$6-$E$6)*($G$6-$F$6))))</f>
        <v>1</v>
      </c>
      <c r="C94" s="37" t="n">
        <f aca="false">1+IF($G$7=$E$7,$F$7,IF(Q94&lt;($F$7-$E$7)/($G$7-$E$7),$E$7+SQRT(Q94*($G$7-$E$7)*($F$7-$E$7)),$G$7-SQRT((1-Q94)*($G$7-$E$7)*($G$7-$F$7))))</f>
        <v>1</v>
      </c>
      <c r="D94" s="37" t="n">
        <f aca="false">1+IF($G$8=$E$8,$F$8,IF(R94&lt;($F$8-$E$8)/($G$8-$E$8),$E$8+SQRT(R94*($G$8-$E$8)*($F$8-$E$8)),$G$8-SQRT((1-R94)*($G$8-$E$8)*($G$8-$F$8))))</f>
        <v>1</v>
      </c>
      <c r="E94" s="37" t="n">
        <f aca="false">1+IF($G$9=$E$9,$F$9,IF(S94&lt;($F$9-$E$9)/($G$9-$E$9),$E$9+SQRT(S94*($G$9-$E$9)*($F$9-$E$9)),$G$9-SQRT((1-S94)*($G$9-$E$9)*($G$9-$F$9))))</f>
        <v>1</v>
      </c>
      <c r="F94" s="37" t="n">
        <f aca="false">1+IF($G$10=$E$10,$F$10,IF(T94&lt;($F$10-$E$10)/($G$10-$E$10),$E$10+SQRT(T94*($G$10-$E$10)*($F$10-$E$10)),$G$10-SQRT((1-T94)*($G$10-$E$10)*($G$10-$F$10))))</f>
        <v>1</v>
      </c>
      <c r="G94" s="38" t="n">
        <f aca="false">IF($G$11=$E$11,$F$11,IF(U94&lt;($F$11-$E$11)/($G$11-$E$11),$E$11+SQRT(U94*($G$11-$E$11)*($F$11-$E$11)),$G$11-SQRT((1-U94)*($G$11-$E$11)*($G$11-$F$11))))</f>
        <v>0</v>
      </c>
      <c r="H94" s="39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0</v>
      </c>
      <c r="I94" s="39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0</v>
      </c>
      <c r="J94" s="39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0</v>
      </c>
      <c r="K94" s="39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0</v>
      </c>
      <c r="L94" s="39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0</v>
      </c>
      <c r="M94" s="39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0</v>
      </c>
      <c r="N94" s="39" t="str">
        <f aca="false">IF(COUNT('Business Case'!B11:G11)=0,"",H94+NPV(G94,I94:M94))</f>
        <v/>
      </c>
      <c r="P94" s="40" t="n">
        <f aca="true">RAND()</f>
        <v>0.904102639467326</v>
      </c>
      <c r="Q94" s="40" t="n">
        <f aca="true">RAND()</f>
        <v>0.829628591084905</v>
      </c>
      <c r="R94" s="40" t="n">
        <f aca="true">RAND()</f>
        <v>0.820457749631652</v>
      </c>
      <c r="S94" s="40" t="n">
        <f aca="true">RAND()</f>
        <v>0.0390642061028077</v>
      </c>
      <c r="T94" s="40" t="n">
        <f aca="true">RAND()</f>
        <v>0.670264619729777</v>
      </c>
      <c r="U94" s="40" t="n">
        <f aca="true">RAND()</f>
        <v>0.923192744927974</v>
      </c>
    </row>
    <row r="95" customFormat="false" ht="15" hidden="false" customHeight="false" outlineLevel="0" collapsed="false">
      <c r="A95" s="36" t="n">
        <v>15</v>
      </c>
      <c r="B95" s="37" t="n">
        <f aca="false">1+IF($G$6=$E$6,$F$6,IF(P95&lt;($F$6-$E$6)/($G$6-$E$6),$E$6+SQRT(P95*($G$6-$E$6)*($F$6-$E$6)),$G$6-SQRT((1-P95)*($G$6-$E$6)*($G$6-$F$6))))</f>
        <v>1</v>
      </c>
      <c r="C95" s="37" t="n">
        <f aca="false">1+IF($G$7=$E$7,$F$7,IF(Q95&lt;($F$7-$E$7)/($G$7-$E$7),$E$7+SQRT(Q95*($G$7-$E$7)*($F$7-$E$7)),$G$7-SQRT((1-Q95)*($G$7-$E$7)*($G$7-$F$7))))</f>
        <v>1</v>
      </c>
      <c r="D95" s="37" t="n">
        <f aca="false">1+IF($G$8=$E$8,$F$8,IF(R95&lt;($F$8-$E$8)/($G$8-$E$8),$E$8+SQRT(R95*($G$8-$E$8)*($F$8-$E$8)),$G$8-SQRT((1-R95)*($G$8-$E$8)*($G$8-$F$8))))</f>
        <v>1</v>
      </c>
      <c r="E95" s="37" t="n">
        <f aca="false">1+IF($G$9=$E$9,$F$9,IF(S95&lt;($F$9-$E$9)/($G$9-$E$9),$E$9+SQRT(S95*($G$9-$E$9)*($F$9-$E$9)),$G$9-SQRT((1-S95)*($G$9-$E$9)*($G$9-$F$9))))</f>
        <v>1</v>
      </c>
      <c r="F95" s="37" t="n">
        <f aca="false">1+IF($G$10=$E$10,$F$10,IF(T95&lt;($F$10-$E$10)/($G$10-$E$10),$E$10+SQRT(T95*($G$10-$E$10)*($F$10-$E$10)),$G$10-SQRT((1-T95)*($G$10-$E$10)*($G$10-$F$10))))</f>
        <v>1</v>
      </c>
      <c r="G95" s="38" t="n">
        <f aca="false">IF($G$11=$E$11,$F$11,IF(U95&lt;($F$11-$E$11)/($G$11-$E$11),$E$11+SQRT(U95*($G$11-$E$11)*($F$11-$E$11)),$G$11-SQRT((1-U95)*($G$11-$E$11)*($G$11-$F$11))))</f>
        <v>0</v>
      </c>
      <c r="H95" s="39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0</v>
      </c>
      <c r="I95" s="39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0</v>
      </c>
      <c r="J95" s="39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0</v>
      </c>
      <c r="K95" s="39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0</v>
      </c>
      <c r="L95" s="39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0</v>
      </c>
      <c r="M95" s="39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0</v>
      </c>
      <c r="N95" s="39" t="str">
        <f aca="false">IF(COUNT('Business Case'!B11:G11)=0,"",H95+NPV(G95,I95:M95))</f>
        <v/>
      </c>
      <c r="P95" s="40" t="n">
        <f aca="true">RAND()</f>
        <v>0.323290681674077</v>
      </c>
      <c r="Q95" s="40" t="n">
        <f aca="true">RAND()</f>
        <v>0.279320035026516</v>
      </c>
      <c r="R95" s="40" t="n">
        <f aca="true">RAND()</f>
        <v>0.766912610330287</v>
      </c>
      <c r="S95" s="40" t="n">
        <f aca="true">RAND()</f>
        <v>0.854320196723525</v>
      </c>
      <c r="T95" s="40" t="n">
        <f aca="true">RAND()</f>
        <v>0.130990154568944</v>
      </c>
      <c r="U95" s="40" t="n">
        <f aca="true">RAND()</f>
        <v>0.342474414059727</v>
      </c>
    </row>
    <row r="96" customFormat="false" ht="15" hidden="false" customHeight="false" outlineLevel="0" collapsed="false">
      <c r="A96" s="36" t="n">
        <v>16</v>
      </c>
      <c r="B96" s="37" t="n">
        <f aca="false">1+IF($G$6=$E$6,$F$6,IF(P96&lt;($F$6-$E$6)/($G$6-$E$6),$E$6+SQRT(P96*($G$6-$E$6)*($F$6-$E$6)),$G$6-SQRT((1-P96)*($G$6-$E$6)*($G$6-$F$6))))</f>
        <v>1</v>
      </c>
      <c r="C96" s="37" t="n">
        <f aca="false">1+IF($G$7=$E$7,$F$7,IF(Q96&lt;($F$7-$E$7)/($G$7-$E$7),$E$7+SQRT(Q96*($G$7-$E$7)*($F$7-$E$7)),$G$7-SQRT((1-Q96)*($G$7-$E$7)*($G$7-$F$7))))</f>
        <v>1</v>
      </c>
      <c r="D96" s="37" t="n">
        <f aca="false">1+IF($G$8=$E$8,$F$8,IF(R96&lt;($F$8-$E$8)/($G$8-$E$8),$E$8+SQRT(R96*($G$8-$E$8)*($F$8-$E$8)),$G$8-SQRT((1-R96)*($G$8-$E$8)*($G$8-$F$8))))</f>
        <v>1</v>
      </c>
      <c r="E96" s="37" t="n">
        <f aca="false">1+IF($G$9=$E$9,$F$9,IF(S96&lt;($F$9-$E$9)/($G$9-$E$9),$E$9+SQRT(S96*($G$9-$E$9)*($F$9-$E$9)),$G$9-SQRT((1-S96)*($G$9-$E$9)*($G$9-$F$9))))</f>
        <v>1</v>
      </c>
      <c r="F96" s="37" t="n">
        <f aca="false">1+IF($G$10=$E$10,$F$10,IF(T96&lt;($F$10-$E$10)/($G$10-$E$10),$E$10+SQRT(T96*($G$10-$E$10)*($F$10-$E$10)),$G$10-SQRT((1-T96)*($G$10-$E$10)*($G$10-$F$10))))</f>
        <v>1</v>
      </c>
      <c r="G96" s="38" t="n">
        <f aca="false">IF($G$11=$E$11,$F$11,IF(U96&lt;($F$11-$E$11)/($G$11-$E$11),$E$11+SQRT(U96*($G$11-$E$11)*($F$11-$E$11)),$G$11-SQRT((1-U96)*($G$11-$E$11)*($G$11-$F$11))))</f>
        <v>0</v>
      </c>
      <c r="H96" s="39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0</v>
      </c>
      <c r="I96" s="39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0</v>
      </c>
      <c r="J96" s="39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0</v>
      </c>
      <c r="K96" s="39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0</v>
      </c>
      <c r="L96" s="39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0</v>
      </c>
      <c r="M96" s="39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0</v>
      </c>
      <c r="N96" s="39" t="str">
        <f aca="false">IF(COUNT('Business Case'!B11:G11)=0,"",H96+NPV(G96,I96:M96))</f>
        <v/>
      </c>
      <c r="P96" s="40" t="n">
        <f aca="true">RAND()</f>
        <v>0.723329419703952</v>
      </c>
      <c r="Q96" s="40" t="n">
        <f aca="true">RAND()</f>
        <v>0.786970214754438</v>
      </c>
      <c r="R96" s="40" t="n">
        <f aca="true">RAND()</f>
        <v>0.585414092974736</v>
      </c>
      <c r="S96" s="40" t="n">
        <f aca="true">RAND()</f>
        <v>0.912144102654446</v>
      </c>
      <c r="T96" s="40" t="n">
        <f aca="true">RAND()</f>
        <v>0.365256383270237</v>
      </c>
      <c r="U96" s="40" t="n">
        <f aca="true">RAND()</f>
        <v>0.384863177598498</v>
      </c>
    </row>
    <row r="97" customFormat="false" ht="15" hidden="false" customHeight="false" outlineLevel="0" collapsed="false">
      <c r="A97" s="36" t="n">
        <v>17</v>
      </c>
      <c r="B97" s="37" t="n">
        <f aca="false">1+IF($G$6=$E$6,$F$6,IF(P97&lt;($F$6-$E$6)/($G$6-$E$6),$E$6+SQRT(P97*($G$6-$E$6)*($F$6-$E$6)),$G$6-SQRT((1-P97)*($G$6-$E$6)*($G$6-$F$6))))</f>
        <v>1</v>
      </c>
      <c r="C97" s="37" t="n">
        <f aca="false">1+IF($G$7=$E$7,$F$7,IF(Q97&lt;($F$7-$E$7)/($G$7-$E$7),$E$7+SQRT(Q97*($G$7-$E$7)*($F$7-$E$7)),$G$7-SQRT((1-Q97)*($G$7-$E$7)*($G$7-$F$7))))</f>
        <v>1</v>
      </c>
      <c r="D97" s="37" t="n">
        <f aca="false">1+IF($G$8=$E$8,$F$8,IF(R97&lt;($F$8-$E$8)/($G$8-$E$8),$E$8+SQRT(R97*($G$8-$E$8)*($F$8-$E$8)),$G$8-SQRT((1-R97)*($G$8-$E$8)*($G$8-$F$8))))</f>
        <v>1</v>
      </c>
      <c r="E97" s="37" t="n">
        <f aca="false">1+IF($G$9=$E$9,$F$9,IF(S97&lt;($F$9-$E$9)/($G$9-$E$9),$E$9+SQRT(S97*($G$9-$E$9)*($F$9-$E$9)),$G$9-SQRT((1-S97)*($G$9-$E$9)*($G$9-$F$9))))</f>
        <v>1</v>
      </c>
      <c r="F97" s="37" t="n">
        <f aca="false">1+IF($G$10=$E$10,$F$10,IF(T97&lt;($F$10-$E$10)/($G$10-$E$10),$E$10+SQRT(T97*($G$10-$E$10)*($F$10-$E$10)),$G$10-SQRT((1-T97)*($G$10-$E$10)*($G$10-$F$10))))</f>
        <v>1</v>
      </c>
      <c r="G97" s="38" t="n">
        <f aca="false">IF($G$11=$E$11,$F$11,IF(U97&lt;($F$11-$E$11)/($G$11-$E$11),$E$11+SQRT(U97*($G$11-$E$11)*($F$11-$E$11)),$G$11-SQRT((1-U97)*($G$11-$E$11)*($G$11-$F$11))))</f>
        <v>0</v>
      </c>
      <c r="H97" s="39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0</v>
      </c>
      <c r="I97" s="39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0</v>
      </c>
      <c r="J97" s="39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0</v>
      </c>
      <c r="K97" s="39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0</v>
      </c>
      <c r="L97" s="39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0</v>
      </c>
      <c r="M97" s="39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0</v>
      </c>
      <c r="N97" s="39" t="str">
        <f aca="false">IF(COUNT('Business Case'!B11:G11)=0,"",H97+NPV(G97,I97:M97))</f>
        <v/>
      </c>
      <c r="P97" s="40" t="n">
        <f aca="true">RAND()</f>
        <v>0.154254147153042</v>
      </c>
      <c r="Q97" s="40" t="n">
        <f aca="true">RAND()</f>
        <v>0.684817714399718</v>
      </c>
      <c r="R97" s="40" t="n">
        <f aca="true">RAND()</f>
        <v>0.968031954006352</v>
      </c>
      <c r="S97" s="40" t="n">
        <f aca="true">RAND()</f>
        <v>0.231302649043025</v>
      </c>
      <c r="T97" s="40" t="n">
        <f aca="true">RAND()</f>
        <v>0.911945677565584</v>
      </c>
      <c r="U97" s="40" t="n">
        <f aca="true">RAND()</f>
        <v>0.519302823032407</v>
      </c>
    </row>
    <row r="98" customFormat="false" ht="15" hidden="false" customHeight="false" outlineLevel="0" collapsed="false">
      <c r="A98" s="36" t="n">
        <v>18</v>
      </c>
      <c r="B98" s="37" t="n">
        <f aca="false">1+IF($G$6=$E$6,$F$6,IF(P98&lt;($F$6-$E$6)/($G$6-$E$6),$E$6+SQRT(P98*($G$6-$E$6)*($F$6-$E$6)),$G$6-SQRT((1-P98)*($G$6-$E$6)*($G$6-$F$6))))</f>
        <v>1</v>
      </c>
      <c r="C98" s="37" t="n">
        <f aca="false">1+IF($G$7=$E$7,$F$7,IF(Q98&lt;($F$7-$E$7)/($G$7-$E$7),$E$7+SQRT(Q98*($G$7-$E$7)*($F$7-$E$7)),$G$7-SQRT((1-Q98)*($G$7-$E$7)*($G$7-$F$7))))</f>
        <v>1</v>
      </c>
      <c r="D98" s="37" t="n">
        <f aca="false">1+IF($G$8=$E$8,$F$8,IF(R98&lt;($F$8-$E$8)/($G$8-$E$8),$E$8+SQRT(R98*($G$8-$E$8)*($F$8-$E$8)),$G$8-SQRT((1-R98)*($G$8-$E$8)*($G$8-$F$8))))</f>
        <v>1</v>
      </c>
      <c r="E98" s="37" t="n">
        <f aca="false">1+IF($G$9=$E$9,$F$9,IF(S98&lt;($F$9-$E$9)/($G$9-$E$9),$E$9+SQRT(S98*($G$9-$E$9)*($F$9-$E$9)),$G$9-SQRT((1-S98)*($G$9-$E$9)*($G$9-$F$9))))</f>
        <v>1</v>
      </c>
      <c r="F98" s="37" t="n">
        <f aca="false">1+IF($G$10=$E$10,$F$10,IF(T98&lt;($F$10-$E$10)/($G$10-$E$10),$E$10+SQRT(T98*($G$10-$E$10)*($F$10-$E$10)),$G$10-SQRT((1-T98)*($G$10-$E$10)*($G$10-$F$10))))</f>
        <v>1</v>
      </c>
      <c r="G98" s="38" t="n">
        <f aca="false">IF($G$11=$E$11,$F$11,IF(U98&lt;($F$11-$E$11)/($G$11-$E$11),$E$11+SQRT(U98*($G$11-$E$11)*($F$11-$E$11)),$G$11-SQRT((1-U98)*($G$11-$E$11)*($G$11-$F$11))))</f>
        <v>0</v>
      </c>
      <c r="H98" s="39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0</v>
      </c>
      <c r="I98" s="39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0</v>
      </c>
      <c r="J98" s="39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0</v>
      </c>
      <c r="K98" s="39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0</v>
      </c>
      <c r="L98" s="39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0</v>
      </c>
      <c r="M98" s="39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0</v>
      </c>
      <c r="N98" s="39" t="str">
        <f aca="false">IF(COUNT('Business Case'!B11:G11)=0,"",H98+NPV(G98,I98:M98))</f>
        <v/>
      </c>
      <c r="P98" s="40" t="n">
        <f aca="true">RAND()</f>
        <v>0.941199103548946</v>
      </c>
      <c r="Q98" s="40" t="n">
        <f aca="true">RAND()</f>
        <v>0.432218122712684</v>
      </c>
      <c r="R98" s="40" t="n">
        <f aca="true">RAND()</f>
        <v>0.519937238912908</v>
      </c>
      <c r="S98" s="40" t="n">
        <f aca="true">RAND()</f>
        <v>0.760791544864349</v>
      </c>
      <c r="T98" s="40" t="n">
        <f aca="true">RAND()</f>
        <v>0.692452604911428</v>
      </c>
      <c r="U98" s="40" t="n">
        <f aca="true">RAND()</f>
        <v>0.145157331705793</v>
      </c>
    </row>
    <row r="99" customFormat="false" ht="15" hidden="false" customHeight="false" outlineLevel="0" collapsed="false">
      <c r="A99" s="36" t="n">
        <v>19</v>
      </c>
      <c r="B99" s="37" t="n">
        <f aca="false">1+IF($G$6=$E$6,$F$6,IF(P99&lt;($F$6-$E$6)/($G$6-$E$6),$E$6+SQRT(P99*($G$6-$E$6)*($F$6-$E$6)),$G$6-SQRT((1-P99)*($G$6-$E$6)*($G$6-$F$6))))</f>
        <v>1</v>
      </c>
      <c r="C99" s="37" t="n">
        <f aca="false">1+IF($G$7=$E$7,$F$7,IF(Q99&lt;($F$7-$E$7)/($G$7-$E$7),$E$7+SQRT(Q99*($G$7-$E$7)*($F$7-$E$7)),$G$7-SQRT((1-Q99)*($G$7-$E$7)*($G$7-$F$7))))</f>
        <v>1</v>
      </c>
      <c r="D99" s="37" t="n">
        <f aca="false">1+IF($G$8=$E$8,$F$8,IF(R99&lt;($F$8-$E$8)/($G$8-$E$8),$E$8+SQRT(R99*($G$8-$E$8)*($F$8-$E$8)),$G$8-SQRT((1-R99)*($G$8-$E$8)*($G$8-$F$8))))</f>
        <v>1</v>
      </c>
      <c r="E99" s="37" t="n">
        <f aca="false">1+IF($G$9=$E$9,$F$9,IF(S99&lt;($F$9-$E$9)/($G$9-$E$9),$E$9+SQRT(S99*($G$9-$E$9)*($F$9-$E$9)),$G$9-SQRT((1-S99)*($G$9-$E$9)*($G$9-$F$9))))</f>
        <v>1</v>
      </c>
      <c r="F99" s="37" t="n">
        <f aca="false">1+IF($G$10=$E$10,$F$10,IF(T99&lt;($F$10-$E$10)/($G$10-$E$10),$E$10+SQRT(T99*($G$10-$E$10)*($F$10-$E$10)),$G$10-SQRT((1-T99)*($G$10-$E$10)*($G$10-$F$10))))</f>
        <v>1</v>
      </c>
      <c r="G99" s="38" t="n">
        <f aca="false">IF($G$11=$E$11,$F$11,IF(U99&lt;($F$11-$E$11)/($G$11-$E$11),$E$11+SQRT(U99*($G$11-$E$11)*($F$11-$E$11)),$G$11-SQRT((1-U99)*($G$11-$E$11)*($G$11-$F$11))))</f>
        <v>0</v>
      </c>
      <c r="H99" s="39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0</v>
      </c>
      <c r="I99" s="39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0</v>
      </c>
      <c r="J99" s="39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0</v>
      </c>
      <c r="K99" s="39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0</v>
      </c>
      <c r="L99" s="39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0</v>
      </c>
      <c r="M99" s="39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0</v>
      </c>
      <c r="N99" s="39" t="str">
        <f aca="false">IF(COUNT('Business Case'!B11:G11)=0,"",H99+NPV(G99,I99:M99))</f>
        <v/>
      </c>
      <c r="P99" s="40" t="n">
        <f aca="true">RAND()</f>
        <v>0.908224335974371</v>
      </c>
      <c r="Q99" s="40" t="n">
        <f aca="true">RAND()</f>
        <v>0.487734301563677</v>
      </c>
      <c r="R99" s="40" t="n">
        <f aca="true">RAND()</f>
        <v>0.739335695034141</v>
      </c>
      <c r="S99" s="40" t="n">
        <f aca="true">RAND()</f>
        <v>0.43040039127496</v>
      </c>
      <c r="T99" s="40" t="n">
        <f aca="true">RAND()</f>
        <v>0.199918416909548</v>
      </c>
      <c r="U99" s="40" t="n">
        <f aca="true">RAND()</f>
        <v>0.880342232612127</v>
      </c>
    </row>
    <row r="100" customFormat="false" ht="15" hidden="false" customHeight="false" outlineLevel="0" collapsed="false">
      <c r="A100" s="36" t="n">
        <v>20</v>
      </c>
      <c r="B100" s="37" t="n">
        <f aca="false">1+IF($G$6=$E$6,$F$6,IF(P100&lt;($F$6-$E$6)/($G$6-$E$6),$E$6+SQRT(P100*($G$6-$E$6)*($F$6-$E$6)),$G$6-SQRT((1-P100)*($G$6-$E$6)*($G$6-$F$6))))</f>
        <v>1</v>
      </c>
      <c r="C100" s="37" t="n">
        <f aca="false">1+IF($G$7=$E$7,$F$7,IF(Q100&lt;($F$7-$E$7)/($G$7-$E$7),$E$7+SQRT(Q100*($G$7-$E$7)*($F$7-$E$7)),$G$7-SQRT((1-Q100)*($G$7-$E$7)*($G$7-$F$7))))</f>
        <v>1</v>
      </c>
      <c r="D100" s="37" t="n">
        <f aca="false">1+IF($G$8=$E$8,$F$8,IF(R100&lt;($F$8-$E$8)/($G$8-$E$8),$E$8+SQRT(R100*($G$8-$E$8)*($F$8-$E$8)),$G$8-SQRT((1-R100)*($G$8-$E$8)*($G$8-$F$8))))</f>
        <v>1</v>
      </c>
      <c r="E100" s="37" t="n">
        <f aca="false">1+IF($G$9=$E$9,$F$9,IF(S100&lt;($F$9-$E$9)/($G$9-$E$9),$E$9+SQRT(S100*($G$9-$E$9)*($F$9-$E$9)),$G$9-SQRT((1-S100)*($G$9-$E$9)*($G$9-$F$9))))</f>
        <v>1</v>
      </c>
      <c r="F100" s="37" t="n">
        <f aca="false">1+IF($G$10=$E$10,$F$10,IF(T100&lt;($F$10-$E$10)/($G$10-$E$10),$E$10+SQRT(T100*($G$10-$E$10)*($F$10-$E$10)),$G$10-SQRT((1-T100)*($G$10-$E$10)*($G$10-$F$10))))</f>
        <v>1</v>
      </c>
      <c r="G100" s="38" t="n">
        <f aca="false">IF($G$11=$E$11,$F$11,IF(U100&lt;($F$11-$E$11)/($G$11-$E$11),$E$11+SQRT(U100*($G$11-$E$11)*($F$11-$E$11)),$G$11-SQRT((1-U100)*($G$11-$E$11)*($G$11-$F$11))))</f>
        <v>0</v>
      </c>
      <c r="H100" s="39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0</v>
      </c>
      <c r="I100" s="39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0</v>
      </c>
      <c r="J100" s="39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0</v>
      </c>
      <c r="K100" s="39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0</v>
      </c>
      <c r="L100" s="39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0</v>
      </c>
      <c r="M100" s="39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0</v>
      </c>
      <c r="N100" s="39" t="str">
        <f aca="false">IF(COUNT('Business Case'!B11:G11)=0,"",H100+NPV(G100,I100:M100))</f>
        <v/>
      </c>
      <c r="P100" s="40" t="n">
        <f aca="true">RAND()</f>
        <v>0.196959722912947</v>
      </c>
      <c r="Q100" s="40" t="n">
        <f aca="true">RAND()</f>
        <v>0.700257612558848</v>
      </c>
      <c r="R100" s="40" t="n">
        <f aca="true">RAND()</f>
        <v>0.952329538853417</v>
      </c>
      <c r="S100" s="40" t="n">
        <f aca="true">RAND()</f>
        <v>0.770833777560178</v>
      </c>
      <c r="T100" s="40" t="n">
        <f aca="true">RAND()</f>
        <v>0.629496558343347</v>
      </c>
      <c r="U100" s="40" t="n">
        <f aca="true">RAND()</f>
        <v>0.554566665904592</v>
      </c>
    </row>
    <row r="101" customFormat="false" ht="15" hidden="false" customHeight="false" outlineLevel="0" collapsed="false">
      <c r="A101" s="36" t="n">
        <v>21</v>
      </c>
      <c r="B101" s="37" t="n">
        <f aca="false">1+IF($G$6=$E$6,$F$6,IF(P101&lt;($F$6-$E$6)/($G$6-$E$6),$E$6+SQRT(P101*($G$6-$E$6)*($F$6-$E$6)),$G$6-SQRT((1-P101)*($G$6-$E$6)*($G$6-$F$6))))</f>
        <v>1</v>
      </c>
      <c r="C101" s="37" t="n">
        <f aca="false">1+IF($G$7=$E$7,$F$7,IF(Q101&lt;($F$7-$E$7)/($G$7-$E$7),$E$7+SQRT(Q101*($G$7-$E$7)*($F$7-$E$7)),$G$7-SQRT((1-Q101)*($G$7-$E$7)*($G$7-$F$7))))</f>
        <v>1</v>
      </c>
      <c r="D101" s="37" t="n">
        <f aca="false">1+IF($G$8=$E$8,$F$8,IF(R101&lt;($F$8-$E$8)/($G$8-$E$8),$E$8+SQRT(R101*($G$8-$E$8)*($F$8-$E$8)),$G$8-SQRT((1-R101)*($G$8-$E$8)*($G$8-$F$8))))</f>
        <v>1</v>
      </c>
      <c r="E101" s="37" t="n">
        <f aca="false">1+IF($G$9=$E$9,$F$9,IF(S101&lt;($F$9-$E$9)/($G$9-$E$9),$E$9+SQRT(S101*($G$9-$E$9)*($F$9-$E$9)),$G$9-SQRT((1-S101)*($G$9-$E$9)*($G$9-$F$9))))</f>
        <v>1</v>
      </c>
      <c r="F101" s="37" t="n">
        <f aca="false">1+IF($G$10=$E$10,$F$10,IF(T101&lt;($F$10-$E$10)/($G$10-$E$10),$E$10+SQRT(T101*($G$10-$E$10)*($F$10-$E$10)),$G$10-SQRT((1-T101)*($G$10-$E$10)*($G$10-$F$10))))</f>
        <v>1</v>
      </c>
      <c r="G101" s="38" t="n">
        <f aca="false">IF($G$11=$E$11,$F$11,IF(U101&lt;($F$11-$E$11)/($G$11-$E$11),$E$11+SQRT(U101*($G$11-$E$11)*($F$11-$E$11)),$G$11-SQRT((1-U101)*($G$11-$E$11)*($G$11-$F$11))))</f>
        <v>0</v>
      </c>
      <c r="H101" s="39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0</v>
      </c>
      <c r="I101" s="39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0</v>
      </c>
      <c r="J101" s="39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0</v>
      </c>
      <c r="K101" s="39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0</v>
      </c>
      <c r="L101" s="39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0</v>
      </c>
      <c r="M101" s="39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0</v>
      </c>
      <c r="N101" s="39" t="str">
        <f aca="false">IF(COUNT('Business Case'!B11:G11)=0,"",H101+NPV(G101,I101:M101))</f>
        <v/>
      </c>
      <c r="P101" s="40" t="n">
        <f aca="true">RAND()</f>
        <v>0.14550134701702</v>
      </c>
      <c r="Q101" s="40" t="n">
        <f aca="true">RAND()</f>
        <v>0.620367771529022</v>
      </c>
      <c r="R101" s="40" t="n">
        <f aca="true">RAND()</f>
        <v>0.168759257097208</v>
      </c>
      <c r="S101" s="40" t="n">
        <f aca="true">RAND()</f>
        <v>0.283881780773232</v>
      </c>
      <c r="T101" s="40" t="n">
        <f aca="true">RAND()</f>
        <v>0.00447534173574326</v>
      </c>
      <c r="U101" s="40" t="n">
        <f aca="true">RAND()</f>
        <v>0.872403860196537</v>
      </c>
    </row>
    <row r="102" customFormat="false" ht="15" hidden="false" customHeight="false" outlineLevel="0" collapsed="false">
      <c r="A102" s="36" t="n">
        <v>22</v>
      </c>
      <c r="B102" s="37" t="n">
        <f aca="false">1+IF($G$6=$E$6,$F$6,IF(P102&lt;($F$6-$E$6)/($G$6-$E$6),$E$6+SQRT(P102*($G$6-$E$6)*($F$6-$E$6)),$G$6-SQRT((1-P102)*($G$6-$E$6)*($G$6-$F$6))))</f>
        <v>1</v>
      </c>
      <c r="C102" s="37" t="n">
        <f aca="false">1+IF($G$7=$E$7,$F$7,IF(Q102&lt;($F$7-$E$7)/($G$7-$E$7),$E$7+SQRT(Q102*($G$7-$E$7)*($F$7-$E$7)),$G$7-SQRT((1-Q102)*($G$7-$E$7)*($G$7-$F$7))))</f>
        <v>1</v>
      </c>
      <c r="D102" s="37" t="n">
        <f aca="false">1+IF($G$8=$E$8,$F$8,IF(R102&lt;($F$8-$E$8)/($G$8-$E$8),$E$8+SQRT(R102*($G$8-$E$8)*($F$8-$E$8)),$G$8-SQRT((1-R102)*($G$8-$E$8)*($G$8-$F$8))))</f>
        <v>1</v>
      </c>
      <c r="E102" s="37" t="n">
        <f aca="false">1+IF($G$9=$E$9,$F$9,IF(S102&lt;($F$9-$E$9)/($G$9-$E$9),$E$9+SQRT(S102*($G$9-$E$9)*($F$9-$E$9)),$G$9-SQRT((1-S102)*($G$9-$E$9)*($G$9-$F$9))))</f>
        <v>1</v>
      </c>
      <c r="F102" s="37" t="n">
        <f aca="false">1+IF($G$10=$E$10,$F$10,IF(T102&lt;($F$10-$E$10)/($G$10-$E$10),$E$10+SQRT(T102*($G$10-$E$10)*($F$10-$E$10)),$G$10-SQRT((1-T102)*($G$10-$E$10)*($G$10-$F$10))))</f>
        <v>1</v>
      </c>
      <c r="G102" s="38" t="n">
        <f aca="false">IF($G$11=$E$11,$F$11,IF(U102&lt;($F$11-$E$11)/($G$11-$E$11),$E$11+SQRT(U102*($G$11-$E$11)*($F$11-$E$11)),$G$11-SQRT((1-U102)*($G$11-$E$11)*($G$11-$F$11))))</f>
        <v>0</v>
      </c>
      <c r="H102" s="39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0</v>
      </c>
      <c r="I102" s="39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0</v>
      </c>
      <c r="J102" s="39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0</v>
      </c>
      <c r="K102" s="39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0</v>
      </c>
      <c r="L102" s="39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0</v>
      </c>
      <c r="M102" s="39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0</v>
      </c>
      <c r="N102" s="39" t="str">
        <f aca="false">IF(COUNT('Business Case'!B11:G11)=0,"",H102+NPV(G102,I102:M102))</f>
        <v/>
      </c>
      <c r="P102" s="40" t="n">
        <f aca="true">RAND()</f>
        <v>0.230618449099832</v>
      </c>
      <c r="Q102" s="40" t="n">
        <f aca="true">RAND()</f>
        <v>0.374684102461507</v>
      </c>
      <c r="R102" s="40" t="n">
        <f aca="true">RAND()</f>
        <v>0.813330078142784</v>
      </c>
      <c r="S102" s="40" t="n">
        <f aca="true">RAND()</f>
        <v>0.831661533452841</v>
      </c>
      <c r="T102" s="40" t="n">
        <f aca="true">RAND()</f>
        <v>0.5330316733077</v>
      </c>
      <c r="U102" s="40" t="n">
        <f aca="true">RAND()</f>
        <v>0.898892990309666</v>
      </c>
    </row>
    <row r="103" customFormat="false" ht="15" hidden="false" customHeight="false" outlineLevel="0" collapsed="false">
      <c r="A103" s="36" t="n">
        <v>23</v>
      </c>
      <c r="B103" s="37" t="n">
        <f aca="false">1+IF($G$6=$E$6,$F$6,IF(P103&lt;($F$6-$E$6)/($G$6-$E$6),$E$6+SQRT(P103*($G$6-$E$6)*($F$6-$E$6)),$G$6-SQRT((1-P103)*($G$6-$E$6)*($G$6-$F$6))))</f>
        <v>1</v>
      </c>
      <c r="C103" s="37" t="n">
        <f aca="false">1+IF($G$7=$E$7,$F$7,IF(Q103&lt;($F$7-$E$7)/($G$7-$E$7),$E$7+SQRT(Q103*($G$7-$E$7)*($F$7-$E$7)),$G$7-SQRT((1-Q103)*($G$7-$E$7)*($G$7-$F$7))))</f>
        <v>1</v>
      </c>
      <c r="D103" s="37" t="n">
        <f aca="false">1+IF($G$8=$E$8,$F$8,IF(R103&lt;($F$8-$E$8)/($G$8-$E$8),$E$8+SQRT(R103*($G$8-$E$8)*($F$8-$E$8)),$G$8-SQRT((1-R103)*($G$8-$E$8)*($G$8-$F$8))))</f>
        <v>1</v>
      </c>
      <c r="E103" s="37" t="n">
        <f aca="false">1+IF($G$9=$E$9,$F$9,IF(S103&lt;($F$9-$E$9)/($G$9-$E$9),$E$9+SQRT(S103*($G$9-$E$9)*($F$9-$E$9)),$G$9-SQRT((1-S103)*($G$9-$E$9)*($G$9-$F$9))))</f>
        <v>1</v>
      </c>
      <c r="F103" s="37" t="n">
        <f aca="false">1+IF($G$10=$E$10,$F$10,IF(T103&lt;($F$10-$E$10)/($G$10-$E$10),$E$10+SQRT(T103*($G$10-$E$10)*($F$10-$E$10)),$G$10-SQRT((1-T103)*($G$10-$E$10)*($G$10-$F$10))))</f>
        <v>1</v>
      </c>
      <c r="G103" s="38" t="n">
        <f aca="false">IF($G$11=$E$11,$F$11,IF(U103&lt;($F$11-$E$11)/($G$11-$E$11),$E$11+SQRT(U103*($G$11-$E$11)*($F$11-$E$11)),$G$11-SQRT((1-U103)*($G$11-$E$11)*($G$11-$F$11))))</f>
        <v>0</v>
      </c>
      <c r="H103" s="39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0</v>
      </c>
      <c r="I103" s="39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0</v>
      </c>
      <c r="J103" s="39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0</v>
      </c>
      <c r="K103" s="39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0</v>
      </c>
      <c r="L103" s="39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0</v>
      </c>
      <c r="M103" s="39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0</v>
      </c>
      <c r="N103" s="39" t="str">
        <f aca="false">IF(COUNT('Business Case'!B11:G11)=0,"",H103+NPV(G103,I103:M103))</f>
        <v/>
      </c>
      <c r="P103" s="40" t="n">
        <f aca="true">RAND()</f>
        <v>0.32356606535068</v>
      </c>
      <c r="Q103" s="40" t="n">
        <f aca="true">RAND()</f>
        <v>0.0617626404363979</v>
      </c>
      <c r="R103" s="40" t="n">
        <f aca="true">RAND()</f>
        <v>0.890947983795279</v>
      </c>
      <c r="S103" s="40" t="n">
        <f aca="true">RAND()</f>
        <v>0.210837524910429</v>
      </c>
      <c r="T103" s="40" t="n">
        <f aca="true">RAND()</f>
        <v>0.019764458072347</v>
      </c>
      <c r="U103" s="40" t="n">
        <f aca="true">RAND()</f>
        <v>0.353288305383368</v>
      </c>
    </row>
    <row r="104" customFormat="false" ht="15" hidden="false" customHeight="false" outlineLevel="0" collapsed="false">
      <c r="A104" s="36" t="n">
        <v>24</v>
      </c>
      <c r="B104" s="37" t="n">
        <f aca="false">1+IF($G$6=$E$6,$F$6,IF(P104&lt;($F$6-$E$6)/($G$6-$E$6),$E$6+SQRT(P104*($G$6-$E$6)*($F$6-$E$6)),$G$6-SQRT((1-P104)*($G$6-$E$6)*($G$6-$F$6))))</f>
        <v>1</v>
      </c>
      <c r="C104" s="37" t="n">
        <f aca="false">1+IF($G$7=$E$7,$F$7,IF(Q104&lt;($F$7-$E$7)/($G$7-$E$7),$E$7+SQRT(Q104*($G$7-$E$7)*($F$7-$E$7)),$G$7-SQRT((1-Q104)*($G$7-$E$7)*($G$7-$F$7))))</f>
        <v>1</v>
      </c>
      <c r="D104" s="37" t="n">
        <f aca="false">1+IF($G$8=$E$8,$F$8,IF(R104&lt;($F$8-$E$8)/($G$8-$E$8),$E$8+SQRT(R104*($G$8-$E$8)*($F$8-$E$8)),$G$8-SQRT((1-R104)*($G$8-$E$8)*($G$8-$F$8))))</f>
        <v>1</v>
      </c>
      <c r="E104" s="37" t="n">
        <f aca="false">1+IF($G$9=$E$9,$F$9,IF(S104&lt;($F$9-$E$9)/($G$9-$E$9),$E$9+SQRT(S104*($G$9-$E$9)*($F$9-$E$9)),$G$9-SQRT((1-S104)*($G$9-$E$9)*($G$9-$F$9))))</f>
        <v>1</v>
      </c>
      <c r="F104" s="37" t="n">
        <f aca="false">1+IF($G$10=$E$10,$F$10,IF(T104&lt;($F$10-$E$10)/($G$10-$E$10),$E$10+SQRT(T104*($G$10-$E$10)*($F$10-$E$10)),$G$10-SQRT((1-T104)*($G$10-$E$10)*($G$10-$F$10))))</f>
        <v>1</v>
      </c>
      <c r="G104" s="38" t="n">
        <f aca="false">IF($G$11=$E$11,$F$11,IF(U104&lt;($F$11-$E$11)/($G$11-$E$11),$E$11+SQRT(U104*($G$11-$E$11)*($F$11-$E$11)),$G$11-SQRT((1-U104)*($G$11-$E$11)*($G$11-$F$11))))</f>
        <v>0</v>
      </c>
      <c r="H104" s="39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0</v>
      </c>
      <c r="I104" s="39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0</v>
      </c>
      <c r="J104" s="39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0</v>
      </c>
      <c r="K104" s="39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0</v>
      </c>
      <c r="L104" s="39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0</v>
      </c>
      <c r="M104" s="39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0</v>
      </c>
      <c r="N104" s="39" t="str">
        <f aca="false">IF(COUNT('Business Case'!B11:G11)=0,"",H104+NPV(G104,I104:M104))</f>
        <v/>
      </c>
      <c r="P104" s="40" t="n">
        <f aca="true">RAND()</f>
        <v>0.13184954778363</v>
      </c>
      <c r="Q104" s="40" t="n">
        <f aca="true">RAND()</f>
        <v>0.278083945441411</v>
      </c>
      <c r="R104" s="40" t="n">
        <f aca="true">RAND()</f>
        <v>0.817998742858084</v>
      </c>
      <c r="S104" s="40" t="n">
        <f aca="true">RAND()</f>
        <v>0.995702638620462</v>
      </c>
      <c r="T104" s="40" t="n">
        <f aca="true">RAND()</f>
        <v>0.428017133940263</v>
      </c>
      <c r="U104" s="40" t="n">
        <f aca="true">RAND()</f>
        <v>0.0797881164296066</v>
      </c>
    </row>
    <row r="105" customFormat="false" ht="15" hidden="false" customHeight="false" outlineLevel="0" collapsed="false">
      <c r="A105" s="36" t="n">
        <v>25</v>
      </c>
      <c r="B105" s="37" t="n">
        <f aca="false">1+IF($G$6=$E$6,$F$6,IF(P105&lt;($F$6-$E$6)/($G$6-$E$6),$E$6+SQRT(P105*($G$6-$E$6)*($F$6-$E$6)),$G$6-SQRT((1-P105)*($G$6-$E$6)*($G$6-$F$6))))</f>
        <v>1</v>
      </c>
      <c r="C105" s="37" t="n">
        <f aca="false">1+IF($G$7=$E$7,$F$7,IF(Q105&lt;($F$7-$E$7)/($G$7-$E$7),$E$7+SQRT(Q105*($G$7-$E$7)*($F$7-$E$7)),$G$7-SQRT((1-Q105)*($G$7-$E$7)*($G$7-$F$7))))</f>
        <v>1</v>
      </c>
      <c r="D105" s="37" t="n">
        <f aca="false">1+IF($G$8=$E$8,$F$8,IF(R105&lt;($F$8-$E$8)/($G$8-$E$8),$E$8+SQRT(R105*($G$8-$E$8)*($F$8-$E$8)),$G$8-SQRT((1-R105)*($G$8-$E$8)*($G$8-$F$8))))</f>
        <v>1</v>
      </c>
      <c r="E105" s="37" t="n">
        <f aca="false">1+IF($G$9=$E$9,$F$9,IF(S105&lt;($F$9-$E$9)/($G$9-$E$9),$E$9+SQRT(S105*($G$9-$E$9)*($F$9-$E$9)),$G$9-SQRT((1-S105)*($G$9-$E$9)*($G$9-$F$9))))</f>
        <v>1</v>
      </c>
      <c r="F105" s="37" t="n">
        <f aca="false">1+IF($G$10=$E$10,$F$10,IF(T105&lt;($F$10-$E$10)/($G$10-$E$10),$E$10+SQRT(T105*($G$10-$E$10)*($F$10-$E$10)),$G$10-SQRT((1-T105)*($G$10-$E$10)*($G$10-$F$10))))</f>
        <v>1</v>
      </c>
      <c r="G105" s="38" t="n">
        <f aca="false">IF($G$11=$E$11,$F$11,IF(U105&lt;($F$11-$E$11)/($G$11-$E$11),$E$11+SQRT(U105*($G$11-$E$11)*($F$11-$E$11)),$G$11-SQRT((1-U105)*($G$11-$E$11)*($G$11-$F$11))))</f>
        <v>0</v>
      </c>
      <c r="H105" s="39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0</v>
      </c>
      <c r="I105" s="39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0</v>
      </c>
      <c r="J105" s="39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0</v>
      </c>
      <c r="K105" s="39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0</v>
      </c>
      <c r="L105" s="39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0</v>
      </c>
      <c r="M105" s="39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0</v>
      </c>
      <c r="N105" s="39" t="str">
        <f aca="false">IF(COUNT('Business Case'!B11:G11)=0,"",H105+NPV(G105,I105:M105))</f>
        <v/>
      </c>
      <c r="P105" s="40" t="n">
        <f aca="true">RAND()</f>
        <v>0.484280493155915</v>
      </c>
      <c r="Q105" s="40" t="n">
        <f aca="true">RAND()</f>
        <v>0.916998516420577</v>
      </c>
      <c r="R105" s="40" t="n">
        <f aca="true">RAND()</f>
        <v>0.0366447229087617</v>
      </c>
      <c r="S105" s="40" t="n">
        <f aca="true">RAND()</f>
        <v>0.358120984998789</v>
      </c>
      <c r="T105" s="40" t="n">
        <f aca="true">RAND()</f>
        <v>0.429927415956799</v>
      </c>
      <c r="U105" s="40" t="n">
        <f aca="true">RAND()</f>
        <v>0.534525880141515</v>
      </c>
    </row>
    <row r="106" customFormat="false" ht="15" hidden="false" customHeight="false" outlineLevel="0" collapsed="false">
      <c r="A106" s="36" t="n">
        <v>26</v>
      </c>
      <c r="B106" s="37" t="n">
        <f aca="false">1+IF($G$6=$E$6,$F$6,IF(P106&lt;($F$6-$E$6)/($G$6-$E$6),$E$6+SQRT(P106*($G$6-$E$6)*($F$6-$E$6)),$G$6-SQRT((1-P106)*($G$6-$E$6)*($G$6-$F$6))))</f>
        <v>1</v>
      </c>
      <c r="C106" s="37" t="n">
        <f aca="false">1+IF($G$7=$E$7,$F$7,IF(Q106&lt;($F$7-$E$7)/($G$7-$E$7),$E$7+SQRT(Q106*($G$7-$E$7)*($F$7-$E$7)),$G$7-SQRT((1-Q106)*($G$7-$E$7)*($G$7-$F$7))))</f>
        <v>1</v>
      </c>
      <c r="D106" s="37" t="n">
        <f aca="false">1+IF($G$8=$E$8,$F$8,IF(R106&lt;($F$8-$E$8)/($G$8-$E$8),$E$8+SQRT(R106*($G$8-$E$8)*($F$8-$E$8)),$G$8-SQRT((1-R106)*($G$8-$E$8)*($G$8-$F$8))))</f>
        <v>1</v>
      </c>
      <c r="E106" s="37" t="n">
        <f aca="false">1+IF($G$9=$E$9,$F$9,IF(S106&lt;($F$9-$E$9)/($G$9-$E$9),$E$9+SQRT(S106*($G$9-$E$9)*($F$9-$E$9)),$G$9-SQRT((1-S106)*($G$9-$E$9)*($G$9-$F$9))))</f>
        <v>1</v>
      </c>
      <c r="F106" s="37" t="n">
        <f aca="false">1+IF($G$10=$E$10,$F$10,IF(T106&lt;($F$10-$E$10)/($G$10-$E$10),$E$10+SQRT(T106*($G$10-$E$10)*($F$10-$E$10)),$G$10-SQRT((1-T106)*($G$10-$E$10)*($G$10-$F$10))))</f>
        <v>1</v>
      </c>
      <c r="G106" s="38" t="n">
        <f aca="false">IF($G$11=$E$11,$F$11,IF(U106&lt;($F$11-$E$11)/($G$11-$E$11),$E$11+SQRT(U106*($G$11-$E$11)*($F$11-$E$11)),$G$11-SQRT((1-U106)*($G$11-$E$11)*($G$11-$F$11))))</f>
        <v>0</v>
      </c>
      <c r="H106" s="39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0</v>
      </c>
      <c r="I106" s="39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0</v>
      </c>
      <c r="J106" s="39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0</v>
      </c>
      <c r="K106" s="39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0</v>
      </c>
      <c r="L106" s="39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0</v>
      </c>
      <c r="M106" s="39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0</v>
      </c>
      <c r="N106" s="39" t="str">
        <f aca="false">IF(COUNT('Business Case'!B11:G11)=0,"",H106+NPV(G106,I106:M106))</f>
        <v/>
      </c>
      <c r="P106" s="40" t="n">
        <f aca="true">RAND()</f>
        <v>0.402191273221143</v>
      </c>
      <c r="Q106" s="40" t="n">
        <f aca="true">RAND()</f>
        <v>0.757649498104105</v>
      </c>
      <c r="R106" s="40" t="n">
        <f aca="true">RAND()</f>
        <v>0.0481321945202466</v>
      </c>
      <c r="S106" s="40" t="n">
        <f aca="true">RAND()</f>
        <v>0.572520299130441</v>
      </c>
      <c r="T106" s="40" t="n">
        <f aca="true">RAND()</f>
        <v>0.110155111102146</v>
      </c>
      <c r="U106" s="40" t="n">
        <f aca="true">RAND()</f>
        <v>0.206434852475509</v>
      </c>
    </row>
    <row r="107" customFormat="false" ht="15" hidden="false" customHeight="false" outlineLevel="0" collapsed="false">
      <c r="A107" s="36" t="n">
        <v>27</v>
      </c>
      <c r="B107" s="37" t="n">
        <f aca="false">1+IF($G$6=$E$6,$F$6,IF(P107&lt;($F$6-$E$6)/($G$6-$E$6),$E$6+SQRT(P107*($G$6-$E$6)*($F$6-$E$6)),$G$6-SQRT((1-P107)*($G$6-$E$6)*($G$6-$F$6))))</f>
        <v>1</v>
      </c>
      <c r="C107" s="37" t="n">
        <f aca="false">1+IF($G$7=$E$7,$F$7,IF(Q107&lt;($F$7-$E$7)/($G$7-$E$7),$E$7+SQRT(Q107*($G$7-$E$7)*($F$7-$E$7)),$G$7-SQRT((1-Q107)*($G$7-$E$7)*($G$7-$F$7))))</f>
        <v>1</v>
      </c>
      <c r="D107" s="37" t="n">
        <f aca="false">1+IF($G$8=$E$8,$F$8,IF(R107&lt;($F$8-$E$8)/($G$8-$E$8),$E$8+SQRT(R107*($G$8-$E$8)*($F$8-$E$8)),$G$8-SQRT((1-R107)*($G$8-$E$8)*($G$8-$F$8))))</f>
        <v>1</v>
      </c>
      <c r="E107" s="37" t="n">
        <f aca="false">1+IF($G$9=$E$9,$F$9,IF(S107&lt;($F$9-$E$9)/($G$9-$E$9),$E$9+SQRT(S107*($G$9-$E$9)*($F$9-$E$9)),$G$9-SQRT((1-S107)*($G$9-$E$9)*($G$9-$F$9))))</f>
        <v>1</v>
      </c>
      <c r="F107" s="37" t="n">
        <f aca="false">1+IF($G$10=$E$10,$F$10,IF(T107&lt;($F$10-$E$10)/($G$10-$E$10),$E$10+SQRT(T107*($G$10-$E$10)*($F$10-$E$10)),$G$10-SQRT((1-T107)*($G$10-$E$10)*($G$10-$F$10))))</f>
        <v>1</v>
      </c>
      <c r="G107" s="38" t="n">
        <f aca="false">IF($G$11=$E$11,$F$11,IF(U107&lt;($F$11-$E$11)/($G$11-$E$11),$E$11+SQRT(U107*($G$11-$E$11)*($F$11-$E$11)),$G$11-SQRT((1-U107)*($G$11-$E$11)*($G$11-$F$11))))</f>
        <v>0</v>
      </c>
      <c r="H107" s="39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0</v>
      </c>
      <c r="I107" s="39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0</v>
      </c>
      <c r="J107" s="39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0</v>
      </c>
      <c r="K107" s="39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0</v>
      </c>
      <c r="L107" s="39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0</v>
      </c>
      <c r="M107" s="39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0</v>
      </c>
      <c r="N107" s="39" t="str">
        <f aca="false">IF(COUNT('Business Case'!B11:G11)=0,"",H107+NPV(G107,I107:M107))</f>
        <v/>
      </c>
      <c r="P107" s="40" t="n">
        <f aca="true">RAND()</f>
        <v>0.769244569486618</v>
      </c>
      <c r="Q107" s="40" t="n">
        <f aca="true">RAND()</f>
        <v>0.113167138829757</v>
      </c>
      <c r="R107" s="40" t="n">
        <f aca="true">RAND()</f>
        <v>0.0365880779063301</v>
      </c>
      <c r="S107" s="40" t="n">
        <f aca="true">RAND()</f>
        <v>0.680864685993236</v>
      </c>
      <c r="T107" s="40" t="n">
        <f aca="true">RAND()</f>
        <v>0.0665107717849088</v>
      </c>
      <c r="U107" s="40" t="n">
        <f aca="true">RAND()</f>
        <v>0.330742073768074</v>
      </c>
    </row>
    <row r="108" customFormat="false" ht="15" hidden="false" customHeight="false" outlineLevel="0" collapsed="false">
      <c r="A108" s="36" t="n">
        <v>28</v>
      </c>
      <c r="B108" s="37" t="n">
        <f aca="false">1+IF($G$6=$E$6,$F$6,IF(P108&lt;($F$6-$E$6)/($G$6-$E$6),$E$6+SQRT(P108*($G$6-$E$6)*($F$6-$E$6)),$G$6-SQRT((1-P108)*($G$6-$E$6)*($G$6-$F$6))))</f>
        <v>1</v>
      </c>
      <c r="C108" s="37" t="n">
        <f aca="false">1+IF($G$7=$E$7,$F$7,IF(Q108&lt;($F$7-$E$7)/($G$7-$E$7),$E$7+SQRT(Q108*($G$7-$E$7)*($F$7-$E$7)),$G$7-SQRT((1-Q108)*($G$7-$E$7)*($G$7-$F$7))))</f>
        <v>1</v>
      </c>
      <c r="D108" s="37" t="n">
        <f aca="false">1+IF($G$8=$E$8,$F$8,IF(R108&lt;($F$8-$E$8)/($G$8-$E$8),$E$8+SQRT(R108*($G$8-$E$8)*($F$8-$E$8)),$G$8-SQRT((1-R108)*($G$8-$E$8)*($G$8-$F$8))))</f>
        <v>1</v>
      </c>
      <c r="E108" s="37" t="n">
        <f aca="false">1+IF($G$9=$E$9,$F$9,IF(S108&lt;($F$9-$E$9)/($G$9-$E$9),$E$9+SQRT(S108*($G$9-$E$9)*($F$9-$E$9)),$G$9-SQRT((1-S108)*($G$9-$E$9)*($G$9-$F$9))))</f>
        <v>1</v>
      </c>
      <c r="F108" s="37" t="n">
        <f aca="false">1+IF($G$10=$E$10,$F$10,IF(T108&lt;($F$10-$E$10)/($G$10-$E$10),$E$10+SQRT(T108*($G$10-$E$10)*($F$10-$E$10)),$G$10-SQRT((1-T108)*($G$10-$E$10)*($G$10-$F$10))))</f>
        <v>1</v>
      </c>
      <c r="G108" s="38" t="n">
        <f aca="false">IF($G$11=$E$11,$F$11,IF(U108&lt;($F$11-$E$11)/($G$11-$E$11),$E$11+SQRT(U108*($G$11-$E$11)*($F$11-$E$11)),$G$11-SQRT((1-U108)*($G$11-$E$11)*($G$11-$F$11))))</f>
        <v>0</v>
      </c>
      <c r="H108" s="39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0</v>
      </c>
      <c r="I108" s="39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0</v>
      </c>
      <c r="J108" s="39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0</v>
      </c>
      <c r="K108" s="39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0</v>
      </c>
      <c r="L108" s="39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0</v>
      </c>
      <c r="M108" s="39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0</v>
      </c>
      <c r="N108" s="39" t="str">
        <f aca="false">IF(COUNT('Business Case'!B11:G11)=0,"",H108+NPV(G108,I108:M108))</f>
        <v/>
      </c>
      <c r="P108" s="40" t="n">
        <f aca="true">RAND()</f>
        <v>0.29233701305616</v>
      </c>
      <c r="Q108" s="40" t="n">
        <f aca="true">RAND()</f>
        <v>0.131225783586223</v>
      </c>
      <c r="R108" s="40" t="n">
        <f aca="true">RAND()</f>
        <v>0.0750435446385701</v>
      </c>
      <c r="S108" s="40" t="n">
        <f aca="true">RAND()</f>
        <v>0.834354378618411</v>
      </c>
      <c r="T108" s="40" t="n">
        <f aca="true">RAND()</f>
        <v>0.730838221690399</v>
      </c>
      <c r="U108" s="40" t="n">
        <f aca="true">RAND()</f>
        <v>0.330033670921104</v>
      </c>
    </row>
    <row r="109" customFormat="false" ht="15" hidden="false" customHeight="false" outlineLevel="0" collapsed="false">
      <c r="A109" s="36" t="n">
        <v>29</v>
      </c>
      <c r="B109" s="37" t="n">
        <f aca="false">1+IF($G$6=$E$6,$F$6,IF(P109&lt;($F$6-$E$6)/($G$6-$E$6),$E$6+SQRT(P109*($G$6-$E$6)*($F$6-$E$6)),$G$6-SQRT((1-P109)*($G$6-$E$6)*($G$6-$F$6))))</f>
        <v>1</v>
      </c>
      <c r="C109" s="37" t="n">
        <f aca="false">1+IF($G$7=$E$7,$F$7,IF(Q109&lt;($F$7-$E$7)/($G$7-$E$7),$E$7+SQRT(Q109*($G$7-$E$7)*($F$7-$E$7)),$G$7-SQRT((1-Q109)*($G$7-$E$7)*($G$7-$F$7))))</f>
        <v>1</v>
      </c>
      <c r="D109" s="37" t="n">
        <f aca="false">1+IF($G$8=$E$8,$F$8,IF(R109&lt;($F$8-$E$8)/($G$8-$E$8),$E$8+SQRT(R109*($G$8-$E$8)*($F$8-$E$8)),$G$8-SQRT((1-R109)*($G$8-$E$8)*($G$8-$F$8))))</f>
        <v>1</v>
      </c>
      <c r="E109" s="37" t="n">
        <f aca="false">1+IF($G$9=$E$9,$F$9,IF(S109&lt;($F$9-$E$9)/($G$9-$E$9),$E$9+SQRT(S109*($G$9-$E$9)*($F$9-$E$9)),$G$9-SQRT((1-S109)*($G$9-$E$9)*($G$9-$F$9))))</f>
        <v>1</v>
      </c>
      <c r="F109" s="37" t="n">
        <f aca="false">1+IF($G$10=$E$10,$F$10,IF(T109&lt;($F$10-$E$10)/($G$10-$E$10),$E$10+SQRT(T109*($G$10-$E$10)*($F$10-$E$10)),$G$10-SQRT((1-T109)*($G$10-$E$10)*($G$10-$F$10))))</f>
        <v>1</v>
      </c>
      <c r="G109" s="38" t="n">
        <f aca="false">IF($G$11=$E$11,$F$11,IF(U109&lt;($F$11-$E$11)/($G$11-$E$11),$E$11+SQRT(U109*($G$11-$E$11)*($F$11-$E$11)),$G$11-SQRT((1-U109)*($G$11-$E$11)*($G$11-$F$11))))</f>
        <v>0</v>
      </c>
      <c r="H109" s="39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0</v>
      </c>
      <c r="I109" s="39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0</v>
      </c>
      <c r="J109" s="39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0</v>
      </c>
      <c r="K109" s="39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0</v>
      </c>
      <c r="L109" s="39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0</v>
      </c>
      <c r="M109" s="39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0</v>
      </c>
      <c r="N109" s="39" t="str">
        <f aca="false">IF(COUNT('Business Case'!B11:G11)=0,"",H109+NPV(G109,I109:M109))</f>
        <v/>
      </c>
      <c r="P109" s="40" t="n">
        <f aca="true">RAND()</f>
        <v>0.299415483569767</v>
      </c>
      <c r="Q109" s="40" t="n">
        <f aca="true">RAND()</f>
        <v>0.575017584314874</v>
      </c>
      <c r="R109" s="40" t="n">
        <f aca="true">RAND()</f>
        <v>0.916791669080406</v>
      </c>
      <c r="S109" s="40" t="n">
        <f aca="true">RAND()</f>
        <v>0.587815347165617</v>
      </c>
      <c r="T109" s="40" t="n">
        <f aca="true">RAND()</f>
        <v>0.579329691798003</v>
      </c>
      <c r="U109" s="40" t="n">
        <f aca="true">RAND()</f>
        <v>0.262816572271376</v>
      </c>
    </row>
    <row r="110" customFormat="false" ht="15" hidden="false" customHeight="false" outlineLevel="0" collapsed="false">
      <c r="A110" s="36" t="n">
        <v>30</v>
      </c>
      <c r="B110" s="37" t="n">
        <f aca="false">1+IF($G$6=$E$6,$F$6,IF(P110&lt;($F$6-$E$6)/($G$6-$E$6),$E$6+SQRT(P110*($G$6-$E$6)*($F$6-$E$6)),$G$6-SQRT((1-P110)*($G$6-$E$6)*($G$6-$F$6))))</f>
        <v>1</v>
      </c>
      <c r="C110" s="37" t="n">
        <f aca="false">1+IF($G$7=$E$7,$F$7,IF(Q110&lt;($F$7-$E$7)/($G$7-$E$7),$E$7+SQRT(Q110*($G$7-$E$7)*($F$7-$E$7)),$G$7-SQRT((1-Q110)*($G$7-$E$7)*($G$7-$F$7))))</f>
        <v>1</v>
      </c>
      <c r="D110" s="37" t="n">
        <f aca="false">1+IF($G$8=$E$8,$F$8,IF(R110&lt;($F$8-$E$8)/($G$8-$E$8),$E$8+SQRT(R110*($G$8-$E$8)*($F$8-$E$8)),$G$8-SQRT((1-R110)*($G$8-$E$8)*($G$8-$F$8))))</f>
        <v>1</v>
      </c>
      <c r="E110" s="37" t="n">
        <f aca="false">1+IF($G$9=$E$9,$F$9,IF(S110&lt;($F$9-$E$9)/($G$9-$E$9),$E$9+SQRT(S110*($G$9-$E$9)*($F$9-$E$9)),$G$9-SQRT((1-S110)*($G$9-$E$9)*($G$9-$F$9))))</f>
        <v>1</v>
      </c>
      <c r="F110" s="37" t="n">
        <f aca="false">1+IF($G$10=$E$10,$F$10,IF(T110&lt;($F$10-$E$10)/($G$10-$E$10),$E$10+SQRT(T110*($G$10-$E$10)*($F$10-$E$10)),$G$10-SQRT((1-T110)*($G$10-$E$10)*($G$10-$F$10))))</f>
        <v>1</v>
      </c>
      <c r="G110" s="38" t="n">
        <f aca="false">IF($G$11=$E$11,$F$11,IF(U110&lt;($F$11-$E$11)/($G$11-$E$11),$E$11+SQRT(U110*($G$11-$E$11)*($F$11-$E$11)),$G$11-SQRT((1-U110)*($G$11-$E$11)*($G$11-$F$11))))</f>
        <v>0</v>
      </c>
      <c r="H110" s="39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0</v>
      </c>
      <c r="I110" s="39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0</v>
      </c>
      <c r="J110" s="39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0</v>
      </c>
      <c r="K110" s="39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0</v>
      </c>
      <c r="L110" s="39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0</v>
      </c>
      <c r="M110" s="39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0</v>
      </c>
      <c r="N110" s="39" t="str">
        <f aca="false">IF(COUNT('Business Case'!B11:G11)=0,"",H110+NPV(G110,I110:M110))</f>
        <v/>
      </c>
      <c r="P110" s="40" t="n">
        <f aca="true">RAND()</f>
        <v>0.590701946230856</v>
      </c>
      <c r="Q110" s="40" t="n">
        <f aca="true">RAND()</f>
        <v>0.173755096701489</v>
      </c>
      <c r="R110" s="40" t="n">
        <f aca="true">RAND()</f>
        <v>0.37834607660444</v>
      </c>
      <c r="S110" s="40" t="n">
        <f aca="true">RAND()</f>
        <v>0.103856827548336</v>
      </c>
      <c r="T110" s="40" t="n">
        <f aca="true">RAND()</f>
        <v>0.759385607976232</v>
      </c>
      <c r="U110" s="40" t="n">
        <f aca="true">RAND()</f>
        <v>0.685143501648416</v>
      </c>
    </row>
    <row r="111" customFormat="false" ht="15" hidden="false" customHeight="false" outlineLevel="0" collapsed="false">
      <c r="A111" s="36" t="n">
        <v>31</v>
      </c>
      <c r="B111" s="37" t="n">
        <f aca="false">1+IF($G$6=$E$6,$F$6,IF(P111&lt;($F$6-$E$6)/($G$6-$E$6),$E$6+SQRT(P111*($G$6-$E$6)*($F$6-$E$6)),$G$6-SQRT((1-P111)*($G$6-$E$6)*($G$6-$F$6))))</f>
        <v>1</v>
      </c>
      <c r="C111" s="37" t="n">
        <f aca="false">1+IF($G$7=$E$7,$F$7,IF(Q111&lt;($F$7-$E$7)/($G$7-$E$7),$E$7+SQRT(Q111*($G$7-$E$7)*($F$7-$E$7)),$G$7-SQRT((1-Q111)*($G$7-$E$7)*($G$7-$F$7))))</f>
        <v>1</v>
      </c>
      <c r="D111" s="37" t="n">
        <f aca="false">1+IF($G$8=$E$8,$F$8,IF(R111&lt;($F$8-$E$8)/($G$8-$E$8),$E$8+SQRT(R111*($G$8-$E$8)*($F$8-$E$8)),$G$8-SQRT((1-R111)*($G$8-$E$8)*($G$8-$F$8))))</f>
        <v>1</v>
      </c>
      <c r="E111" s="37" t="n">
        <f aca="false">1+IF($G$9=$E$9,$F$9,IF(S111&lt;($F$9-$E$9)/($G$9-$E$9),$E$9+SQRT(S111*($G$9-$E$9)*($F$9-$E$9)),$G$9-SQRT((1-S111)*($G$9-$E$9)*($G$9-$F$9))))</f>
        <v>1</v>
      </c>
      <c r="F111" s="37" t="n">
        <f aca="false">1+IF($G$10=$E$10,$F$10,IF(T111&lt;($F$10-$E$10)/($G$10-$E$10),$E$10+SQRT(T111*($G$10-$E$10)*($F$10-$E$10)),$G$10-SQRT((1-T111)*($G$10-$E$10)*($G$10-$F$10))))</f>
        <v>1</v>
      </c>
      <c r="G111" s="38" t="n">
        <f aca="false">IF($G$11=$E$11,$F$11,IF(U111&lt;($F$11-$E$11)/($G$11-$E$11),$E$11+SQRT(U111*($G$11-$E$11)*($F$11-$E$11)),$G$11-SQRT((1-U111)*($G$11-$E$11)*($G$11-$F$11))))</f>
        <v>0</v>
      </c>
      <c r="H111" s="39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0</v>
      </c>
      <c r="I111" s="39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0</v>
      </c>
      <c r="J111" s="39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0</v>
      </c>
      <c r="K111" s="39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0</v>
      </c>
      <c r="L111" s="39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0</v>
      </c>
      <c r="M111" s="39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0</v>
      </c>
      <c r="N111" s="39" t="str">
        <f aca="false">IF(COUNT('Business Case'!B11:G11)=0,"",H111+NPV(G111,I111:M111))</f>
        <v/>
      </c>
      <c r="P111" s="40" t="n">
        <f aca="true">RAND()</f>
        <v>0.0251998907709743</v>
      </c>
      <c r="Q111" s="40" t="n">
        <f aca="true">RAND()</f>
        <v>0.508882376476887</v>
      </c>
      <c r="R111" s="40" t="n">
        <f aca="true">RAND()</f>
        <v>0.547579216630699</v>
      </c>
      <c r="S111" s="40" t="n">
        <f aca="true">RAND()</f>
        <v>0.131455424893881</v>
      </c>
      <c r="T111" s="40" t="n">
        <f aca="true">RAND()</f>
        <v>0.557269781361253</v>
      </c>
      <c r="U111" s="40" t="n">
        <f aca="true">RAND()</f>
        <v>0.584560753598578</v>
      </c>
    </row>
    <row r="112" customFormat="false" ht="15" hidden="false" customHeight="false" outlineLevel="0" collapsed="false">
      <c r="A112" s="36" t="n">
        <v>32</v>
      </c>
      <c r="B112" s="37" t="n">
        <f aca="false">1+IF($G$6=$E$6,$F$6,IF(P112&lt;($F$6-$E$6)/($G$6-$E$6),$E$6+SQRT(P112*($G$6-$E$6)*($F$6-$E$6)),$G$6-SQRT((1-P112)*($G$6-$E$6)*($G$6-$F$6))))</f>
        <v>1</v>
      </c>
      <c r="C112" s="37" t="n">
        <f aca="false">1+IF($G$7=$E$7,$F$7,IF(Q112&lt;($F$7-$E$7)/($G$7-$E$7),$E$7+SQRT(Q112*($G$7-$E$7)*($F$7-$E$7)),$G$7-SQRT((1-Q112)*($G$7-$E$7)*($G$7-$F$7))))</f>
        <v>1</v>
      </c>
      <c r="D112" s="37" t="n">
        <f aca="false">1+IF($G$8=$E$8,$F$8,IF(R112&lt;($F$8-$E$8)/($G$8-$E$8),$E$8+SQRT(R112*($G$8-$E$8)*($F$8-$E$8)),$G$8-SQRT((1-R112)*($G$8-$E$8)*($G$8-$F$8))))</f>
        <v>1</v>
      </c>
      <c r="E112" s="37" t="n">
        <f aca="false">1+IF($G$9=$E$9,$F$9,IF(S112&lt;($F$9-$E$9)/($G$9-$E$9),$E$9+SQRT(S112*($G$9-$E$9)*($F$9-$E$9)),$G$9-SQRT((1-S112)*($G$9-$E$9)*($G$9-$F$9))))</f>
        <v>1</v>
      </c>
      <c r="F112" s="37" t="n">
        <f aca="false">1+IF($G$10=$E$10,$F$10,IF(T112&lt;($F$10-$E$10)/($G$10-$E$10),$E$10+SQRT(T112*($G$10-$E$10)*($F$10-$E$10)),$G$10-SQRT((1-T112)*($G$10-$E$10)*($G$10-$F$10))))</f>
        <v>1</v>
      </c>
      <c r="G112" s="38" t="n">
        <f aca="false">IF($G$11=$E$11,$F$11,IF(U112&lt;($F$11-$E$11)/($G$11-$E$11),$E$11+SQRT(U112*($G$11-$E$11)*($F$11-$E$11)),$G$11-SQRT((1-U112)*($G$11-$E$11)*($G$11-$F$11))))</f>
        <v>0</v>
      </c>
      <c r="H112" s="39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0</v>
      </c>
      <c r="I112" s="39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0</v>
      </c>
      <c r="J112" s="39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0</v>
      </c>
      <c r="K112" s="39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0</v>
      </c>
      <c r="L112" s="39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0</v>
      </c>
      <c r="M112" s="39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0</v>
      </c>
      <c r="N112" s="39" t="str">
        <f aca="false">IF(COUNT('Business Case'!B11:G11)=0,"",H112+NPV(G112,I112:M112))</f>
        <v/>
      </c>
      <c r="P112" s="40" t="n">
        <f aca="true">RAND()</f>
        <v>0.420555196591144</v>
      </c>
      <c r="Q112" s="40" t="n">
        <f aca="true">RAND()</f>
        <v>0.384745231849556</v>
      </c>
      <c r="R112" s="40" t="n">
        <f aca="true">RAND()</f>
        <v>0.79816026189007</v>
      </c>
      <c r="S112" s="40" t="n">
        <f aca="true">RAND()</f>
        <v>0.298537495574073</v>
      </c>
      <c r="T112" s="40" t="n">
        <f aca="true">RAND()</f>
        <v>0.757805163464472</v>
      </c>
      <c r="U112" s="40" t="n">
        <f aca="true">RAND()</f>
        <v>0.446245702689703</v>
      </c>
    </row>
    <row r="113" customFormat="false" ht="15" hidden="false" customHeight="false" outlineLevel="0" collapsed="false">
      <c r="A113" s="36" t="n">
        <v>33</v>
      </c>
      <c r="B113" s="37" t="n">
        <f aca="false">1+IF($G$6=$E$6,$F$6,IF(P113&lt;($F$6-$E$6)/($G$6-$E$6),$E$6+SQRT(P113*($G$6-$E$6)*($F$6-$E$6)),$G$6-SQRT((1-P113)*($G$6-$E$6)*($G$6-$F$6))))</f>
        <v>1</v>
      </c>
      <c r="C113" s="37" t="n">
        <f aca="false">1+IF($G$7=$E$7,$F$7,IF(Q113&lt;($F$7-$E$7)/($G$7-$E$7),$E$7+SQRT(Q113*($G$7-$E$7)*($F$7-$E$7)),$G$7-SQRT((1-Q113)*($G$7-$E$7)*($G$7-$F$7))))</f>
        <v>1</v>
      </c>
      <c r="D113" s="37" t="n">
        <f aca="false">1+IF($G$8=$E$8,$F$8,IF(R113&lt;($F$8-$E$8)/($G$8-$E$8),$E$8+SQRT(R113*($G$8-$E$8)*($F$8-$E$8)),$G$8-SQRT((1-R113)*($G$8-$E$8)*($G$8-$F$8))))</f>
        <v>1</v>
      </c>
      <c r="E113" s="37" t="n">
        <f aca="false">1+IF($G$9=$E$9,$F$9,IF(S113&lt;($F$9-$E$9)/($G$9-$E$9),$E$9+SQRT(S113*($G$9-$E$9)*($F$9-$E$9)),$G$9-SQRT((1-S113)*($G$9-$E$9)*($G$9-$F$9))))</f>
        <v>1</v>
      </c>
      <c r="F113" s="37" t="n">
        <f aca="false">1+IF($G$10=$E$10,$F$10,IF(T113&lt;($F$10-$E$10)/($G$10-$E$10),$E$10+SQRT(T113*($G$10-$E$10)*($F$10-$E$10)),$G$10-SQRT((1-T113)*($G$10-$E$10)*($G$10-$F$10))))</f>
        <v>1</v>
      </c>
      <c r="G113" s="38" t="n">
        <f aca="false">IF($G$11=$E$11,$F$11,IF(U113&lt;($F$11-$E$11)/($G$11-$E$11),$E$11+SQRT(U113*($G$11-$E$11)*($F$11-$E$11)),$G$11-SQRT((1-U113)*($G$11-$E$11)*($G$11-$F$11))))</f>
        <v>0</v>
      </c>
      <c r="H113" s="39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0</v>
      </c>
      <c r="I113" s="39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0</v>
      </c>
      <c r="J113" s="39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0</v>
      </c>
      <c r="K113" s="39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0</v>
      </c>
      <c r="L113" s="39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0</v>
      </c>
      <c r="M113" s="39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0</v>
      </c>
      <c r="N113" s="39" t="str">
        <f aca="false">IF(COUNT('Business Case'!B11:G11)=0,"",H113+NPV(G113,I113:M113))</f>
        <v/>
      </c>
      <c r="P113" s="40" t="n">
        <f aca="true">RAND()</f>
        <v>0.583328055823414</v>
      </c>
      <c r="Q113" s="40" t="n">
        <f aca="true">RAND()</f>
        <v>0.475085126733966</v>
      </c>
      <c r="R113" s="40" t="n">
        <f aca="true">RAND()</f>
        <v>0.789989706190629</v>
      </c>
      <c r="S113" s="40" t="n">
        <f aca="true">RAND()</f>
        <v>0.517770565274361</v>
      </c>
      <c r="T113" s="40" t="n">
        <f aca="true">RAND()</f>
        <v>0.79204236956356</v>
      </c>
      <c r="U113" s="40" t="n">
        <f aca="true">RAND()</f>
        <v>0.863902714953437</v>
      </c>
    </row>
    <row r="114" customFormat="false" ht="15" hidden="false" customHeight="false" outlineLevel="0" collapsed="false">
      <c r="A114" s="36" t="n">
        <v>34</v>
      </c>
      <c r="B114" s="37" t="n">
        <f aca="false">1+IF($G$6=$E$6,$F$6,IF(P114&lt;($F$6-$E$6)/($G$6-$E$6),$E$6+SQRT(P114*($G$6-$E$6)*($F$6-$E$6)),$G$6-SQRT((1-P114)*($G$6-$E$6)*($G$6-$F$6))))</f>
        <v>1</v>
      </c>
      <c r="C114" s="37" t="n">
        <f aca="false">1+IF($G$7=$E$7,$F$7,IF(Q114&lt;($F$7-$E$7)/($G$7-$E$7),$E$7+SQRT(Q114*($G$7-$E$7)*($F$7-$E$7)),$G$7-SQRT((1-Q114)*($G$7-$E$7)*($G$7-$F$7))))</f>
        <v>1</v>
      </c>
      <c r="D114" s="37" t="n">
        <f aca="false">1+IF($G$8=$E$8,$F$8,IF(R114&lt;($F$8-$E$8)/($G$8-$E$8),$E$8+SQRT(R114*($G$8-$E$8)*($F$8-$E$8)),$G$8-SQRT((1-R114)*($G$8-$E$8)*($G$8-$F$8))))</f>
        <v>1</v>
      </c>
      <c r="E114" s="37" t="n">
        <f aca="false">1+IF($G$9=$E$9,$F$9,IF(S114&lt;($F$9-$E$9)/($G$9-$E$9),$E$9+SQRT(S114*($G$9-$E$9)*($F$9-$E$9)),$G$9-SQRT((1-S114)*($G$9-$E$9)*($G$9-$F$9))))</f>
        <v>1</v>
      </c>
      <c r="F114" s="37" t="n">
        <f aca="false">1+IF($G$10=$E$10,$F$10,IF(T114&lt;($F$10-$E$10)/($G$10-$E$10),$E$10+SQRT(T114*($G$10-$E$10)*($F$10-$E$10)),$G$10-SQRT((1-T114)*($G$10-$E$10)*($G$10-$F$10))))</f>
        <v>1</v>
      </c>
      <c r="G114" s="38" t="n">
        <f aca="false">IF($G$11=$E$11,$F$11,IF(U114&lt;($F$11-$E$11)/($G$11-$E$11),$E$11+SQRT(U114*($G$11-$E$11)*($F$11-$E$11)),$G$11-SQRT((1-U114)*($G$11-$E$11)*($G$11-$F$11))))</f>
        <v>0</v>
      </c>
      <c r="H114" s="39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0</v>
      </c>
      <c r="I114" s="39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0</v>
      </c>
      <c r="J114" s="39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0</v>
      </c>
      <c r="K114" s="39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0</v>
      </c>
      <c r="L114" s="39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0</v>
      </c>
      <c r="M114" s="39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0</v>
      </c>
      <c r="N114" s="39" t="str">
        <f aca="false">IF(COUNT('Business Case'!B11:G11)=0,"",H114+NPV(G114,I114:M114))</f>
        <v/>
      </c>
      <c r="P114" s="40" t="n">
        <f aca="true">RAND()</f>
        <v>0.0599202210387757</v>
      </c>
      <c r="Q114" s="40" t="n">
        <f aca="true">RAND()</f>
        <v>0.403012854854573</v>
      </c>
      <c r="R114" s="40" t="n">
        <f aca="true">RAND()</f>
        <v>0.795881380869016</v>
      </c>
      <c r="S114" s="40" t="n">
        <f aca="true">RAND()</f>
        <v>0.981295238307992</v>
      </c>
      <c r="T114" s="40" t="n">
        <f aca="true">RAND()</f>
        <v>0.813080160529518</v>
      </c>
      <c r="U114" s="40" t="n">
        <f aca="true">RAND()</f>
        <v>0.112191154182632</v>
      </c>
    </row>
    <row r="115" customFormat="false" ht="15" hidden="false" customHeight="false" outlineLevel="0" collapsed="false">
      <c r="A115" s="36" t="n">
        <v>35</v>
      </c>
      <c r="B115" s="37" t="n">
        <f aca="false">1+IF($G$6=$E$6,$F$6,IF(P115&lt;($F$6-$E$6)/($G$6-$E$6),$E$6+SQRT(P115*($G$6-$E$6)*($F$6-$E$6)),$G$6-SQRT((1-P115)*($G$6-$E$6)*($G$6-$F$6))))</f>
        <v>1</v>
      </c>
      <c r="C115" s="37" t="n">
        <f aca="false">1+IF($G$7=$E$7,$F$7,IF(Q115&lt;($F$7-$E$7)/($G$7-$E$7),$E$7+SQRT(Q115*($G$7-$E$7)*($F$7-$E$7)),$G$7-SQRT((1-Q115)*($G$7-$E$7)*($G$7-$F$7))))</f>
        <v>1</v>
      </c>
      <c r="D115" s="37" t="n">
        <f aca="false">1+IF($G$8=$E$8,$F$8,IF(R115&lt;($F$8-$E$8)/($G$8-$E$8),$E$8+SQRT(R115*($G$8-$E$8)*($F$8-$E$8)),$G$8-SQRT((1-R115)*($G$8-$E$8)*($G$8-$F$8))))</f>
        <v>1</v>
      </c>
      <c r="E115" s="37" t="n">
        <f aca="false">1+IF($G$9=$E$9,$F$9,IF(S115&lt;($F$9-$E$9)/($G$9-$E$9),$E$9+SQRT(S115*($G$9-$E$9)*($F$9-$E$9)),$G$9-SQRT((1-S115)*($G$9-$E$9)*($G$9-$F$9))))</f>
        <v>1</v>
      </c>
      <c r="F115" s="37" t="n">
        <f aca="false">1+IF($G$10=$E$10,$F$10,IF(T115&lt;($F$10-$E$10)/($G$10-$E$10),$E$10+SQRT(T115*($G$10-$E$10)*($F$10-$E$10)),$G$10-SQRT((1-T115)*($G$10-$E$10)*($G$10-$F$10))))</f>
        <v>1</v>
      </c>
      <c r="G115" s="38" t="n">
        <f aca="false">IF($G$11=$E$11,$F$11,IF(U115&lt;($F$11-$E$11)/($G$11-$E$11),$E$11+SQRT(U115*($G$11-$E$11)*($F$11-$E$11)),$G$11-SQRT((1-U115)*($G$11-$E$11)*($G$11-$F$11))))</f>
        <v>0</v>
      </c>
      <c r="H115" s="39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0</v>
      </c>
      <c r="I115" s="39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0</v>
      </c>
      <c r="J115" s="39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0</v>
      </c>
      <c r="K115" s="39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0</v>
      </c>
      <c r="L115" s="39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0</v>
      </c>
      <c r="M115" s="39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0</v>
      </c>
      <c r="N115" s="39" t="str">
        <f aca="false">IF(COUNT('Business Case'!B11:G11)=0,"",H115+NPV(G115,I115:M115))</f>
        <v/>
      </c>
      <c r="P115" s="40" t="n">
        <f aca="true">RAND()</f>
        <v>0.454298646769627</v>
      </c>
      <c r="Q115" s="40" t="n">
        <f aca="true">RAND()</f>
        <v>0.424003747122545</v>
      </c>
      <c r="R115" s="40" t="n">
        <f aca="true">RAND()</f>
        <v>0.463397923220363</v>
      </c>
      <c r="S115" s="40" t="n">
        <f aca="true">RAND()</f>
        <v>0.846900387894059</v>
      </c>
      <c r="T115" s="40" t="n">
        <f aca="true">RAND()</f>
        <v>0.526761197087256</v>
      </c>
      <c r="U115" s="40" t="n">
        <f aca="true">RAND()</f>
        <v>0.700366046608867</v>
      </c>
    </row>
    <row r="116" customFormat="false" ht="15" hidden="false" customHeight="false" outlineLevel="0" collapsed="false">
      <c r="A116" s="36" t="n">
        <v>36</v>
      </c>
      <c r="B116" s="37" t="n">
        <f aca="false">1+IF($G$6=$E$6,$F$6,IF(P116&lt;($F$6-$E$6)/($G$6-$E$6),$E$6+SQRT(P116*($G$6-$E$6)*($F$6-$E$6)),$G$6-SQRT((1-P116)*($G$6-$E$6)*($G$6-$F$6))))</f>
        <v>1</v>
      </c>
      <c r="C116" s="37" t="n">
        <f aca="false">1+IF($G$7=$E$7,$F$7,IF(Q116&lt;($F$7-$E$7)/($G$7-$E$7),$E$7+SQRT(Q116*($G$7-$E$7)*($F$7-$E$7)),$G$7-SQRT((1-Q116)*($G$7-$E$7)*($G$7-$F$7))))</f>
        <v>1</v>
      </c>
      <c r="D116" s="37" t="n">
        <f aca="false">1+IF($G$8=$E$8,$F$8,IF(R116&lt;($F$8-$E$8)/($G$8-$E$8),$E$8+SQRT(R116*($G$8-$E$8)*($F$8-$E$8)),$G$8-SQRT((1-R116)*($G$8-$E$8)*($G$8-$F$8))))</f>
        <v>1</v>
      </c>
      <c r="E116" s="37" t="n">
        <f aca="false">1+IF($G$9=$E$9,$F$9,IF(S116&lt;($F$9-$E$9)/($G$9-$E$9),$E$9+SQRT(S116*($G$9-$E$9)*($F$9-$E$9)),$G$9-SQRT((1-S116)*($G$9-$E$9)*($G$9-$F$9))))</f>
        <v>1</v>
      </c>
      <c r="F116" s="37" t="n">
        <f aca="false">1+IF($G$10=$E$10,$F$10,IF(T116&lt;($F$10-$E$10)/($G$10-$E$10),$E$10+SQRT(T116*($G$10-$E$10)*($F$10-$E$10)),$G$10-SQRT((1-T116)*($G$10-$E$10)*($G$10-$F$10))))</f>
        <v>1</v>
      </c>
      <c r="G116" s="38" t="n">
        <f aca="false">IF($G$11=$E$11,$F$11,IF(U116&lt;($F$11-$E$11)/($G$11-$E$11),$E$11+SQRT(U116*($G$11-$E$11)*($F$11-$E$11)),$G$11-SQRT((1-U116)*($G$11-$E$11)*($G$11-$F$11))))</f>
        <v>0</v>
      </c>
      <c r="H116" s="39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0</v>
      </c>
      <c r="I116" s="39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0</v>
      </c>
      <c r="J116" s="39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0</v>
      </c>
      <c r="K116" s="39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0</v>
      </c>
      <c r="L116" s="39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0</v>
      </c>
      <c r="M116" s="39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0</v>
      </c>
      <c r="N116" s="39" t="str">
        <f aca="false">IF(COUNT('Business Case'!B11:G11)=0,"",H116+NPV(G116,I116:M116))</f>
        <v/>
      </c>
      <c r="P116" s="40" t="n">
        <f aca="true">RAND()</f>
        <v>0.690234797952939</v>
      </c>
      <c r="Q116" s="40" t="n">
        <f aca="true">RAND()</f>
        <v>0.159842726219206</v>
      </c>
      <c r="R116" s="40" t="n">
        <f aca="true">RAND()</f>
        <v>0.381600718517225</v>
      </c>
      <c r="S116" s="40" t="n">
        <f aca="true">RAND()</f>
        <v>0.946925519088142</v>
      </c>
      <c r="T116" s="40" t="n">
        <f aca="true">RAND()</f>
        <v>0.672017884388416</v>
      </c>
      <c r="U116" s="40" t="n">
        <f aca="true">RAND()</f>
        <v>0.623989873860609</v>
      </c>
    </row>
    <row r="117" customFormat="false" ht="15" hidden="false" customHeight="false" outlineLevel="0" collapsed="false">
      <c r="A117" s="36" t="n">
        <v>37</v>
      </c>
      <c r="B117" s="37" t="n">
        <f aca="false">1+IF($G$6=$E$6,$F$6,IF(P117&lt;($F$6-$E$6)/($G$6-$E$6),$E$6+SQRT(P117*($G$6-$E$6)*($F$6-$E$6)),$G$6-SQRT((1-P117)*($G$6-$E$6)*($G$6-$F$6))))</f>
        <v>1</v>
      </c>
      <c r="C117" s="37" t="n">
        <f aca="false">1+IF($G$7=$E$7,$F$7,IF(Q117&lt;($F$7-$E$7)/($G$7-$E$7),$E$7+SQRT(Q117*($G$7-$E$7)*($F$7-$E$7)),$G$7-SQRT((1-Q117)*($G$7-$E$7)*($G$7-$F$7))))</f>
        <v>1</v>
      </c>
      <c r="D117" s="37" t="n">
        <f aca="false">1+IF($G$8=$E$8,$F$8,IF(R117&lt;($F$8-$E$8)/($G$8-$E$8),$E$8+SQRT(R117*($G$8-$E$8)*($F$8-$E$8)),$G$8-SQRT((1-R117)*($G$8-$E$8)*($G$8-$F$8))))</f>
        <v>1</v>
      </c>
      <c r="E117" s="37" t="n">
        <f aca="false">1+IF($G$9=$E$9,$F$9,IF(S117&lt;($F$9-$E$9)/($G$9-$E$9),$E$9+SQRT(S117*($G$9-$E$9)*($F$9-$E$9)),$G$9-SQRT((1-S117)*($G$9-$E$9)*($G$9-$F$9))))</f>
        <v>1</v>
      </c>
      <c r="F117" s="37" t="n">
        <f aca="false">1+IF($G$10=$E$10,$F$10,IF(T117&lt;($F$10-$E$10)/($G$10-$E$10),$E$10+SQRT(T117*($G$10-$E$10)*($F$10-$E$10)),$G$10-SQRT((1-T117)*($G$10-$E$10)*($G$10-$F$10))))</f>
        <v>1</v>
      </c>
      <c r="G117" s="38" t="n">
        <f aca="false">IF($G$11=$E$11,$F$11,IF(U117&lt;($F$11-$E$11)/($G$11-$E$11),$E$11+SQRT(U117*($G$11-$E$11)*($F$11-$E$11)),$G$11-SQRT((1-U117)*($G$11-$E$11)*($G$11-$F$11))))</f>
        <v>0</v>
      </c>
      <c r="H117" s="39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0</v>
      </c>
      <c r="I117" s="39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0</v>
      </c>
      <c r="J117" s="39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0</v>
      </c>
      <c r="K117" s="39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0</v>
      </c>
      <c r="L117" s="39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0</v>
      </c>
      <c r="M117" s="39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0</v>
      </c>
      <c r="N117" s="39" t="str">
        <f aca="false">IF(COUNT('Business Case'!B11:G11)=0,"",H117+NPV(G117,I117:M117))</f>
        <v/>
      </c>
      <c r="P117" s="40" t="n">
        <f aca="true">RAND()</f>
        <v>0.712188408579884</v>
      </c>
      <c r="Q117" s="40" t="n">
        <f aca="true">RAND()</f>
        <v>0.445294666562967</v>
      </c>
      <c r="R117" s="40" t="n">
        <f aca="true">RAND()</f>
        <v>0.498132178660716</v>
      </c>
      <c r="S117" s="40" t="n">
        <f aca="true">RAND()</f>
        <v>0.408603851292145</v>
      </c>
      <c r="T117" s="40" t="n">
        <f aca="true">RAND()</f>
        <v>0.417460072832617</v>
      </c>
      <c r="U117" s="40" t="n">
        <f aca="true">RAND()</f>
        <v>0.0445489476858668</v>
      </c>
    </row>
    <row r="118" customFormat="false" ht="15" hidden="false" customHeight="false" outlineLevel="0" collapsed="false">
      <c r="A118" s="36" t="n">
        <v>38</v>
      </c>
      <c r="B118" s="37" t="n">
        <f aca="false">1+IF($G$6=$E$6,$F$6,IF(P118&lt;($F$6-$E$6)/($G$6-$E$6),$E$6+SQRT(P118*($G$6-$E$6)*($F$6-$E$6)),$G$6-SQRT((1-P118)*($G$6-$E$6)*($G$6-$F$6))))</f>
        <v>1</v>
      </c>
      <c r="C118" s="37" t="n">
        <f aca="false">1+IF($G$7=$E$7,$F$7,IF(Q118&lt;($F$7-$E$7)/($G$7-$E$7),$E$7+SQRT(Q118*($G$7-$E$7)*($F$7-$E$7)),$G$7-SQRT((1-Q118)*($G$7-$E$7)*($G$7-$F$7))))</f>
        <v>1</v>
      </c>
      <c r="D118" s="37" t="n">
        <f aca="false">1+IF($G$8=$E$8,$F$8,IF(R118&lt;($F$8-$E$8)/($G$8-$E$8),$E$8+SQRT(R118*($G$8-$E$8)*($F$8-$E$8)),$G$8-SQRT((1-R118)*($G$8-$E$8)*($G$8-$F$8))))</f>
        <v>1</v>
      </c>
      <c r="E118" s="37" t="n">
        <f aca="false">1+IF($G$9=$E$9,$F$9,IF(S118&lt;($F$9-$E$9)/($G$9-$E$9),$E$9+SQRT(S118*($G$9-$E$9)*($F$9-$E$9)),$G$9-SQRT((1-S118)*($G$9-$E$9)*($G$9-$F$9))))</f>
        <v>1</v>
      </c>
      <c r="F118" s="37" t="n">
        <f aca="false">1+IF($G$10=$E$10,$F$10,IF(T118&lt;($F$10-$E$10)/($G$10-$E$10),$E$10+SQRT(T118*($G$10-$E$10)*($F$10-$E$10)),$G$10-SQRT((1-T118)*($G$10-$E$10)*($G$10-$F$10))))</f>
        <v>1</v>
      </c>
      <c r="G118" s="38" t="n">
        <f aca="false">IF($G$11=$E$11,$F$11,IF(U118&lt;($F$11-$E$11)/($G$11-$E$11),$E$11+SQRT(U118*($G$11-$E$11)*($F$11-$E$11)),$G$11-SQRT((1-U118)*($G$11-$E$11)*($G$11-$F$11))))</f>
        <v>0</v>
      </c>
      <c r="H118" s="39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0</v>
      </c>
      <c r="I118" s="39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0</v>
      </c>
      <c r="J118" s="39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0</v>
      </c>
      <c r="K118" s="39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0</v>
      </c>
      <c r="L118" s="39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0</v>
      </c>
      <c r="M118" s="39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0</v>
      </c>
      <c r="N118" s="39" t="str">
        <f aca="false">IF(COUNT('Business Case'!B11:G11)=0,"",H118+NPV(G118,I118:M118))</f>
        <v/>
      </c>
      <c r="P118" s="40" t="n">
        <f aca="true">RAND()</f>
        <v>0.363665079251953</v>
      </c>
      <c r="Q118" s="40" t="n">
        <f aca="true">RAND()</f>
        <v>0.477523551539723</v>
      </c>
      <c r="R118" s="40" t="n">
        <f aca="true">RAND()</f>
        <v>0.809045761477182</v>
      </c>
      <c r="S118" s="40" t="n">
        <f aca="true">RAND()</f>
        <v>0.0345933946859742</v>
      </c>
      <c r="T118" s="40" t="n">
        <f aca="true">RAND()</f>
        <v>0.700863398324822</v>
      </c>
      <c r="U118" s="40" t="n">
        <f aca="true">RAND()</f>
        <v>0.498301178001719</v>
      </c>
    </row>
    <row r="119" customFormat="false" ht="15" hidden="false" customHeight="false" outlineLevel="0" collapsed="false">
      <c r="A119" s="36" t="n">
        <v>39</v>
      </c>
      <c r="B119" s="37" t="n">
        <f aca="false">1+IF($G$6=$E$6,$F$6,IF(P119&lt;($F$6-$E$6)/($G$6-$E$6),$E$6+SQRT(P119*($G$6-$E$6)*($F$6-$E$6)),$G$6-SQRT((1-P119)*($G$6-$E$6)*($G$6-$F$6))))</f>
        <v>1</v>
      </c>
      <c r="C119" s="37" t="n">
        <f aca="false">1+IF($G$7=$E$7,$F$7,IF(Q119&lt;($F$7-$E$7)/($G$7-$E$7),$E$7+SQRT(Q119*($G$7-$E$7)*($F$7-$E$7)),$G$7-SQRT((1-Q119)*($G$7-$E$7)*($G$7-$F$7))))</f>
        <v>1</v>
      </c>
      <c r="D119" s="37" t="n">
        <f aca="false">1+IF($G$8=$E$8,$F$8,IF(R119&lt;($F$8-$E$8)/($G$8-$E$8),$E$8+SQRT(R119*($G$8-$E$8)*($F$8-$E$8)),$G$8-SQRT((1-R119)*($G$8-$E$8)*($G$8-$F$8))))</f>
        <v>1</v>
      </c>
      <c r="E119" s="37" t="n">
        <f aca="false">1+IF($G$9=$E$9,$F$9,IF(S119&lt;($F$9-$E$9)/($G$9-$E$9),$E$9+SQRT(S119*($G$9-$E$9)*($F$9-$E$9)),$G$9-SQRT((1-S119)*($G$9-$E$9)*($G$9-$F$9))))</f>
        <v>1</v>
      </c>
      <c r="F119" s="37" t="n">
        <f aca="false">1+IF($G$10=$E$10,$F$10,IF(T119&lt;($F$10-$E$10)/($G$10-$E$10),$E$10+SQRT(T119*($G$10-$E$10)*($F$10-$E$10)),$G$10-SQRT((1-T119)*($G$10-$E$10)*($G$10-$F$10))))</f>
        <v>1</v>
      </c>
      <c r="G119" s="38" t="n">
        <f aca="false">IF($G$11=$E$11,$F$11,IF(U119&lt;($F$11-$E$11)/($G$11-$E$11),$E$11+SQRT(U119*($G$11-$E$11)*($F$11-$E$11)),$G$11-SQRT((1-U119)*($G$11-$E$11)*($G$11-$F$11))))</f>
        <v>0</v>
      </c>
      <c r="H119" s="39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0</v>
      </c>
      <c r="I119" s="39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0</v>
      </c>
      <c r="J119" s="39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0</v>
      </c>
      <c r="K119" s="39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0</v>
      </c>
      <c r="L119" s="39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0</v>
      </c>
      <c r="M119" s="39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0</v>
      </c>
      <c r="N119" s="39" t="str">
        <f aca="false">IF(COUNT('Business Case'!B11:G11)=0,"",H119+NPV(G119,I119:M119))</f>
        <v/>
      </c>
      <c r="P119" s="40" t="n">
        <f aca="true">RAND()</f>
        <v>0.529026308757274</v>
      </c>
      <c r="Q119" s="40" t="n">
        <f aca="true">RAND()</f>
        <v>0.000898791575966435</v>
      </c>
      <c r="R119" s="40" t="n">
        <f aca="true">RAND()</f>
        <v>0.487473648696744</v>
      </c>
      <c r="S119" s="40" t="n">
        <f aca="true">RAND()</f>
        <v>0.922085514399875</v>
      </c>
      <c r="T119" s="40" t="n">
        <f aca="true">RAND()</f>
        <v>0.705795901438773</v>
      </c>
      <c r="U119" s="40" t="n">
        <f aca="true">RAND()</f>
        <v>0.756237233202223</v>
      </c>
    </row>
    <row r="120" customFormat="false" ht="15" hidden="false" customHeight="false" outlineLevel="0" collapsed="false">
      <c r="A120" s="36" t="n">
        <v>40</v>
      </c>
      <c r="B120" s="37" t="n">
        <f aca="false">1+IF($G$6=$E$6,$F$6,IF(P120&lt;($F$6-$E$6)/($G$6-$E$6),$E$6+SQRT(P120*($G$6-$E$6)*($F$6-$E$6)),$G$6-SQRT((1-P120)*($G$6-$E$6)*($G$6-$F$6))))</f>
        <v>1</v>
      </c>
      <c r="C120" s="37" t="n">
        <f aca="false">1+IF($G$7=$E$7,$F$7,IF(Q120&lt;($F$7-$E$7)/($G$7-$E$7),$E$7+SQRT(Q120*($G$7-$E$7)*($F$7-$E$7)),$G$7-SQRT((1-Q120)*($G$7-$E$7)*($G$7-$F$7))))</f>
        <v>1</v>
      </c>
      <c r="D120" s="37" t="n">
        <f aca="false">1+IF($G$8=$E$8,$F$8,IF(R120&lt;($F$8-$E$8)/($G$8-$E$8),$E$8+SQRT(R120*($G$8-$E$8)*($F$8-$E$8)),$G$8-SQRT((1-R120)*($G$8-$E$8)*($G$8-$F$8))))</f>
        <v>1</v>
      </c>
      <c r="E120" s="37" t="n">
        <f aca="false">1+IF($G$9=$E$9,$F$9,IF(S120&lt;($F$9-$E$9)/($G$9-$E$9),$E$9+SQRT(S120*($G$9-$E$9)*($F$9-$E$9)),$G$9-SQRT((1-S120)*($G$9-$E$9)*($G$9-$F$9))))</f>
        <v>1</v>
      </c>
      <c r="F120" s="37" t="n">
        <f aca="false">1+IF($G$10=$E$10,$F$10,IF(T120&lt;($F$10-$E$10)/($G$10-$E$10),$E$10+SQRT(T120*($G$10-$E$10)*($F$10-$E$10)),$G$10-SQRT((1-T120)*($G$10-$E$10)*($G$10-$F$10))))</f>
        <v>1</v>
      </c>
      <c r="G120" s="38" t="n">
        <f aca="false">IF($G$11=$E$11,$F$11,IF(U120&lt;($F$11-$E$11)/($G$11-$E$11),$E$11+SQRT(U120*($G$11-$E$11)*($F$11-$E$11)),$G$11-SQRT((1-U120)*($G$11-$E$11)*($G$11-$F$11))))</f>
        <v>0</v>
      </c>
      <c r="H120" s="39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0</v>
      </c>
      <c r="I120" s="39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0</v>
      </c>
      <c r="J120" s="39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0</v>
      </c>
      <c r="K120" s="39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0</v>
      </c>
      <c r="L120" s="39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0</v>
      </c>
      <c r="M120" s="39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0</v>
      </c>
      <c r="N120" s="39" t="str">
        <f aca="false">IF(COUNT('Business Case'!B11:G11)=0,"",H120+NPV(G120,I120:M120))</f>
        <v/>
      </c>
      <c r="P120" s="40" t="n">
        <f aca="true">RAND()</f>
        <v>0.412850219824977</v>
      </c>
      <c r="Q120" s="40" t="n">
        <f aca="true">RAND()</f>
        <v>0.143307054508362</v>
      </c>
      <c r="R120" s="40" t="n">
        <f aca="true">RAND()</f>
        <v>0.00877021538702791</v>
      </c>
      <c r="S120" s="40" t="n">
        <f aca="true">RAND()</f>
        <v>0.173403535878628</v>
      </c>
      <c r="T120" s="40" t="n">
        <f aca="true">RAND()</f>
        <v>0.843147350649556</v>
      </c>
      <c r="U120" s="40" t="n">
        <f aca="true">RAND()</f>
        <v>0.780389927820062</v>
      </c>
    </row>
    <row r="121" customFormat="false" ht="15" hidden="false" customHeight="false" outlineLevel="0" collapsed="false">
      <c r="A121" s="36" t="n">
        <v>41</v>
      </c>
      <c r="B121" s="37" t="n">
        <f aca="false">1+IF($G$6=$E$6,$F$6,IF(P121&lt;($F$6-$E$6)/($G$6-$E$6),$E$6+SQRT(P121*($G$6-$E$6)*($F$6-$E$6)),$G$6-SQRT((1-P121)*($G$6-$E$6)*($G$6-$F$6))))</f>
        <v>1</v>
      </c>
      <c r="C121" s="37" t="n">
        <f aca="false">1+IF($G$7=$E$7,$F$7,IF(Q121&lt;($F$7-$E$7)/($G$7-$E$7),$E$7+SQRT(Q121*($G$7-$E$7)*($F$7-$E$7)),$G$7-SQRT((1-Q121)*($G$7-$E$7)*($G$7-$F$7))))</f>
        <v>1</v>
      </c>
      <c r="D121" s="37" t="n">
        <f aca="false">1+IF($G$8=$E$8,$F$8,IF(R121&lt;($F$8-$E$8)/($G$8-$E$8),$E$8+SQRT(R121*($G$8-$E$8)*($F$8-$E$8)),$G$8-SQRT((1-R121)*($G$8-$E$8)*($G$8-$F$8))))</f>
        <v>1</v>
      </c>
      <c r="E121" s="37" t="n">
        <f aca="false">1+IF($G$9=$E$9,$F$9,IF(S121&lt;($F$9-$E$9)/($G$9-$E$9),$E$9+SQRT(S121*($G$9-$E$9)*($F$9-$E$9)),$G$9-SQRT((1-S121)*($G$9-$E$9)*($G$9-$F$9))))</f>
        <v>1</v>
      </c>
      <c r="F121" s="37" t="n">
        <f aca="false">1+IF($G$10=$E$10,$F$10,IF(T121&lt;($F$10-$E$10)/($G$10-$E$10),$E$10+SQRT(T121*($G$10-$E$10)*($F$10-$E$10)),$G$10-SQRT((1-T121)*($G$10-$E$10)*($G$10-$F$10))))</f>
        <v>1</v>
      </c>
      <c r="G121" s="38" t="n">
        <f aca="false">IF($G$11=$E$11,$F$11,IF(U121&lt;($F$11-$E$11)/($G$11-$E$11),$E$11+SQRT(U121*($G$11-$E$11)*($F$11-$E$11)),$G$11-SQRT((1-U121)*($G$11-$E$11)*($G$11-$F$11))))</f>
        <v>0</v>
      </c>
      <c r="H121" s="39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0</v>
      </c>
      <c r="I121" s="39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0</v>
      </c>
      <c r="J121" s="39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0</v>
      </c>
      <c r="K121" s="39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0</v>
      </c>
      <c r="L121" s="39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0</v>
      </c>
      <c r="M121" s="39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0</v>
      </c>
      <c r="N121" s="39" t="str">
        <f aca="false">IF(COUNT('Business Case'!B11:G11)=0,"",H121+NPV(G121,I121:M121))</f>
        <v/>
      </c>
      <c r="P121" s="40" t="n">
        <f aca="true">RAND()</f>
        <v>0.334500704315609</v>
      </c>
      <c r="Q121" s="40" t="n">
        <f aca="true">RAND()</f>
        <v>0.374444651537244</v>
      </c>
      <c r="R121" s="40" t="n">
        <f aca="true">RAND()</f>
        <v>0.324281219423493</v>
      </c>
      <c r="S121" s="40" t="n">
        <f aca="true">RAND()</f>
        <v>0.42442649536736</v>
      </c>
      <c r="T121" s="40" t="n">
        <f aca="true">RAND()</f>
        <v>0.592707578823421</v>
      </c>
      <c r="U121" s="40" t="n">
        <f aca="true">RAND()</f>
        <v>0.30968042802277</v>
      </c>
    </row>
    <row r="122" customFormat="false" ht="15" hidden="false" customHeight="false" outlineLevel="0" collapsed="false">
      <c r="A122" s="36" t="n">
        <v>42</v>
      </c>
      <c r="B122" s="37" t="n">
        <f aca="false">1+IF($G$6=$E$6,$F$6,IF(P122&lt;($F$6-$E$6)/($G$6-$E$6),$E$6+SQRT(P122*($G$6-$E$6)*($F$6-$E$6)),$G$6-SQRT((1-P122)*($G$6-$E$6)*($G$6-$F$6))))</f>
        <v>1</v>
      </c>
      <c r="C122" s="37" t="n">
        <f aca="false">1+IF($G$7=$E$7,$F$7,IF(Q122&lt;($F$7-$E$7)/($G$7-$E$7),$E$7+SQRT(Q122*($G$7-$E$7)*($F$7-$E$7)),$G$7-SQRT((1-Q122)*($G$7-$E$7)*($G$7-$F$7))))</f>
        <v>1</v>
      </c>
      <c r="D122" s="37" t="n">
        <f aca="false">1+IF($G$8=$E$8,$F$8,IF(R122&lt;($F$8-$E$8)/($G$8-$E$8),$E$8+SQRT(R122*($G$8-$E$8)*($F$8-$E$8)),$G$8-SQRT((1-R122)*($G$8-$E$8)*($G$8-$F$8))))</f>
        <v>1</v>
      </c>
      <c r="E122" s="37" t="n">
        <f aca="false">1+IF($G$9=$E$9,$F$9,IF(S122&lt;($F$9-$E$9)/($G$9-$E$9),$E$9+SQRT(S122*($G$9-$E$9)*($F$9-$E$9)),$G$9-SQRT((1-S122)*($G$9-$E$9)*($G$9-$F$9))))</f>
        <v>1</v>
      </c>
      <c r="F122" s="37" t="n">
        <f aca="false">1+IF($G$10=$E$10,$F$10,IF(T122&lt;($F$10-$E$10)/($G$10-$E$10),$E$10+SQRT(T122*($G$10-$E$10)*($F$10-$E$10)),$G$10-SQRT((1-T122)*($G$10-$E$10)*($G$10-$F$10))))</f>
        <v>1</v>
      </c>
      <c r="G122" s="38" t="n">
        <f aca="false">IF($G$11=$E$11,$F$11,IF(U122&lt;($F$11-$E$11)/($G$11-$E$11),$E$11+SQRT(U122*($G$11-$E$11)*($F$11-$E$11)),$G$11-SQRT((1-U122)*($G$11-$E$11)*($G$11-$F$11))))</f>
        <v>0</v>
      </c>
      <c r="H122" s="39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0</v>
      </c>
      <c r="I122" s="39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0</v>
      </c>
      <c r="J122" s="39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0</v>
      </c>
      <c r="K122" s="39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0</v>
      </c>
      <c r="L122" s="39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0</v>
      </c>
      <c r="M122" s="39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0</v>
      </c>
      <c r="N122" s="39" t="str">
        <f aca="false">IF(COUNT('Business Case'!B11:G11)=0,"",H122+NPV(G122,I122:M122))</f>
        <v/>
      </c>
      <c r="P122" s="40" t="n">
        <f aca="true">RAND()</f>
        <v>0.965285621281353</v>
      </c>
      <c r="Q122" s="40" t="n">
        <f aca="true">RAND()</f>
        <v>0.200657821471353</v>
      </c>
      <c r="R122" s="40" t="n">
        <f aca="true">RAND()</f>
        <v>0.00461502997589973</v>
      </c>
      <c r="S122" s="40" t="n">
        <f aca="true">RAND()</f>
        <v>0.772294666538354</v>
      </c>
      <c r="T122" s="40" t="n">
        <f aca="true">RAND()</f>
        <v>0.139623547124754</v>
      </c>
      <c r="U122" s="40" t="n">
        <f aca="true">RAND()</f>
        <v>0.976955245463239</v>
      </c>
    </row>
    <row r="123" customFormat="false" ht="15" hidden="false" customHeight="false" outlineLevel="0" collapsed="false">
      <c r="A123" s="36" t="n">
        <v>43</v>
      </c>
      <c r="B123" s="37" t="n">
        <f aca="false">1+IF($G$6=$E$6,$F$6,IF(P123&lt;($F$6-$E$6)/($G$6-$E$6),$E$6+SQRT(P123*($G$6-$E$6)*($F$6-$E$6)),$G$6-SQRT((1-P123)*($G$6-$E$6)*($G$6-$F$6))))</f>
        <v>1</v>
      </c>
      <c r="C123" s="37" t="n">
        <f aca="false">1+IF($G$7=$E$7,$F$7,IF(Q123&lt;($F$7-$E$7)/($G$7-$E$7),$E$7+SQRT(Q123*($G$7-$E$7)*($F$7-$E$7)),$G$7-SQRT((1-Q123)*($G$7-$E$7)*($G$7-$F$7))))</f>
        <v>1</v>
      </c>
      <c r="D123" s="37" t="n">
        <f aca="false">1+IF($G$8=$E$8,$F$8,IF(R123&lt;($F$8-$E$8)/($G$8-$E$8),$E$8+SQRT(R123*($G$8-$E$8)*($F$8-$E$8)),$G$8-SQRT((1-R123)*($G$8-$E$8)*($G$8-$F$8))))</f>
        <v>1</v>
      </c>
      <c r="E123" s="37" t="n">
        <f aca="false">1+IF($G$9=$E$9,$F$9,IF(S123&lt;($F$9-$E$9)/($G$9-$E$9),$E$9+SQRT(S123*($G$9-$E$9)*($F$9-$E$9)),$G$9-SQRT((1-S123)*($G$9-$E$9)*($G$9-$F$9))))</f>
        <v>1</v>
      </c>
      <c r="F123" s="37" t="n">
        <f aca="false">1+IF($G$10=$E$10,$F$10,IF(T123&lt;($F$10-$E$10)/($G$10-$E$10),$E$10+SQRT(T123*($G$10-$E$10)*($F$10-$E$10)),$G$10-SQRT((1-T123)*($G$10-$E$10)*($G$10-$F$10))))</f>
        <v>1</v>
      </c>
      <c r="G123" s="38" t="n">
        <f aca="false">IF($G$11=$E$11,$F$11,IF(U123&lt;($F$11-$E$11)/($G$11-$E$11),$E$11+SQRT(U123*($G$11-$E$11)*($F$11-$E$11)),$G$11-SQRT((1-U123)*($G$11-$E$11)*($G$11-$F$11))))</f>
        <v>0</v>
      </c>
      <c r="H123" s="39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0</v>
      </c>
      <c r="I123" s="39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0</v>
      </c>
      <c r="J123" s="39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0</v>
      </c>
      <c r="K123" s="39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0</v>
      </c>
      <c r="L123" s="39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0</v>
      </c>
      <c r="M123" s="39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0</v>
      </c>
      <c r="N123" s="39" t="str">
        <f aca="false">IF(COUNT('Business Case'!B11:G11)=0,"",H123+NPV(G123,I123:M123))</f>
        <v/>
      </c>
      <c r="P123" s="40" t="n">
        <f aca="true">RAND()</f>
        <v>0.810554074784179</v>
      </c>
      <c r="Q123" s="40" t="n">
        <f aca="true">RAND()</f>
        <v>0.231556697463708</v>
      </c>
      <c r="R123" s="40" t="n">
        <f aca="true">RAND()</f>
        <v>0.192249880275237</v>
      </c>
      <c r="S123" s="40" t="n">
        <f aca="true">RAND()</f>
        <v>0.509699625942493</v>
      </c>
      <c r="T123" s="40" t="n">
        <f aca="true">RAND()</f>
        <v>0.00876455829599527</v>
      </c>
      <c r="U123" s="40" t="n">
        <f aca="true">RAND()</f>
        <v>0.97404411734911</v>
      </c>
    </row>
    <row r="124" customFormat="false" ht="15" hidden="false" customHeight="false" outlineLevel="0" collapsed="false">
      <c r="A124" s="36" t="n">
        <v>44</v>
      </c>
      <c r="B124" s="37" t="n">
        <f aca="false">1+IF($G$6=$E$6,$F$6,IF(P124&lt;($F$6-$E$6)/($G$6-$E$6),$E$6+SQRT(P124*($G$6-$E$6)*($F$6-$E$6)),$G$6-SQRT((1-P124)*($G$6-$E$6)*($G$6-$F$6))))</f>
        <v>1</v>
      </c>
      <c r="C124" s="37" t="n">
        <f aca="false">1+IF($G$7=$E$7,$F$7,IF(Q124&lt;($F$7-$E$7)/($G$7-$E$7),$E$7+SQRT(Q124*($G$7-$E$7)*($F$7-$E$7)),$G$7-SQRT((1-Q124)*($G$7-$E$7)*($G$7-$F$7))))</f>
        <v>1</v>
      </c>
      <c r="D124" s="37" t="n">
        <f aca="false">1+IF($G$8=$E$8,$F$8,IF(R124&lt;($F$8-$E$8)/($G$8-$E$8),$E$8+SQRT(R124*($G$8-$E$8)*($F$8-$E$8)),$G$8-SQRT((1-R124)*($G$8-$E$8)*($G$8-$F$8))))</f>
        <v>1</v>
      </c>
      <c r="E124" s="37" t="n">
        <f aca="false">1+IF($G$9=$E$9,$F$9,IF(S124&lt;($F$9-$E$9)/($G$9-$E$9),$E$9+SQRT(S124*($G$9-$E$9)*($F$9-$E$9)),$G$9-SQRT((1-S124)*($G$9-$E$9)*($G$9-$F$9))))</f>
        <v>1</v>
      </c>
      <c r="F124" s="37" t="n">
        <f aca="false">1+IF($G$10=$E$10,$F$10,IF(T124&lt;($F$10-$E$10)/($G$10-$E$10),$E$10+SQRT(T124*($G$10-$E$10)*($F$10-$E$10)),$G$10-SQRT((1-T124)*($G$10-$E$10)*($G$10-$F$10))))</f>
        <v>1</v>
      </c>
      <c r="G124" s="38" t="n">
        <f aca="false">IF($G$11=$E$11,$F$11,IF(U124&lt;($F$11-$E$11)/($G$11-$E$11),$E$11+SQRT(U124*($G$11-$E$11)*($F$11-$E$11)),$G$11-SQRT((1-U124)*($G$11-$E$11)*($G$11-$F$11))))</f>
        <v>0</v>
      </c>
      <c r="H124" s="39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0</v>
      </c>
      <c r="I124" s="39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0</v>
      </c>
      <c r="J124" s="39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0</v>
      </c>
      <c r="K124" s="39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0</v>
      </c>
      <c r="L124" s="39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0</v>
      </c>
      <c r="M124" s="39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0</v>
      </c>
      <c r="N124" s="39" t="str">
        <f aca="false">IF(COUNT('Business Case'!B11:G11)=0,"",H124+NPV(G124,I124:M124))</f>
        <v/>
      </c>
      <c r="P124" s="40" t="n">
        <f aca="true">RAND()</f>
        <v>0.710399162557784</v>
      </c>
      <c r="Q124" s="40" t="n">
        <f aca="true">RAND()</f>
        <v>0.33108502981235</v>
      </c>
      <c r="R124" s="40" t="n">
        <f aca="true">RAND()</f>
        <v>0.0249894474495993</v>
      </c>
      <c r="S124" s="40" t="n">
        <f aca="true">RAND()</f>
        <v>0.0195739835558648</v>
      </c>
      <c r="T124" s="40" t="n">
        <f aca="true">RAND()</f>
        <v>0.191350640361492</v>
      </c>
      <c r="U124" s="40" t="n">
        <f aca="true">RAND()</f>
        <v>0.127278978935589</v>
      </c>
    </row>
    <row r="125" customFormat="false" ht="15" hidden="false" customHeight="false" outlineLevel="0" collapsed="false">
      <c r="A125" s="36" t="n">
        <v>45</v>
      </c>
      <c r="B125" s="37" t="n">
        <f aca="false">1+IF($G$6=$E$6,$F$6,IF(P125&lt;($F$6-$E$6)/($G$6-$E$6),$E$6+SQRT(P125*($G$6-$E$6)*($F$6-$E$6)),$G$6-SQRT((1-P125)*($G$6-$E$6)*($G$6-$F$6))))</f>
        <v>1</v>
      </c>
      <c r="C125" s="37" t="n">
        <f aca="false">1+IF($G$7=$E$7,$F$7,IF(Q125&lt;($F$7-$E$7)/($G$7-$E$7),$E$7+SQRT(Q125*($G$7-$E$7)*($F$7-$E$7)),$G$7-SQRT((1-Q125)*($G$7-$E$7)*($G$7-$F$7))))</f>
        <v>1</v>
      </c>
      <c r="D125" s="37" t="n">
        <f aca="false">1+IF($G$8=$E$8,$F$8,IF(R125&lt;($F$8-$E$8)/($G$8-$E$8),$E$8+SQRT(R125*($G$8-$E$8)*($F$8-$E$8)),$G$8-SQRT((1-R125)*($G$8-$E$8)*($G$8-$F$8))))</f>
        <v>1</v>
      </c>
      <c r="E125" s="37" t="n">
        <f aca="false">1+IF($G$9=$E$9,$F$9,IF(S125&lt;($F$9-$E$9)/($G$9-$E$9),$E$9+SQRT(S125*($G$9-$E$9)*($F$9-$E$9)),$G$9-SQRT((1-S125)*($G$9-$E$9)*($G$9-$F$9))))</f>
        <v>1</v>
      </c>
      <c r="F125" s="37" t="n">
        <f aca="false">1+IF($G$10=$E$10,$F$10,IF(T125&lt;($F$10-$E$10)/($G$10-$E$10),$E$10+SQRT(T125*($G$10-$E$10)*($F$10-$E$10)),$G$10-SQRT((1-T125)*($G$10-$E$10)*($G$10-$F$10))))</f>
        <v>1</v>
      </c>
      <c r="G125" s="38" t="n">
        <f aca="false">IF($G$11=$E$11,$F$11,IF(U125&lt;($F$11-$E$11)/($G$11-$E$11),$E$11+SQRT(U125*($G$11-$E$11)*($F$11-$E$11)),$G$11-SQRT((1-U125)*($G$11-$E$11)*($G$11-$F$11))))</f>
        <v>0</v>
      </c>
      <c r="H125" s="39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0</v>
      </c>
      <c r="I125" s="39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0</v>
      </c>
      <c r="J125" s="39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0</v>
      </c>
      <c r="K125" s="39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0</v>
      </c>
      <c r="L125" s="39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0</v>
      </c>
      <c r="M125" s="39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0</v>
      </c>
      <c r="N125" s="39" t="str">
        <f aca="false">IF(COUNT('Business Case'!B11:G11)=0,"",H125+NPV(G125,I125:M125))</f>
        <v/>
      </c>
      <c r="P125" s="40" t="n">
        <f aca="true">RAND()</f>
        <v>0.11705952308435</v>
      </c>
      <c r="Q125" s="40" t="n">
        <f aca="true">RAND()</f>
        <v>0.0949428366040517</v>
      </c>
      <c r="R125" s="40" t="n">
        <f aca="true">RAND()</f>
        <v>0.443544896345238</v>
      </c>
      <c r="S125" s="40" t="n">
        <f aca="true">RAND()</f>
        <v>0.682924722017898</v>
      </c>
      <c r="T125" s="40" t="n">
        <f aca="true">RAND()</f>
        <v>0.202232661605488</v>
      </c>
      <c r="U125" s="40" t="n">
        <f aca="true">RAND()</f>
        <v>0.346860429100268</v>
      </c>
    </row>
    <row r="126" customFormat="false" ht="15" hidden="false" customHeight="false" outlineLevel="0" collapsed="false">
      <c r="A126" s="36" t="n">
        <v>46</v>
      </c>
      <c r="B126" s="37" t="n">
        <f aca="false">1+IF($G$6=$E$6,$F$6,IF(P126&lt;($F$6-$E$6)/($G$6-$E$6),$E$6+SQRT(P126*($G$6-$E$6)*($F$6-$E$6)),$G$6-SQRT((1-P126)*($G$6-$E$6)*($G$6-$F$6))))</f>
        <v>1</v>
      </c>
      <c r="C126" s="37" t="n">
        <f aca="false">1+IF($G$7=$E$7,$F$7,IF(Q126&lt;($F$7-$E$7)/($G$7-$E$7),$E$7+SQRT(Q126*($G$7-$E$7)*($F$7-$E$7)),$G$7-SQRT((1-Q126)*($G$7-$E$7)*($G$7-$F$7))))</f>
        <v>1</v>
      </c>
      <c r="D126" s="37" t="n">
        <f aca="false">1+IF($G$8=$E$8,$F$8,IF(R126&lt;($F$8-$E$8)/($G$8-$E$8),$E$8+SQRT(R126*($G$8-$E$8)*($F$8-$E$8)),$G$8-SQRT((1-R126)*($G$8-$E$8)*($G$8-$F$8))))</f>
        <v>1</v>
      </c>
      <c r="E126" s="37" t="n">
        <f aca="false">1+IF($G$9=$E$9,$F$9,IF(S126&lt;($F$9-$E$9)/($G$9-$E$9),$E$9+SQRT(S126*($G$9-$E$9)*($F$9-$E$9)),$G$9-SQRT((1-S126)*($G$9-$E$9)*($G$9-$F$9))))</f>
        <v>1</v>
      </c>
      <c r="F126" s="37" t="n">
        <f aca="false">1+IF($G$10=$E$10,$F$10,IF(T126&lt;($F$10-$E$10)/($G$10-$E$10),$E$10+SQRT(T126*($G$10-$E$10)*($F$10-$E$10)),$G$10-SQRT((1-T126)*($G$10-$E$10)*($G$10-$F$10))))</f>
        <v>1</v>
      </c>
      <c r="G126" s="38" t="n">
        <f aca="false">IF($G$11=$E$11,$F$11,IF(U126&lt;($F$11-$E$11)/($G$11-$E$11),$E$11+SQRT(U126*($G$11-$E$11)*($F$11-$E$11)),$G$11-SQRT((1-U126)*($G$11-$E$11)*($G$11-$F$11))))</f>
        <v>0</v>
      </c>
      <c r="H126" s="39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0</v>
      </c>
      <c r="I126" s="39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0</v>
      </c>
      <c r="J126" s="39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0</v>
      </c>
      <c r="K126" s="39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0</v>
      </c>
      <c r="L126" s="39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0</v>
      </c>
      <c r="M126" s="39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0</v>
      </c>
      <c r="N126" s="39" t="str">
        <f aca="false">IF(COUNT('Business Case'!B11:G11)=0,"",H126+NPV(G126,I126:M126))</f>
        <v/>
      </c>
      <c r="P126" s="40" t="n">
        <f aca="true">RAND()</f>
        <v>0.756056864757343</v>
      </c>
      <c r="Q126" s="40" t="n">
        <f aca="true">RAND()</f>
        <v>0.101411412569865</v>
      </c>
      <c r="R126" s="40" t="n">
        <f aca="true">RAND()</f>
        <v>0.412934195883933</v>
      </c>
      <c r="S126" s="40" t="n">
        <f aca="true">RAND()</f>
        <v>0.856998879419687</v>
      </c>
      <c r="T126" s="40" t="n">
        <f aca="true">RAND()</f>
        <v>0.875750937775855</v>
      </c>
      <c r="U126" s="40" t="n">
        <f aca="true">RAND()</f>
        <v>0.243684831050979</v>
      </c>
    </row>
    <row r="127" customFormat="false" ht="15" hidden="false" customHeight="false" outlineLevel="0" collapsed="false">
      <c r="A127" s="36" t="n">
        <v>47</v>
      </c>
      <c r="B127" s="37" t="n">
        <f aca="false">1+IF($G$6=$E$6,$F$6,IF(P127&lt;($F$6-$E$6)/($G$6-$E$6),$E$6+SQRT(P127*($G$6-$E$6)*($F$6-$E$6)),$G$6-SQRT((1-P127)*($G$6-$E$6)*($G$6-$F$6))))</f>
        <v>1</v>
      </c>
      <c r="C127" s="37" t="n">
        <f aca="false">1+IF($G$7=$E$7,$F$7,IF(Q127&lt;($F$7-$E$7)/($G$7-$E$7),$E$7+SQRT(Q127*($G$7-$E$7)*($F$7-$E$7)),$G$7-SQRT((1-Q127)*($G$7-$E$7)*($G$7-$F$7))))</f>
        <v>1</v>
      </c>
      <c r="D127" s="37" t="n">
        <f aca="false">1+IF($G$8=$E$8,$F$8,IF(R127&lt;($F$8-$E$8)/($G$8-$E$8),$E$8+SQRT(R127*($G$8-$E$8)*($F$8-$E$8)),$G$8-SQRT((1-R127)*($G$8-$E$8)*($G$8-$F$8))))</f>
        <v>1</v>
      </c>
      <c r="E127" s="37" t="n">
        <f aca="false">1+IF($G$9=$E$9,$F$9,IF(S127&lt;($F$9-$E$9)/($G$9-$E$9),$E$9+SQRT(S127*($G$9-$E$9)*($F$9-$E$9)),$G$9-SQRT((1-S127)*($G$9-$E$9)*($G$9-$F$9))))</f>
        <v>1</v>
      </c>
      <c r="F127" s="37" t="n">
        <f aca="false">1+IF($G$10=$E$10,$F$10,IF(T127&lt;($F$10-$E$10)/($G$10-$E$10),$E$10+SQRT(T127*($G$10-$E$10)*($F$10-$E$10)),$G$10-SQRT((1-T127)*($G$10-$E$10)*($G$10-$F$10))))</f>
        <v>1</v>
      </c>
      <c r="G127" s="38" t="n">
        <f aca="false">IF($G$11=$E$11,$F$11,IF(U127&lt;($F$11-$E$11)/($G$11-$E$11),$E$11+SQRT(U127*($G$11-$E$11)*($F$11-$E$11)),$G$11-SQRT((1-U127)*($G$11-$E$11)*($G$11-$F$11))))</f>
        <v>0</v>
      </c>
      <c r="H127" s="39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0</v>
      </c>
      <c r="I127" s="39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0</v>
      </c>
      <c r="J127" s="39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0</v>
      </c>
      <c r="K127" s="39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0</v>
      </c>
      <c r="L127" s="39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0</v>
      </c>
      <c r="M127" s="39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0</v>
      </c>
      <c r="N127" s="39" t="str">
        <f aca="false">IF(COUNT('Business Case'!B11:G11)=0,"",H127+NPV(G127,I127:M127))</f>
        <v/>
      </c>
      <c r="P127" s="40" t="n">
        <f aca="true">RAND()</f>
        <v>0.803738148207728</v>
      </c>
      <c r="Q127" s="40" t="n">
        <f aca="true">RAND()</f>
        <v>0.975207008960718</v>
      </c>
      <c r="R127" s="40" t="n">
        <f aca="true">RAND()</f>
        <v>0.531712915125258</v>
      </c>
      <c r="S127" s="40" t="n">
        <f aca="true">RAND()</f>
        <v>0.478276886048589</v>
      </c>
      <c r="T127" s="40" t="n">
        <f aca="true">RAND()</f>
        <v>0.666116186003464</v>
      </c>
      <c r="U127" s="40" t="n">
        <f aca="true">RAND()</f>
        <v>0.292890267860139</v>
      </c>
    </row>
    <row r="128" customFormat="false" ht="15" hidden="false" customHeight="false" outlineLevel="0" collapsed="false">
      <c r="A128" s="36" t="n">
        <v>48</v>
      </c>
      <c r="B128" s="37" t="n">
        <f aca="false">1+IF($G$6=$E$6,$F$6,IF(P128&lt;($F$6-$E$6)/($G$6-$E$6),$E$6+SQRT(P128*($G$6-$E$6)*($F$6-$E$6)),$G$6-SQRT((1-P128)*($G$6-$E$6)*($G$6-$F$6))))</f>
        <v>1</v>
      </c>
      <c r="C128" s="37" t="n">
        <f aca="false">1+IF($G$7=$E$7,$F$7,IF(Q128&lt;($F$7-$E$7)/($G$7-$E$7),$E$7+SQRT(Q128*($G$7-$E$7)*($F$7-$E$7)),$G$7-SQRT((1-Q128)*($G$7-$E$7)*($G$7-$F$7))))</f>
        <v>1</v>
      </c>
      <c r="D128" s="37" t="n">
        <f aca="false">1+IF($G$8=$E$8,$F$8,IF(R128&lt;($F$8-$E$8)/($G$8-$E$8),$E$8+SQRT(R128*($G$8-$E$8)*($F$8-$E$8)),$G$8-SQRT((1-R128)*($G$8-$E$8)*($G$8-$F$8))))</f>
        <v>1</v>
      </c>
      <c r="E128" s="37" t="n">
        <f aca="false">1+IF($G$9=$E$9,$F$9,IF(S128&lt;($F$9-$E$9)/($G$9-$E$9),$E$9+SQRT(S128*($G$9-$E$9)*($F$9-$E$9)),$G$9-SQRT((1-S128)*($G$9-$E$9)*($G$9-$F$9))))</f>
        <v>1</v>
      </c>
      <c r="F128" s="37" t="n">
        <f aca="false">1+IF($G$10=$E$10,$F$10,IF(T128&lt;($F$10-$E$10)/($G$10-$E$10),$E$10+SQRT(T128*($G$10-$E$10)*($F$10-$E$10)),$G$10-SQRT((1-T128)*($G$10-$E$10)*($G$10-$F$10))))</f>
        <v>1</v>
      </c>
      <c r="G128" s="38" t="n">
        <f aca="false">IF($G$11=$E$11,$F$11,IF(U128&lt;($F$11-$E$11)/($G$11-$E$11),$E$11+SQRT(U128*($G$11-$E$11)*($F$11-$E$11)),$G$11-SQRT((1-U128)*($G$11-$E$11)*($G$11-$F$11))))</f>
        <v>0</v>
      </c>
      <c r="H128" s="39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0</v>
      </c>
      <c r="I128" s="39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0</v>
      </c>
      <c r="J128" s="39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0</v>
      </c>
      <c r="K128" s="39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0</v>
      </c>
      <c r="L128" s="39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0</v>
      </c>
      <c r="M128" s="39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0</v>
      </c>
      <c r="N128" s="39" t="str">
        <f aca="false">IF(COUNT('Business Case'!B11:G11)=0,"",H128+NPV(G128,I128:M128))</f>
        <v/>
      </c>
      <c r="P128" s="40" t="n">
        <f aca="true">RAND()</f>
        <v>0.385442180660101</v>
      </c>
      <c r="Q128" s="40" t="n">
        <f aca="true">RAND()</f>
        <v>0.304329517986672</v>
      </c>
      <c r="R128" s="40" t="n">
        <f aca="true">RAND()</f>
        <v>0.10125888070765</v>
      </c>
      <c r="S128" s="40" t="n">
        <f aca="true">RAND()</f>
        <v>0.157057997994007</v>
      </c>
      <c r="T128" s="40" t="n">
        <f aca="true">RAND()</f>
        <v>0.10753272538164</v>
      </c>
      <c r="U128" s="40" t="n">
        <f aca="true">RAND()</f>
        <v>0.187724053101359</v>
      </c>
    </row>
    <row r="129" customFormat="false" ht="15" hidden="false" customHeight="false" outlineLevel="0" collapsed="false">
      <c r="A129" s="36" t="n">
        <v>49</v>
      </c>
      <c r="B129" s="37" t="n">
        <f aca="false">1+IF($G$6=$E$6,$F$6,IF(P129&lt;($F$6-$E$6)/($G$6-$E$6),$E$6+SQRT(P129*($G$6-$E$6)*($F$6-$E$6)),$G$6-SQRT((1-P129)*($G$6-$E$6)*($G$6-$F$6))))</f>
        <v>1</v>
      </c>
      <c r="C129" s="37" t="n">
        <f aca="false">1+IF($G$7=$E$7,$F$7,IF(Q129&lt;($F$7-$E$7)/($G$7-$E$7),$E$7+SQRT(Q129*($G$7-$E$7)*($F$7-$E$7)),$G$7-SQRT((1-Q129)*($G$7-$E$7)*($G$7-$F$7))))</f>
        <v>1</v>
      </c>
      <c r="D129" s="37" t="n">
        <f aca="false">1+IF($G$8=$E$8,$F$8,IF(R129&lt;($F$8-$E$8)/($G$8-$E$8),$E$8+SQRT(R129*($G$8-$E$8)*($F$8-$E$8)),$G$8-SQRT((1-R129)*($G$8-$E$8)*($G$8-$F$8))))</f>
        <v>1</v>
      </c>
      <c r="E129" s="37" t="n">
        <f aca="false">1+IF($G$9=$E$9,$F$9,IF(S129&lt;($F$9-$E$9)/($G$9-$E$9),$E$9+SQRT(S129*($G$9-$E$9)*($F$9-$E$9)),$G$9-SQRT((1-S129)*($G$9-$E$9)*($G$9-$F$9))))</f>
        <v>1</v>
      </c>
      <c r="F129" s="37" t="n">
        <f aca="false">1+IF($G$10=$E$10,$F$10,IF(T129&lt;($F$10-$E$10)/($G$10-$E$10),$E$10+SQRT(T129*($G$10-$E$10)*($F$10-$E$10)),$G$10-SQRT((1-T129)*($G$10-$E$10)*($G$10-$F$10))))</f>
        <v>1</v>
      </c>
      <c r="G129" s="38" t="n">
        <f aca="false">IF($G$11=$E$11,$F$11,IF(U129&lt;($F$11-$E$11)/($G$11-$E$11),$E$11+SQRT(U129*($G$11-$E$11)*($F$11-$E$11)),$G$11-SQRT((1-U129)*($G$11-$E$11)*($G$11-$F$11))))</f>
        <v>0</v>
      </c>
      <c r="H129" s="39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0</v>
      </c>
      <c r="I129" s="39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0</v>
      </c>
      <c r="J129" s="39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0</v>
      </c>
      <c r="K129" s="39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0</v>
      </c>
      <c r="L129" s="39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0</v>
      </c>
      <c r="M129" s="39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0</v>
      </c>
      <c r="N129" s="39" t="str">
        <f aca="false">IF(COUNT('Business Case'!B11:G11)=0,"",H129+NPV(G129,I129:M129))</f>
        <v/>
      </c>
      <c r="P129" s="40" t="n">
        <f aca="true">RAND()</f>
        <v>0.300783232362148</v>
      </c>
      <c r="Q129" s="40" t="n">
        <f aca="true">RAND()</f>
        <v>0.92131072013539</v>
      </c>
      <c r="R129" s="40" t="n">
        <f aca="true">RAND()</f>
        <v>0.421063191460291</v>
      </c>
      <c r="S129" s="40" t="n">
        <f aca="true">RAND()</f>
        <v>0.69563062060833</v>
      </c>
      <c r="T129" s="40" t="n">
        <f aca="true">RAND()</f>
        <v>0.942042461074182</v>
      </c>
      <c r="U129" s="40" t="n">
        <f aca="true">RAND()</f>
        <v>0.971000117683505</v>
      </c>
    </row>
    <row r="130" customFormat="false" ht="15" hidden="false" customHeight="false" outlineLevel="0" collapsed="false">
      <c r="A130" s="36" t="n">
        <v>50</v>
      </c>
      <c r="B130" s="37" t="n">
        <f aca="false">1+IF($G$6=$E$6,$F$6,IF(P130&lt;($F$6-$E$6)/($G$6-$E$6),$E$6+SQRT(P130*($G$6-$E$6)*($F$6-$E$6)),$G$6-SQRT((1-P130)*($G$6-$E$6)*($G$6-$F$6))))</f>
        <v>1</v>
      </c>
      <c r="C130" s="37" t="n">
        <f aca="false">1+IF($G$7=$E$7,$F$7,IF(Q130&lt;($F$7-$E$7)/($G$7-$E$7),$E$7+SQRT(Q130*($G$7-$E$7)*($F$7-$E$7)),$G$7-SQRT((1-Q130)*($G$7-$E$7)*($G$7-$F$7))))</f>
        <v>1</v>
      </c>
      <c r="D130" s="37" t="n">
        <f aca="false">1+IF($G$8=$E$8,$F$8,IF(R130&lt;($F$8-$E$8)/($G$8-$E$8),$E$8+SQRT(R130*($G$8-$E$8)*($F$8-$E$8)),$G$8-SQRT((1-R130)*($G$8-$E$8)*($G$8-$F$8))))</f>
        <v>1</v>
      </c>
      <c r="E130" s="37" t="n">
        <f aca="false">1+IF($G$9=$E$9,$F$9,IF(S130&lt;($F$9-$E$9)/($G$9-$E$9),$E$9+SQRT(S130*($G$9-$E$9)*($F$9-$E$9)),$G$9-SQRT((1-S130)*($G$9-$E$9)*($G$9-$F$9))))</f>
        <v>1</v>
      </c>
      <c r="F130" s="37" t="n">
        <f aca="false">1+IF($G$10=$E$10,$F$10,IF(T130&lt;($F$10-$E$10)/($G$10-$E$10),$E$10+SQRT(T130*($G$10-$E$10)*($F$10-$E$10)),$G$10-SQRT((1-T130)*($G$10-$E$10)*($G$10-$F$10))))</f>
        <v>1</v>
      </c>
      <c r="G130" s="38" t="n">
        <f aca="false">IF($G$11=$E$11,$F$11,IF(U130&lt;($F$11-$E$11)/($G$11-$E$11),$E$11+SQRT(U130*($G$11-$E$11)*($F$11-$E$11)),$G$11-SQRT((1-U130)*($G$11-$E$11)*($G$11-$F$11))))</f>
        <v>0</v>
      </c>
      <c r="H130" s="39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0</v>
      </c>
      <c r="I130" s="39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0</v>
      </c>
      <c r="J130" s="39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0</v>
      </c>
      <c r="K130" s="39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0</v>
      </c>
      <c r="L130" s="39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0</v>
      </c>
      <c r="M130" s="39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0</v>
      </c>
      <c r="N130" s="39" t="str">
        <f aca="false">IF(COUNT('Business Case'!B11:G11)=0,"",H130+NPV(G130,I130:M130))</f>
        <v/>
      </c>
      <c r="P130" s="40" t="n">
        <f aca="true">RAND()</f>
        <v>0.312376020834433</v>
      </c>
      <c r="Q130" s="40" t="n">
        <f aca="true">RAND()</f>
        <v>0.338659700106289</v>
      </c>
      <c r="R130" s="40" t="n">
        <f aca="true">RAND()</f>
        <v>0.885175625238206</v>
      </c>
      <c r="S130" s="40" t="n">
        <f aca="true">RAND()</f>
        <v>0.00120968122710518</v>
      </c>
      <c r="T130" s="40" t="n">
        <f aca="true">RAND()</f>
        <v>0.53469841572902</v>
      </c>
      <c r="U130" s="40" t="n">
        <f aca="true">RAND()</f>
        <v>0.839894060627303</v>
      </c>
    </row>
    <row r="131" customFormat="false" ht="15" hidden="false" customHeight="false" outlineLevel="0" collapsed="false">
      <c r="A131" s="36" t="n">
        <v>51</v>
      </c>
      <c r="B131" s="37" t="n">
        <f aca="false">1+IF($G$6=$E$6,$F$6,IF(P131&lt;($F$6-$E$6)/($G$6-$E$6),$E$6+SQRT(P131*($G$6-$E$6)*($F$6-$E$6)),$G$6-SQRT((1-P131)*($G$6-$E$6)*($G$6-$F$6))))</f>
        <v>1</v>
      </c>
      <c r="C131" s="37" t="n">
        <f aca="false">1+IF($G$7=$E$7,$F$7,IF(Q131&lt;($F$7-$E$7)/($G$7-$E$7),$E$7+SQRT(Q131*($G$7-$E$7)*($F$7-$E$7)),$G$7-SQRT((1-Q131)*($G$7-$E$7)*($G$7-$F$7))))</f>
        <v>1</v>
      </c>
      <c r="D131" s="37" t="n">
        <f aca="false">1+IF($G$8=$E$8,$F$8,IF(R131&lt;($F$8-$E$8)/($G$8-$E$8),$E$8+SQRT(R131*($G$8-$E$8)*($F$8-$E$8)),$G$8-SQRT((1-R131)*($G$8-$E$8)*($G$8-$F$8))))</f>
        <v>1</v>
      </c>
      <c r="E131" s="37" t="n">
        <f aca="false">1+IF($G$9=$E$9,$F$9,IF(S131&lt;($F$9-$E$9)/($G$9-$E$9),$E$9+SQRT(S131*($G$9-$E$9)*($F$9-$E$9)),$G$9-SQRT((1-S131)*($G$9-$E$9)*($G$9-$F$9))))</f>
        <v>1</v>
      </c>
      <c r="F131" s="37" t="n">
        <f aca="false">1+IF($G$10=$E$10,$F$10,IF(T131&lt;($F$10-$E$10)/($G$10-$E$10),$E$10+SQRT(T131*($G$10-$E$10)*($F$10-$E$10)),$G$10-SQRT((1-T131)*($G$10-$E$10)*($G$10-$F$10))))</f>
        <v>1</v>
      </c>
      <c r="G131" s="38" t="n">
        <f aca="false">IF($G$11=$E$11,$F$11,IF(U131&lt;($F$11-$E$11)/($G$11-$E$11),$E$11+SQRT(U131*($G$11-$E$11)*($F$11-$E$11)),$G$11-SQRT((1-U131)*($G$11-$E$11)*($G$11-$F$11))))</f>
        <v>0</v>
      </c>
      <c r="H131" s="39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0</v>
      </c>
      <c r="I131" s="39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0</v>
      </c>
      <c r="J131" s="39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0</v>
      </c>
      <c r="K131" s="39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0</v>
      </c>
      <c r="L131" s="39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0</v>
      </c>
      <c r="M131" s="39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0</v>
      </c>
      <c r="N131" s="39" t="str">
        <f aca="false">IF(COUNT('Business Case'!B11:G11)=0,"",H131+NPV(G131,I131:M131))</f>
        <v/>
      </c>
      <c r="P131" s="40" t="n">
        <f aca="true">RAND()</f>
        <v>0.389866118527847</v>
      </c>
      <c r="Q131" s="40" t="n">
        <f aca="true">RAND()</f>
        <v>0.480965382014299</v>
      </c>
      <c r="R131" s="40" t="n">
        <f aca="true">RAND()</f>
        <v>0.560529941125862</v>
      </c>
      <c r="S131" s="40" t="n">
        <f aca="true">RAND()</f>
        <v>0.622131644091747</v>
      </c>
      <c r="T131" s="40" t="n">
        <f aca="true">RAND()</f>
        <v>0.304004954446861</v>
      </c>
      <c r="U131" s="40" t="n">
        <f aca="true">RAND()</f>
        <v>0.365078862403775</v>
      </c>
    </row>
    <row r="132" customFormat="false" ht="15" hidden="false" customHeight="false" outlineLevel="0" collapsed="false">
      <c r="A132" s="36" t="n">
        <v>52</v>
      </c>
      <c r="B132" s="37" t="n">
        <f aca="false">1+IF($G$6=$E$6,$F$6,IF(P132&lt;($F$6-$E$6)/($G$6-$E$6),$E$6+SQRT(P132*($G$6-$E$6)*($F$6-$E$6)),$G$6-SQRT((1-P132)*($G$6-$E$6)*($G$6-$F$6))))</f>
        <v>1</v>
      </c>
      <c r="C132" s="37" t="n">
        <f aca="false">1+IF($G$7=$E$7,$F$7,IF(Q132&lt;($F$7-$E$7)/($G$7-$E$7),$E$7+SQRT(Q132*($G$7-$E$7)*($F$7-$E$7)),$G$7-SQRT((1-Q132)*($G$7-$E$7)*($G$7-$F$7))))</f>
        <v>1</v>
      </c>
      <c r="D132" s="37" t="n">
        <f aca="false">1+IF($G$8=$E$8,$F$8,IF(R132&lt;($F$8-$E$8)/($G$8-$E$8),$E$8+SQRT(R132*($G$8-$E$8)*($F$8-$E$8)),$G$8-SQRT((1-R132)*($G$8-$E$8)*($G$8-$F$8))))</f>
        <v>1</v>
      </c>
      <c r="E132" s="37" t="n">
        <f aca="false">1+IF($G$9=$E$9,$F$9,IF(S132&lt;($F$9-$E$9)/($G$9-$E$9),$E$9+SQRT(S132*($G$9-$E$9)*($F$9-$E$9)),$G$9-SQRT((1-S132)*($G$9-$E$9)*($G$9-$F$9))))</f>
        <v>1</v>
      </c>
      <c r="F132" s="37" t="n">
        <f aca="false">1+IF($G$10=$E$10,$F$10,IF(T132&lt;($F$10-$E$10)/($G$10-$E$10),$E$10+SQRT(T132*($G$10-$E$10)*($F$10-$E$10)),$G$10-SQRT((1-T132)*($G$10-$E$10)*($G$10-$F$10))))</f>
        <v>1</v>
      </c>
      <c r="G132" s="38" t="n">
        <f aca="false">IF($G$11=$E$11,$F$11,IF(U132&lt;($F$11-$E$11)/($G$11-$E$11),$E$11+SQRT(U132*($G$11-$E$11)*($F$11-$E$11)),$G$11-SQRT((1-U132)*($G$11-$E$11)*($G$11-$F$11))))</f>
        <v>0</v>
      </c>
      <c r="H132" s="39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0</v>
      </c>
      <c r="I132" s="39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0</v>
      </c>
      <c r="J132" s="39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0</v>
      </c>
      <c r="K132" s="39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0</v>
      </c>
      <c r="L132" s="39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0</v>
      </c>
      <c r="M132" s="39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0</v>
      </c>
      <c r="N132" s="39" t="str">
        <f aca="false">IF(COUNT('Business Case'!B11:G11)=0,"",H132+NPV(G132,I132:M132))</f>
        <v/>
      </c>
      <c r="P132" s="40" t="n">
        <f aca="true">RAND()</f>
        <v>0.485079560248628</v>
      </c>
      <c r="Q132" s="40" t="n">
        <f aca="true">RAND()</f>
        <v>0.629794587107113</v>
      </c>
      <c r="R132" s="40" t="n">
        <f aca="true">RAND()</f>
        <v>0.0942619076768157</v>
      </c>
      <c r="S132" s="40" t="n">
        <f aca="true">RAND()</f>
        <v>0.144824865217976</v>
      </c>
      <c r="T132" s="40" t="n">
        <f aca="true">RAND()</f>
        <v>0.796064312666388</v>
      </c>
      <c r="U132" s="40" t="n">
        <f aca="true">RAND()</f>
        <v>0.757895216236219</v>
      </c>
    </row>
    <row r="133" customFormat="false" ht="15" hidden="false" customHeight="false" outlineLevel="0" collapsed="false">
      <c r="A133" s="36" t="n">
        <v>53</v>
      </c>
      <c r="B133" s="37" t="n">
        <f aca="false">1+IF($G$6=$E$6,$F$6,IF(P133&lt;($F$6-$E$6)/($G$6-$E$6),$E$6+SQRT(P133*($G$6-$E$6)*($F$6-$E$6)),$G$6-SQRT((1-P133)*($G$6-$E$6)*($G$6-$F$6))))</f>
        <v>1</v>
      </c>
      <c r="C133" s="37" t="n">
        <f aca="false">1+IF($G$7=$E$7,$F$7,IF(Q133&lt;($F$7-$E$7)/($G$7-$E$7),$E$7+SQRT(Q133*($G$7-$E$7)*($F$7-$E$7)),$G$7-SQRT((1-Q133)*($G$7-$E$7)*($G$7-$F$7))))</f>
        <v>1</v>
      </c>
      <c r="D133" s="37" t="n">
        <f aca="false">1+IF($G$8=$E$8,$F$8,IF(R133&lt;($F$8-$E$8)/($G$8-$E$8),$E$8+SQRT(R133*($G$8-$E$8)*($F$8-$E$8)),$G$8-SQRT((1-R133)*($G$8-$E$8)*($G$8-$F$8))))</f>
        <v>1</v>
      </c>
      <c r="E133" s="37" t="n">
        <f aca="false">1+IF($G$9=$E$9,$F$9,IF(S133&lt;($F$9-$E$9)/($G$9-$E$9),$E$9+SQRT(S133*($G$9-$E$9)*($F$9-$E$9)),$G$9-SQRT((1-S133)*($G$9-$E$9)*($G$9-$F$9))))</f>
        <v>1</v>
      </c>
      <c r="F133" s="37" t="n">
        <f aca="false">1+IF($G$10=$E$10,$F$10,IF(T133&lt;($F$10-$E$10)/($G$10-$E$10),$E$10+SQRT(T133*($G$10-$E$10)*($F$10-$E$10)),$G$10-SQRT((1-T133)*($G$10-$E$10)*($G$10-$F$10))))</f>
        <v>1</v>
      </c>
      <c r="G133" s="38" t="n">
        <f aca="false">IF($G$11=$E$11,$F$11,IF(U133&lt;($F$11-$E$11)/($G$11-$E$11),$E$11+SQRT(U133*($G$11-$E$11)*($F$11-$E$11)),$G$11-SQRT((1-U133)*($G$11-$E$11)*($G$11-$F$11))))</f>
        <v>0</v>
      </c>
      <c r="H133" s="39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0</v>
      </c>
      <c r="I133" s="39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0</v>
      </c>
      <c r="J133" s="39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0</v>
      </c>
      <c r="K133" s="39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0</v>
      </c>
      <c r="L133" s="39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0</v>
      </c>
      <c r="M133" s="39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0</v>
      </c>
      <c r="N133" s="39" t="str">
        <f aca="false">IF(COUNT('Business Case'!B11:G11)=0,"",H133+NPV(G133,I133:M133))</f>
        <v/>
      </c>
      <c r="P133" s="40" t="n">
        <f aca="true">RAND()</f>
        <v>0.835703713585318</v>
      </c>
      <c r="Q133" s="40" t="n">
        <f aca="true">RAND()</f>
        <v>0.574544923173366</v>
      </c>
      <c r="R133" s="40" t="n">
        <f aca="true">RAND()</f>
        <v>0.281049024290773</v>
      </c>
      <c r="S133" s="40" t="n">
        <f aca="true">RAND()</f>
        <v>0.590101123502769</v>
      </c>
      <c r="T133" s="40" t="n">
        <f aca="true">RAND()</f>
        <v>0.727770847134735</v>
      </c>
      <c r="U133" s="40" t="n">
        <f aca="true">RAND()</f>
        <v>0.910880173169147</v>
      </c>
    </row>
    <row r="134" customFormat="false" ht="15" hidden="false" customHeight="false" outlineLevel="0" collapsed="false">
      <c r="A134" s="36" t="n">
        <v>54</v>
      </c>
      <c r="B134" s="37" t="n">
        <f aca="false">1+IF($G$6=$E$6,$F$6,IF(P134&lt;($F$6-$E$6)/($G$6-$E$6),$E$6+SQRT(P134*($G$6-$E$6)*($F$6-$E$6)),$G$6-SQRT((1-P134)*($G$6-$E$6)*($G$6-$F$6))))</f>
        <v>1</v>
      </c>
      <c r="C134" s="37" t="n">
        <f aca="false">1+IF($G$7=$E$7,$F$7,IF(Q134&lt;($F$7-$E$7)/($G$7-$E$7),$E$7+SQRT(Q134*($G$7-$E$7)*($F$7-$E$7)),$G$7-SQRT((1-Q134)*($G$7-$E$7)*($G$7-$F$7))))</f>
        <v>1</v>
      </c>
      <c r="D134" s="37" t="n">
        <f aca="false">1+IF($G$8=$E$8,$F$8,IF(R134&lt;($F$8-$E$8)/($G$8-$E$8),$E$8+SQRT(R134*($G$8-$E$8)*($F$8-$E$8)),$G$8-SQRT((1-R134)*($G$8-$E$8)*($G$8-$F$8))))</f>
        <v>1</v>
      </c>
      <c r="E134" s="37" t="n">
        <f aca="false">1+IF($G$9=$E$9,$F$9,IF(S134&lt;($F$9-$E$9)/($G$9-$E$9),$E$9+SQRT(S134*($G$9-$E$9)*($F$9-$E$9)),$G$9-SQRT((1-S134)*($G$9-$E$9)*($G$9-$F$9))))</f>
        <v>1</v>
      </c>
      <c r="F134" s="37" t="n">
        <f aca="false">1+IF($G$10=$E$10,$F$10,IF(T134&lt;($F$10-$E$10)/($G$10-$E$10),$E$10+SQRT(T134*($G$10-$E$10)*($F$10-$E$10)),$G$10-SQRT((1-T134)*($G$10-$E$10)*($G$10-$F$10))))</f>
        <v>1</v>
      </c>
      <c r="G134" s="38" t="n">
        <f aca="false">IF($G$11=$E$11,$F$11,IF(U134&lt;($F$11-$E$11)/($G$11-$E$11),$E$11+SQRT(U134*($G$11-$E$11)*($F$11-$E$11)),$G$11-SQRT((1-U134)*($G$11-$E$11)*($G$11-$F$11))))</f>
        <v>0</v>
      </c>
      <c r="H134" s="39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0</v>
      </c>
      <c r="I134" s="39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0</v>
      </c>
      <c r="J134" s="39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0</v>
      </c>
      <c r="K134" s="39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0</v>
      </c>
      <c r="L134" s="39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0</v>
      </c>
      <c r="M134" s="39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0</v>
      </c>
      <c r="N134" s="39" t="str">
        <f aca="false">IF(COUNT('Business Case'!B11:G11)=0,"",H134+NPV(G134,I134:M134))</f>
        <v/>
      </c>
      <c r="P134" s="40" t="n">
        <f aca="true">RAND()</f>
        <v>0.220752139564061</v>
      </c>
      <c r="Q134" s="40" t="n">
        <f aca="true">RAND()</f>
        <v>0.648442770910987</v>
      </c>
      <c r="R134" s="40" t="n">
        <f aca="true">RAND()</f>
        <v>0.961531752588405</v>
      </c>
      <c r="S134" s="40" t="n">
        <f aca="true">RAND()</f>
        <v>0.990588115932236</v>
      </c>
      <c r="T134" s="40" t="n">
        <f aca="true">RAND()</f>
        <v>0.288886185203869</v>
      </c>
      <c r="U134" s="40" t="n">
        <f aca="true">RAND()</f>
        <v>0.328139877310705</v>
      </c>
    </row>
    <row r="135" customFormat="false" ht="15" hidden="false" customHeight="false" outlineLevel="0" collapsed="false">
      <c r="A135" s="36" t="n">
        <v>55</v>
      </c>
      <c r="B135" s="37" t="n">
        <f aca="false">1+IF($G$6=$E$6,$F$6,IF(P135&lt;($F$6-$E$6)/($G$6-$E$6),$E$6+SQRT(P135*($G$6-$E$6)*($F$6-$E$6)),$G$6-SQRT((1-P135)*($G$6-$E$6)*($G$6-$F$6))))</f>
        <v>1</v>
      </c>
      <c r="C135" s="37" t="n">
        <f aca="false">1+IF($G$7=$E$7,$F$7,IF(Q135&lt;($F$7-$E$7)/($G$7-$E$7),$E$7+SQRT(Q135*($G$7-$E$7)*($F$7-$E$7)),$G$7-SQRT((1-Q135)*($G$7-$E$7)*($G$7-$F$7))))</f>
        <v>1</v>
      </c>
      <c r="D135" s="37" t="n">
        <f aca="false">1+IF($G$8=$E$8,$F$8,IF(R135&lt;($F$8-$E$8)/($G$8-$E$8),$E$8+SQRT(R135*($G$8-$E$8)*($F$8-$E$8)),$G$8-SQRT((1-R135)*($G$8-$E$8)*($G$8-$F$8))))</f>
        <v>1</v>
      </c>
      <c r="E135" s="37" t="n">
        <f aca="false">1+IF($G$9=$E$9,$F$9,IF(S135&lt;($F$9-$E$9)/($G$9-$E$9),$E$9+SQRT(S135*($G$9-$E$9)*($F$9-$E$9)),$G$9-SQRT((1-S135)*($G$9-$E$9)*($G$9-$F$9))))</f>
        <v>1</v>
      </c>
      <c r="F135" s="37" t="n">
        <f aca="false">1+IF($G$10=$E$10,$F$10,IF(T135&lt;($F$10-$E$10)/($G$10-$E$10),$E$10+SQRT(T135*($G$10-$E$10)*($F$10-$E$10)),$G$10-SQRT((1-T135)*($G$10-$E$10)*($G$10-$F$10))))</f>
        <v>1</v>
      </c>
      <c r="G135" s="38" t="n">
        <f aca="false">IF($G$11=$E$11,$F$11,IF(U135&lt;($F$11-$E$11)/($G$11-$E$11),$E$11+SQRT(U135*($G$11-$E$11)*($F$11-$E$11)),$G$11-SQRT((1-U135)*($G$11-$E$11)*($G$11-$F$11))))</f>
        <v>0</v>
      </c>
      <c r="H135" s="39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0</v>
      </c>
      <c r="I135" s="39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0</v>
      </c>
      <c r="J135" s="39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0</v>
      </c>
      <c r="K135" s="39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0</v>
      </c>
      <c r="L135" s="39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0</v>
      </c>
      <c r="M135" s="39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0</v>
      </c>
      <c r="N135" s="39" t="str">
        <f aca="false">IF(COUNT('Business Case'!B11:G11)=0,"",H135+NPV(G135,I135:M135))</f>
        <v/>
      </c>
      <c r="P135" s="40" t="n">
        <f aca="true">RAND()</f>
        <v>0.371374111908768</v>
      </c>
      <c r="Q135" s="40" t="n">
        <f aca="true">RAND()</f>
        <v>0.260644599160397</v>
      </c>
      <c r="R135" s="40" t="n">
        <f aca="true">RAND()</f>
        <v>0.917921515887687</v>
      </c>
      <c r="S135" s="40" t="n">
        <f aca="true">RAND()</f>
        <v>0.0673693088147995</v>
      </c>
      <c r="T135" s="40" t="n">
        <f aca="true">RAND()</f>
        <v>0.858405883982441</v>
      </c>
      <c r="U135" s="40" t="n">
        <f aca="true">RAND()</f>
        <v>0.855683208583906</v>
      </c>
    </row>
    <row r="136" customFormat="false" ht="15" hidden="false" customHeight="false" outlineLevel="0" collapsed="false">
      <c r="A136" s="36" t="n">
        <v>56</v>
      </c>
      <c r="B136" s="37" t="n">
        <f aca="false">1+IF($G$6=$E$6,$F$6,IF(P136&lt;($F$6-$E$6)/($G$6-$E$6),$E$6+SQRT(P136*($G$6-$E$6)*($F$6-$E$6)),$G$6-SQRT((1-P136)*($G$6-$E$6)*($G$6-$F$6))))</f>
        <v>1</v>
      </c>
      <c r="C136" s="37" t="n">
        <f aca="false">1+IF($G$7=$E$7,$F$7,IF(Q136&lt;($F$7-$E$7)/($G$7-$E$7),$E$7+SQRT(Q136*($G$7-$E$7)*($F$7-$E$7)),$G$7-SQRT((1-Q136)*($G$7-$E$7)*($G$7-$F$7))))</f>
        <v>1</v>
      </c>
      <c r="D136" s="37" t="n">
        <f aca="false">1+IF($G$8=$E$8,$F$8,IF(R136&lt;($F$8-$E$8)/($G$8-$E$8),$E$8+SQRT(R136*($G$8-$E$8)*($F$8-$E$8)),$G$8-SQRT((1-R136)*($G$8-$E$8)*($G$8-$F$8))))</f>
        <v>1</v>
      </c>
      <c r="E136" s="37" t="n">
        <f aca="false">1+IF($G$9=$E$9,$F$9,IF(S136&lt;($F$9-$E$9)/($G$9-$E$9),$E$9+SQRT(S136*($G$9-$E$9)*($F$9-$E$9)),$G$9-SQRT((1-S136)*($G$9-$E$9)*($G$9-$F$9))))</f>
        <v>1</v>
      </c>
      <c r="F136" s="37" t="n">
        <f aca="false">1+IF($G$10=$E$10,$F$10,IF(T136&lt;($F$10-$E$10)/($G$10-$E$10),$E$10+SQRT(T136*($G$10-$E$10)*($F$10-$E$10)),$G$10-SQRT((1-T136)*($G$10-$E$10)*($G$10-$F$10))))</f>
        <v>1</v>
      </c>
      <c r="G136" s="38" t="n">
        <f aca="false">IF($G$11=$E$11,$F$11,IF(U136&lt;($F$11-$E$11)/($G$11-$E$11),$E$11+SQRT(U136*($G$11-$E$11)*($F$11-$E$11)),$G$11-SQRT((1-U136)*($G$11-$E$11)*($G$11-$F$11))))</f>
        <v>0</v>
      </c>
      <c r="H136" s="39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0</v>
      </c>
      <c r="I136" s="39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0</v>
      </c>
      <c r="J136" s="39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0</v>
      </c>
      <c r="K136" s="39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0</v>
      </c>
      <c r="L136" s="39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0</v>
      </c>
      <c r="M136" s="39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0</v>
      </c>
      <c r="N136" s="39" t="str">
        <f aca="false">IF(COUNT('Business Case'!B11:G11)=0,"",H136+NPV(G136,I136:M136))</f>
        <v/>
      </c>
      <c r="P136" s="40" t="n">
        <f aca="true">RAND()</f>
        <v>0.0592845968926824</v>
      </c>
      <c r="Q136" s="40" t="n">
        <f aca="true">RAND()</f>
        <v>0.686388917799749</v>
      </c>
      <c r="R136" s="40" t="n">
        <f aca="true">RAND()</f>
        <v>0.121800355273389</v>
      </c>
      <c r="S136" s="40" t="n">
        <f aca="true">RAND()</f>
        <v>0.176711185829722</v>
      </c>
      <c r="T136" s="40" t="n">
        <f aca="true">RAND()</f>
        <v>0.839391845589892</v>
      </c>
      <c r="U136" s="40" t="n">
        <f aca="true">RAND()</f>
        <v>0.381424986854518</v>
      </c>
    </row>
    <row r="137" customFormat="false" ht="15" hidden="false" customHeight="false" outlineLevel="0" collapsed="false">
      <c r="A137" s="36" t="n">
        <v>57</v>
      </c>
      <c r="B137" s="37" t="n">
        <f aca="false">1+IF($G$6=$E$6,$F$6,IF(P137&lt;($F$6-$E$6)/($G$6-$E$6),$E$6+SQRT(P137*($G$6-$E$6)*($F$6-$E$6)),$G$6-SQRT((1-P137)*($G$6-$E$6)*($G$6-$F$6))))</f>
        <v>1</v>
      </c>
      <c r="C137" s="37" t="n">
        <f aca="false">1+IF($G$7=$E$7,$F$7,IF(Q137&lt;($F$7-$E$7)/($G$7-$E$7),$E$7+SQRT(Q137*($G$7-$E$7)*($F$7-$E$7)),$G$7-SQRT((1-Q137)*($G$7-$E$7)*($G$7-$F$7))))</f>
        <v>1</v>
      </c>
      <c r="D137" s="37" t="n">
        <f aca="false">1+IF($G$8=$E$8,$F$8,IF(R137&lt;($F$8-$E$8)/($G$8-$E$8),$E$8+SQRT(R137*($G$8-$E$8)*($F$8-$E$8)),$G$8-SQRT((1-R137)*($G$8-$E$8)*($G$8-$F$8))))</f>
        <v>1</v>
      </c>
      <c r="E137" s="37" t="n">
        <f aca="false">1+IF($G$9=$E$9,$F$9,IF(S137&lt;($F$9-$E$9)/($G$9-$E$9),$E$9+SQRT(S137*($G$9-$E$9)*($F$9-$E$9)),$G$9-SQRT((1-S137)*($G$9-$E$9)*($G$9-$F$9))))</f>
        <v>1</v>
      </c>
      <c r="F137" s="37" t="n">
        <f aca="false">1+IF($G$10=$E$10,$F$10,IF(T137&lt;($F$10-$E$10)/($G$10-$E$10),$E$10+SQRT(T137*($G$10-$E$10)*($F$10-$E$10)),$G$10-SQRT((1-T137)*($G$10-$E$10)*($G$10-$F$10))))</f>
        <v>1</v>
      </c>
      <c r="G137" s="38" t="n">
        <f aca="false">IF($G$11=$E$11,$F$11,IF(U137&lt;($F$11-$E$11)/($G$11-$E$11),$E$11+SQRT(U137*($G$11-$E$11)*($F$11-$E$11)),$G$11-SQRT((1-U137)*($G$11-$E$11)*($G$11-$F$11))))</f>
        <v>0</v>
      </c>
      <c r="H137" s="39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0</v>
      </c>
      <c r="I137" s="39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0</v>
      </c>
      <c r="J137" s="39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0</v>
      </c>
      <c r="K137" s="39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0</v>
      </c>
      <c r="L137" s="39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0</v>
      </c>
      <c r="M137" s="39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0</v>
      </c>
      <c r="N137" s="39" t="str">
        <f aca="false">IF(COUNT('Business Case'!B11:G11)=0,"",H137+NPV(G137,I137:M137))</f>
        <v/>
      </c>
      <c r="P137" s="40" t="n">
        <f aca="true">RAND()</f>
        <v>0.692637786243696</v>
      </c>
      <c r="Q137" s="40" t="n">
        <f aca="true">RAND()</f>
        <v>0.0912567934943702</v>
      </c>
      <c r="R137" s="40" t="n">
        <f aca="true">RAND()</f>
        <v>0.645190971729245</v>
      </c>
      <c r="S137" s="40" t="n">
        <f aca="true">RAND()</f>
        <v>0.492486251749689</v>
      </c>
      <c r="T137" s="40" t="n">
        <f aca="true">RAND()</f>
        <v>0.404344484659688</v>
      </c>
      <c r="U137" s="40" t="n">
        <f aca="true">RAND()</f>
        <v>0.858624122191153</v>
      </c>
    </row>
    <row r="138" customFormat="false" ht="15" hidden="false" customHeight="false" outlineLevel="0" collapsed="false">
      <c r="A138" s="36" t="n">
        <v>58</v>
      </c>
      <c r="B138" s="37" t="n">
        <f aca="false">1+IF($G$6=$E$6,$F$6,IF(P138&lt;($F$6-$E$6)/($G$6-$E$6),$E$6+SQRT(P138*($G$6-$E$6)*($F$6-$E$6)),$G$6-SQRT((1-P138)*($G$6-$E$6)*($G$6-$F$6))))</f>
        <v>1</v>
      </c>
      <c r="C138" s="37" t="n">
        <f aca="false">1+IF($G$7=$E$7,$F$7,IF(Q138&lt;($F$7-$E$7)/($G$7-$E$7),$E$7+SQRT(Q138*($G$7-$E$7)*($F$7-$E$7)),$G$7-SQRT((1-Q138)*($G$7-$E$7)*($G$7-$F$7))))</f>
        <v>1</v>
      </c>
      <c r="D138" s="37" t="n">
        <f aca="false">1+IF($G$8=$E$8,$F$8,IF(R138&lt;($F$8-$E$8)/($G$8-$E$8),$E$8+SQRT(R138*($G$8-$E$8)*($F$8-$E$8)),$G$8-SQRT((1-R138)*($G$8-$E$8)*($G$8-$F$8))))</f>
        <v>1</v>
      </c>
      <c r="E138" s="37" t="n">
        <f aca="false">1+IF($G$9=$E$9,$F$9,IF(S138&lt;($F$9-$E$9)/($G$9-$E$9),$E$9+SQRT(S138*($G$9-$E$9)*($F$9-$E$9)),$G$9-SQRT((1-S138)*($G$9-$E$9)*($G$9-$F$9))))</f>
        <v>1</v>
      </c>
      <c r="F138" s="37" t="n">
        <f aca="false">1+IF($G$10=$E$10,$F$10,IF(T138&lt;($F$10-$E$10)/($G$10-$E$10),$E$10+SQRT(T138*($G$10-$E$10)*($F$10-$E$10)),$G$10-SQRT((1-T138)*($G$10-$E$10)*($G$10-$F$10))))</f>
        <v>1</v>
      </c>
      <c r="G138" s="38" t="n">
        <f aca="false">IF($G$11=$E$11,$F$11,IF(U138&lt;($F$11-$E$11)/($G$11-$E$11),$E$11+SQRT(U138*($G$11-$E$11)*($F$11-$E$11)),$G$11-SQRT((1-U138)*($G$11-$E$11)*($G$11-$F$11))))</f>
        <v>0</v>
      </c>
      <c r="H138" s="39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0</v>
      </c>
      <c r="I138" s="39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0</v>
      </c>
      <c r="J138" s="39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0</v>
      </c>
      <c r="K138" s="39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0</v>
      </c>
      <c r="L138" s="39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0</v>
      </c>
      <c r="M138" s="39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0</v>
      </c>
      <c r="N138" s="39" t="str">
        <f aca="false">IF(COUNT('Business Case'!B11:G11)=0,"",H138+NPV(G138,I138:M138))</f>
        <v/>
      </c>
      <c r="P138" s="40" t="n">
        <f aca="true">RAND()</f>
        <v>0.671742771179258</v>
      </c>
      <c r="Q138" s="40" t="n">
        <f aca="true">RAND()</f>
        <v>0.271885319369388</v>
      </c>
      <c r="R138" s="40" t="n">
        <f aca="true">RAND()</f>
        <v>0.00194216667680518</v>
      </c>
      <c r="S138" s="40" t="n">
        <f aca="true">RAND()</f>
        <v>0.190520583401701</v>
      </c>
      <c r="T138" s="40" t="n">
        <f aca="true">RAND()</f>
        <v>0.103858722471154</v>
      </c>
      <c r="U138" s="40" t="n">
        <f aca="true">RAND()</f>
        <v>0.0476384653594408</v>
      </c>
    </row>
    <row r="139" customFormat="false" ht="15" hidden="false" customHeight="false" outlineLevel="0" collapsed="false">
      <c r="A139" s="36" t="n">
        <v>59</v>
      </c>
      <c r="B139" s="37" t="n">
        <f aca="false">1+IF($G$6=$E$6,$F$6,IF(P139&lt;($F$6-$E$6)/($G$6-$E$6),$E$6+SQRT(P139*($G$6-$E$6)*($F$6-$E$6)),$G$6-SQRT((1-P139)*($G$6-$E$6)*($G$6-$F$6))))</f>
        <v>1</v>
      </c>
      <c r="C139" s="37" t="n">
        <f aca="false">1+IF($G$7=$E$7,$F$7,IF(Q139&lt;($F$7-$E$7)/($G$7-$E$7),$E$7+SQRT(Q139*($G$7-$E$7)*($F$7-$E$7)),$G$7-SQRT((1-Q139)*($G$7-$E$7)*($G$7-$F$7))))</f>
        <v>1</v>
      </c>
      <c r="D139" s="37" t="n">
        <f aca="false">1+IF($G$8=$E$8,$F$8,IF(R139&lt;($F$8-$E$8)/($G$8-$E$8),$E$8+SQRT(R139*($G$8-$E$8)*($F$8-$E$8)),$G$8-SQRT((1-R139)*($G$8-$E$8)*($G$8-$F$8))))</f>
        <v>1</v>
      </c>
      <c r="E139" s="37" t="n">
        <f aca="false">1+IF($G$9=$E$9,$F$9,IF(S139&lt;($F$9-$E$9)/($G$9-$E$9),$E$9+SQRT(S139*($G$9-$E$9)*($F$9-$E$9)),$G$9-SQRT((1-S139)*($G$9-$E$9)*($G$9-$F$9))))</f>
        <v>1</v>
      </c>
      <c r="F139" s="37" t="n">
        <f aca="false">1+IF($G$10=$E$10,$F$10,IF(T139&lt;($F$10-$E$10)/($G$10-$E$10),$E$10+SQRT(T139*($G$10-$E$10)*($F$10-$E$10)),$G$10-SQRT((1-T139)*($G$10-$E$10)*($G$10-$F$10))))</f>
        <v>1</v>
      </c>
      <c r="G139" s="38" t="n">
        <f aca="false">IF($G$11=$E$11,$F$11,IF(U139&lt;($F$11-$E$11)/($G$11-$E$11),$E$11+SQRT(U139*($G$11-$E$11)*($F$11-$E$11)),$G$11-SQRT((1-U139)*($G$11-$E$11)*($G$11-$F$11))))</f>
        <v>0</v>
      </c>
      <c r="H139" s="39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0</v>
      </c>
      <c r="I139" s="39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0</v>
      </c>
      <c r="J139" s="39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0</v>
      </c>
      <c r="K139" s="39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0</v>
      </c>
      <c r="L139" s="39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0</v>
      </c>
      <c r="M139" s="39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0</v>
      </c>
      <c r="N139" s="39" t="str">
        <f aca="false">IF(COUNT('Business Case'!B11:G11)=0,"",H139+NPV(G139,I139:M139))</f>
        <v/>
      </c>
      <c r="P139" s="40" t="n">
        <f aca="true">RAND()</f>
        <v>0.810220133157703</v>
      </c>
      <c r="Q139" s="40" t="n">
        <f aca="true">RAND()</f>
        <v>0.87406608044826</v>
      </c>
      <c r="R139" s="40" t="n">
        <f aca="true">RAND()</f>
        <v>0.515759892612347</v>
      </c>
      <c r="S139" s="40" t="n">
        <f aca="true">RAND()</f>
        <v>0.689781930344891</v>
      </c>
      <c r="T139" s="40" t="n">
        <f aca="true">RAND()</f>
        <v>0.0191460173140835</v>
      </c>
      <c r="U139" s="40" t="n">
        <f aca="true">RAND()</f>
        <v>0.561189480641053</v>
      </c>
    </row>
    <row r="140" customFormat="false" ht="15" hidden="false" customHeight="false" outlineLevel="0" collapsed="false">
      <c r="A140" s="36" t="n">
        <v>60</v>
      </c>
      <c r="B140" s="37" t="n">
        <f aca="false">1+IF($G$6=$E$6,$F$6,IF(P140&lt;($F$6-$E$6)/($G$6-$E$6),$E$6+SQRT(P140*($G$6-$E$6)*($F$6-$E$6)),$G$6-SQRT((1-P140)*($G$6-$E$6)*($G$6-$F$6))))</f>
        <v>1</v>
      </c>
      <c r="C140" s="37" t="n">
        <f aca="false">1+IF($G$7=$E$7,$F$7,IF(Q140&lt;($F$7-$E$7)/($G$7-$E$7),$E$7+SQRT(Q140*($G$7-$E$7)*($F$7-$E$7)),$G$7-SQRT((1-Q140)*($G$7-$E$7)*($G$7-$F$7))))</f>
        <v>1</v>
      </c>
      <c r="D140" s="37" t="n">
        <f aca="false">1+IF($G$8=$E$8,$F$8,IF(R140&lt;($F$8-$E$8)/($G$8-$E$8),$E$8+SQRT(R140*($G$8-$E$8)*($F$8-$E$8)),$G$8-SQRT((1-R140)*($G$8-$E$8)*($G$8-$F$8))))</f>
        <v>1</v>
      </c>
      <c r="E140" s="37" t="n">
        <f aca="false">1+IF($G$9=$E$9,$F$9,IF(S140&lt;($F$9-$E$9)/($G$9-$E$9),$E$9+SQRT(S140*($G$9-$E$9)*($F$9-$E$9)),$G$9-SQRT((1-S140)*($G$9-$E$9)*($G$9-$F$9))))</f>
        <v>1</v>
      </c>
      <c r="F140" s="37" t="n">
        <f aca="false">1+IF($G$10=$E$10,$F$10,IF(T140&lt;($F$10-$E$10)/($G$10-$E$10),$E$10+SQRT(T140*($G$10-$E$10)*($F$10-$E$10)),$G$10-SQRT((1-T140)*($G$10-$E$10)*($G$10-$F$10))))</f>
        <v>1</v>
      </c>
      <c r="G140" s="38" t="n">
        <f aca="false">IF($G$11=$E$11,$F$11,IF(U140&lt;($F$11-$E$11)/($G$11-$E$11),$E$11+SQRT(U140*($G$11-$E$11)*($F$11-$E$11)),$G$11-SQRT((1-U140)*($G$11-$E$11)*($G$11-$F$11))))</f>
        <v>0</v>
      </c>
      <c r="H140" s="39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0</v>
      </c>
      <c r="I140" s="39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0</v>
      </c>
      <c r="J140" s="39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0</v>
      </c>
      <c r="K140" s="39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0</v>
      </c>
      <c r="L140" s="39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0</v>
      </c>
      <c r="M140" s="39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0</v>
      </c>
      <c r="N140" s="39" t="str">
        <f aca="false">IF(COUNT('Business Case'!B11:G11)=0,"",H140+NPV(G140,I140:M140))</f>
        <v/>
      </c>
      <c r="P140" s="40" t="n">
        <f aca="true">RAND()</f>
        <v>0.215383403884911</v>
      </c>
      <c r="Q140" s="40" t="n">
        <f aca="true">RAND()</f>
        <v>0.403347151157489</v>
      </c>
      <c r="R140" s="40" t="n">
        <f aca="true">RAND()</f>
        <v>0.0584912566831468</v>
      </c>
      <c r="S140" s="40" t="n">
        <f aca="true">RAND()</f>
        <v>0.692035269107362</v>
      </c>
      <c r="T140" s="40" t="n">
        <f aca="true">RAND()</f>
        <v>0.332321817251734</v>
      </c>
      <c r="U140" s="40" t="n">
        <f aca="true">RAND()</f>
        <v>0.453533932542288</v>
      </c>
    </row>
    <row r="141" customFormat="false" ht="15" hidden="false" customHeight="false" outlineLevel="0" collapsed="false">
      <c r="A141" s="36" t="n">
        <v>61</v>
      </c>
      <c r="B141" s="37" t="n">
        <f aca="false">1+IF($G$6=$E$6,$F$6,IF(P141&lt;($F$6-$E$6)/($G$6-$E$6),$E$6+SQRT(P141*($G$6-$E$6)*($F$6-$E$6)),$G$6-SQRT((1-P141)*($G$6-$E$6)*($G$6-$F$6))))</f>
        <v>1</v>
      </c>
      <c r="C141" s="37" t="n">
        <f aca="false">1+IF($G$7=$E$7,$F$7,IF(Q141&lt;($F$7-$E$7)/($G$7-$E$7),$E$7+SQRT(Q141*($G$7-$E$7)*($F$7-$E$7)),$G$7-SQRT((1-Q141)*($G$7-$E$7)*($G$7-$F$7))))</f>
        <v>1</v>
      </c>
      <c r="D141" s="37" t="n">
        <f aca="false">1+IF($G$8=$E$8,$F$8,IF(R141&lt;($F$8-$E$8)/($G$8-$E$8),$E$8+SQRT(R141*($G$8-$E$8)*($F$8-$E$8)),$G$8-SQRT((1-R141)*($G$8-$E$8)*($G$8-$F$8))))</f>
        <v>1</v>
      </c>
      <c r="E141" s="37" t="n">
        <f aca="false">1+IF($G$9=$E$9,$F$9,IF(S141&lt;($F$9-$E$9)/($G$9-$E$9),$E$9+SQRT(S141*($G$9-$E$9)*($F$9-$E$9)),$G$9-SQRT((1-S141)*($G$9-$E$9)*($G$9-$F$9))))</f>
        <v>1</v>
      </c>
      <c r="F141" s="37" t="n">
        <f aca="false">1+IF($G$10=$E$10,$F$10,IF(T141&lt;($F$10-$E$10)/($G$10-$E$10),$E$10+SQRT(T141*($G$10-$E$10)*($F$10-$E$10)),$G$10-SQRT((1-T141)*($G$10-$E$10)*($G$10-$F$10))))</f>
        <v>1</v>
      </c>
      <c r="G141" s="38" t="n">
        <f aca="false">IF($G$11=$E$11,$F$11,IF(U141&lt;($F$11-$E$11)/($G$11-$E$11),$E$11+SQRT(U141*($G$11-$E$11)*($F$11-$E$11)),$G$11-SQRT((1-U141)*($G$11-$E$11)*($G$11-$F$11))))</f>
        <v>0</v>
      </c>
      <c r="H141" s="39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0</v>
      </c>
      <c r="I141" s="39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0</v>
      </c>
      <c r="J141" s="39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0</v>
      </c>
      <c r="K141" s="39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0</v>
      </c>
      <c r="L141" s="39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0</v>
      </c>
      <c r="M141" s="39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0</v>
      </c>
      <c r="N141" s="39" t="str">
        <f aca="false">IF(COUNT('Business Case'!B11:G11)=0,"",H141+NPV(G141,I141:M141))</f>
        <v/>
      </c>
      <c r="P141" s="40" t="n">
        <f aca="true">RAND()</f>
        <v>0.880349908100566</v>
      </c>
      <c r="Q141" s="40" t="n">
        <f aca="true">RAND()</f>
        <v>0.995410826658541</v>
      </c>
      <c r="R141" s="40" t="n">
        <f aca="true">RAND()</f>
        <v>0.358774989768561</v>
      </c>
      <c r="S141" s="40" t="n">
        <f aca="true">RAND()</f>
        <v>0.20977550497902</v>
      </c>
      <c r="T141" s="40" t="n">
        <f aca="true">RAND()</f>
        <v>0.309706323027976</v>
      </c>
      <c r="U141" s="40" t="n">
        <f aca="true">RAND()</f>
        <v>0.692000941194403</v>
      </c>
    </row>
    <row r="142" customFormat="false" ht="15" hidden="false" customHeight="false" outlineLevel="0" collapsed="false">
      <c r="A142" s="36" t="n">
        <v>62</v>
      </c>
      <c r="B142" s="37" t="n">
        <f aca="false">1+IF($G$6=$E$6,$F$6,IF(P142&lt;($F$6-$E$6)/($G$6-$E$6),$E$6+SQRT(P142*($G$6-$E$6)*($F$6-$E$6)),$G$6-SQRT((1-P142)*($G$6-$E$6)*($G$6-$F$6))))</f>
        <v>1</v>
      </c>
      <c r="C142" s="37" t="n">
        <f aca="false">1+IF($G$7=$E$7,$F$7,IF(Q142&lt;($F$7-$E$7)/($G$7-$E$7),$E$7+SQRT(Q142*($G$7-$E$7)*($F$7-$E$7)),$G$7-SQRT((1-Q142)*($G$7-$E$7)*($G$7-$F$7))))</f>
        <v>1</v>
      </c>
      <c r="D142" s="37" t="n">
        <f aca="false">1+IF($G$8=$E$8,$F$8,IF(R142&lt;($F$8-$E$8)/($G$8-$E$8),$E$8+SQRT(R142*($G$8-$E$8)*($F$8-$E$8)),$G$8-SQRT((1-R142)*($G$8-$E$8)*($G$8-$F$8))))</f>
        <v>1</v>
      </c>
      <c r="E142" s="37" t="n">
        <f aca="false">1+IF($G$9=$E$9,$F$9,IF(S142&lt;($F$9-$E$9)/($G$9-$E$9),$E$9+SQRT(S142*($G$9-$E$9)*($F$9-$E$9)),$G$9-SQRT((1-S142)*($G$9-$E$9)*($G$9-$F$9))))</f>
        <v>1</v>
      </c>
      <c r="F142" s="37" t="n">
        <f aca="false">1+IF($G$10=$E$10,$F$10,IF(T142&lt;($F$10-$E$10)/($G$10-$E$10),$E$10+SQRT(T142*($G$10-$E$10)*($F$10-$E$10)),$G$10-SQRT((1-T142)*($G$10-$E$10)*($G$10-$F$10))))</f>
        <v>1</v>
      </c>
      <c r="G142" s="38" t="n">
        <f aca="false">IF($G$11=$E$11,$F$11,IF(U142&lt;($F$11-$E$11)/($G$11-$E$11),$E$11+SQRT(U142*($G$11-$E$11)*($F$11-$E$11)),$G$11-SQRT((1-U142)*($G$11-$E$11)*($G$11-$F$11))))</f>
        <v>0</v>
      </c>
      <c r="H142" s="39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0</v>
      </c>
      <c r="I142" s="39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0</v>
      </c>
      <c r="J142" s="39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0</v>
      </c>
      <c r="K142" s="39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0</v>
      </c>
      <c r="L142" s="39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0</v>
      </c>
      <c r="M142" s="39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0</v>
      </c>
      <c r="N142" s="39" t="str">
        <f aca="false">IF(COUNT('Business Case'!B11:G11)=0,"",H142+NPV(G142,I142:M142))</f>
        <v/>
      </c>
      <c r="P142" s="40" t="n">
        <f aca="true">RAND()</f>
        <v>0.529399769024247</v>
      </c>
      <c r="Q142" s="40" t="n">
        <f aca="true">RAND()</f>
        <v>0.888160130189651</v>
      </c>
      <c r="R142" s="40" t="n">
        <f aca="true">RAND()</f>
        <v>0.542038645870479</v>
      </c>
      <c r="S142" s="40" t="n">
        <f aca="true">RAND()</f>
        <v>0.860849770597563</v>
      </c>
      <c r="T142" s="40" t="n">
        <f aca="true">RAND()</f>
        <v>0.611888801611483</v>
      </c>
      <c r="U142" s="40" t="n">
        <f aca="true">RAND()</f>
        <v>0.211037636249308</v>
      </c>
    </row>
    <row r="143" customFormat="false" ht="15" hidden="false" customHeight="false" outlineLevel="0" collapsed="false">
      <c r="A143" s="36" t="n">
        <v>63</v>
      </c>
      <c r="B143" s="37" t="n">
        <f aca="false">1+IF($G$6=$E$6,$F$6,IF(P143&lt;($F$6-$E$6)/($G$6-$E$6),$E$6+SQRT(P143*($G$6-$E$6)*($F$6-$E$6)),$G$6-SQRT((1-P143)*($G$6-$E$6)*($G$6-$F$6))))</f>
        <v>1</v>
      </c>
      <c r="C143" s="37" t="n">
        <f aca="false">1+IF($G$7=$E$7,$F$7,IF(Q143&lt;($F$7-$E$7)/($G$7-$E$7),$E$7+SQRT(Q143*($G$7-$E$7)*($F$7-$E$7)),$G$7-SQRT((1-Q143)*($G$7-$E$7)*($G$7-$F$7))))</f>
        <v>1</v>
      </c>
      <c r="D143" s="37" t="n">
        <f aca="false">1+IF($G$8=$E$8,$F$8,IF(R143&lt;($F$8-$E$8)/($G$8-$E$8),$E$8+SQRT(R143*($G$8-$E$8)*($F$8-$E$8)),$G$8-SQRT((1-R143)*($G$8-$E$8)*($G$8-$F$8))))</f>
        <v>1</v>
      </c>
      <c r="E143" s="37" t="n">
        <f aca="false">1+IF($G$9=$E$9,$F$9,IF(S143&lt;($F$9-$E$9)/($G$9-$E$9),$E$9+SQRT(S143*($G$9-$E$9)*($F$9-$E$9)),$G$9-SQRT((1-S143)*($G$9-$E$9)*($G$9-$F$9))))</f>
        <v>1</v>
      </c>
      <c r="F143" s="37" t="n">
        <f aca="false">1+IF($G$10=$E$10,$F$10,IF(T143&lt;($F$10-$E$10)/($G$10-$E$10),$E$10+SQRT(T143*($G$10-$E$10)*($F$10-$E$10)),$G$10-SQRT((1-T143)*($G$10-$E$10)*($G$10-$F$10))))</f>
        <v>1</v>
      </c>
      <c r="G143" s="38" t="n">
        <f aca="false">IF($G$11=$E$11,$F$11,IF(U143&lt;($F$11-$E$11)/($G$11-$E$11),$E$11+SQRT(U143*($G$11-$E$11)*($F$11-$E$11)),$G$11-SQRT((1-U143)*($G$11-$E$11)*($G$11-$F$11))))</f>
        <v>0</v>
      </c>
      <c r="H143" s="39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0</v>
      </c>
      <c r="I143" s="39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0</v>
      </c>
      <c r="J143" s="39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0</v>
      </c>
      <c r="K143" s="39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0</v>
      </c>
      <c r="L143" s="39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0</v>
      </c>
      <c r="M143" s="39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0</v>
      </c>
      <c r="N143" s="39" t="str">
        <f aca="false">IF(COUNT('Business Case'!B11:G11)=0,"",H143+NPV(G143,I143:M143))</f>
        <v/>
      </c>
      <c r="P143" s="40" t="n">
        <f aca="true">RAND()</f>
        <v>0.138371625731489</v>
      </c>
      <c r="Q143" s="40" t="n">
        <f aca="true">RAND()</f>
        <v>0.0508448701609863</v>
      </c>
      <c r="R143" s="40" t="n">
        <f aca="true">RAND()</f>
        <v>0.275572522792035</v>
      </c>
      <c r="S143" s="40" t="n">
        <f aca="true">RAND()</f>
        <v>0.845087400616101</v>
      </c>
      <c r="T143" s="40" t="n">
        <f aca="true">RAND()</f>
        <v>0.042024757357216</v>
      </c>
      <c r="U143" s="40" t="n">
        <f aca="true">RAND()</f>
        <v>0.743543365320415</v>
      </c>
    </row>
    <row r="144" customFormat="false" ht="15" hidden="false" customHeight="false" outlineLevel="0" collapsed="false">
      <c r="A144" s="36" t="n">
        <v>64</v>
      </c>
      <c r="B144" s="37" t="n">
        <f aca="false">1+IF($G$6=$E$6,$F$6,IF(P144&lt;($F$6-$E$6)/($G$6-$E$6),$E$6+SQRT(P144*($G$6-$E$6)*($F$6-$E$6)),$G$6-SQRT((1-P144)*($G$6-$E$6)*($G$6-$F$6))))</f>
        <v>1</v>
      </c>
      <c r="C144" s="37" t="n">
        <f aca="false">1+IF($G$7=$E$7,$F$7,IF(Q144&lt;($F$7-$E$7)/($G$7-$E$7),$E$7+SQRT(Q144*($G$7-$E$7)*($F$7-$E$7)),$G$7-SQRT((1-Q144)*($G$7-$E$7)*($G$7-$F$7))))</f>
        <v>1</v>
      </c>
      <c r="D144" s="37" t="n">
        <f aca="false">1+IF($G$8=$E$8,$F$8,IF(R144&lt;($F$8-$E$8)/($G$8-$E$8),$E$8+SQRT(R144*($G$8-$E$8)*($F$8-$E$8)),$G$8-SQRT((1-R144)*($G$8-$E$8)*($G$8-$F$8))))</f>
        <v>1</v>
      </c>
      <c r="E144" s="37" t="n">
        <f aca="false">1+IF($G$9=$E$9,$F$9,IF(S144&lt;($F$9-$E$9)/($G$9-$E$9),$E$9+SQRT(S144*($G$9-$E$9)*($F$9-$E$9)),$G$9-SQRT((1-S144)*($G$9-$E$9)*($G$9-$F$9))))</f>
        <v>1</v>
      </c>
      <c r="F144" s="37" t="n">
        <f aca="false">1+IF($G$10=$E$10,$F$10,IF(T144&lt;($F$10-$E$10)/($G$10-$E$10),$E$10+SQRT(T144*($G$10-$E$10)*($F$10-$E$10)),$G$10-SQRT((1-T144)*($G$10-$E$10)*($G$10-$F$10))))</f>
        <v>1</v>
      </c>
      <c r="G144" s="38" t="n">
        <f aca="false">IF($G$11=$E$11,$F$11,IF(U144&lt;($F$11-$E$11)/($G$11-$E$11),$E$11+SQRT(U144*($G$11-$E$11)*($F$11-$E$11)),$G$11-SQRT((1-U144)*($G$11-$E$11)*($G$11-$F$11))))</f>
        <v>0</v>
      </c>
      <c r="H144" s="39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0</v>
      </c>
      <c r="I144" s="39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0</v>
      </c>
      <c r="J144" s="39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0</v>
      </c>
      <c r="K144" s="39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0</v>
      </c>
      <c r="L144" s="39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0</v>
      </c>
      <c r="M144" s="39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0</v>
      </c>
      <c r="N144" s="39" t="str">
        <f aca="false">IF(COUNT('Business Case'!B11:G11)=0,"",H144+NPV(G144,I144:M144))</f>
        <v/>
      </c>
      <c r="P144" s="40" t="n">
        <f aca="true">RAND()</f>
        <v>0.77001108264156</v>
      </c>
      <c r="Q144" s="40" t="n">
        <f aca="true">RAND()</f>
        <v>0.438754202984785</v>
      </c>
      <c r="R144" s="40" t="n">
        <f aca="true">RAND()</f>
        <v>0.056960999980522</v>
      </c>
      <c r="S144" s="40" t="n">
        <f aca="true">RAND()</f>
        <v>0.533908263214054</v>
      </c>
      <c r="T144" s="40" t="n">
        <f aca="true">RAND()</f>
        <v>0.543160043200618</v>
      </c>
      <c r="U144" s="40" t="n">
        <f aca="true">RAND()</f>
        <v>0.153581136329583</v>
      </c>
    </row>
    <row r="145" customFormat="false" ht="15" hidden="false" customHeight="false" outlineLevel="0" collapsed="false">
      <c r="A145" s="36" t="n">
        <v>65</v>
      </c>
      <c r="B145" s="37" t="n">
        <f aca="false">1+IF($G$6=$E$6,$F$6,IF(P145&lt;($F$6-$E$6)/($G$6-$E$6),$E$6+SQRT(P145*($G$6-$E$6)*($F$6-$E$6)),$G$6-SQRT((1-P145)*($G$6-$E$6)*($G$6-$F$6))))</f>
        <v>1</v>
      </c>
      <c r="C145" s="37" t="n">
        <f aca="false">1+IF($G$7=$E$7,$F$7,IF(Q145&lt;($F$7-$E$7)/($G$7-$E$7),$E$7+SQRT(Q145*($G$7-$E$7)*($F$7-$E$7)),$G$7-SQRT((1-Q145)*($G$7-$E$7)*($G$7-$F$7))))</f>
        <v>1</v>
      </c>
      <c r="D145" s="37" t="n">
        <f aca="false">1+IF($G$8=$E$8,$F$8,IF(R145&lt;($F$8-$E$8)/($G$8-$E$8),$E$8+SQRT(R145*($G$8-$E$8)*($F$8-$E$8)),$G$8-SQRT((1-R145)*($G$8-$E$8)*($G$8-$F$8))))</f>
        <v>1</v>
      </c>
      <c r="E145" s="37" t="n">
        <f aca="false">1+IF($G$9=$E$9,$F$9,IF(S145&lt;($F$9-$E$9)/($G$9-$E$9),$E$9+SQRT(S145*($G$9-$E$9)*($F$9-$E$9)),$G$9-SQRT((1-S145)*($G$9-$E$9)*($G$9-$F$9))))</f>
        <v>1</v>
      </c>
      <c r="F145" s="37" t="n">
        <f aca="false">1+IF($G$10=$E$10,$F$10,IF(T145&lt;($F$10-$E$10)/($G$10-$E$10),$E$10+SQRT(T145*($G$10-$E$10)*($F$10-$E$10)),$G$10-SQRT((1-T145)*($G$10-$E$10)*($G$10-$F$10))))</f>
        <v>1</v>
      </c>
      <c r="G145" s="38" t="n">
        <f aca="false">IF($G$11=$E$11,$F$11,IF(U145&lt;($F$11-$E$11)/($G$11-$E$11),$E$11+SQRT(U145*($G$11-$E$11)*($F$11-$E$11)),$G$11-SQRT((1-U145)*($G$11-$E$11)*($G$11-$F$11))))</f>
        <v>0</v>
      </c>
      <c r="H145" s="39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0</v>
      </c>
      <c r="I145" s="39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0</v>
      </c>
      <c r="J145" s="39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0</v>
      </c>
      <c r="K145" s="39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0</v>
      </c>
      <c r="L145" s="39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0</v>
      </c>
      <c r="M145" s="39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0</v>
      </c>
      <c r="N145" s="39" t="str">
        <f aca="false">IF(COUNT('Business Case'!B11:G11)=0,"",H145+NPV(G145,I145:M145))</f>
        <v/>
      </c>
      <c r="P145" s="40" t="n">
        <f aca="true">RAND()</f>
        <v>0.14094681349231</v>
      </c>
      <c r="Q145" s="40" t="n">
        <f aca="true">RAND()</f>
        <v>0.282000630457778</v>
      </c>
      <c r="R145" s="40" t="n">
        <f aca="true">RAND()</f>
        <v>0.77651740696622</v>
      </c>
      <c r="S145" s="40" t="n">
        <f aca="true">RAND()</f>
        <v>0.634812600803627</v>
      </c>
      <c r="T145" s="40" t="n">
        <f aca="true">RAND()</f>
        <v>0.905117693339126</v>
      </c>
      <c r="U145" s="40" t="n">
        <f aca="true">RAND()</f>
        <v>0.371025838374295</v>
      </c>
    </row>
    <row r="146" customFormat="false" ht="15" hidden="false" customHeight="false" outlineLevel="0" collapsed="false">
      <c r="A146" s="36" t="n">
        <v>66</v>
      </c>
      <c r="B146" s="37" t="n">
        <f aca="false">1+IF($G$6=$E$6,$F$6,IF(P146&lt;($F$6-$E$6)/($G$6-$E$6),$E$6+SQRT(P146*($G$6-$E$6)*($F$6-$E$6)),$G$6-SQRT((1-P146)*($G$6-$E$6)*($G$6-$F$6))))</f>
        <v>1</v>
      </c>
      <c r="C146" s="37" t="n">
        <f aca="false">1+IF($G$7=$E$7,$F$7,IF(Q146&lt;($F$7-$E$7)/($G$7-$E$7),$E$7+SQRT(Q146*($G$7-$E$7)*($F$7-$E$7)),$G$7-SQRT((1-Q146)*($G$7-$E$7)*($G$7-$F$7))))</f>
        <v>1</v>
      </c>
      <c r="D146" s="37" t="n">
        <f aca="false">1+IF($G$8=$E$8,$F$8,IF(R146&lt;($F$8-$E$8)/($G$8-$E$8),$E$8+SQRT(R146*($G$8-$E$8)*($F$8-$E$8)),$G$8-SQRT((1-R146)*($G$8-$E$8)*($G$8-$F$8))))</f>
        <v>1</v>
      </c>
      <c r="E146" s="37" t="n">
        <f aca="false">1+IF($G$9=$E$9,$F$9,IF(S146&lt;($F$9-$E$9)/($G$9-$E$9),$E$9+SQRT(S146*($G$9-$E$9)*($F$9-$E$9)),$G$9-SQRT((1-S146)*($G$9-$E$9)*($G$9-$F$9))))</f>
        <v>1</v>
      </c>
      <c r="F146" s="37" t="n">
        <f aca="false">1+IF($G$10=$E$10,$F$10,IF(T146&lt;($F$10-$E$10)/($G$10-$E$10),$E$10+SQRT(T146*($G$10-$E$10)*($F$10-$E$10)),$G$10-SQRT((1-T146)*($G$10-$E$10)*($G$10-$F$10))))</f>
        <v>1</v>
      </c>
      <c r="G146" s="38" t="n">
        <f aca="false">IF($G$11=$E$11,$F$11,IF(U146&lt;($F$11-$E$11)/($G$11-$E$11),$E$11+SQRT(U146*($G$11-$E$11)*($F$11-$E$11)),$G$11-SQRT((1-U146)*($G$11-$E$11)*($G$11-$F$11))))</f>
        <v>0</v>
      </c>
      <c r="H146" s="39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0</v>
      </c>
      <c r="I146" s="39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0</v>
      </c>
      <c r="J146" s="39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0</v>
      </c>
      <c r="K146" s="39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0</v>
      </c>
      <c r="L146" s="39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0</v>
      </c>
      <c r="M146" s="39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0</v>
      </c>
      <c r="N146" s="39" t="str">
        <f aca="false">IF(COUNT('Business Case'!B11:G11)=0,"",H146+NPV(G146,I146:M146))</f>
        <v/>
      </c>
      <c r="P146" s="40" t="n">
        <f aca="true">RAND()</f>
        <v>0.48576123411454</v>
      </c>
      <c r="Q146" s="40" t="n">
        <f aca="true">RAND()</f>
        <v>0.550137502622731</v>
      </c>
      <c r="R146" s="40" t="n">
        <f aca="true">RAND()</f>
        <v>0.787207718461979</v>
      </c>
      <c r="S146" s="40" t="n">
        <f aca="true">RAND()</f>
        <v>0.451894970338338</v>
      </c>
      <c r="T146" s="40" t="n">
        <f aca="true">RAND()</f>
        <v>0.771268822110792</v>
      </c>
      <c r="U146" s="40" t="n">
        <f aca="true">RAND()</f>
        <v>0.47841223275347</v>
      </c>
    </row>
    <row r="147" customFormat="false" ht="15" hidden="false" customHeight="false" outlineLevel="0" collapsed="false">
      <c r="A147" s="36" t="n">
        <v>67</v>
      </c>
      <c r="B147" s="37" t="n">
        <f aca="false">1+IF($G$6=$E$6,$F$6,IF(P147&lt;($F$6-$E$6)/($G$6-$E$6),$E$6+SQRT(P147*($G$6-$E$6)*($F$6-$E$6)),$G$6-SQRT((1-P147)*($G$6-$E$6)*($G$6-$F$6))))</f>
        <v>1</v>
      </c>
      <c r="C147" s="37" t="n">
        <f aca="false">1+IF($G$7=$E$7,$F$7,IF(Q147&lt;($F$7-$E$7)/($G$7-$E$7),$E$7+SQRT(Q147*($G$7-$E$7)*($F$7-$E$7)),$G$7-SQRT((1-Q147)*($G$7-$E$7)*($G$7-$F$7))))</f>
        <v>1</v>
      </c>
      <c r="D147" s="37" t="n">
        <f aca="false">1+IF($G$8=$E$8,$F$8,IF(R147&lt;($F$8-$E$8)/($G$8-$E$8),$E$8+SQRT(R147*($G$8-$E$8)*($F$8-$E$8)),$G$8-SQRT((1-R147)*($G$8-$E$8)*($G$8-$F$8))))</f>
        <v>1</v>
      </c>
      <c r="E147" s="37" t="n">
        <f aca="false">1+IF($G$9=$E$9,$F$9,IF(S147&lt;($F$9-$E$9)/($G$9-$E$9),$E$9+SQRT(S147*($G$9-$E$9)*($F$9-$E$9)),$G$9-SQRT((1-S147)*($G$9-$E$9)*($G$9-$F$9))))</f>
        <v>1</v>
      </c>
      <c r="F147" s="37" t="n">
        <f aca="false">1+IF($G$10=$E$10,$F$10,IF(T147&lt;($F$10-$E$10)/($G$10-$E$10),$E$10+SQRT(T147*($G$10-$E$10)*($F$10-$E$10)),$G$10-SQRT((1-T147)*($G$10-$E$10)*($G$10-$F$10))))</f>
        <v>1</v>
      </c>
      <c r="G147" s="38" t="n">
        <f aca="false">IF($G$11=$E$11,$F$11,IF(U147&lt;($F$11-$E$11)/($G$11-$E$11),$E$11+SQRT(U147*($G$11-$E$11)*($F$11-$E$11)),$G$11-SQRT((1-U147)*($G$11-$E$11)*($G$11-$F$11))))</f>
        <v>0</v>
      </c>
      <c r="H147" s="39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0</v>
      </c>
      <c r="I147" s="39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0</v>
      </c>
      <c r="J147" s="39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0</v>
      </c>
      <c r="K147" s="39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0</v>
      </c>
      <c r="L147" s="39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0</v>
      </c>
      <c r="M147" s="39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0</v>
      </c>
      <c r="N147" s="39" t="str">
        <f aca="false">IF(COUNT('Business Case'!B11:G11)=0,"",H147+NPV(G147,I147:M147))</f>
        <v/>
      </c>
      <c r="P147" s="40" t="n">
        <f aca="true">RAND()</f>
        <v>0.511276344548573</v>
      </c>
      <c r="Q147" s="40" t="n">
        <f aca="true">RAND()</f>
        <v>0.119441197574499</v>
      </c>
      <c r="R147" s="40" t="n">
        <f aca="true">RAND()</f>
        <v>0.892745459246867</v>
      </c>
      <c r="S147" s="40" t="n">
        <f aca="true">RAND()</f>
        <v>0.783185022900129</v>
      </c>
      <c r="T147" s="40" t="n">
        <f aca="true">RAND()</f>
        <v>0.34779731135907</v>
      </c>
      <c r="U147" s="40" t="n">
        <f aca="true">RAND()</f>
        <v>0.150778279976905</v>
      </c>
    </row>
    <row r="148" customFormat="false" ht="15" hidden="false" customHeight="false" outlineLevel="0" collapsed="false">
      <c r="A148" s="36" t="n">
        <v>68</v>
      </c>
      <c r="B148" s="37" t="n">
        <f aca="false">1+IF($G$6=$E$6,$F$6,IF(P148&lt;($F$6-$E$6)/($G$6-$E$6),$E$6+SQRT(P148*($G$6-$E$6)*($F$6-$E$6)),$G$6-SQRT((1-P148)*($G$6-$E$6)*($G$6-$F$6))))</f>
        <v>1</v>
      </c>
      <c r="C148" s="37" t="n">
        <f aca="false">1+IF($G$7=$E$7,$F$7,IF(Q148&lt;($F$7-$E$7)/($G$7-$E$7),$E$7+SQRT(Q148*($G$7-$E$7)*($F$7-$E$7)),$G$7-SQRT((1-Q148)*($G$7-$E$7)*($G$7-$F$7))))</f>
        <v>1</v>
      </c>
      <c r="D148" s="37" t="n">
        <f aca="false">1+IF($G$8=$E$8,$F$8,IF(R148&lt;($F$8-$E$8)/($G$8-$E$8),$E$8+SQRT(R148*($G$8-$E$8)*($F$8-$E$8)),$G$8-SQRT((1-R148)*($G$8-$E$8)*($G$8-$F$8))))</f>
        <v>1</v>
      </c>
      <c r="E148" s="37" t="n">
        <f aca="false">1+IF($G$9=$E$9,$F$9,IF(S148&lt;($F$9-$E$9)/($G$9-$E$9),$E$9+SQRT(S148*($G$9-$E$9)*($F$9-$E$9)),$G$9-SQRT((1-S148)*($G$9-$E$9)*($G$9-$F$9))))</f>
        <v>1</v>
      </c>
      <c r="F148" s="37" t="n">
        <f aca="false">1+IF($G$10=$E$10,$F$10,IF(T148&lt;($F$10-$E$10)/($G$10-$E$10),$E$10+SQRT(T148*($G$10-$E$10)*($F$10-$E$10)),$G$10-SQRT((1-T148)*($G$10-$E$10)*($G$10-$F$10))))</f>
        <v>1</v>
      </c>
      <c r="G148" s="38" t="n">
        <f aca="false">IF($G$11=$E$11,$F$11,IF(U148&lt;($F$11-$E$11)/($G$11-$E$11),$E$11+SQRT(U148*($G$11-$E$11)*($F$11-$E$11)),$G$11-SQRT((1-U148)*($G$11-$E$11)*($G$11-$F$11))))</f>
        <v>0</v>
      </c>
      <c r="H148" s="39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0</v>
      </c>
      <c r="I148" s="39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0</v>
      </c>
      <c r="J148" s="39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0</v>
      </c>
      <c r="K148" s="39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0</v>
      </c>
      <c r="L148" s="39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0</v>
      </c>
      <c r="M148" s="39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0</v>
      </c>
      <c r="N148" s="39" t="str">
        <f aca="false">IF(COUNT('Business Case'!B11:G11)=0,"",H148+NPV(G148,I148:M148))</f>
        <v/>
      </c>
      <c r="P148" s="40" t="n">
        <f aca="true">RAND()</f>
        <v>0.257265070351779</v>
      </c>
      <c r="Q148" s="40" t="n">
        <f aca="true">RAND()</f>
        <v>0.232219451814832</v>
      </c>
      <c r="R148" s="40" t="n">
        <f aca="true">RAND()</f>
        <v>0.243790587160794</v>
      </c>
      <c r="S148" s="40" t="n">
        <f aca="true">RAND()</f>
        <v>0.754505067439883</v>
      </c>
      <c r="T148" s="40" t="n">
        <f aca="true">RAND()</f>
        <v>0.687717244502258</v>
      </c>
      <c r="U148" s="40" t="n">
        <f aca="true">RAND()</f>
        <v>0.732571448816952</v>
      </c>
    </row>
    <row r="149" customFormat="false" ht="15" hidden="false" customHeight="false" outlineLevel="0" collapsed="false">
      <c r="A149" s="36" t="n">
        <v>69</v>
      </c>
      <c r="B149" s="37" t="n">
        <f aca="false">1+IF($G$6=$E$6,$F$6,IF(P149&lt;($F$6-$E$6)/($G$6-$E$6),$E$6+SQRT(P149*($G$6-$E$6)*($F$6-$E$6)),$G$6-SQRT((1-P149)*($G$6-$E$6)*($G$6-$F$6))))</f>
        <v>1</v>
      </c>
      <c r="C149" s="37" t="n">
        <f aca="false">1+IF($G$7=$E$7,$F$7,IF(Q149&lt;($F$7-$E$7)/($G$7-$E$7),$E$7+SQRT(Q149*($G$7-$E$7)*($F$7-$E$7)),$G$7-SQRT((1-Q149)*($G$7-$E$7)*($G$7-$F$7))))</f>
        <v>1</v>
      </c>
      <c r="D149" s="37" t="n">
        <f aca="false">1+IF($G$8=$E$8,$F$8,IF(R149&lt;($F$8-$E$8)/($G$8-$E$8),$E$8+SQRT(R149*($G$8-$E$8)*($F$8-$E$8)),$G$8-SQRT((1-R149)*($G$8-$E$8)*($G$8-$F$8))))</f>
        <v>1</v>
      </c>
      <c r="E149" s="37" t="n">
        <f aca="false">1+IF($G$9=$E$9,$F$9,IF(S149&lt;($F$9-$E$9)/($G$9-$E$9),$E$9+SQRT(S149*($G$9-$E$9)*($F$9-$E$9)),$G$9-SQRT((1-S149)*($G$9-$E$9)*($G$9-$F$9))))</f>
        <v>1</v>
      </c>
      <c r="F149" s="37" t="n">
        <f aca="false">1+IF($G$10=$E$10,$F$10,IF(T149&lt;($F$10-$E$10)/($G$10-$E$10),$E$10+SQRT(T149*($G$10-$E$10)*($F$10-$E$10)),$G$10-SQRT((1-T149)*($G$10-$E$10)*($G$10-$F$10))))</f>
        <v>1</v>
      </c>
      <c r="G149" s="38" t="n">
        <f aca="false">IF($G$11=$E$11,$F$11,IF(U149&lt;($F$11-$E$11)/($G$11-$E$11),$E$11+SQRT(U149*($G$11-$E$11)*($F$11-$E$11)),$G$11-SQRT((1-U149)*($G$11-$E$11)*($G$11-$F$11))))</f>
        <v>0</v>
      </c>
      <c r="H149" s="39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0</v>
      </c>
      <c r="I149" s="39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0</v>
      </c>
      <c r="J149" s="39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0</v>
      </c>
      <c r="K149" s="39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0</v>
      </c>
      <c r="L149" s="39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0</v>
      </c>
      <c r="M149" s="39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0</v>
      </c>
      <c r="N149" s="39" t="str">
        <f aca="false">IF(COUNT('Business Case'!B11:G11)=0,"",H149+NPV(G149,I149:M149))</f>
        <v/>
      </c>
      <c r="P149" s="40" t="n">
        <f aca="true">RAND()</f>
        <v>0.0155851157323739</v>
      </c>
      <c r="Q149" s="40" t="n">
        <f aca="true">RAND()</f>
        <v>0.979989662641896</v>
      </c>
      <c r="R149" s="40" t="n">
        <f aca="true">RAND()</f>
        <v>0.719193162841378</v>
      </c>
      <c r="S149" s="40" t="n">
        <f aca="true">RAND()</f>
        <v>0.272251004156607</v>
      </c>
      <c r="T149" s="40" t="n">
        <f aca="true">RAND()</f>
        <v>0.896084992667889</v>
      </c>
      <c r="U149" s="40" t="n">
        <f aca="true">RAND()</f>
        <v>0.00893516859875187</v>
      </c>
    </row>
    <row r="150" customFormat="false" ht="15" hidden="false" customHeight="false" outlineLevel="0" collapsed="false">
      <c r="A150" s="36" t="n">
        <v>70</v>
      </c>
      <c r="B150" s="37" t="n">
        <f aca="false">1+IF($G$6=$E$6,$F$6,IF(P150&lt;($F$6-$E$6)/($G$6-$E$6),$E$6+SQRT(P150*($G$6-$E$6)*($F$6-$E$6)),$G$6-SQRT((1-P150)*($G$6-$E$6)*($G$6-$F$6))))</f>
        <v>1</v>
      </c>
      <c r="C150" s="37" t="n">
        <f aca="false">1+IF($G$7=$E$7,$F$7,IF(Q150&lt;($F$7-$E$7)/($G$7-$E$7),$E$7+SQRT(Q150*($G$7-$E$7)*($F$7-$E$7)),$G$7-SQRT((1-Q150)*($G$7-$E$7)*($G$7-$F$7))))</f>
        <v>1</v>
      </c>
      <c r="D150" s="37" t="n">
        <f aca="false">1+IF($G$8=$E$8,$F$8,IF(R150&lt;($F$8-$E$8)/($G$8-$E$8),$E$8+SQRT(R150*($G$8-$E$8)*($F$8-$E$8)),$G$8-SQRT((1-R150)*($G$8-$E$8)*($G$8-$F$8))))</f>
        <v>1</v>
      </c>
      <c r="E150" s="37" t="n">
        <f aca="false">1+IF($G$9=$E$9,$F$9,IF(S150&lt;($F$9-$E$9)/($G$9-$E$9),$E$9+SQRT(S150*($G$9-$E$9)*($F$9-$E$9)),$G$9-SQRT((1-S150)*($G$9-$E$9)*($G$9-$F$9))))</f>
        <v>1</v>
      </c>
      <c r="F150" s="37" t="n">
        <f aca="false">1+IF($G$10=$E$10,$F$10,IF(T150&lt;($F$10-$E$10)/($G$10-$E$10),$E$10+SQRT(T150*($G$10-$E$10)*($F$10-$E$10)),$G$10-SQRT((1-T150)*($G$10-$E$10)*($G$10-$F$10))))</f>
        <v>1</v>
      </c>
      <c r="G150" s="38" t="n">
        <f aca="false">IF($G$11=$E$11,$F$11,IF(U150&lt;($F$11-$E$11)/($G$11-$E$11),$E$11+SQRT(U150*($G$11-$E$11)*($F$11-$E$11)),$G$11-SQRT((1-U150)*($G$11-$E$11)*($G$11-$F$11))))</f>
        <v>0</v>
      </c>
      <c r="H150" s="39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0</v>
      </c>
      <c r="I150" s="39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0</v>
      </c>
      <c r="J150" s="39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0</v>
      </c>
      <c r="K150" s="39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0</v>
      </c>
      <c r="L150" s="39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0</v>
      </c>
      <c r="M150" s="39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0</v>
      </c>
      <c r="N150" s="39" t="str">
        <f aca="false">IF(COUNT('Business Case'!B11:G11)=0,"",H150+NPV(G150,I150:M150))</f>
        <v/>
      </c>
      <c r="P150" s="40" t="n">
        <f aca="true">RAND()</f>
        <v>0.296580010510445</v>
      </c>
      <c r="Q150" s="40" t="n">
        <f aca="true">RAND()</f>
        <v>0.387584749740589</v>
      </c>
      <c r="R150" s="40" t="n">
        <f aca="true">RAND()</f>
        <v>0.667909498595446</v>
      </c>
      <c r="S150" s="40" t="n">
        <f aca="true">RAND()</f>
        <v>0.581950826107727</v>
      </c>
      <c r="T150" s="40" t="n">
        <f aca="true">RAND()</f>
        <v>0.889946844054958</v>
      </c>
      <c r="U150" s="40" t="n">
        <f aca="true">RAND()</f>
        <v>0.688551931573212</v>
      </c>
    </row>
    <row r="151" customFormat="false" ht="15" hidden="false" customHeight="false" outlineLevel="0" collapsed="false">
      <c r="A151" s="36" t="n">
        <v>71</v>
      </c>
      <c r="B151" s="37" t="n">
        <f aca="false">1+IF($G$6=$E$6,$F$6,IF(P151&lt;($F$6-$E$6)/($G$6-$E$6),$E$6+SQRT(P151*($G$6-$E$6)*($F$6-$E$6)),$G$6-SQRT((1-P151)*($G$6-$E$6)*($G$6-$F$6))))</f>
        <v>1</v>
      </c>
      <c r="C151" s="37" t="n">
        <f aca="false">1+IF($G$7=$E$7,$F$7,IF(Q151&lt;($F$7-$E$7)/($G$7-$E$7),$E$7+SQRT(Q151*($G$7-$E$7)*($F$7-$E$7)),$G$7-SQRT((1-Q151)*($G$7-$E$7)*($G$7-$F$7))))</f>
        <v>1</v>
      </c>
      <c r="D151" s="37" t="n">
        <f aca="false">1+IF($G$8=$E$8,$F$8,IF(R151&lt;($F$8-$E$8)/($G$8-$E$8),$E$8+SQRT(R151*($G$8-$E$8)*($F$8-$E$8)),$G$8-SQRT((1-R151)*($G$8-$E$8)*($G$8-$F$8))))</f>
        <v>1</v>
      </c>
      <c r="E151" s="37" t="n">
        <f aca="false">1+IF($G$9=$E$9,$F$9,IF(S151&lt;($F$9-$E$9)/($G$9-$E$9),$E$9+SQRT(S151*($G$9-$E$9)*($F$9-$E$9)),$G$9-SQRT((1-S151)*($G$9-$E$9)*($G$9-$F$9))))</f>
        <v>1</v>
      </c>
      <c r="F151" s="37" t="n">
        <f aca="false">1+IF($G$10=$E$10,$F$10,IF(T151&lt;($F$10-$E$10)/($G$10-$E$10),$E$10+SQRT(T151*($G$10-$E$10)*($F$10-$E$10)),$G$10-SQRT((1-T151)*($G$10-$E$10)*($G$10-$F$10))))</f>
        <v>1</v>
      </c>
      <c r="G151" s="38" t="n">
        <f aca="false">IF($G$11=$E$11,$F$11,IF(U151&lt;($F$11-$E$11)/($G$11-$E$11),$E$11+SQRT(U151*($G$11-$E$11)*($F$11-$E$11)),$G$11-SQRT((1-U151)*($G$11-$E$11)*($G$11-$F$11))))</f>
        <v>0</v>
      </c>
      <c r="H151" s="39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0</v>
      </c>
      <c r="I151" s="39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0</v>
      </c>
      <c r="J151" s="39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0</v>
      </c>
      <c r="K151" s="39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0</v>
      </c>
      <c r="L151" s="39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0</v>
      </c>
      <c r="M151" s="39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0</v>
      </c>
      <c r="N151" s="39" t="str">
        <f aca="false">IF(COUNT('Business Case'!B11:G11)=0,"",H151+NPV(G151,I151:M151))</f>
        <v/>
      </c>
      <c r="P151" s="40" t="n">
        <f aca="true">RAND()</f>
        <v>0.220019516878422</v>
      </c>
      <c r="Q151" s="40" t="n">
        <f aca="true">RAND()</f>
        <v>0.536121646478686</v>
      </c>
      <c r="R151" s="40" t="n">
        <f aca="true">RAND()</f>
        <v>0.477693870820005</v>
      </c>
      <c r="S151" s="40" t="n">
        <f aca="true">RAND()</f>
        <v>0.386637576232517</v>
      </c>
      <c r="T151" s="40" t="n">
        <f aca="true">RAND()</f>
        <v>0.465584641599315</v>
      </c>
      <c r="U151" s="40" t="n">
        <f aca="true">RAND()</f>
        <v>0.448805002932412</v>
      </c>
    </row>
    <row r="152" customFormat="false" ht="15" hidden="false" customHeight="false" outlineLevel="0" collapsed="false">
      <c r="A152" s="36" t="n">
        <v>72</v>
      </c>
      <c r="B152" s="37" t="n">
        <f aca="false">1+IF($G$6=$E$6,$F$6,IF(P152&lt;($F$6-$E$6)/($G$6-$E$6),$E$6+SQRT(P152*($G$6-$E$6)*($F$6-$E$6)),$G$6-SQRT((1-P152)*($G$6-$E$6)*($G$6-$F$6))))</f>
        <v>1</v>
      </c>
      <c r="C152" s="37" t="n">
        <f aca="false">1+IF($G$7=$E$7,$F$7,IF(Q152&lt;($F$7-$E$7)/($G$7-$E$7),$E$7+SQRT(Q152*($G$7-$E$7)*($F$7-$E$7)),$G$7-SQRT((1-Q152)*($G$7-$E$7)*($G$7-$F$7))))</f>
        <v>1</v>
      </c>
      <c r="D152" s="37" t="n">
        <f aca="false">1+IF($G$8=$E$8,$F$8,IF(R152&lt;($F$8-$E$8)/($G$8-$E$8),$E$8+SQRT(R152*($G$8-$E$8)*($F$8-$E$8)),$G$8-SQRT((1-R152)*($G$8-$E$8)*($G$8-$F$8))))</f>
        <v>1</v>
      </c>
      <c r="E152" s="37" t="n">
        <f aca="false">1+IF($G$9=$E$9,$F$9,IF(S152&lt;($F$9-$E$9)/($G$9-$E$9),$E$9+SQRT(S152*($G$9-$E$9)*($F$9-$E$9)),$G$9-SQRT((1-S152)*($G$9-$E$9)*($G$9-$F$9))))</f>
        <v>1</v>
      </c>
      <c r="F152" s="37" t="n">
        <f aca="false">1+IF($G$10=$E$10,$F$10,IF(T152&lt;($F$10-$E$10)/($G$10-$E$10),$E$10+SQRT(T152*($G$10-$E$10)*($F$10-$E$10)),$G$10-SQRT((1-T152)*($G$10-$E$10)*($G$10-$F$10))))</f>
        <v>1</v>
      </c>
      <c r="G152" s="38" t="n">
        <f aca="false">IF($G$11=$E$11,$F$11,IF(U152&lt;($F$11-$E$11)/($G$11-$E$11),$E$11+SQRT(U152*($G$11-$E$11)*($F$11-$E$11)),$G$11-SQRT((1-U152)*($G$11-$E$11)*($G$11-$F$11))))</f>
        <v>0</v>
      </c>
      <c r="H152" s="39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0</v>
      </c>
      <c r="I152" s="39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0</v>
      </c>
      <c r="J152" s="39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0</v>
      </c>
      <c r="K152" s="39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0</v>
      </c>
      <c r="L152" s="39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0</v>
      </c>
      <c r="M152" s="39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0</v>
      </c>
      <c r="N152" s="39" t="str">
        <f aca="false">IF(COUNT('Business Case'!B11:G11)=0,"",H152+NPV(G152,I152:M152))</f>
        <v/>
      </c>
      <c r="P152" s="40" t="n">
        <f aca="true">RAND()</f>
        <v>0.627425754090029</v>
      </c>
      <c r="Q152" s="40" t="n">
        <f aca="true">RAND()</f>
        <v>0.190236088087461</v>
      </c>
      <c r="R152" s="40" t="n">
        <f aca="true">RAND()</f>
        <v>0.848051414858893</v>
      </c>
      <c r="S152" s="40" t="n">
        <f aca="true">RAND()</f>
        <v>0.247716550294643</v>
      </c>
      <c r="T152" s="40" t="n">
        <f aca="true">RAND()</f>
        <v>0.271729222988657</v>
      </c>
      <c r="U152" s="40" t="n">
        <f aca="true">RAND()</f>
        <v>0.1349864220478</v>
      </c>
    </row>
    <row r="153" customFormat="false" ht="15" hidden="false" customHeight="false" outlineLevel="0" collapsed="false">
      <c r="A153" s="36" t="n">
        <v>73</v>
      </c>
      <c r="B153" s="37" t="n">
        <f aca="false">1+IF($G$6=$E$6,$F$6,IF(P153&lt;($F$6-$E$6)/($G$6-$E$6),$E$6+SQRT(P153*($G$6-$E$6)*($F$6-$E$6)),$G$6-SQRT((1-P153)*($G$6-$E$6)*($G$6-$F$6))))</f>
        <v>1</v>
      </c>
      <c r="C153" s="37" t="n">
        <f aca="false">1+IF($G$7=$E$7,$F$7,IF(Q153&lt;($F$7-$E$7)/($G$7-$E$7),$E$7+SQRT(Q153*($G$7-$E$7)*($F$7-$E$7)),$G$7-SQRT((1-Q153)*($G$7-$E$7)*($G$7-$F$7))))</f>
        <v>1</v>
      </c>
      <c r="D153" s="37" t="n">
        <f aca="false">1+IF($G$8=$E$8,$F$8,IF(R153&lt;($F$8-$E$8)/($G$8-$E$8),$E$8+SQRT(R153*($G$8-$E$8)*($F$8-$E$8)),$G$8-SQRT((1-R153)*($G$8-$E$8)*($G$8-$F$8))))</f>
        <v>1</v>
      </c>
      <c r="E153" s="37" t="n">
        <f aca="false">1+IF($G$9=$E$9,$F$9,IF(S153&lt;($F$9-$E$9)/($G$9-$E$9),$E$9+SQRT(S153*($G$9-$E$9)*($F$9-$E$9)),$G$9-SQRT((1-S153)*($G$9-$E$9)*($G$9-$F$9))))</f>
        <v>1</v>
      </c>
      <c r="F153" s="37" t="n">
        <f aca="false">1+IF($G$10=$E$10,$F$10,IF(T153&lt;($F$10-$E$10)/($G$10-$E$10),$E$10+SQRT(T153*($G$10-$E$10)*($F$10-$E$10)),$G$10-SQRT((1-T153)*($G$10-$E$10)*($G$10-$F$10))))</f>
        <v>1</v>
      </c>
      <c r="G153" s="38" t="n">
        <f aca="false">IF($G$11=$E$11,$F$11,IF(U153&lt;($F$11-$E$11)/($G$11-$E$11),$E$11+SQRT(U153*($G$11-$E$11)*($F$11-$E$11)),$G$11-SQRT((1-U153)*($G$11-$E$11)*($G$11-$F$11))))</f>
        <v>0</v>
      </c>
      <c r="H153" s="39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0</v>
      </c>
      <c r="I153" s="39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0</v>
      </c>
      <c r="J153" s="39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0</v>
      </c>
      <c r="K153" s="39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0</v>
      </c>
      <c r="L153" s="39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0</v>
      </c>
      <c r="M153" s="39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0</v>
      </c>
      <c r="N153" s="39" t="str">
        <f aca="false">IF(COUNT('Business Case'!B11:G11)=0,"",H153+NPV(G153,I153:M153))</f>
        <v/>
      </c>
      <c r="P153" s="40" t="n">
        <f aca="true">RAND()</f>
        <v>0.0779538593467099</v>
      </c>
      <c r="Q153" s="40" t="n">
        <f aca="true">RAND()</f>
        <v>0.871720352140512</v>
      </c>
      <c r="R153" s="40" t="n">
        <f aca="true">RAND()</f>
        <v>0.729132028059886</v>
      </c>
      <c r="S153" s="40" t="n">
        <f aca="true">RAND()</f>
        <v>0.381485003775258</v>
      </c>
      <c r="T153" s="40" t="n">
        <f aca="true">RAND()</f>
        <v>0.304476138908142</v>
      </c>
      <c r="U153" s="40" t="n">
        <f aca="true">RAND()</f>
        <v>0.721330609406854</v>
      </c>
    </row>
    <row r="154" customFormat="false" ht="15" hidden="false" customHeight="false" outlineLevel="0" collapsed="false">
      <c r="A154" s="36" t="n">
        <v>74</v>
      </c>
      <c r="B154" s="37" t="n">
        <f aca="false">1+IF($G$6=$E$6,$F$6,IF(P154&lt;($F$6-$E$6)/($G$6-$E$6),$E$6+SQRT(P154*($G$6-$E$6)*($F$6-$E$6)),$G$6-SQRT((1-P154)*($G$6-$E$6)*($G$6-$F$6))))</f>
        <v>1</v>
      </c>
      <c r="C154" s="37" t="n">
        <f aca="false">1+IF($G$7=$E$7,$F$7,IF(Q154&lt;($F$7-$E$7)/($G$7-$E$7),$E$7+SQRT(Q154*($G$7-$E$7)*($F$7-$E$7)),$G$7-SQRT((1-Q154)*($G$7-$E$7)*($G$7-$F$7))))</f>
        <v>1</v>
      </c>
      <c r="D154" s="37" t="n">
        <f aca="false">1+IF($G$8=$E$8,$F$8,IF(R154&lt;($F$8-$E$8)/($G$8-$E$8),$E$8+SQRT(R154*($G$8-$E$8)*($F$8-$E$8)),$G$8-SQRT((1-R154)*($G$8-$E$8)*($G$8-$F$8))))</f>
        <v>1</v>
      </c>
      <c r="E154" s="37" t="n">
        <f aca="false">1+IF($G$9=$E$9,$F$9,IF(S154&lt;($F$9-$E$9)/($G$9-$E$9),$E$9+SQRT(S154*($G$9-$E$9)*($F$9-$E$9)),$G$9-SQRT((1-S154)*($G$9-$E$9)*($G$9-$F$9))))</f>
        <v>1</v>
      </c>
      <c r="F154" s="37" t="n">
        <f aca="false">1+IF($G$10=$E$10,$F$10,IF(T154&lt;($F$10-$E$10)/($G$10-$E$10),$E$10+SQRT(T154*($G$10-$E$10)*($F$10-$E$10)),$G$10-SQRT((1-T154)*($G$10-$E$10)*($G$10-$F$10))))</f>
        <v>1</v>
      </c>
      <c r="G154" s="38" t="n">
        <f aca="false">IF($G$11=$E$11,$F$11,IF(U154&lt;($F$11-$E$11)/($G$11-$E$11),$E$11+SQRT(U154*($G$11-$E$11)*($F$11-$E$11)),$G$11-SQRT((1-U154)*($G$11-$E$11)*($G$11-$F$11))))</f>
        <v>0</v>
      </c>
      <c r="H154" s="39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0</v>
      </c>
      <c r="I154" s="39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0</v>
      </c>
      <c r="J154" s="39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0</v>
      </c>
      <c r="K154" s="39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0</v>
      </c>
      <c r="L154" s="39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0</v>
      </c>
      <c r="M154" s="39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0</v>
      </c>
      <c r="N154" s="39" t="str">
        <f aca="false">IF(COUNT('Business Case'!B11:G11)=0,"",H154+NPV(G154,I154:M154))</f>
        <v/>
      </c>
      <c r="P154" s="40" t="n">
        <f aca="true">RAND()</f>
        <v>0.970098078044993</v>
      </c>
      <c r="Q154" s="40" t="n">
        <f aca="true">RAND()</f>
        <v>0.42994417769802</v>
      </c>
      <c r="R154" s="40" t="n">
        <f aca="true">RAND()</f>
        <v>0.667616940642379</v>
      </c>
      <c r="S154" s="40" t="n">
        <f aca="true">RAND()</f>
        <v>0.248100539677728</v>
      </c>
      <c r="T154" s="40" t="n">
        <f aca="true">RAND()</f>
        <v>0.868246127435085</v>
      </c>
      <c r="U154" s="40" t="n">
        <f aca="true">RAND()</f>
        <v>0.475943370068497</v>
      </c>
    </row>
    <row r="155" customFormat="false" ht="15" hidden="false" customHeight="false" outlineLevel="0" collapsed="false">
      <c r="A155" s="36" t="n">
        <v>75</v>
      </c>
      <c r="B155" s="37" t="n">
        <f aca="false">1+IF($G$6=$E$6,$F$6,IF(P155&lt;($F$6-$E$6)/($G$6-$E$6),$E$6+SQRT(P155*($G$6-$E$6)*($F$6-$E$6)),$G$6-SQRT((1-P155)*($G$6-$E$6)*($G$6-$F$6))))</f>
        <v>1</v>
      </c>
      <c r="C155" s="37" t="n">
        <f aca="false">1+IF($G$7=$E$7,$F$7,IF(Q155&lt;($F$7-$E$7)/($G$7-$E$7),$E$7+SQRT(Q155*($G$7-$E$7)*($F$7-$E$7)),$G$7-SQRT((1-Q155)*($G$7-$E$7)*($G$7-$F$7))))</f>
        <v>1</v>
      </c>
      <c r="D155" s="37" t="n">
        <f aca="false">1+IF($G$8=$E$8,$F$8,IF(R155&lt;($F$8-$E$8)/($G$8-$E$8),$E$8+SQRT(R155*($G$8-$E$8)*($F$8-$E$8)),$G$8-SQRT((1-R155)*($G$8-$E$8)*($G$8-$F$8))))</f>
        <v>1</v>
      </c>
      <c r="E155" s="37" t="n">
        <f aca="false">1+IF($G$9=$E$9,$F$9,IF(S155&lt;($F$9-$E$9)/($G$9-$E$9),$E$9+SQRT(S155*($G$9-$E$9)*($F$9-$E$9)),$G$9-SQRT((1-S155)*($G$9-$E$9)*($G$9-$F$9))))</f>
        <v>1</v>
      </c>
      <c r="F155" s="37" t="n">
        <f aca="false">1+IF($G$10=$E$10,$F$10,IF(T155&lt;($F$10-$E$10)/($G$10-$E$10),$E$10+SQRT(T155*($G$10-$E$10)*($F$10-$E$10)),$G$10-SQRT((1-T155)*($G$10-$E$10)*($G$10-$F$10))))</f>
        <v>1</v>
      </c>
      <c r="G155" s="38" t="n">
        <f aca="false">IF($G$11=$E$11,$F$11,IF(U155&lt;($F$11-$E$11)/($G$11-$E$11),$E$11+SQRT(U155*($G$11-$E$11)*($F$11-$E$11)),$G$11-SQRT((1-U155)*($G$11-$E$11)*($G$11-$F$11))))</f>
        <v>0</v>
      </c>
      <c r="H155" s="39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0</v>
      </c>
      <c r="I155" s="39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0</v>
      </c>
      <c r="J155" s="39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0</v>
      </c>
      <c r="K155" s="39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0</v>
      </c>
      <c r="L155" s="39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0</v>
      </c>
      <c r="M155" s="39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0</v>
      </c>
      <c r="N155" s="39" t="str">
        <f aca="false">IF(COUNT('Business Case'!B11:G11)=0,"",H155+NPV(G155,I155:M155))</f>
        <v/>
      </c>
      <c r="P155" s="40" t="n">
        <f aca="true">RAND()</f>
        <v>0.388020088719772</v>
      </c>
      <c r="Q155" s="40" t="n">
        <f aca="true">RAND()</f>
        <v>0.71060472670283</v>
      </c>
      <c r="R155" s="40" t="n">
        <f aca="true">RAND()</f>
        <v>0.69311879245079</v>
      </c>
      <c r="S155" s="40" t="n">
        <f aca="true">RAND()</f>
        <v>0.630081497133832</v>
      </c>
      <c r="T155" s="40" t="n">
        <f aca="true">RAND()</f>
        <v>0.300511295036439</v>
      </c>
      <c r="U155" s="40" t="n">
        <f aca="true">RAND()</f>
        <v>0.177803064283588</v>
      </c>
    </row>
    <row r="156" customFormat="false" ht="15" hidden="false" customHeight="false" outlineLevel="0" collapsed="false">
      <c r="A156" s="36" t="n">
        <v>76</v>
      </c>
      <c r="B156" s="37" t="n">
        <f aca="false">1+IF($G$6=$E$6,$F$6,IF(P156&lt;($F$6-$E$6)/($G$6-$E$6),$E$6+SQRT(P156*($G$6-$E$6)*($F$6-$E$6)),$G$6-SQRT((1-P156)*($G$6-$E$6)*($G$6-$F$6))))</f>
        <v>1</v>
      </c>
      <c r="C156" s="37" t="n">
        <f aca="false">1+IF($G$7=$E$7,$F$7,IF(Q156&lt;($F$7-$E$7)/($G$7-$E$7),$E$7+SQRT(Q156*($G$7-$E$7)*($F$7-$E$7)),$G$7-SQRT((1-Q156)*($G$7-$E$7)*($G$7-$F$7))))</f>
        <v>1</v>
      </c>
      <c r="D156" s="37" t="n">
        <f aca="false">1+IF($G$8=$E$8,$F$8,IF(R156&lt;($F$8-$E$8)/($G$8-$E$8),$E$8+SQRT(R156*($G$8-$E$8)*($F$8-$E$8)),$G$8-SQRT((1-R156)*($G$8-$E$8)*($G$8-$F$8))))</f>
        <v>1</v>
      </c>
      <c r="E156" s="37" t="n">
        <f aca="false">1+IF($G$9=$E$9,$F$9,IF(S156&lt;($F$9-$E$9)/($G$9-$E$9),$E$9+SQRT(S156*($G$9-$E$9)*($F$9-$E$9)),$G$9-SQRT((1-S156)*($G$9-$E$9)*($G$9-$F$9))))</f>
        <v>1</v>
      </c>
      <c r="F156" s="37" t="n">
        <f aca="false">1+IF($G$10=$E$10,$F$10,IF(T156&lt;($F$10-$E$10)/($G$10-$E$10),$E$10+SQRT(T156*($G$10-$E$10)*($F$10-$E$10)),$G$10-SQRT((1-T156)*($G$10-$E$10)*($G$10-$F$10))))</f>
        <v>1</v>
      </c>
      <c r="G156" s="38" t="n">
        <f aca="false">IF($G$11=$E$11,$F$11,IF(U156&lt;($F$11-$E$11)/($G$11-$E$11),$E$11+SQRT(U156*($G$11-$E$11)*($F$11-$E$11)),$G$11-SQRT((1-U156)*($G$11-$E$11)*($G$11-$F$11))))</f>
        <v>0</v>
      </c>
      <c r="H156" s="39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0</v>
      </c>
      <c r="I156" s="39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0</v>
      </c>
      <c r="J156" s="39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0</v>
      </c>
      <c r="K156" s="39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0</v>
      </c>
      <c r="L156" s="39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0</v>
      </c>
      <c r="M156" s="39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0</v>
      </c>
      <c r="N156" s="39" t="str">
        <f aca="false">IF(COUNT('Business Case'!B11:G11)=0,"",H156+NPV(G156,I156:M156))</f>
        <v/>
      </c>
      <c r="P156" s="40" t="n">
        <f aca="true">RAND()</f>
        <v>0.277398047380853</v>
      </c>
      <c r="Q156" s="40" t="n">
        <f aca="true">RAND()</f>
        <v>0.414532871004477</v>
      </c>
      <c r="R156" s="40" t="n">
        <f aca="true">RAND()</f>
        <v>0.57435240334871</v>
      </c>
      <c r="S156" s="40" t="n">
        <f aca="true">RAND()</f>
        <v>0.514635082110197</v>
      </c>
      <c r="T156" s="40" t="n">
        <f aca="true">RAND()</f>
        <v>0.752245123406947</v>
      </c>
      <c r="U156" s="40" t="n">
        <f aca="true">RAND()</f>
        <v>0.100923386360635</v>
      </c>
    </row>
    <row r="157" customFormat="false" ht="15" hidden="false" customHeight="false" outlineLevel="0" collapsed="false">
      <c r="A157" s="36" t="n">
        <v>77</v>
      </c>
      <c r="B157" s="37" t="n">
        <f aca="false">1+IF($G$6=$E$6,$F$6,IF(P157&lt;($F$6-$E$6)/($G$6-$E$6),$E$6+SQRT(P157*($G$6-$E$6)*($F$6-$E$6)),$G$6-SQRT((1-P157)*($G$6-$E$6)*($G$6-$F$6))))</f>
        <v>1</v>
      </c>
      <c r="C157" s="37" t="n">
        <f aca="false">1+IF($G$7=$E$7,$F$7,IF(Q157&lt;($F$7-$E$7)/($G$7-$E$7),$E$7+SQRT(Q157*($G$7-$E$7)*($F$7-$E$7)),$G$7-SQRT((1-Q157)*($G$7-$E$7)*($G$7-$F$7))))</f>
        <v>1</v>
      </c>
      <c r="D157" s="37" t="n">
        <f aca="false">1+IF($G$8=$E$8,$F$8,IF(R157&lt;($F$8-$E$8)/($G$8-$E$8),$E$8+SQRT(R157*($G$8-$E$8)*($F$8-$E$8)),$G$8-SQRT((1-R157)*($G$8-$E$8)*($G$8-$F$8))))</f>
        <v>1</v>
      </c>
      <c r="E157" s="37" t="n">
        <f aca="false">1+IF($G$9=$E$9,$F$9,IF(S157&lt;($F$9-$E$9)/($G$9-$E$9),$E$9+SQRT(S157*($G$9-$E$9)*($F$9-$E$9)),$G$9-SQRT((1-S157)*($G$9-$E$9)*($G$9-$F$9))))</f>
        <v>1</v>
      </c>
      <c r="F157" s="37" t="n">
        <f aca="false">1+IF($G$10=$E$10,$F$10,IF(T157&lt;($F$10-$E$10)/($G$10-$E$10),$E$10+SQRT(T157*($G$10-$E$10)*($F$10-$E$10)),$G$10-SQRT((1-T157)*($G$10-$E$10)*($G$10-$F$10))))</f>
        <v>1</v>
      </c>
      <c r="G157" s="38" t="n">
        <f aca="false">IF($G$11=$E$11,$F$11,IF(U157&lt;($F$11-$E$11)/($G$11-$E$11),$E$11+SQRT(U157*($G$11-$E$11)*($F$11-$E$11)),$G$11-SQRT((1-U157)*($G$11-$E$11)*($G$11-$F$11))))</f>
        <v>0</v>
      </c>
      <c r="H157" s="39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0</v>
      </c>
      <c r="I157" s="39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0</v>
      </c>
      <c r="J157" s="39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0</v>
      </c>
      <c r="K157" s="39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0</v>
      </c>
      <c r="L157" s="39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0</v>
      </c>
      <c r="M157" s="39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0</v>
      </c>
      <c r="N157" s="39" t="str">
        <f aca="false">IF(COUNT('Business Case'!B11:G11)=0,"",H157+NPV(G157,I157:M157))</f>
        <v/>
      </c>
      <c r="P157" s="40" t="n">
        <f aca="true">RAND()</f>
        <v>0.490544399285846</v>
      </c>
      <c r="Q157" s="40" t="n">
        <f aca="true">RAND()</f>
        <v>0.239412161850101</v>
      </c>
      <c r="R157" s="40" t="n">
        <f aca="true">RAND()</f>
        <v>0.761083595198359</v>
      </c>
      <c r="S157" s="40" t="n">
        <f aca="true">RAND()</f>
        <v>0.159000119951493</v>
      </c>
      <c r="T157" s="40" t="n">
        <f aca="true">RAND()</f>
        <v>0.202601527992794</v>
      </c>
      <c r="U157" s="40" t="n">
        <f aca="true">RAND()</f>
        <v>0.947695813762936</v>
      </c>
    </row>
    <row r="158" customFormat="false" ht="15" hidden="false" customHeight="false" outlineLevel="0" collapsed="false">
      <c r="A158" s="36" t="n">
        <v>78</v>
      </c>
      <c r="B158" s="37" t="n">
        <f aca="false">1+IF($G$6=$E$6,$F$6,IF(P158&lt;($F$6-$E$6)/($G$6-$E$6),$E$6+SQRT(P158*($G$6-$E$6)*($F$6-$E$6)),$G$6-SQRT((1-P158)*($G$6-$E$6)*($G$6-$F$6))))</f>
        <v>1</v>
      </c>
      <c r="C158" s="37" t="n">
        <f aca="false">1+IF($G$7=$E$7,$F$7,IF(Q158&lt;($F$7-$E$7)/($G$7-$E$7),$E$7+SQRT(Q158*($G$7-$E$7)*($F$7-$E$7)),$G$7-SQRT((1-Q158)*($G$7-$E$7)*($G$7-$F$7))))</f>
        <v>1</v>
      </c>
      <c r="D158" s="37" t="n">
        <f aca="false">1+IF($G$8=$E$8,$F$8,IF(R158&lt;($F$8-$E$8)/($G$8-$E$8),$E$8+SQRT(R158*($G$8-$E$8)*($F$8-$E$8)),$G$8-SQRT((1-R158)*($G$8-$E$8)*($G$8-$F$8))))</f>
        <v>1</v>
      </c>
      <c r="E158" s="37" t="n">
        <f aca="false">1+IF($G$9=$E$9,$F$9,IF(S158&lt;($F$9-$E$9)/($G$9-$E$9),$E$9+SQRT(S158*($G$9-$E$9)*($F$9-$E$9)),$G$9-SQRT((1-S158)*($G$9-$E$9)*($G$9-$F$9))))</f>
        <v>1</v>
      </c>
      <c r="F158" s="37" t="n">
        <f aca="false">1+IF($G$10=$E$10,$F$10,IF(T158&lt;($F$10-$E$10)/($G$10-$E$10),$E$10+SQRT(T158*($G$10-$E$10)*($F$10-$E$10)),$G$10-SQRT((1-T158)*($G$10-$E$10)*($G$10-$F$10))))</f>
        <v>1</v>
      </c>
      <c r="G158" s="38" t="n">
        <f aca="false">IF($G$11=$E$11,$F$11,IF(U158&lt;($F$11-$E$11)/($G$11-$E$11),$E$11+SQRT(U158*($G$11-$E$11)*($F$11-$E$11)),$G$11-SQRT((1-U158)*($G$11-$E$11)*($G$11-$F$11))))</f>
        <v>0</v>
      </c>
      <c r="H158" s="39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0</v>
      </c>
      <c r="I158" s="39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0</v>
      </c>
      <c r="J158" s="39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0</v>
      </c>
      <c r="K158" s="39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0</v>
      </c>
      <c r="L158" s="39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0</v>
      </c>
      <c r="M158" s="39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0</v>
      </c>
      <c r="N158" s="39" t="str">
        <f aca="false">IF(COUNT('Business Case'!B11:G11)=0,"",H158+NPV(G158,I158:M158))</f>
        <v/>
      </c>
      <c r="P158" s="40" t="n">
        <f aca="true">RAND()</f>
        <v>0.185260450774281</v>
      </c>
      <c r="Q158" s="40" t="n">
        <f aca="true">RAND()</f>
        <v>0.12864216942933</v>
      </c>
      <c r="R158" s="40" t="n">
        <f aca="true">RAND()</f>
        <v>0.625841249096624</v>
      </c>
      <c r="S158" s="40" t="n">
        <f aca="true">RAND()</f>
        <v>0.28935261272594</v>
      </c>
      <c r="T158" s="40" t="n">
        <f aca="true">RAND()</f>
        <v>0.790067305295618</v>
      </c>
      <c r="U158" s="40" t="n">
        <f aca="true">RAND()</f>
        <v>0.2205122214722</v>
      </c>
    </row>
    <row r="159" customFormat="false" ht="15" hidden="false" customHeight="false" outlineLevel="0" collapsed="false">
      <c r="A159" s="36" t="n">
        <v>79</v>
      </c>
      <c r="B159" s="37" t="n">
        <f aca="false">1+IF($G$6=$E$6,$F$6,IF(P159&lt;($F$6-$E$6)/($G$6-$E$6),$E$6+SQRT(P159*($G$6-$E$6)*($F$6-$E$6)),$G$6-SQRT((1-P159)*($G$6-$E$6)*($G$6-$F$6))))</f>
        <v>1</v>
      </c>
      <c r="C159" s="37" t="n">
        <f aca="false">1+IF($G$7=$E$7,$F$7,IF(Q159&lt;($F$7-$E$7)/($G$7-$E$7),$E$7+SQRT(Q159*($G$7-$E$7)*($F$7-$E$7)),$G$7-SQRT((1-Q159)*($G$7-$E$7)*($G$7-$F$7))))</f>
        <v>1</v>
      </c>
      <c r="D159" s="37" t="n">
        <f aca="false">1+IF($G$8=$E$8,$F$8,IF(R159&lt;($F$8-$E$8)/($G$8-$E$8),$E$8+SQRT(R159*($G$8-$E$8)*($F$8-$E$8)),$G$8-SQRT((1-R159)*($G$8-$E$8)*($G$8-$F$8))))</f>
        <v>1</v>
      </c>
      <c r="E159" s="37" t="n">
        <f aca="false">1+IF($G$9=$E$9,$F$9,IF(S159&lt;($F$9-$E$9)/($G$9-$E$9),$E$9+SQRT(S159*($G$9-$E$9)*($F$9-$E$9)),$G$9-SQRT((1-S159)*($G$9-$E$9)*($G$9-$F$9))))</f>
        <v>1</v>
      </c>
      <c r="F159" s="37" t="n">
        <f aca="false">1+IF($G$10=$E$10,$F$10,IF(T159&lt;($F$10-$E$10)/($G$10-$E$10),$E$10+SQRT(T159*($G$10-$E$10)*($F$10-$E$10)),$G$10-SQRT((1-T159)*($G$10-$E$10)*($G$10-$F$10))))</f>
        <v>1</v>
      </c>
      <c r="G159" s="38" t="n">
        <f aca="false">IF($G$11=$E$11,$F$11,IF(U159&lt;($F$11-$E$11)/($G$11-$E$11),$E$11+SQRT(U159*($G$11-$E$11)*($F$11-$E$11)),$G$11-SQRT((1-U159)*($G$11-$E$11)*($G$11-$F$11))))</f>
        <v>0</v>
      </c>
      <c r="H159" s="39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0</v>
      </c>
      <c r="I159" s="39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0</v>
      </c>
      <c r="J159" s="39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0</v>
      </c>
      <c r="K159" s="39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0</v>
      </c>
      <c r="L159" s="39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0</v>
      </c>
      <c r="M159" s="39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0</v>
      </c>
      <c r="N159" s="39" t="str">
        <f aca="false">IF(COUNT('Business Case'!B11:G11)=0,"",H159+NPV(G159,I159:M159))</f>
        <v/>
      </c>
      <c r="P159" s="40" t="n">
        <f aca="true">RAND()</f>
        <v>0.844172603710071</v>
      </c>
      <c r="Q159" s="40" t="n">
        <f aca="true">RAND()</f>
        <v>0.814543163121073</v>
      </c>
      <c r="R159" s="40" t="n">
        <f aca="true">RAND()</f>
        <v>0.830766654198607</v>
      </c>
      <c r="S159" s="40" t="n">
        <f aca="true">RAND()</f>
        <v>0.756957394873371</v>
      </c>
      <c r="T159" s="40" t="n">
        <f aca="true">RAND()</f>
        <v>0.188807725314394</v>
      </c>
      <c r="U159" s="40" t="n">
        <f aca="true">RAND()</f>
        <v>0.0253465007172313</v>
      </c>
    </row>
    <row r="160" customFormat="false" ht="15" hidden="false" customHeight="false" outlineLevel="0" collapsed="false">
      <c r="A160" s="36" t="n">
        <v>80</v>
      </c>
      <c r="B160" s="37" t="n">
        <f aca="false">1+IF($G$6=$E$6,$F$6,IF(P160&lt;($F$6-$E$6)/($G$6-$E$6),$E$6+SQRT(P160*($G$6-$E$6)*($F$6-$E$6)),$G$6-SQRT((1-P160)*($G$6-$E$6)*($G$6-$F$6))))</f>
        <v>1</v>
      </c>
      <c r="C160" s="37" t="n">
        <f aca="false">1+IF($G$7=$E$7,$F$7,IF(Q160&lt;($F$7-$E$7)/($G$7-$E$7),$E$7+SQRT(Q160*($G$7-$E$7)*($F$7-$E$7)),$G$7-SQRT((1-Q160)*($G$7-$E$7)*($G$7-$F$7))))</f>
        <v>1</v>
      </c>
      <c r="D160" s="37" t="n">
        <f aca="false">1+IF($G$8=$E$8,$F$8,IF(R160&lt;($F$8-$E$8)/($G$8-$E$8),$E$8+SQRT(R160*($G$8-$E$8)*($F$8-$E$8)),$G$8-SQRT((1-R160)*($G$8-$E$8)*($G$8-$F$8))))</f>
        <v>1</v>
      </c>
      <c r="E160" s="37" t="n">
        <f aca="false">1+IF($G$9=$E$9,$F$9,IF(S160&lt;($F$9-$E$9)/($G$9-$E$9),$E$9+SQRT(S160*($G$9-$E$9)*($F$9-$E$9)),$G$9-SQRT((1-S160)*($G$9-$E$9)*($G$9-$F$9))))</f>
        <v>1</v>
      </c>
      <c r="F160" s="37" t="n">
        <f aca="false">1+IF($G$10=$E$10,$F$10,IF(T160&lt;($F$10-$E$10)/($G$10-$E$10),$E$10+SQRT(T160*($G$10-$E$10)*($F$10-$E$10)),$G$10-SQRT((1-T160)*($G$10-$E$10)*($G$10-$F$10))))</f>
        <v>1</v>
      </c>
      <c r="G160" s="38" t="n">
        <f aca="false">IF($G$11=$E$11,$F$11,IF(U160&lt;($F$11-$E$11)/($G$11-$E$11),$E$11+SQRT(U160*($G$11-$E$11)*($F$11-$E$11)),$G$11-SQRT((1-U160)*($G$11-$E$11)*($G$11-$F$11))))</f>
        <v>0</v>
      </c>
      <c r="H160" s="39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0</v>
      </c>
      <c r="I160" s="39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0</v>
      </c>
      <c r="J160" s="39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0</v>
      </c>
      <c r="K160" s="39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0</v>
      </c>
      <c r="L160" s="39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0</v>
      </c>
      <c r="M160" s="39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0</v>
      </c>
      <c r="N160" s="39" t="str">
        <f aca="false">IF(COUNT('Business Case'!B11:G11)=0,"",H160+NPV(G160,I160:M160))</f>
        <v/>
      </c>
      <c r="P160" s="40" t="n">
        <f aca="true">RAND()</f>
        <v>0.215732705001437</v>
      </c>
      <c r="Q160" s="40" t="n">
        <f aca="true">RAND()</f>
        <v>0.0863054821410782</v>
      </c>
      <c r="R160" s="40" t="n">
        <f aca="true">RAND()</f>
        <v>0.280481361633671</v>
      </c>
      <c r="S160" s="40" t="n">
        <f aca="true">RAND()</f>
        <v>0.0391732193409019</v>
      </c>
      <c r="T160" s="40" t="n">
        <f aca="true">RAND()</f>
        <v>0.90737218616055</v>
      </c>
      <c r="U160" s="40" t="n">
        <f aca="true">RAND()</f>
        <v>0.403160387945342</v>
      </c>
    </row>
    <row r="161" customFormat="false" ht="15" hidden="false" customHeight="false" outlineLevel="0" collapsed="false">
      <c r="A161" s="36" t="n">
        <v>81</v>
      </c>
      <c r="B161" s="37" t="n">
        <f aca="false">1+IF($G$6=$E$6,$F$6,IF(P161&lt;($F$6-$E$6)/($G$6-$E$6),$E$6+SQRT(P161*($G$6-$E$6)*($F$6-$E$6)),$G$6-SQRT((1-P161)*($G$6-$E$6)*($G$6-$F$6))))</f>
        <v>1</v>
      </c>
      <c r="C161" s="37" t="n">
        <f aca="false">1+IF($G$7=$E$7,$F$7,IF(Q161&lt;($F$7-$E$7)/($G$7-$E$7),$E$7+SQRT(Q161*($G$7-$E$7)*($F$7-$E$7)),$G$7-SQRT((1-Q161)*($G$7-$E$7)*($G$7-$F$7))))</f>
        <v>1</v>
      </c>
      <c r="D161" s="37" t="n">
        <f aca="false">1+IF($G$8=$E$8,$F$8,IF(R161&lt;($F$8-$E$8)/($G$8-$E$8),$E$8+SQRT(R161*($G$8-$E$8)*($F$8-$E$8)),$G$8-SQRT((1-R161)*($G$8-$E$8)*($G$8-$F$8))))</f>
        <v>1</v>
      </c>
      <c r="E161" s="37" t="n">
        <f aca="false">1+IF($G$9=$E$9,$F$9,IF(S161&lt;($F$9-$E$9)/($G$9-$E$9),$E$9+SQRT(S161*($G$9-$E$9)*($F$9-$E$9)),$G$9-SQRT((1-S161)*($G$9-$E$9)*($G$9-$F$9))))</f>
        <v>1</v>
      </c>
      <c r="F161" s="37" t="n">
        <f aca="false">1+IF($G$10=$E$10,$F$10,IF(T161&lt;($F$10-$E$10)/($G$10-$E$10),$E$10+SQRT(T161*($G$10-$E$10)*($F$10-$E$10)),$G$10-SQRT((1-T161)*($G$10-$E$10)*($G$10-$F$10))))</f>
        <v>1</v>
      </c>
      <c r="G161" s="38" t="n">
        <f aca="false">IF($G$11=$E$11,$F$11,IF(U161&lt;($F$11-$E$11)/($G$11-$E$11),$E$11+SQRT(U161*($G$11-$E$11)*($F$11-$E$11)),$G$11-SQRT((1-U161)*($G$11-$E$11)*($G$11-$F$11))))</f>
        <v>0</v>
      </c>
      <c r="H161" s="39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0</v>
      </c>
      <c r="I161" s="39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0</v>
      </c>
      <c r="J161" s="39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0</v>
      </c>
      <c r="K161" s="39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0</v>
      </c>
      <c r="L161" s="39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0</v>
      </c>
      <c r="M161" s="39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0</v>
      </c>
      <c r="N161" s="39" t="str">
        <f aca="false">IF(COUNT('Business Case'!B11:G11)=0,"",H161+NPV(G161,I161:M161))</f>
        <v/>
      </c>
      <c r="P161" s="40" t="n">
        <f aca="true">RAND()</f>
        <v>0.807541712956641</v>
      </c>
      <c r="Q161" s="40" t="n">
        <f aca="true">RAND()</f>
        <v>0.996853794826674</v>
      </c>
      <c r="R161" s="40" t="n">
        <f aca="true">RAND()</f>
        <v>0.322196582608376</v>
      </c>
      <c r="S161" s="40" t="n">
        <f aca="true">RAND()</f>
        <v>0.00763839203077315</v>
      </c>
      <c r="T161" s="40" t="n">
        <f aca="true">RAND()</f>
        <v>0.957780213531987</v>
      </c>
      <c r="U161" s="40" t="n">
        <f aca="true">RAND()</f>
        <v>0.966237740852587</v>
      </c>
    </row>
    <row r="162" customFormat="false" ht="15" hidden="false" customHeight="false" outlineLevel="0" collapsed="false">
      <c r="A162" s="36" t="n">
        <v>82</v>
      </c>
      <c r="B162" s="37" t="n">
        <f aca="false">1+IF($G$6=$E$6,$F$6,IF(P162&lt;($F$6-$E$6)/($G$6-$E$6),$E$6+SQRT(P162*($G$6-$E$6)*($F$6-$E$6)),$G$6-SQRT((1-P162)*($G$6-$E$6)*($G$6-$F$6))))</f>
        <v>1</v>
      </c>
      <c r="C162" s="37" t="n">
        <f aca="false">1+IF($G$7=$E$7,$F$7,IF(Q162&lt;($F$7-$E$7)/($G$7-$E$7),$E$7+SQRT(Q162*($G$7-$E$7)*($F$7-$E$7)),$G$7-SQRT((1-Q162)*($G$7-$E$7)*($G$7-$F$7))))</f>
        <v>1</v>
      </c>
      <c r="D162" s="37" t="n">
        <f aca="false">1+IF($G$8=$E$8,$F$8,IF(R162&lt;($F$8-$E$8)/($G$8-$E$8),$E$8+SQRT(R162*($G$8-$E$8)*($F$8-$E$8)),$G$8-SQRT((1-R162)*($G$8-$E$8)*($G$8-$F$8))))</f>
        <v>1</v>
      </c>
      <c r="E162" s="37" t="n">
        <f aca="false">1+IF($G$9=$E$9,$F$9,IF(S162&lt;($F$9-$E$9)/($G$9-$E$9),$E$9+SQRT(S162*($G$9-$E$9)*($F$9-$E$9)),$G$9-SQRT((1-S162)*($G$9-$E$9)*($G$9-$F$9))))</f>
        <v>1</v>
      </c>
      <c r="F162" s="37" t="n">
        <f aca="false">1+IF($G$10=$E$10,$F$10,IF(T162&lt;($F$10-$E$10)/($G$10-$E$10),$E$10+SQRT(T162*($G$10-$E$10)*($F$10-$E$10)),$G$10-SQRT((1-T162)*($G$10-$E$10)*($G$10-$F$10))))</f>
        <v>1</v>
      </c>
      <c r="G162" s="38" t="n">
        <f aca="false">IF($G$11=$E$11,$F$11,IF(U162&lt;($F$11-$E$11)/($G$11-$E$11),$E$11+SQRT(U162*($G$11-$E$11)*($F$11-$E$11)),$G$11-SQRT((1-U162)*($G$11-$E$11)*($G$11-$F$11))))</f>
        <v>0</v>
      </c>
      <c r="H162" s="39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0</v>
      </c>
      <c r="I162" s="39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0</v>
      </c>
      <c r="J162" s="39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0</v>
      </c>
      <c r="K162" s="39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0</v>
      </c>
      <c r="L162" s="39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0</v>
      </c>
      <c r="M162" s="39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0</v>
      </c>
      <c r="N162" s="39" t="str">
        <f aca="false">IF(COUNT('Business Case'!B11:G11)=0,"",H162+NPV(G162,I162:M162))</f>
        <v/>
      </c>
      <c r="P162" s="40" t="n">
        <f aca="true">RAND()</f>
        <v>0.740850005371796</v>
      </c>
      <c r="Q162" s="40" t="n">
        <f aca="true">RAND()</f>
        <v>0.0309144100123764</v>
      </c>
      <c r="R162" s="40" t="n">
        <f aca="true">RAND()</f>
        <v>0.004035574767857</v>
      </c>
      <c r="S162" s="40" t="n">
        <f aca="true">RAND()</f>
        <v>0.00734160492897633</v>
      </c>
      <c r="T162" s="40" t="n">
        <f aca="true">RAND()</f>
        <v>0.317516264130428</v>
      </c>
      <c r="U162" s="40" t="n">
        <f aca="true">RAND()</f>
        <v>0.236548660190697</v>
      </c>
    </row>
    <row r="163" customFormat="false" ht="15" hidden="false" customHeight="false" outlineLevel="0" collapsed="false">
      <c r="A163" s="36" t="n">
        <v>83</v>
      </c>
      <c r="B163" s="37" t="n">
        <f aca="false">1+IF($G$6=$E$6,$F$6,IF(P163&lt;($F$6-$E$6)/($G$6-$E$6),$E$6+SQRT(P163*($G$6-$E$6)*($F$6-$E$6)),$G$6-SQRT((1-P163)*($G$6-$E$6)*($G$6-$F$6))))</f>
        <v>1</v>
      </c>
      <c r="C163" s="37" t="n">
        <f aca="false">1+IF($G$7=$E$7,$F$7,IF(Q163&lt;($F$7-$E$7)/($G$7-$E$7),$E$7+SQRT(Q163*($G$7-$E$7)*($F$7-$E$7)),$G$7-SQRT((1-Q163)*($G$7-$E$7)*($G$7-$F$7))))</f>
        <v>1</v>
      </c>
      <c r="D163" s="37" t="n">
        <f aca="false">1+IF($G$8=$E$8,$F$8,IF(R163&lt;($F$8-$E$8)/($G$8-$E$8),$E$8+SQRT(R163*($G$8-$E$8)*($F$8-$E$8)),$G$8-SQRT((1-R163)*($G$8-$E$8)*($G$8-$F$8))))</f>
        <v>1</v>
      </c>
      <c r="E163" s="37" t="n">
        <f aca="false">1+IF($G$9=$E$9,$F$9,IF(S163&lt;($F$9-$E$9)/($G$9-$E$9),$E$9+SQRT(S163*($G$9-$E$9)*($F$9-$E$9)),$G$9-SQRT((1-S163)*($G$9-$E$9)*($G$9-$F$9))))</f>
        <v>1</v>
      </c>
      <c r="F163" s="37" t="n">
        <f aca="false">1+IF($G$10=$E$10,$F$10,IF(T163&lt;($F$10-$E$10)/($G$10-$E$10),$E$10+SQRT(T163*($G$10-$E$10)*($F$10-$E$10)),$G$10-SQRT((1-T163)*($G$10-$E$10)*($G$10-$F$10))))</f>
        <v>1</v>
      </c>
      <c r="G163" s="38" t="n">
        <f aca="false">IF($G$11=$E$11,$F$11,IF(U163&lt;($F$11-$E$11)/($G$11-$E$11),$E$11+SQRT(U163*($G$11-$E$11)*($F$11-$E$11)),$G$11-SQRT((1-U163)*($G$11-$E$11)*($G$11-$F$11))))</f>
        <v>0</v>
      </c>
      <c r="H163" s="39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0</v>
      </c>
      <c r="I163" s="39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0</v>
      </c>
      <c r="J163" s="39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0</v>
      </c>
      <c r="K163" s="39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0</v>
      </c>
      <c r="L163" s="39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0</v>
      </c>
      <c r="M163" s="39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0</v>
      </c>
      <c r="N163" s="39" t="str">
        <f aca="false">IF(COUNT('Business Case'!B11:G11)=0,"",H163+NPV(G163,I163:M163))</f>
        <v/>
      </c>
      <c r="P163" s="40" t="n">
        <f aca="true">RAND()</f>
        <v>0.872337985797961</v>
      </c>
      <c r="Q163" s="40" t="n">
        <f aca="true">RAND()</f>
        <v>0.777361732893316</v>
      </c>
      <c r="R163" s="40" t="n">
        <f aca="true">RAND()</f>
        <v>0.516565445736464</v>
      </c>
      <c r="S163" s="40" t="n">
        <f aca="true">RAND()</f>
        <v>0.0653666574443716</v>
      </c>
      <c r="T163" s="40" t="n">
        <f aca="true">RAND()</f>
        <v>0.532975787241942</v>
      </c>
      <c r="U163" s="40" t="n">
        <f aca="true">RAND()</f>
        <v>0.508277009279936</v>
      </c>
    </row>
    <row r="164" customFormat="false" ht="15" hidden="false" customHeight="false" outlineLevel="0" collapsed="false">
      <c r="A164" s="36" t="n">
        <v>84</v>
      </c>
      <c r="B164" s="37" t="n">
        <f aca="false">1+IF($G$6=$E$6,$F$6,IF(P164&lt;($F$6-$E$6)/($G$6-$E$6),$E$6+SQRT(P164*($G$6-$E$6)*($F$6-$E$6)),$G$6-SQRT((1-P164)*($G$6-$E$6)*($G$6-$F$6))))</f>
        <v>1</v>
      </c>
      <c r="C164" s="37" t="n">
        <f aca="false">1+IF($G$7=$E$7,$F$7,IF(Q164&lt;($F$7-$E$7)/($G$7-$E$7),$E$7+SQRT(Q164*($G$7-$E$7)*($F$7-$E$7)),$G$7-SQRT((1-Q164)*($G$7-$E$7)*($G$7-$F$7))))</f>
        <v>1</v>
      </c>
      <c r="D164" s="37" t="n">
        <f aca="false">1+IF($G$8=$E$8,$F$8,IF(R164&lt;($F$8-$E$8)/($G$8-$E$8),$E$8+SQRT(R164*($G$8-$E$8)*($F$8-$E$8)),$G$8-SQRT((1-R164)*($G$8-$E$8)*($G$8-$F$8))))</f>
        <v>1</v>
      </c>
      <c r="E164" s="37" t="n">
        <f aca="false">1+IF($G$9=$E$9,$F$9,IF(S164&lt;($F$9-$E$9)/($G$9-$E$9),$E$9+SQRT(S164*($G$9-$E$9)*($F$9-$E$9)),$G$9-SQRT((1-S164)*($G$9-$E$9)*($G$9-$F$9))))</f>
        <v>1</v>
      </c>
      <c r="F164" s="37" t="n">
        <f aca="false">1+IF($G$10=$E$10,$F$10,IF(T164&lt;($F$10-$E$10)/($G$10-$E$10),$E$10+SQRT(T164*($G$10-$E$10)*($F$10-$E$10)),$G$10-SQRT((1-T164)*($G$10-$E$10)*($G$10-$F$10))))</f>
        <v>1</v>
      </c>
      <c r="G164" s="38" t="n">
        <f aca="false">IF($G$11=$E$11,$F$11,IF(U164&lt;($F$11-$E$11)/($G$11-$E$11),$E$11+SQRT(U164*($G$11-$E$11)*($F$11-$E$11)),$G$11-SQRT((1-U164)*($G$11-$E$11)*($G$11-$F$11))))</f>
        <v>0</v>
      </c>
      <c r="H164" s="39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0</v>
      </c>
      <c r="I164" s="39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0</v>
      </c>
      <c r="J164" s="39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0</v>
      </c>
      <c r="K164" s="39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0</v>
      </c>
      <c r="L164" s="39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0</v>
      </c>
      <c r="M164" s="39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0</v>
      </c>
      <c r="N164" s="39" t="str">
        <f aca="false">IF(COUNT('Business Case'!B11:G11)=0,"",H164+NPV(G164,I164:M164))</f>
        <v/>
      </c>
      <c r="P164" s="40" t="n">
        <f aca="true">RAND()</f>
        <v>0.739876082184686</v>
      </c>
      <c r="Q164" s="40" t="n">
        <f aca="true">RAND()</f>
        <v>0.486806882580925</v>
      </c>
      <c r="R164" s="40" t="n">
        <f aca="true">RAND()</f>
        <v>0.126090826386917</v>
      </c>
      <c r="S164" s="40" t="n">
        <f aca="true">RAND()</f>
        <v>0.370290258611981</v>
      </c>
      <c r="T164" s="40" t="n">
        <f aca="true">RAND()</f>
        <v>0.659611271001156</v>
      </c>
      <c r="U164" s="40" t="n">
        <f aca="true">RAND()</f>
        <v>0.503006681631572</v>
      </c>
    </row>
    <row r="165" customFormat="false" ht="15" hidden="false" customHeight="false" outlineLevel="0" collapsed="false">
      <c r="A165" s="36" t="n">
        <v>85</v>
      </c>
      <c r="B165" s="37" t="n">
        <f aca="false">1+IF($G$6=$E$6,$F$6,IF(P165&lt;($F$6-$E$6)/($G$6-$E$6),$E$6+SQRT(P165*($G$6-$E$6)*($F$6-$E$6)),$G$6-SQRT((1-P165)*($G$6-$E$6)*($G$6-$F$6))))</f>
        <v>1</v>
      </c>
      <c r="C165" s="37" t="n">
        <f aca="false">1+IF($G$7=$E$7,$F$7,IF(Q165&lt;($F$7-$E$7)/($G$7-$E$7),$E$7+SQRT(Q165*($G$7-$E$7)*($F$7-$E$7)),$G$7-SQRT((1-Q165)*($G$7-$E$7)*($G$7-$F$7))))</f>
        <v>1</v>
      </c>
      <c r="D165" s="37" t="n">
        <f aca="false">1+IF($G$8=$E$8,$F$8,IF(R165&lt;($F$8-$E$8)/($G$8-$E$8),$E$8+SQRT(R165*($G$8-$E$8)*($F$8-$E$8)),$G$8-SQRT((1-R165)*($G$8-$E$8)*($G$8-$F$8))))</f>
        <v>1</v>
      </c>
      <c r="E165" s="37" t="n">
        <f aca="false">1+IF($G$9=$E$9,$F$9,IF(S165&lt;($F$9-$E$9)/($G$9-$E$9),$E$9+SQRT(S165*($G$9-$E$9)*($F$9-$E$9)),$G$9-SQRT((1-S165)*($G$9-$E$9)*($G$9-$F$9))))</f>
        <v>1</v>
      </c>
      <c r="F165" s="37" t="n">
        <f aca="false">1+IF($G$10=$E$10,$F$10,IF(T165&lt;($F$10-$E$10)/($G$10-$E$10),$E$10+SQRT(T165*($G$10-$E$10)*($F$10-$E$10)),$G$10-SQRT((1-T165)*($G$10-$E$10)*($G$10-$F$10))))</f>
        <v>1</v>
      </c>
      <c r="G165" s="38" t="n">
        <f aca="false">IF($G$11=$E$11,$F$11,IF(U165&lt;($F$11-$E$11)/($G$11-$E$11),$E$11+SQRT(U165*($G$11-$E$11)*($F$11-$E$11)),$G$11-SQRT((1-U165)*($G$11-$E$11)*($G$11-$F$11))))</f>
        <v>0</v>
      </c>
      <c r="H165" s="39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0</v>
      </c>
      <c r="I165" s="39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0</v>
      </c>
      <c r="J165" s="39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0</v>
      </c>
      <c r="K165" s="39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0</v>
      </c>
      <c r="L165" s="39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0</v>
      </c>
      <c r="M165" s="39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0</v>
      </c>
      <c r="N165" s="39" t="str">
        <f aca="false">IF(COUNT('Business Case'!B11:G11)=0,"",H165+NPV(G165,I165:M165))</f>
        <v/>
      </c>
      <c r="P165" s="40" t="n">
        <f aca="true">RAND()</f>
        <v>0.436202928977988</v>
      </c>
      <c r="Q165" s="40" t="n">
        <f aca="true">RAND()</f>
        <v>0.07662913679366</v>
      </c>
      <c r="R165" s="40" t="n">
        <f aca="true">RAND()</f>
        <v>0.348442554966031</v>
      </c>
      <c r="S165" s="40" t="n">
        <f aca="true">RAND()</f>
        <v>0.986913831003759</v>
      </c>
      <c r="T165" s="40" t="n">
        <f aca="true">RAND()</f>
        <v>0.43312381132888</v>
      </c>
      <c r="U165" s="40" t="n">
        <f aca="true">RAND()</f>
        <v>0.615274556019907</v>
      </c>
    </row>
    <row r="166" customFormat="false" ht="15" hidden="false" customHeight="false" outlineLevel="0" collapsed="false">
      <c r="A166" s="36" t="n">
        <v>86</v>
      </c>
      <c r="B166" s="37" t="n">
        <f aca="false">1+IF($G$6=$E$6,$F$6,IF(P166&lt;($F$6-$E$6)/($G$6-$E$6),$E$6+SQRT(P166*($G$6-$E$6)*($F$6-$E$6)),$G$6-SQRT((1-P166)*($G$6-$E$6)*($G$6-$F$6))))</f>
        <v>1</v>
      </c>
      <c r="C166" s="37" t="n">
        <f aca="false">1+IF($G$7=$E$7,$F$7,IF(Q166&lt;($F$7-$E$7)/($G$7-$E$7),$E$7+SQRT(Q166*($G$7-$E$7)*($F$7-$E$7)),$G$7-SQRT((1-Q166)*($G$7-$E$7)*($G$7-$F$7))))</f>
        <v>1</v>
      </c>
      <c r="D166" s="37" t="n">
        <f aca="false">1+IF($G$8=$E$8,$F$8,IF(R166&lt;($F$8-$E$8)/($G$8-$E$8),$E$8+SQRT(R166*($G$8-$E$8)*($F$8-$E$8)),$G$8-SQRT((1-R166)*($G$8-$E$8)*($G$8-$F$8))))</f>
        <v>1</v>
      </c>
      <c r="E166" s="37" t="n">
        <f aca="false">1+IF($G$9=$E$9,$F$9,IF(S166&lt;($F$9-$E$9)/($G$9-$E$9),$E$9+SQRT(S166*($G$9-$E$9)*($F$9-$E$9)),$G$9-SQRT((1-S166)*($G$9-$E$9)*($G$9-$F$9))))</f>
        <v>1</v>
      </c>
      <c r="F166" s="37" t="n">
        <f aca="false">1+IF($G$10=$E$10,$F$10,IF(T166&lt;($F$10-$E$10)/($G$10-$E$10),$E$10+SQRT(T166*($G$10-$E$10)*($F$10-$E$10)),$G$10-SQRT((1-T166)*($G$10-$E$10)*($G$10-$F$10))))</f>
        <v>1</v>
      </c>
      <c r="G166" s="38" t="n">
        <f aca="false">IF($G$11=$E$11,$F$11,IF(U166&lt;($F$11-$E$11)/($G$11-$E$11),$E$11+SQRT(U166*($G$11-$E$11)*($F$11-$E$11)),$G$11-SQRT((1-U166)*($G$11-$E$11)*($G$11-$F$11))))</f>
        <v>0</v>
      </c>
      <c r="H166" s="39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0</v>
      </c>
      <c r="I166" s="39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0</v>
      </c>
      <c r="J166" s="39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0</v>
      </c>
      <c r="K166" s="39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0</v>
      </c>
      <c r="L166" s="39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0</v>
      </c>
      <c r="M166" s="39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0</v>
      </c>
      <c r="N166" s="39" t="str">
        <f aca="false">IF(COUNT('Business Case'!B11:G11)=0,"",H166+NPV(G166,I166:M166))</f>
        <v/>
      </c>
      <c r="P166" s="40" t="n">
        <f aca="true">RAND()</f>
        <v>0.98424528858373</v>
      </c>
      <c r="Q166" s="40" t="n">
        <f aca="true">RAND()</f>
        <v>0.1889331529867</v>
      </c>
      <c r="R166" s="40" t="n">
        <f aca="true">RAND()</f>
        <v>0.220312454244757</v>
      </c>
      <c r="S166" s="40" t="n">
        <f aca="true">RAND()</f>
        <v>0.705652954000163</v>
      </c>
      <c r="T166" s="40" t="n">
        <f aca="true">RAND()</f>
        <v>0.276692638383439</v>
      </c>
      <c r="U166" s="40" t="n">
        <f aca="true">RAND()</f>
        <v>0.779200574867089</v>
      </c>
    </row>
    <row r="167" customFormat="false" ht="15" hidden="false" customHeight="false" outlineLevel="0" collapsed="false">
      <c r="A167" s="36" t="n">
        <v>87</v>
      </c>
      <c r="B167" s="37" t="n">
        <f aca="false">1+IF($G$6=$E$6,$F$6,IF(P167&lt;($F$6-$E$6)/($G$6-$E$6),$E$6+SQRT(P167*($G$6-$E$6)*($F$6-$E$6)),$G$6-SQRT((1-P167)*($G$6-$E$6)*($G$6-$F$6))))</f>
        <v>1</v>
      </c>
      <c r="C167" s="37" t="n">
        <f aca="false">1+IF($G$7=$E$7,$F$7,IF(Q167&lt;($F$7-$E$7)/($G$7-$E$7),$E$7+SQRT(Q167*($G$7-$E$7)*($F$7-$E$7)),$G$7-SQRT((1-Q167)*($G$7-$E$7)*($G$7-$F$7))))</f>
        <v>1</v>
      </c>
      <c r="D167" s="37" t="n">
        <f aca="false">1+IF($G$8=$E$8,$F$8,IF(R167&lt;($F$8-$E$8)/($G$8-$E$8),$E$8+SQRT(R167*($G$8-$E$8)*($F$8-$E$8)),$G$8-SQRT((1-R167)*($G$8-$E$8)*($G$8-$F$8))))</f>
        <v>1</v>
      </c>
      <c r="E167" s="37" t="n">
        <f aca="false">1+IF($G$9=$E$9,$F$9,IF(S167&lt;($F$9-$E$9)/($G$9-$E$9),$E$9+SQRT(S167*($G$9-$E$9)*($F$9-$E$9)),$G$9-SQRT((1-S167)*($G$9-$E$9)*($G$9-$F$9))))</f>
        <v>1</v>
      </c>
      <c r="F167" s="37" t="n">
        <f aca="false">1+IF($G$10=$E$10,$F$10,IF(T167&lt;($F$10-$E$10)/($G$10-$E$10),$E$10+SQRT(T167*($G$10-$E$10)*($F$10-$E$10)),$G$10-SQRT((1-T167)*($G$10-$E$10)*($G$10-$F$10))))</f>
        <v>1</v>
      </c>
      <c r="G167" s="38" t="n">
        <f aca="false">IF($G$11=$E$11,$F$11,IF(U167&lt;($F$11-$E$11)/($G$11-$E$11),$E$11+SQRT(U167*($G$11-$E$11)*($F$11-$E$11)),$G$11-SQRT((1-U167)*($G$11-$E$11)*($G$11-$F$11))))</f>
        <v>0</v>
      </c>
      <c r="H167" s="39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0</v>
      </c>
      <c r="I167" s="39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0</v>
      </c>
      <c r="J167" s="39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0</v>
      </c>
      <c r="K167" s="39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0</v>
      </c>
      <c r="L167" s="39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0</v>
      </c>
      <c r="M167" s="39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0</v>
      </c>
      <c r="N167" s="39" t="str">
        <f aca="false">IF(COUNT('Business Case'!B11:G11)=0,"",H167+NPV(G167,I167:M167))</f>
        <v/>
      </c>
      <c r="P167" s="40" t="n">
        <f aca="true">RAND()</f>
        <v>0.175327260395571</v>
      </c>
      <c r="Q167" s="40" t="n">
        <f aca="true">RAND()</f>
        <v>0.190281385289027</v>
      </c>
      <c r="R167" s="40" t="n">
        <f aca="true">RAND()</f>
        <v>0.865554543385325</v>
      </c>
      <c r="S167" s="40" t="n">
        <f aca="true">RAND()</f>
        <v>0.0965584105138413</v>
      </c>
      <c r="T167" s="40" t="n">
        <f aca="true">RAND()</f>
        <v>0.00356700205773171</v>
      </c>
      <c r="U167" s="40" t="n">
        <f aca="true">RAND()</f>
        <v>0.153889820806947</v>
      </c>
    </row>
    <row r="168" customFormat="false" ht="15" hidden="false" customHeight="false" outlineLevel="0" collapsed="false">
      <c r="A168" s="36" t="n">
        <v>88</v>
      </c>
      <c r="B168" s="37" t="n">
        <f aca="false">1+IF($G$6=$E$6,$F$6,IF(P168&lt;($F$6-$E$6)/($G$6-$E$6),$E$6+SQRT(P168*($G$6-$E$6)*($F$6-$E$6)),$G$6-SQRT((1-P168)*($G$6-$E$6)*($G$6-$F$6))))</f>
        <v>1</v>
      </c>
      <c r="C168" s="37" t="n">
        <f aca="false">1+IF($G$7=$E$7,$F$7,IF(Q168&lt;($F$7-$E$7)/($G$7-$E$7),$E$7+SQRT(Q168*($G$7-$E$7)*($F$7-$E$7)),$G$7-SQRT((1-Q168)*($G$7-$E$7)*($G$7-$F$7))))</f>
        <v>1</v>
      </c>
      <c r="D168" s="37" t="n">
        <f aca="false">1+IF($G$8=$E$8,$F$8,IF(R168&lt;($F$8-$E$8)/($G$8-$E$8),$E$8+SQRT(R168*($G$8-$E$8)*($F$8-$E$8)),$G$8-SQRT((1-R168)*($G$8-$E$8)*($G$8-$F$8))))</f>
        <v>1</v>
      </c>
      <c r="E168" s="37" t="n">
        <f aca="false">1+IF($G$9=$E$9,$F$9,IF(S168&lt;($F$9-$E$9)/($G$9-$E$9),$E$9+SQRT(S168*($G$9-$E$9)*($F$9-$E$9)),$G$9-SQRT((1-S168)*($G$9-$E$9)*($G$9-$F$9))))</f>
        <v>1</v>
      </c>
      <c r="F168" s="37" t="n">
        <f aca="false">1+IF($G$10=$E$10,$F$10,IF(T168&lt;($F$10-$E$10)/($G$10-$E$10),$E$10+SQRT(T168*($G$10-$E$10)*($F$10-$E$10)),$G$10-SQRT((1-T168)*($G$10-$E$10)*($G$10-$F$10))))</f>
        <v>1</v>
      </c>
      <c r="G168" s="38" t="n">
        <f aca="false">IF($G$11=$E$11,$F$11,IF(U168&lt;($F$11-$E$11)/($G$11-$E$11),$E$11+SQRT(U168*($G$11-$E$11)*($F$11-$E$11)),$G$11-SQRT((1-U168)*($G$11-$E$11)*($G$11-$F$11))))</f>
        <v>0</v>
      </c>
      <c r="H168" s="39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0</v>
      </c>
      <c r="I168" s="39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0</v>
      </c>
      <c r="J168" s="39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0</v>
      </c>
      <c r="K168" s="39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0</v>
      </c>
      <c r="L168" s="39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0</v>
      </c>
      <c r="M168" s="39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0</v>
      </c>
      <c r="N168" s="39" t="str">
        <f aca="false">IF(COUNT('Business Case'!B11:G11)=0,"",H168+NPV(G168,I168:M168))</f>
        <v/>
      </c>
      <c r="P168" s="40" t="n">
        <f aca="true">RAND()</f>
        <v>0.609948567558941</v>
      </c>
      <c r="Q168" s="40" t="n">
        <f aca="true">RAND()</f>
        <v>0.0115429103444135</v>
      </c>
      <c r="R168" s="40" t="n">
        <f aca="true">RAND()</f>
        <v>0.781366101694496</v>
      </c>
      <c r="S168" s="40" t="n">
        <f aca="true">RAND()</f>
        <v>0.136290865657676</v>
      </c>
      <c r="T168" s="40" t="n">
        <f aca="true">RAND()</f>
        <v>0.0308029530743731</v>
      </c>
      <c r="U168" s="40" t="n">
        <f aca="true">RAND()</f>
        <v>0.198886114641473</v>
      </c>
    </row>
    <row r="169" customFormat="false" ht="15" hidden="false" customHeight="false" outlineLevel="0" collapsed="false">
      <c r="A169" s="36" t="n">
        <v>89</v>
      </c>
      <c r="B169" s="37" t="n">
        <f aca="false">1+IF($G$6=$E$6,$F$6,IF(P169&lt;($F$6-$E$6)/($G$6-$E$6),$E$6+SQRT(P169*($G$6-$E$6)*($F$6-$E$6)),$G$6-SQRT((1-P169)*($G$6-$E$6)*($G$6-$F$6))))</f>
        <v>1</v>
      </c>
      <c r="C169" s="37" t="n">
        <f aca="false">1+IF($G$7=$E$7,$F$7,IF(Q169&lt;($F$7-$E$7)/($G$7-$E$7),$E$7+SQRT(Q169*($G$7-$E$7)*($F$7-$E$7)),$G$7-SQRT((1-Q169)*($G$7-$E$7)*($G$7-$F$7))))</f>
        <v>1</v>
      </c>
      <c r="D169" s="37" t="n">
        <f aca="false">1+IF($G$8=$E$8,$F$8,IF(R169&lt;($F$8-$E$8)/($G$8-$E$8),$E$8+SQRT(R169*($G$8-$E$8)*($F$8-$E$8)),$G$8-SQRT((1-R169)*($G$8-$E$8)*($G$8-$F$8))))</f>
        <v>1</v>
      </c>
      <c r="E169" s="37" t="n">
        <f aca="false">1+IF($G$9=$E$9,$F$9,IF(S169&lt;($F$9-$E$9)/($G$9-$E$9),$E$9+SQRT(S169*($G$9-$E$9)*($F$9-$E$9)),$G$9-SQRT((1-S169)*($G$9-$E$9)*($G$9-$F$9))))</f>
        <v>1</v>
      </c>
      <c r="F169" s="37" t="n">
        <f aca="false">1+IF($G$10=$E$10,$F$10,IF(T169&lt;($F$10-$E$10)/($G$10-$E$10),$E$10+SQRT(T169*($G$10-$E$10)*($F$10-$E$10)),$G$10-SQRT((1-T169)*($G$10-$E$10)*($G$10-$F$10))))</f>
        <v>1</v>
      </c>
      <c r="G169" s="38" t="n">
        <f aca="false">IF($G$11=$E$11,$F$11,IF(U169&lt;($F$11-$E$11)/($G$11-$E$11),$E$11+SQRT(U169*($G$11-$E$11)*($F$11-$E$11)),$G$11-SQRT((1-U169)*($G$11-$E$11)*($G$11-$F$11))))</f>
        <v>0</v>
      </c>
      <c r="H169" s="39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0</v>
      </c>
      <c r="I169" s="39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0</v>
      </c>
      <c r="J169" s="39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0</v>
      </c>
      <c r="K169" s="39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0</v>
      </c>
      <c r="L169" s="39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0</v>
      </c>
      <c r="M169" s="39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0</v>
      </c>
      <c r="N169" s="39" t="str">
        <f aca="false">IF(COUNT('Business Case'!B11:G11)=0,"",H169+NPV(G169,I169:M169))</f>
        <v/>
      </c>
      <c r="P169" s="40" t="n">
        <f aca="true">RAND()</f>
        <v>0.349545140953446</v>
      </c>
      <c r="Q169" s="40" t="n">
        <f aca="true">RAND()</f>
        <v>0.296027300693003</v>
      </c>
      <c r="R169" s="40" t="n">
        <f aca="true">RAND()</f>
        <v>0.739138300558821</v>
      </c>
      <c r="S169" s="40" t="n">
        <f aca="true">RAND()</f>
        <v>0.528956780304612</v>
      </c>
      <c r="T169" s="40" t="n">
        <f aca="true">RAND()</f>
        <v>0.729850041668463</v>
      </c>
      <c r="U169" s="40" t="n">
        <f aca="true">RAND()</f>
        <v>0.231005550710203</v>
      </c>
    </row>
    <row r="170" customFormat="false" ht="15" hidden="false" customHeight="false" outlineLevel="0" collapsed="false">
      <c r="A170" s="36" t="n">
        <v>90</v>
      </c>
      <c r="B170" s="37" t="n">
        <f aca="false">1+IF($G$6=$E$6,$F$6,IF(P170&lt;($F$6-$E$6)/($G$6-$E$6),$E$6+SQRT(P170*($G$6-$E$6)*($F$6-$E$6)),$G$6-SQRT((1-P170)*($G$6-$E$6)*($G$6-$F$6))))</f>
        <v>1</v>
      </c>
      <c r="C170" s="37" t="n">
        <f aca="false">1+IF($G$7=$E$7,$F$7,IF(Q170&lt;($F$7-$E$7)/($G$7-$E$7),$E$7+SQRT(Q170*($G$7-$E$7)*($F$7-$E$7)),$G$7-SQRT((1-Q170)*($G$7-$E$7)*($G$7-$F$7))))</f>
        <v>1</v>
      </c>
      <c r="D170" s="37" t="n">
        <f aca="false">1+IF($G$8=$E$8,$F$8,IF(R170&lt;($F$8-$E$8)/($G$8-$E$8),$E$8+SQRT(R170*($G$8-$E$8)*($F$8-$E$8)),$G$8-SQRT((1-R170)*($G$8-$E$8)*($G$8-$F$8))))</f>
        <v>1</v>
      </c>
      <c r="E170" s="37" t="n">
        <f aca="false">1+IF($G$9=$E$9,$F$9,IF(S170&lt;($F$9-$E$9)/($G$9-$E$9),$E$9+SQRT(S170*($G$9-$E$9)*($F$9-$E$9)),$G$9-SQRT((1-S170)*($G$9-$E$9)*($G$9-$F$9))))</f>
        <v>1</v>
      </c>
      <c r="F170" s="37" t="n">
        <f aca="false">1+IF($G$10=$E$10,$F$10,IF(T170&lt;($F$10-$E$10)/($G$10-$E$10),$E$10+SQRT(T170*($G$10-$E$10)*($F$10-$E$10)),$G$10-SQRT((1-T170)*($G$10-$E$10)*($G$10-$F$10))))</f>
        <v>1</v>
      </c>
      <c r="G170" s="38" t="n">
        <f aca="false">IF($G$11=$E$11,$F$11,IF(U170&lt;($F$11-$E$11)/($G$11-$E$11),$E$11+SQRT(U170*($G$11-$E$11)*($F$11-$E$11)),$G$11-SQRT((1-U170)*($G$11-$E$11)*($G$11-$F$11))))</f>
        <v>0</v>
      </c>
      <c r="H170" s="39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0</v>
      </c>
      <c r="I170" s="39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0</v>
      </c>
      <c r="J170" s="39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0</v>
      </c>
      <c r="K170" s="39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0</v>
      </c>
      <c r="L170" s="39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0</v>
      </c>
      <c r="M170" s="39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0</v>
      </c>
      <c r="N170" s="39" t="str">
        <f aca="false">IF(COUNT('Business Case'!B11:G11)=0,"",H170+NPV(G170,I170:M170))</f>
        <v/>
      </c>
      <c r="P170" s="40" t="n">
        <f aca="true">RAND()</f>
        <v>0.254510921946762</v>
      </c>
      <c r="Q170" s="40" t="n">
        <f aca="true">RAND()</f>
        <v>0.822073135608788</v>
      </c>
      <c r="R170" s="40" t="n">
        <f aca="true">RAND()</f>
        <v>0.389228702366497</v>
      </c>
      <c r="S170" s="40" t="n">
        <f aca="true">RAND()</f>
        <v>0.115610582359353</v>
      </c>
      <c r="T170" s="40" t="n">
        <f aca="true">RAND()</f>
        <v>0.202370881114347</v>
      </c>
      <c r="U170" s="40" t="n">
        <f aca="true">RAND()</f>
        <v>0.0108948811393995</v>
      </c>
    </row>
    <row r="171" customFormat="false" ht="15" hidden="false" customHeight="false" outlineLevel="0" collapsed="false">
      <c r="A171" s="36" t="n">
        <v>91</v>
      </c>
      <c r="B171" s="37" t="n">
        <f aca="false">1+IF($G$6=$E$6,$F$6,IF(P171&lt;($F$6-$E$6)/($G$6-$E$6),$E$6+SQRT(P171*($G$6-$E$6)*($F$6-$E$6)),$G$6-SQRT((1-P171)*($G$6-$E$6)*($G$6-$F$6))))</f>
        <v>1</v>
      </c>
      <c r="C171" s="37" t="n">
        <f aca="false">1+IF($G$7=$E$7,$F$7,IF(Q171&lt;($F$7-$E$7)/($G$7-$E$7),$E$7+SQRT(Q171*($G$7-$E$7)*($F$7-$E$7)),$G$7-SQRT((1-Q171)*($G$7-$E$7)*($G$7-$F$7))))</f>
        <v>1</v>
      </c>
      <c r="D171" s="37" t="n">
        <f aca="false">1+IF($G$8=$E$8,$F$8,IF(R171&lt;($F$8-$E$8)/($G$8-$E$8),$E$8+SQRT(R171*($G$8-$E$8)*($F$8-$E$8)),$G$8-SQRT((1-R171)*($G$8-$E$8)*($G$8-$F$8))))</f>
        <v>1</v>
      </c>
      <c r="E171" s="37" t="n">
        <f aca="false">1+IF($G$9=$E$9,$F$9,IF(S171&lt;($F$9-$E$9)/($G$9-$E$9),$E$9+SQRT(S171*($G$9-$E$9)*($F$9-$E$9)),$G$9-SQRT((1-S171)*($G$9-$E$9)*($G$9-$F$9))))</f>
        <v>1</v>
      </c>
      <c r="F171" s="37" t="n">
        <f aca="false">1+IF($G$10=$E$10,$F$10,IF(T171&lt;($F$10-$E$10)/($G$10-$E$10),$E$10+SQRT(T171*($G$10-$E$10)*($F$10-$E$10)),$G$10-SQRT((1-T171)*($G$10-$E$10)*($G$10-$F$10))))</f>
        <v>1</v>
      </c>
      <c r="G171" s="38" t="n">
        <f aca="false">IF($G$11=$E$11,$F$11,IF(U171&lt;($F$11-$E$11)/($G$11-$E$11),$E$11+SQRT(U171*($G$11-$E$11)*($F$11-$E$11)),$G$11-SQRT((1-U171)*($G$11-$E$11)*($G$11-$F$11))))</f>
        <v>0</v>
      </c>
      <c r="H171" s="39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0</v>
      </c>
      <c r="I171" s="39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0</v>
      </c>
      <c r="J171" s="39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0</v>
      </c>
      <c r="K171" s="39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0</v>
      </c>
      <c r="L171" s="39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0</v>
      </c>
      <c r="M171" s="39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0</v>
      </c>
      <c r="N171" s="39" t="str">
        <f aca="false">IF(COUNT('Business Case'!B11:G11)=0,"",H171+NPV(G171,I171:M171))</f>
        <v/>
      </c>
      <c r="P171" s="40" t="n">
        <f aca="true">RAND()</f>
        <v>0.535377897915054</v>
      </c>
      <c r="Q171" s="40" t="n">
        <f aca="true">RAND()</f>
        <v>0.713396823324458</v>
      </c>
      <c r="R171" s="40" t="n">
        <f aca="true">RAND()</f>
        <v>0.302247373832866</v>
      </c>
      <c r="S171" s="40" t="n">
        <f aca="true">RAND()</f>
        <v>0.391178901619324</v>
      </c>
      <c r="T171" s="40" t="n">
        <f aca="true">RAND()</f>
        <v>0.377672896120606</v>
      </c>
      <c r="U171" s="40" t="n">
        <f aca="true">RAND()</f>
        <v>0.822702242630348</v>
      </c>
    </row>
    <row r="172" customFormat="false" ht="15" hidden="false" customHeight="false" outlineLevel="0" collapsed="false">
      <c r="A172" s="36" t="n">
        <v>92</v>
      </c>
      <c r="B172" s="37" t="n">
        <f aca="false">1+IF($G$6=$E$6,$F$6,IF(P172&lt;($F$6-$E$6)/($G$6-$E$6),$E$6+SQRT(P172*($G$6-$E$6)*($F$6-$E$6)),$G$6-SQRT((1-P172)*($G$6-$E$6)*($G$6-$F$6))))</f>
        <v>1</v>
      </c>
      <c r="C172" s="37" t="n">
        <f aca="false">1+IF($G$7=$E$7,$F$7,IF(Q172&lt;($F$7-$E$7)/($G$7-$E$7),$E$7+SQRT(Q172*($G$7-$E$7)*($F$7-$E$7)),$G$7-SQRT((1-Q172)*($G$7-$E$7)*($G$7-$F$7))))</f>
        <v>1</v>
      </c>
      <c r="D172" s="37" t="n">
        <f aca="false">1+IF($G$8=$E$8,$F$8,IF(R172&lt;($F$8-$E$8)/($G$8-$E$8),$E$8+SQRT(R172*($G$8-$E$8)*($F$8-$E$8)),$G$8-SQRT((1-R172)*($G$8-$E$8)*($G$8-$F$8))))</f>
        <v>1</v>
      </c>
      <c r="E172" s="37" t="n">
        <f aca="false">1+IF($G$9=$E$9,$F$9,IF(S172&lt;($F$9-$E$9)/($G$9-$E$9),$E$9+SQRT(S172*($G$9-$E$9)*($F$9-$E$9)),$G$9-SQRT((1-S172)*($G$9-$E$9)*($G$9-$F$9))))</f>
        <v>1</v>
      </c>
      <c r="F172" s="37" t="n">
        <f aca="false">1+IF($G$10=$E$10,$F$10,IF(T172&lt;($F$10-$E$10)/($G$10-$E$10),$E$10+SQRT(T172*($G$10-$E$10)*($F$10-$E$10)),$G$10-SQRT((1-T172)*($G$10-$E$10)*($G$10-$F$10))))</f>
        <v>1</v>
      </c>
      <c r="G172" s="38" t="n">
        <f aca="false">IF($G$11=$E$11,$F$11,IF(U172&lt;($F$11-$E$11)/($G$11-$E$11),$E$11+SQRT(U172*($G$11-$E$11)*($F$11-$E$11)),$G$11-SQRT((1-U172)*($G$11-$E$11)*($G$11-$F$11))))</f>
        <v>0</v>
      </c>
      <c r="H172" s="39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0</v>
      </c>
      <c r="I172" s="39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0</v>
      </c>
      <c r="J172" s="39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0</v>
      </c>
      <c r="K172" s="39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0</v>
      </c>
      <c r="L172" s="39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0</v>
      </c>
      <c r="M172" s="39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0</v>
      </c>
      <c r="N172" s="39" t="str">
        <f aca="false">IF(COUNT('Business Case'!B11:G11)=0,"",H172+NPV(G172,I172:M172))</f>
        <v/>
      </c>
      <c r="P172" s="40" t="n">
        <f aca="true">RAND()</f>
        <v>0.0294919597048068</v>
      </c>
      <c r="Q172" s="40" t="n">
        <f aca="true">RAND()</f>
        <v>0.120934140213498</v>
      </c>
      <c r="R172" s="40" t="n">
        <f aca="true">RAND()</f>
        <v>0.0682073508914487</v>
      </c>
      <c r="S172" s="40" t="n">
        <f aca="true">RAND()</f>
        <v>0.20893641466323</v>
      </c>
      <c r="T172" s="40" t="n">
        <f aca="true">RAND()</f>
        <v>0.0287045674862068</v>
      </c>
      <c r="U172" s="40" t="n">
        <f aca="true">RAND()</f>
        <v>0.875070368332073</v>
      </c>
    </row>
    <row r="173" customFormat="false" ht="15" hidden="false" customHeight="false" outlineLevel="0" collapsed="false">
      <c r="A173" s="36" t="n">
        <v>93</v>
      </c>
      <c r="B173" s="37" t="n">
        <f aca="false">1+IF($G$6=$E$6,$F$6,IF(P173&lt;($F$6-$E$6)/($G$6-$E$6),$E$6+SQRT(P173*($G$6-$E$6)*($F$6-$E$6)),$G$6-SQRT((1-P173)*($G$6-$E$6)*($G$6-$F$6))))</f>
        <v>1</v>
      </c>
      <c r="C173" s="37" t="n">
        <f aca="false">1+IF($G$7=$E$7,$F$7,IF(Q173&lt;($F$7-$E$7)/($G$7-$E$7),$E$7+SQRT(Q173*($G$7-$E$7)*($F$7-$E$7)),$G$7-SQRT((1-Q173)*($G$7-$E$7)*($G$7-$F$7))))</f>
        <v>1</v>
      </c>
      <c r="D173" s="37" t="n">
        <f aca="false">1+IF($G$8=$E$8,$F$8,IF(R173&lt;($F$8-$E$8)/($G$8-$E$8),$E$8+SQRT(R173*($G$8-$E$8)*($F$8-$E$8)),$G$8-SQRT((1-R173)*($G$8-$E$8)*($G$8-$F$8))))</f>
        <v>1</v>
      </c>
      <c r="E173" s="37" t="n">
        <f aca="false">1+IF($G$9=$E$9,$F$9,IF(S173&lt;($F$9-$E$9)/($G$9-$E$9),$E$9+SQRT(S173*($G$9-$E$9)*($F$9-$E$9)),$G$9-SQRT((1-S173)*($G$9-$E$9)*($G$9-$F$9))))</f>
        <v>1</v>
      </c>
      <c r="F173" s="37" t="n">
        <f aca="false">1+IF($G$10=$E$10,$F$10,IF(T173&lt;($F$10-$E$10)/($G$10-$E$10),$E$10+SQRT(T173*($G$10-$E$10)*($F$10-$E$10)),$G$10-SQRT((1-T173)*($G$10-$E$10)*($G$10-$F$10))))</f>
        <v>1</v>
      </c>
      <c r="G173" s="38" t="n">
        <f aca="false">IF($G$11=$E$11,$F$11,IF(U173&lt;($F$11-$E$11)/($G$11-$E$11),$E$11+SQRT(U173*($G$11-$E$11)*($F$11-$E$11)),$G$11-SQRT((1-U173)*($G$11-$E$11)*($G$11-$F$11))))</f>
        <v>0</v>
      </c>
      <c r="H173" s="39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0</v>
      </c>
      <c r="I173" s="39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0</v>
      </c>
      <c r="J173" s="39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0</v>
      </c>
      <c r="K173" s="39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0</v>
      </c>
      <c r="L173" s="39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0</v>
      </c>
      <c r="M173" s="39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0</v>
      </c>
      <c r="N173" s="39" t="str">
        <f aca="false">IF(COUNT('Business Case'!B11:G11)=0,"",H173+NPV(G173,I173:M173))</f>
        <v/>
      </c>
      <c r="P173" s="40" t="n">
        <f aca="true">RAND()</f>
        <v>0.946320436069678</v>
      </c>
      <c r="Q173" s="40" t="n">
        <f aca="true">RAND()</f>
        <v>0.66704405774944</v>
      </c>
      <c r="R173" s="40" t="n">
        <f aca="true">RAND()</f>
        <v>0.0161786219574745</v>
      </c>
      <c r="S173" s="40" t="n">
        <f aca="true">RAND()</f>
        <v>0.465902447271359</v>
      </c>
      <c r="T173" s="40" t="n">
        <f aca="true">RAND()</f>
        <v>0.875783216808322</v>
      </c>
      <c r="U173" s="40" t="n">
        <f aca="true">RAND()</f>
        <v>0.938068110538514</v>
      </c>
    </row>
    <row r="174" customFormat="false" ht="15" hidden="false" customHeight="false" outlineLevel="0" collapsed="false">
      <c r="A174" s="36" t="n">
        <v>94</v>
      </c>
      <c r="B174" s="37" t="n">
        <f aca="false">1+IF($G$6=$E$6,$F$6,IF(P174&lt;($F$6-$E$6)/($G$6-$E$6),$E$6+SQRT(P174*($G$6-$E$6)*($F$6-$E$6)),$G$6-SQRT((1-P174)*($G$6-$E$6)*($G$6-$F$6))))</f>
        <v>1</v>
      </c>
      <c r="C174" s="37" t="n">
        <f aca="false">1+IF($G$7=$E$7,$F$7,IF(Q174&lt;($F$7-$E$7)/($G$7-$E$7),$E$7+SQRT(Q174*($G$7-$E$7)*($F$7-$E$7)),$G$7-SQRT((1-Q174)*($G$7-$E$7)*($G$7-$F$7))))</f>
        <v>1</v>
      </c>
      <c r="D174" s="37" t="n">
        <f aca="false">1+IF($G$8=$E$8,$F$8,IF(R174&lt;($F$8-$E$8)/($G$8-$E$8),$E$8+SQRT(R174*($G$8-$E$8)*($F$8-$E$8)),$G$8-SQRT((1-R174)*($G$8-$E$8)*($G$8-$F$8))))</f>
        <v>1</v>
      </c>
      <c r="E174" s="37" t="n">
        <f aca="false">1+IF($G$9=$E$9,$F$9,IF(S174&lt;($F$9-$E$9)/($G$9-$E$9),$E$9+SQRT(S174*($G$9-$E$9)*($F$9-$E$9)),$G$9-SQRT((1-S174)*($G$9-$E$9)*($G$9-$F$9))))</f>
        <v>1</v>
      </c>
      <c r="F174" s="37" t="n">
        <f aca="false">1+IF($G$10=$E$10,$F$10,IF(T174&lt;($F$10-$E$10)/($G$10-$E$10),$E$10+SQRT(T174*($G$10-$E$10)*($F$10-$E$10)),$G$10-SQRT((1-T174)*($G$10-$E$10)*($G$10-$F$10))))</f>
        <v>1</v>
      </c>
      <c r="G174" s="38" t="n">
        <f aca="false">IF($G$11=$E$11,$F$11,IF(U174&lt;($F$11-$E$11)/($G$11-$E$11),$E$11+SQRT(U174*($G$11-$E$11)*($F$11-$E$11)),$G$11-SQRT((1-U174)*($G$11-$E$11)*($G$11-$F$11))))</f>
        <v>0</v>
      </c>
      <c r="H174" s="39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0</v>
      </c>
      <c r="I174" s="39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0</v>
      </c>
      <c r="J174" s="39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0</v>
      </c>
      <c r="K174" s="39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0</v>
      </c>
      <c r="L174" s="39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0</v>
      </c>
      <c r="M174" s="39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0</v>
      </c>
      <c r="N174" s="39" t="str">
        <f aca="false">IF(COUNT('Business Case'!B11:G11)=0,"",H174+NPV(G174,I174:M174))</f>
        <v/>
      </c>
      <c r="P174" s="40" t="n">
        <f aca="true">RAND()</f>
        <v>0.731464622626004</v>
      </c>
      <c r="Q174" s="40" t="n">
        <f aca="true">RAND()</f>
        <v>0.77260533830899</v>
      </c>
      <c r="R174" s="40" t="n">
        <f aca="true">RAND()</f>
        <v>0.888985663169458</v>
      </c>
      <c r="S174" s="40" t="n">
        <f aca="true">RAND()</f>
        <v>0.142159694610063</v>
      </c>
      <c r="T174" s="40" t="n">
        <f aca="true">RAND()</f>
        <v>0.70221809718626</v>
      </c>
      <c r="U174" s="40" t="n">
        <f aca="true">RAND()</f>
        <v>0.987567384055333</v>
      </c>
    </row>
    <row r="175" customFormat="false" ht="15" hidden="false" customHeight="false" outlineLevel="0" collapsed="false">
      <c r="A175" s="36" t="n">
        <v>95</v>
      </c>
      <c r="B175" s="37" t="n">
        <f aca="false">1+IF($G$6=$E$6,$F$6,IF(P175&lt;($F$6-$E$6)/($G$6-$E$6),$E$6+SQRT(P175*($G$6-$E$6)*($F$6-$E$6)),$G$6-SQRT((1-P175)*($G$6-$E$6)*($G$6-$F$6))))</f>
        <v>1</v>
      </c>
      <c r="C175" s="37" t="n">
        <f aca="false">1+IF($G$7=$E$7,$F$7,IF(Q175&lt;($F$7-$E$7)/($G$7-$E$7),$E$7+SQRT(Q175*($G$7-$E$7)*($F$7-$E$7)),$G$7-SQRT((1-Q175)*($G$7-$E$7)*($G$7-$F$7))))</f>
        <v>1</v>
      </c>
      <c r="D175" s="37" t="n">
        <f aca="false">1+IF($G$8=$E$8,$F$8,IF(R175&lt;($F$8-$E$8)/($G$8-$E$8),$E$8+SQRT(R175*($G$8-$E$8)*($F$8-$E$8)),$G$8-SQRT((1-R175)*($G$8-$E$8)*($G$8-$F$8))))</f>
        <v>1</v>
      </c>
      <c r="E175" s="37" t="n">
        <f aca="false">1+IF($G$9=$E$9,$F$9,IF(S175&lt;($F$9-$E$9)/($G$9-$E$9),$E$9+SQRT(S175*($G$9-$E$9)*($F$9-$E$9)),$G$9-SQRT((1-S175)*($G$9-$E$9)*($G$9-$F$9))))</f>
        <v>1</v>
      </c>
      <c r="F175" s="37" t="n">
        <f aca="false">1+IF($G$10=$E$10,$F$10,IF(T175&lt;($F$10-$E$10)/($G$10-$E$10),$E$10+SQRT(T175*($G$10-$E$10)*($F$10-$E$10)),$G$10-SQRT((1-T175)*($G$10-$E$10)*($G$10-$F$10))))</f>
        <v>1</v>
      </c>
      <c r="G175" s="38" t="n">
        <f aca="false">IF($G$11=$E$11,$F$11,IF(U175&lt;($F$11-$E$11)/($G$11-$E$11),$E$11+SQRT(U175*($G$11-$E$11)*($F$11-$E$11)),$G$11-SQRT((1-U175)*($G$11-$E$11)*($G$11-$F$11))))</f>
        <v>0</v>
      </c>
      <c r="H175" s="39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0</v>
      </c>
      <c r="I175" s="39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0</v>
      </c>
      <c r="J175" s="39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0</v>
      </c>
      <c r="K175" s="39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0</v>
      </c>
      <c r="L175" s="39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0</v>
      </c>
      <c r="M175" s="39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0</v>
      </c>
      <c r="N175" s="39" t="str">
        <f aca="false">IF(COUNT('Business Case'!B11:G11)=0,"",H175+NPV(G175,I175:M175))</f>
        <v/>
      </c>
      <c r="P175" s="40" t="n">
        <f aca="true">RAND()</f>
        <v>0.88551936703486</v>
      </c>
      <c r="Q175" s="40" t="n">
        <f aca="true">RAND()</f>
        <v>0.0314932496282897</v>
      </c>
      <c r="R175" s="40" t="n">
        <f aca="true">RAND()</f>
        <v>0.911618491271909</v>
      </c>
      <c r="S175" s="40" t="n">
        <f aca="true">RAND()</f>
        <v>0.740206033021269</v>
      </c>
      <c r="T175" s="40" t="n">
        <f aca="true">RAND()</f>
        <v>0.294956919762998</v>
      </c>
      <c r="U175" s="40" t="n">
        <f aca="true">RAND()</f>
        <v>0.236020859000104</v>
      </c>
    </row>
    <row r="176" customFormat="false" ht="15" hidden="false" customHeight="false" outlineLevel="0" collapsed="false">
      <c r="A176" s="36" t="n">
        <v>96</v>
      </c>
      <c r="B176" s="37" t="n">
        <f aca="false">1+IF($G$6=$E$6,$F$6,IF(P176&lt;($F$6-$E$6)/($G$6-$E$6),$E$6+SQRT(P176*($G$6-$E$6)*($F$6-$E$6)),$G$6-SQRT((1-P176)*($G$6-$E$6)*($G$6-$F$6))))</f>
        <v>1</v>
      </c>
      <c r="C176" s="37" t="n">
        <f aca="false">1+IF($G$7=$E$7,$F$7,IF(Q176&lt;($F$7-$E$7)/($G$7-$E$7),$E$7+SQRT(Q176*($G$7-$E$7)*($F$7-$E$7)),$G$7-SQRT((1-Q176)*($G$7-$E$7)*($G$7-$F$7))))</f>
        <v>1</v>
      </c>
      <c r="D176" s="37" t="n">
        <f aca="false">1+IF($G$8=$E$8,$F$8,IF(R176&lt;($F$8-$E$8)/($G$8-$E$8),$E$8+SQRT(R176*($G$8-$E$8)*($F$8-$E$8)),$G$8-SQRT((1-R176)*($G$8-$E$8)*($G$8-$F$8))))</f>
        <v>1</v>
      </c>
      <c r="E176" s="37" t="n">
        <f aca="false">1+IF($G$9=$E$9,$F$9,IF(S176&lt;($F$9-$E$9)/($G$9-$E$9),$E$9+SQRT(S176*($G$9-$E$9)*($F$9-$E$9)),$G$9-SQRT((1-S176)*($G$9-$E$9)*($G$9-$F$9))))</f>
        <v>1</v>
      </c>
      <c r="F176" s="37" t="n">
        <f aca="false">1+IF($G$10=$E$10,$F$10,IF(T176&lt;($F$10-$E$10)/($G$10-$E$10),$E$10+SQRT(T176*($G$10-$E$10)*($F$10-$E$10)),$G$10-SQRT((1-T176)*($G$10-$E$10)*($G$10-$F$10))))</f>
        <v>1</v>
      </c>
      <c r="G176" s="38" t="n">
        <f aca="false">IF($G$11=$E$11,$F$11,IF(U176&lt;($F$11-$E$11)/($G$11-$E$11),$E$11+SQRT(U176*($G$11-$E$11)*($F$11-$E$11)),$G$11-SQRT((1-U176)*($G$11-$E$11)*($G$11-$F$11))))</f>
        <v>0</v>
      </c>
      <c r="H176" s="39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0</v>
      </c>
      <c r="I176" s="39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0</v>
      </c>
      <c r="J176" s="39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0</v>
      </c>
      <c r="K176" s="39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0</v>
      </c>
      <c r="L176" s="39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0</v>
      </c>
      <c r="M176" s="39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0</v>
      </c>
      <c r="N176" s="39" t="str">
        <f aca="false">IF(COUNT('Business Case'!B11:G11)=0,"",H176+NPV(G176,I176:M176))</f>
        <v/>
      </c>
      <c r="P176" s="40" t="n">
        <f aca="true">RAND()</f>
        <v>0.329152230345839</v>
      </c>
      <c r="Q176" s="40" t="n">
        <f aca="true">RAND()</f>
        <v>0.140935499988986</v>
      </c>
      <c r="R176" s="40" t="n">
        <f aca="true">RAND()</f>
        <v>0.627719596563449</v>
      </c>
      <c r="S176" s="40" t="n">
        <f aca="true">RAND()</f>
        <v>0.309505520913362</v>
      </c>
      <c r="T176" s="40" t="n">
        <f aca="true">RAND()</f>
        <v>0.618761051102819</v>
      </c>
      <c r="U176" s="40" t="n">
        <f aca="true">RAND()</f>
        <v>0.635300859304038</v>
      </c>
    </row>
    <row r="177" customFormat="false" ht="15" hidden="false" customHeight="false" outlineLevel="0" collapsed="false">
      <c r="A177" s="36" t="n">
        <v>97</v>
      </c>
      <c r="B177" s="37" t="n">
        <f aca="false">1+IF($G$6=$E$6,$F$6,IF(P177&lt;($F$6-$E$6)/($G$6-$E$6),$E$6+SQRT(P177*($G$6-$E$6)*($F$6-$E$6)),$G$6-SQRT((1-P177)*($G$6-$E$6)*($G$6-$F$6))))</f>
        <v>1</v>
      </c>
      <c r="C177" s="37" t="n">
        <f aca="false">1+IF($G$7=$E$7,$F$7,IF(Q177&lt;($F$7-$E$7)/($G$7-$E$7),$E$7+SQRT(Q177*($G$7-$E$7)*($F$7-$E$7)),$G$7-SQRT((1-Q177)*($G$7-$E$7)*($G$7-$F$7))))</f>
        <v>1</v>
      </c>
      <c r="D177" s="37" t="n">
        <f aca="false">1+IF($G$8=$E$8,$F$8,IF(R177&lt;($F$8-$E$8)/($G$8-$E$8),$E$8+SQRT(R177*($G$8-$E$8)*($F$8-$E$8)),$G$8-SQRT((1-R177)*($G$8-$E$8)*($G$8-$F$8))))</f>
        <v>1</v>
      </c>
      <c r="E177" s="37" t="n">
        <f aca="false">1+IF($G$9=$E$9,$F$9,IF(S177&lt;($F$9-$E$9)/($G$9-$E$9),$E$9+SQRT(S177*($G$9-$E$9)*($F$9-$E$9)),$G$9-SQRT((1-S177)*($G$9-$E$9)*($G$9-$F$9))))</f>
        <v>1</v>
      </c>
      <c r="F177" s="37" t="n">
        <f aca="false">1+IF($G$10=$E$10,$F$10,IF(T177&lt;($F$10-$E$10)/($G$10-$E$10),$E$10+SQRT(T177*($G$10-$E$10)*($F$10-$E$10)),$G$10-SQRT((1-T177)*($G$10-$E$10)*($G$10-$F$10))))</f>
        <v>1</v>
      </c>
      <c r="G177" s="38" t="n">
        <f aca="false">IF($G$11=$E$11,$F$11,IF(U177&lt;($F$11-$E$11)/($G$11-$E$11),$E$11+SQRT(U177*($G$11-$E$11)*($F$11-$E$11)),$G$11-SQRT((1-U177)*($G$11-$E$11)*($G$11-$F$11))))</f>
        <v>0</v>
      </c>
      <c r="H177" s="39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0</v>
      </c>
      <c r="I177" s="39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0</v>
      </c>
      <c r="J177" s="39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0</v>
      </c>
      <c r="K177" s="39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0</v>
      </c>
      <c r="L177" s="39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0</v>
      </c>
      <c r="M177" s="39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0</v>
      </c>
      <c r="N177" s="39" t="str">
        <f aca="false">IF(COUNT('Business Case'!B11:G11)=0,"",H177+NPV(G177,I177:M177))</f>
        <v/>
      </c>
      <c r="P177" s="40" t="n">
        <f aca="true">RAND()</f>
        <v>0.307910742337316</v>
      </c>
      <c r="Q177" s="40" t="n">
        <f aca="true">RAND()</f>
        <v>0.273971939647432</v>
      </c>
      <c r="R177" s="40" t="n">
        <f aca="true">RAND()</f>
        <v>0.593726905863376</v>
      </c>
      <c r="S177" s="40" t="n">
        <f aca="true">RAND()</f>
        <v>0.558311394708103</v>
      </c>
      <c r="T177" s="40" t="n">
        <f aca="true">RAND()</f>
        <v>0.990174958854788</v>
      </c>
      <c r="U177" s="40" t="n">
        <f aca="true">RAND()</f>
        <v>0.0105728686427651</v>
      </c>
    </row>
    <row r="178" customFormat="false" ht="15" hidden="false" customHeight="false" outlineLevel="0" collapsed="false">
      <c r="A178" s="36" t="n">
        <v>98</v>
      </c>
      <c r="B178" s="37" t="n">
        <f aca="false">1+IF($G$6=$E$6,$F$6,IF(P178&lt;($F$6-$E$6)/($G$6-$E$6),$E$6+SQRT(P178*($G$6-$E$6)*($F$6-$E$6)),$G$6-SQRT((1-P178)*($G$6-$E$6)*($G$6-$F$6))))</f>
        <v>1</v>
      </c>
      <c r="C178" s="37" t="n">
        <f aca="false">1+IF($G$7=$E$7,$F$7,IF(Q178&lt;($F$7-$E$7)/($G$7-$E$7),$E$7+SQRT(Q178*($G$7-$E$7)*($F$7-$E$7)),$G$7-SQRT((1-Q178)*($G$7-$E$7)*($G$7-$F$7))))</f>
        <v>1</v>
      </c>
      <c r="D178" s="37" t="n">
        <f aca="false">1+IF($G$8=$E$8,$F$8,IF(R178&lt;($F$8-$E$8)/($G$8-$E$8),$E$8+SQRT(R178*($G$8-$E$8)*($F$8-$E$8)),$G$8-SQRT((1-R178)*($G$8-$E$8)*($G$8-$F$8))))</f>
        <v>1</v>
      </c>
      <c r="E178" s="37" t="n">
        <f aca="false">1+IF($G$9=$E$9,$F$9,IF(S178&lt;($F$9-$E$9)/($G$9-$E$9),$E$9+SQRT(S178*($G$9-$E$9)*($F$9-$E$9)),$G$9-SQRT((1-S178)*($G$9-$E$9)*($G$9-$F$9))))</f>
        <v>1</v>
      </c>
      <c r="F178" s="37" t="n">
        <f aca="false">1+IF($G$10=$E$10,$F$10,IF(T178&lt;($F$10-$E$10)/($G$10-$E$10),$E$10+SQRT(T178*($G$10-$E$10)*($F$10-$E$10)),$G$10-SQRT((1-T178)*($G$10-$E$10)*($G$10-$F$10))))</f>
        <v>1</v>
      </c>
      <c r="G178" s="38" t="n">
        <f aca="false">IF($G$11=$E$11,$F$11,IF(U178&lt;($F$11-$E$11)/($G$11-$E$11),$E$11+SQRT(U178*($G$11-$E$11)*($F$11-$E$11)),$G$11-SQRT((1-U178)*($G$11-$E$11)*($G$11-$F$11))))</f>
        <v>0</v>
      </c>
      <c r="H178" s="39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0</v>
      </c>
      <c r="I178" s="39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0</v>
      </c>
      <c r="J178" s="39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0</v>
      </c>
      <c r="K178" s="39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0</v>
      </c>
      <c r="L178" s="39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0</v>
      </c>
      <c r="M178" s="39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0</v>
      </c>
      <c r="N178" s="39" t="str">
        <f aca="false">IF(COUNT('Business Case'!B11:G11)=0,"",H178+NPV(G178,I178:M178))</f>
        <v/>
      </c>
      <c r="P178" s="40" t="n">
        <f aca="true">RAND()</f>
        <v>0.595301550310158</v>
      </c>
      <c r="Q178" s="40" t="n">
        <f aca="true">RAND()</f>
        <v>0.192788463155582</v>
      </c>
      <c r="R178" s="40" t="n">
        <f aca="true">RAND()</f>
        <v>0.377353050457889</v>
      </c>
      <c r="S178" s="40" t="n">
        <f aca="true">RAND()</f>
        <v>0.00498705407059729</v>
      </c>
      <c r="T178" s="40" t="n">
        <f aca="true">RAND()</f>
        <v>0.21847936523943</v>
      </c>
      <c r="U178" s="40" t="n">
        <f aca="true">RAND()</f>
        <v>0.086459562272954</v>
      </c>
    </row>
    <row r="179" customFormat="false" ht="15" hidden="false" customHeight="false" outlineLevel="0" collapsed="false">
      <c r="A179" s="36" t="n">
        <v>99</v>
      </c>
      <c r="B179" s="37" t="n">
        <f aca="false">1+IF($G$6=$E$6,$F$6,IF(P179&lt;($F$6-$E$6)/($G$6-$E$6),$E$6+SQRT(P179*($G$6-$E$6)*($F$6-$E$6)),$G$6-SQRT((1-P179)*($G$6-$E$6)*($G$6-$F$6))))</f>
        <v>1</v>
      </c>
      <c r="C179" s="37" t="n">
        <f aca="false">1+IF($G$7=$E$7,$F$7,IF(Q179&lt;($F$7-$E$7)/($G$7-$E$7),$E$7+SQRT(Q179*($G$7-$E$7)*($F$7-$E$7)),$G$7-SQRT((1-Q179)*($G$7-$E$7)*($G$7-$F$7))))</f>
        <v>1</v>
      </c>
      <c r="D179" s="37" t="n">
        <f aca="false">1+IF($G$8=$E$8,$F$8,IF(R179&lt;($F$8-$E$8)/($G$8-$E$8),$E$8+SQRT(R179*($G$8-$E$8)*($F$8-$E$8)),$G$8-SQRT((1-R179)*($G$8-$E$8)*($G$8-$F$8))))</f>
        <v>1</v>
      </c>
      <c r="E179" s="37" t="n">
        <f aca="false">1+IF($G$9=$E$9,$F$9,IF(S179&lt;($F$9-$E$9)/($G$9-$E$9),$E$9+SQRT(S179*($G$9-$E$9)*($F$9-$E$9)),$G$9-SQRT((1-S179)*($G$9-$E$9)*($G$9-$F$9))))</f>
        <v>1</v>
      </c>
      <c r="F179" s="37" t="n">
        <f aca="false">1+IF($G$10=$E$10,$F$10,IF(T179&lt;($F$10-$E$10)/($G$10-$E$10),$E$10+SQRT(T179*($G$10-$E$10)*($F$10-$E$10)),$G$10-SQRT((1-T179)*($G$10-$E$10)*($G$10-$F$10))))</f>
        <v>1</v>
      </c>
      <c r="G179" s="38" t="n">
        <f aca="false">IF($G$11=$E$11,$F$11,IF(U179&lt;($F$11-$E$11)/($G$11-$E$11),$E$11+SQRT(U179*($G$11-$E$11)*($F$11-$E$11)),$G$11-SQRT((1-U179)*($G$11-$E$11)*($G$11-$F$11))))</f>
        <v>0</v>
      </c>
      <c r="H179" s="39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0</v>
      </c>
      <c r="I179" s="39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0</v>
      </c>
      <c r="J179" s="39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0</v>
      </c>
      <c r="K179" s="39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0</v>
      </c>
      <c r="L179" s="39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0</v>
      </c>
      <c r="M179" s="39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0</v>
      </c>
      <c r="N179" s="39" t="str">
        <f aca="false">IF(COUNT('Business Case'!B11:G11)=0,"",H179+NPV(G179,I179:M179))</f>
        <v/>
      </c>
      <c r="P179" s="40" t="n">
        <f aca="true">RAND()</f>
        <v>0.78137313465736</v>
      </c>
      <c r="Q179" s="40" t="n">
        <f aca="true">RAND()</f>
        <v>0.0738965864193574</v>
      </c>
      <c r="R179" s="40" t="n">
        <f aca="true">RAND()</f>
        <v>0.236242753921984</v>
      </c>
      <c r="S179" s="40" t="n">
        <f aca="true">RAND()</f>
        <v>0.486720147786052</v>
      </c>
      <c r="T179" s="40" t="n">
        <f aca="true">RAND()</f>
        <v>0.32043261896289</v>
      </c>
      <c r="U179" s="40" t="n">
        <f aca="true">RAND()</f>
        <v>0.652739878503643</v>
      </c>
    </row>
    <row r="180" customFormat="false" ht="15" hidden="false" customHeight="false" outlineLevel="0" collapsed="false">
      <c r="A180" s="36" t="n">
        <v>100</v>
      </c>
      <c r="B180" s="37" t="n">
        <f aca="false">1+IF($G$6=$E$6,$F$6,IF(P180&lt;($F$6-$E$6)/($G$6-$E$6),$E$6+SQRT(P180*($G$6-$E$6)*($F$6-$E$6)),$G$6-SQRT((1-P180)*($G$6-$E$6)*($G$6-$F$6))))</f>
        <v>1</v>
      </c>
      <c r="C180" s="37" t="n">
        <f aca="false">1+IF($G$7=$E$7,$F$7,IF(Q180&lt;($F$7-$E$7)/($G$7-$E$7),$E$7+SQRT(Q180*($G$7-$E$7)*($F$7-$E$7)),$G$7-SQRT((1-Q180)*($G$7-$E$7)*($G$7-$F$7))))</f>
        <v>1</v>
      </c>
      <c r="D180" s="37" t="n">
        <f aca="false">1+IF($G$8=$E$8,$F$8,IF(R180&lt;($F$8-$E$8)/($G$8-$E$8),$E$8+SQRT(R180*($G$8-$E$8)*($F$8-$E$8)),$G$8-SQRT((1-R180)*($G$8-$E$8)*($G$8-$F$8))))</f>
        <v>1</v>
      </c>
      <c r="E180" s="37" t="n">
        <f aca="false">1+IF($G$9=$E$9,$F$9,IF(S180&lt;($F$9-$E$9)/($G$9-$E$9),$E$9+SQRT(S180*($G$9-$E$9)*($F$9-$E$9)),$G$9-SQRT((1-S180)*($G$9-$E$9)*($G$9-$F$9))))</f>
        <v>1</v>
      </c>
      <c r="F180" s="37" t="n">
        <f aca="false">1+IF($G$10=$E$10,$F$10,IF(T180&lt;($F$10-$E$10)/($G$10-$E$10),$E$10+SQRT(T180*($G$10-$E$10)*($F$10-$E$10)),$G$10-SQRT((1-T180)*($G$10-$E$10)*($G$10-$F$10))))</f>
        <v>1</v>
      </c>
      <c r="G180" s="38" t="n">
        <f aca="false">IF($G$11=$E$11,$F$11,IF(U180&lt;($F$11-$E$11)/($G$11-$E$11),$E$11+SQRT(U180*($G$11-$E$11)*($F$11-$E$11)),$G$11-SQRT((1-U180)*($G$11-$E$11)*($G$11-$F$11))))</f>
        <v>0</v>
      </c>
      <c r="H180" s="39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0</v>
      </c>
      <c r="I180" s="39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0</v>
      </c>
      <c r="J180" s="39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0</v>
      </c>
      <c r="K180" s="39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0</v>
      </c>
      <c r="L180" s="39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0</v>
      </c>
      <c r="M180" s="39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0</v>
      </c>
      <c r="N180" s="39" t="str">
        <f aca="false">IF(COUNT('Business Case'!B11:G11)=0,"",H180+NPV(G180,I180:M180))</f>
        <v/>
      </c>
      <c r="P180" s="40" t="n">
        <f aca="true">RAND()</f>
        <v>0.206681971348499</v>
      </c>
      <c r="Q180" s="40" t="n">
        <f aca="true">RAND()</f>
        <v>0.0328183923346424</v>
      </c>
      <c r="R180" s="40" t="n">
        <f aca="true">RAND()</f>
        <v>0.568801229053581</v>
      </c>
      <c r="S180" s="40" t="n">
        <f aca="true">RAND()</f>
        <v>0.671216961703777</v>
      </c>
      <c r="T180" s="40" t="n">
        <f aca="true">RAND()</f>
        <v>0.738593844155314</v>
      </c>
      <c r="U180" s="40" t="n">
        <f aca="true">RAND()</f>
        <v>0.38770068649699</v>
      </c>
    </row>
    <row r="181" customFormat="false" ht="15" hidden="false" customHeight="false" outlineLevel="0" collapsed="false">
      <c r="A181" s="36" t="n">
        <v>101</v>
      </c>
      <c r="B181" s="37" t="n">
        <f aca="false">1+IF($G$6=$E$6,$F$6,IF(P181&lt;($F$6-$E$6)/($G$6-$E$6),$E$6+SQRT(P181*($G$6-$E$6)*($F$6-$E$6)),$G$6-SQRT((1-P181)*($G$6-$E$6)*($G$6-$F$6))))</f>
        <v>1</v>
      </c>
      <c r="C181" s="37" t="n">
        <f aca="false">1+IF($G$7=$E$7,$F$7,IF(Q181&lt;($F$7-$E$7)/($G$7-$E$7),$E$7+SQRT(Q181*($G$7-$E$7)*($F$7-$E$7)),$G$7-SQRT((1-Q181)*($G$7-$E$7)*($G$7-$F$7))))</f>
        <v>1</v>
      </c>
      <c r="D181" s="37" t="n">
        <f aca="false">1+IF($G$8=$E$8,$F$8,IF(R181&lt;($F$8-$E$8)/($G$8-$E$8),$E$8+SQRT(R181*($G$8-$E$8)*($F$8-$E$8)),$G$8-SQRT((1-R181)*($G$8-$E$8)*($G$8-$F$8))))</f>
        <v>1</v>
      </c>
      <c r="E181" s="37" t="n">
        <f aca="false">1+IF($G$9=$E$9,$F$9,IF(S181&lt;($F$9-$E$9)/($G$9-$E$9),$E$9+SQRT(S181*($G$9-$E$9)*($F$9-$E$9)),$G$9-SQRT((1-S181)*($G$9-$E$9)*($G$9-$F$9))))</f>
        <v>1</v>
      </c>
      <c r="F181" s="37" t="n">
        <f aca="false">1+IF($G$10=$E$10,$F$10,IF(T181&lt;($F$10-$E$10)/($G$10-$E$10),$E$10+SQRT(T181*($G$10-$E$10)*($F$10-$E$10)),$G$10-SQRT((1-T181)*($G$10-$E$10)*($G$10-$F$10))))</f>
        <v>1</v>
      </c>
      <c r="G181" s="38" t="n">
        <f aca="false">IF($G$11=$E$11,$F$11,IF(U181&lt;($F$11-$E$11)/($G$11-$E$11),$E$11+SQRT(U181*($G$11-$E$11)*($F$11-$E$11)),$G$11-SQRT((1-U181)*($G$11-$E$11)*($G$11-$F$11))))</f>
        <v>0</v>
      </c>
      <c r="H181" s="39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0</v>
      </c>
      <c r="I181" s="39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0</v>
      </c>
      <c r="J181" s="39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0</v>
      </c>
      <c r="K181" s="39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0</v>
      </c>
      <c r="L181" s="39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0</v>
      </c>
      <c r="M181" s="39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0</v>
      </c>
      <c r="N181" s="39" t="str">
        <f aca="false">IF(COUNT('Business Case'!B11:G11)=0,"",H181+NPV(G181,I181:M181))</f>
        <v/>
      </c>
      <c r="P181" s="40" t="n">
        <f aca="true">RAND()</f>
        <v>0.81197164715329</v>
      </c>
      <c r="Q181" s="40" t="n">
        <f aca="true">RAND()</f>
        <v>0.83170488953823</v>
      </c>
      <c r="R181" s="40" t="n">
        <f aca="true">RAND()</f>
        <v>0.288088718672743</v>
      </c>
      <c r="S181" s="40" t="n">
        <f aca="true">RAND()</f>
        <v>0.592563340449831</v>
      </c>
      <c r="T181" s="40" t="n">
        <f aca="true">RAND()</f>
        <v>0.431051423358324</v>
      </c>
      <c r="U181" s="40" t="n">
        <f aca="true">RAND()</f>
        <v>0.521170998871754</v>
      </c>
    </row>
    <row r="182" customFormat="false" ht="15" hidden="false" customHeight="false" outlineLevel="0" collapsed="false">
      <c r="A182" s="36" t="n">
        <v>102</v>
      </c>
      <c r="B182" s="37" t="n">
        <f aca="false">1+IF($G$6=$E$6,$F$6,IF(P182&lt;($F$6-$E$6)/($G$6-$E$6),$E$6+SQRT(P182*($G$6-$E$6)*($F$6-$E$6)),$G$6-SQRT((1-P182)*($G$6-$E$6)*($G$6-$F$6))))</f>
        <v>1</v>
      </c>
      <c r="C182" s="37" t="n">
        <f aca="false">1+IF($G$7=$E$7,$F$7,IF(Q182&lt;($F$7-$E$7)/($G$7-$E$7),$E$7+SQRT(Q182*($G$7-$E$7)*($F$7-$E$7)),$G$7-SQRT((1-Q182)*($G$7-$E$7)*($G$7-$F$7))))</f>
        <v>1</v>
      </c>
      <c r="D182" s="37" t="n">
        <f aca="false">1+IF($G$8=$E$8,$F$8,IF(R182&lt;($F$8-$E$8)/($G$8-$E$8),$E$8+SQRT(R182*($G$8-$E$8)*($F$8-$E$8)),$G$8-SQRT((1-R182)*($G$8-$E$8)*($G$8-$F$8))))</f>
        <v>1</v>
      </c>
      <c r="E182" s="37" t="n">
        <f aca="false">1+IF($G$9=$E$9,$F$9,IF(S182&lt;($F$9-$E$9)/($G$9-$E$9),$E$9+SQRT(S182*($G$9-$E$9)*($F$9-$E$9)),$G$9-SQRT((1-S182)*($G$9-$E$9)*($G$9-$F$9))))</f>
        <v>1</v>
      </c>
      <c r="F182" s="37" t="n">
        <f aca="false">1+IF($G$10=$E$10,$F$10,IF(T182&lt;($F$10-$E$10)/($G$10-$E$10),$E$10+SQRT(T182*($G$10-$E$10)*($F$10-$E$10)),$G$10-SQRT((1-T182)*($G$10-$E$10)*($G$10-$F$10))))</f>
        <v>1</v>
      </c>
      <c r="G182" s="38" t="n">
        <f aca="false">IF($G$11=$E$11,$F$11,IF(U182&lt;($F$11-$E$11)/($G$11-$E$11),$E$11+SQRT(U182*($G$11-$E$11)*($F$11-$E$11)),$G$11-SQRT((1-U182)*($G$11-$E$11)*($G$11-$F$11))))</f>
        <v>0</v>
      </c>
      <c r="H182" s="39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0</v>
      </c>
      <c r="I182" s="39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0</v>
      </c>
      <c r="J182" s="39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0</v>
      </c>
      <c r="K182" s="39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0</v>
      </c>
      <c r="L182" s="39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0</v>
      </c>
      <c r="M182" s="39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0</v>
      </c>
      <c r="N182" s="39" t="str">
        <f aca="false">IF(COUNT('Business Case'!B11:G11)=0,"",H182+NPV(G182,I182:M182))</f>
        <v/>
      </c>
      <c r="P182" s="40" t="n">
        <f aca="true">RAND()</f>
        <v>0.564786521608042</v>
      </c>
      <c r="Q182" s="40" t="n">
        <f aca="true">RAND()</f>
        <v>0.538848727904936</v>
      </c>
      <c r="R182" s="40" t="n">
        <f aca="true">RAND()</f>
        <v>0.338506972214835</v>
      </c>
      <c r="S182" s="40" t="n">
        <f aca="true">RAND()</f>
        <v>0.488225593933266</v>
      </c>
      <c r="T182" s="40" t="n">
        <f aca="true">RAND()</f>
        <v>0.183896227411526</v>
      </c>
      <c r="U182" s="40" t="n">
        <f aca="true">RAND()</f>
        <v>0.143784603460907</v>
      </c>
    </row>
    <row r="183" customFormat="false" ht="15" hidden="false" customHeight="false" outlineLevel="0" collapsed="false">
      <c r="A183" s="36" t="n">
        <v>103</v>
      </c>
      <c r="B183" s="37" t="n">
        <f aca="false">1+IF($G$6=$E$6,$F$6,IF(P183&lt;($F$6-$E$6)/($G$6-$E$6),$E$6+SQRT(P183*($G$6-$E$6)*($F$6-$E$6)),$G$6-SQRT((1-P183)*($G$6-$E$6)*($G$6-$F$6))))</f>
        <v>1</v>
      </c>
      <c r="C183" s="37" t="n">
        <f aca="false">1+IF($G$7=$E$7,$F$7,IF(Q183&lt;($F$7-$E$7)/($G$7-$E$7),$E$7+SQRT(Q183*($G$7-$E$7)*($F$7-$E$7)),$G$7-SQRT((1-Q183)*($G$7-$E$7)*($G$7-$F$7))))</f>
        <v>1</v>
      </c>
      <c r="D183" s="37" t="n">
        <f aca="false">1+IF($G$8=$E$8,$F$8,IF(R183&lt;($F$8-$E$8)/($G$8-$E$8),$E$8+SQRT(R183*($G$8-$E$8)*($F$8-$E$8)),$G$8-SQRT((1-R183)*($G$8-$E$8)*($G$8-$F$8))))</f>
        <v>1</v>
      </c>
      <c r="E183" s="37" t="n">
        <f aca="false">1+IF($G$9=$E$9,$F$9,IF(S183&lt;($F$9-$E$9)/($G$9-$E$9),$E$9+SQRT(S183*($G$9-$E$9)*($F$9-$E$9)),$G$9-SQRT((1-S183)*($G$9-$E$9)*($G$9-$F$9))))</f>
        <v>1</v>
      </c>
      <c r="F183" s="37" t="n">
        <f aca="false">1+IF($G$10=$E$10,$F$10,IF(T183&lt;($F$10-$E$10)/($G$10-$E$10),$E$10+SQRT(T183*($G$10-$E$10)*($F$10-$E$10)),$G$10-SQRT((1-T183)*($G$10-$E$10)*($G$10-$F$10))))</f>
        <v>1</v>
      </c>
      <c r="G183" s="38" t="n">
        <f aca="false">IF($G$11=$E$11,$F$11,IF(U183&lt;($F$11-$E$11)/($G$11-$E$11),$E$11+SQRT(U183*($G$11-$E$11)*($F$11-$E$11)),$G$11-SQRT((1-U183)*($G$11-$E$11)*($G$11-$F$11))))</f>
        <v>0</v>
      </c>
      <c r="H183" s="39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0</v>
      </c>
      <c r="I183" s="39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0</v>
      </c>
      <c r="J183" s="39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0</v>
      </c>
      <c r="K183" s="39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0</v>
      </c>
      <c r="L183" s="39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0</v>
      </c>
      <c r="M183" s="39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0</v>
      </c>
      <c r="N183" s="39" t="str">
        <f aca="false">IF(COUNT('Business Case'!B11:G11)=0,"",H183+NPV(G183,I183:M183))</f>
        <v/>
      </c>
      <c r="P183" s="40" t="n">
        <f aca="true">RAND()</f>
        <v>0.862087126585416</v>
      </c>
      <c r="Q183" s="40" t="n">
        <f aca="true">RAND()</f>
        <v>0.641748955405286</v>
      </c>
      <c r="R183" s="40" t="n">
        <f aca="true">RAND()</f>
        <v>0.460720032816003</v>
      </c>
      <c r="S183" s="40" t="n">
        <f aca="true">RAND()</f>
        <v>0.936860808705079</v>
      </c>
      <c r="T183" s="40" t="n">
        <f aca="true">RAND()</f>
        <v>0.162801390108346</v>
      </c>
      <c r="U183" s="40" t="n">
        <f aca="true">RAND()</f>
        <v>0.43599989194789</v>
      </c>
    </row>
    <row r="184" customFormat="false" ht="15" hidden="false" customHeight="false" outlineLevel="0" collapsed="false">
      <c r="A184" s="36" t="n">
        <v>104</v>
      </c>
      <c r="B184" s="37" t="n">
        <f aca="false">1+IF($G$6=$E$6,$F$6,IF(P184&lt;($F$6-$E$6)/($G$6-$E$6),$E$6+SQRT(P184*($G$6-$E$6)*($F$6-$E$6)),$G$6-SQRT((1-P184)*($G$6-$E$6)*($G$6-$F$6))))</f>
        <v>1</v>
      </c>
      <c r="C184" s="37" t="n">
        <f aca="false">1+IF($G$7=$E$7,$F$7,IF(Q184&lt;($F$7-$E$7)/($G$7-$E$7),$E$7+SQRT(Q184*($G$7-$E$7)*($F$7-$E$7)),$G$7-SQRT((1-Q184)*($G$7-$E$7)*($G$7-$F$7))))</f>
        <v>1</v>
      </c>
      <c r="D184" s="37" t="n">
        <f aca="false">1+IF($G$8=$E$8,$F$8,IF(R184&lt;($F$8-$E$8)/($G$8-$E$8),$E$8+SQRT(R184*($G$8-$E$8)*($F$8-$E$8)),$G$8-SQRT((1-R184)*($G$8-$E$8)*($G$8-$F$8))))</f>
        <v>1</v>
      </c>
      <c r="E184" s="37" t="n">
        <f aca="false">1+IF($G$9=$E$9,$F$9,IF(S184&lt;($F$9-$E$9)/($G$9-$E$9),$E$9+SQRT(S184*($G$9-$E$9)*($F$9-$E$9)),$G$9-SQRT((1-S184)*($G$9-$E$9)*($G$9-$F$9))))</f>
        <v>1</v>
      </c>
      <c r="F184" s="37" t="n">
        <f aca="false">1+IF($G$10=$E$10,$F$10,IF(T184&lt;($F$10-$E$10)/($G$10-$E$10),$E$10+SQRT(T184*($G$10-$E$10)*($F$10-$E$10)),$G$10-SQRT((1-T184)*($G$10-$E$10)*($G$10-$F$10))))</f>
        <v>1</v>
      </c>
      <c r="G184" s="38" t="n">
        <f aca="false">IF($G$11=$E$11,$F$11,IF(U184&lt;($F$11-$E$11)/($G$11-$E$11),$E$11+SQRT(U184*($G$11-$E$11)*($F$11-$E$11)),$G$11-SQRT((1-U184)*($G$11-$E$11)*($G$11-$F$11))))</f>
        <v>0</v>
      </c>
      <c r="H184" s="39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0</v>
      </c>
      <c r="I184" s="39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0</v>
      </c>
      <c r="J184" s="39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0</v>
      </c>
      <c r="K184" s="39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0</v>
      </c>
      <c r="L184" s="39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0</v>
      </c>
      <c r="M184" s="39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0</v>
      </c>
      <c r="N184" s="39" t="str">
        <f aca="false">IF(COUNT('Business Case'!B11:G11)=0,"",H184+NPV(G184,I184:M184))</f>
        <v/>
      </c>
      <c r="P184" s="40" t="n">
        <f aca="true">RAND()</f>
        <v>0.879768280619663</v>
      </c>
      <c r="Q184" s="40" t="n">
        <f aca="true">RAND()</f>
        <v>0.970196709491198</v>
      </c>
      <c r="R184" s="40" t="n">
        <f aca="true">RAND()</f>
        <v>0.970943417629114</v>
      </c>
      <c r="S184" s="40" t="n">
        <f aca="true">RAND()</f>
        <v>0.97385145047026</v>
      </c>
      <c r="T184" s="40" t="n">
        <f aca="true">RAND()</f>
        <v>0.639009226399638</v>
      </c>
      <c r="U184" s="40" t="n">
        <f aca="true">RAND()</f>
        <v>0.883382656380557</v>
      </c>
    </row>
    <row r="185" customFormat="false" ht="15" hidden="false" customHeight="false" outlineLevel="0" collapsed="false">
      <c r="A185" s="36" t="n">
        <v>105</v>
      </c>
      <c r="B185" s="37" t="n">
        <f aca="false">1+IF($G$6=$E$6,$F$6,IF(P185&lt;($F$6-$E$6)/($G$6-$E$6),$E$6+SQRT(P185*($G$6-$E$6)*($F$6-$E$6)),$G$6-SQRT((1-P185)*($G$6-$E$6)*($G$6-$F$6))))</f>
        <v>1</v>
      </c>
      <c r="C185" s="37" t="n">
        <f aca="false">1+IF($G$7=$E$7,$F$7,IF(Q185&lt;($F$7-$E$7)/($G$7-$E$7),$E$7+SQRT(Q185*($G$7-$E$7)*($F$7-$E$7)),$G$7-SQRT((1-Q185)*($G$7-$E$7)*($G$7-$F$7))))</f>
        <v>1</v>
      </c>
      <c r="D185" s="37" t="n">
        <f aca="false">1+IF($G$8=$E$8,$F$8,IF(R185&lt;($F$8-$E$8)/($G$8-$E$8),$E$8+SQRT(R185*($G$8-$E$8)*($F$8-$E$8)),$G$8-SQRT((1-R185)*($G$8-$E$8)*($G$8-$F$8))))</f>
        <v>1</v>
      </c>
      <c r="E185" s="37" t="n">
        <f aca="false">1+IF($G$9=$E$9,$F$9,IF(S185&lt;($F$9-$E$9)/($G$9-$E$9),$E$9+SQRT(S185*($G$9-$E$9)*($F$9-$E$9)),$G$9-SQRT((1-S185)*($G$9-$E$9)*($G$9-$F$9))))</f>
        <v>1</v>
      </c>
      <c r="F185" s="37" t="n">
        <f aca="false">1+IF($G$10=$E$10,$F$10,IF(T185&lt;($F$10-$E$10)/($G$10-$E$10),$E$10+SQRT(T185*($G$10-$E$10)*($F$10-$E$10)),$G$10-SQRT((1-T185)*($G$10-$E$10)*($G$10-$F$10))))</f>
        <v>1</v>
      </c>
      <c r="G185" s="38" t="n">
        <f aca="false">IF($G$11=$E$11,$F$11,IF(U185&lt;($F$11-$E$11)/($G$11-$E$11),$E$11+SQRT(U185*($G$11-$E$11)*($F$11-$E$11)),$G$11-SQRT((1-U185)*($G$11-$E$11)*($G$11-$F$11))))</f>
        <v>0</v>
      </c>
      <c r="H185" s="39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0</v>
      </c>
      <c r="I185" s="39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0</v>
      </c>
      <c r="J185" s="39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0</v>
      </c>
      <c r="K185" s="39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0</v>
      </c>
      <c r="L185" s="39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0</v>
      </c>
      <c r="M185" s="39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0</v>
      </c>
      <c r="N185" s="39" t="str">
        <f aca="false">IF(COUNT('Business Case'!B11:G11)=0,"",H185+NPV(G185,I185:M185))</f>
        <v/>
      </c>
      <c r="P185" s="40" t="n">
        <f aca="true">RAND()</f>
        <v>0.473445648448953</v>
      </c>
      <c r="Q185" s="40" t="n">
        <f aca="true">RAND()</f>
        <v>0.0902261926727864</v>
      </c>
      <c r="R185" s="40" t="n">
        <f aca="true">RAND()</f>
        <v>0.0747187704881242</v>
      </c>
      <c r="S185" s="40" t="n">
        <f aca="true">RAND()</f>
        <v>0.926954894256676</v>
      </c>
      <c r="T185" s="40" t="n">
        <f aca="true">RAND()</f>
        <v>0.295541833108039</v>
      </c>
      <c r="U185" s="40" t="n">
        <f aca="true">RAND()</f>
        <v>0.621699586991279</v>
      </c>
    </row>
    <row r="186" customFormat="false" ht="15" hidden="false" customHeight="false" outlineLevel="0" collapsed="false">
      <c r="A186" s="36" t="n">
        <v>106</v>
      </c>
      <c r="B186" s="37" t="n">
        <f aca="false">1+IF($G$6=$E$6,$F$6,IF(P186&lt;($F$6-$E$6)/($G$6-$E$6),$E$6+SQRT(P186*($G$6-$E$6)*($F$6-$E$6)),$G$6-SQRT((1-P186)*($G$6-$E$6)*($G$6-$F$6))))</f>
        <v>1</v>
      </c>
      <c r="C186" s="37" t="n">
        <f aca="false">1+IF($G$7=$E$7,$F$7,IF(Q186&lt;($F$7-$E$7)/($G$7-$E$7),$E$7+SQRT(Q186*($G$7-$E$7)*($F$7-$E$7)),$G$7-SQRT((1-Q186)*($G$7-$E$7)*($G$7-$F$7))))</f>
        <v>1</v>
      </c>
      <c r="D186" s="37" t="n">
        <f aca="false">1+IF($G$8=$E$8,$F$8,IF(R186&lt;($F$8-$E$8)/($G$8-$E$8),$E$8+SQRT(R186*($G$8-$E$8)*($F$8-$E$8)),$G$8-SQRT((1-R186)*($G$8-$E$8)*($G$8-$F$8))))</f>
        <v>1</v>
      </c>
      <c r="E186" s="37" t="n">
        <f aca="false">1+IF($G$9=$E$9,$F$9,IF(S186&lt;($F$9-$E$9)/($G$9-$E$9),$E$9+SQRT(S186*($G$9-$E$9)*($F$9-$E$9)),$G$9-SQRT((1-S186)*($G$9-$E$9)*($G$9-$F$9))))</f>
        <v>1</v>
      </c>
      <c r="F186" s="37" t="n">
        <f aca="false">1+IF($G$10=$E$10,$F$10,IF(T186&lt;($F$10-$E$10)/($G$10-$E$10),$E$10+SQRT(T186*($G$10-$E$10)*($F$10-$E$10)),$G$10-SQRT((1-T186)*($G$10-$E$10)*($G$10-$F$10))))</f>
        <v>1</v>
      </c>
      <c r="G186" s="38" t="n">
        <f aca="false">IF($G$11=$E$11,$F$11,IF(U186&lt;($F$11-$E$11)/($G$11-$E$11),$E$11+SQRT(U186*($G$11-$E$11)*($F$11-$E$11)),$G$11-SQRT((1-U186)*($G$11-$E$11)*($G$11-$F$11))))</f>
        <v>0</v>
      </c>
      <c r="H186" s="39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0</v>
      </c>
      <c r="I186" s="39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0</v>
      </c>
      <c r="J186" s="39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0</v>
      </c>
      <c r="K186" s="39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0</v>
      </c>
      <c r="L186" s="39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0</v>
      </c>
      <c r="M186" s="39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0</v>
      </c>
      <c r="N186" s="39" t="str">
        <f aca="false">IF(COUNT('Business Case'!B11:G11)=0,"",H186+NPV(G186,I186:M186))</f>
        <v/>
      </c>
      <c r="P186" s="40" t="n">
        <f aca="true">RAND()</f>
        <v>0.533239176733976</v>
      </c>
      <c r="Q186" s="40" t="n">
        <f aca="true">RAND()</f>
        <v>0.113511330216596</v>
      </c>
      <c r="R186" s="40" t="n">
        <f aca="true">RAND()</f>
        <v>0.553005833284714</v>
      </c>
      <c r="S186" s="40" t="n">
        <f aca="true">RAND()</f>
        <v>0.933570644926981</v>
      </c>
      <c r="T186" s="40" t="n">
        <f aca="true">RAND()</f>
        <v>0.622787666199217</v>
      </c>
      <c r="U186" s="40" t="n">
        <f aca="true">RAND()</f>
        <v>0.340389693654292</v>
      </c>
    </row>
    <row r="187" customFormat="false" ht="15" hidden="false" customHeight="false" outlineLevel="0" collapsed="false">
      <c r="A187" s="36" t="n">
        <v>107</v>
      </c>
      <c r="B187" s="37" t="n">
        <f aca="false">1+IF($G$6=$E$6,$F$6,IF(P187&lt;($F$6-$E$6)/($G$6-$E$6),$E$6+SQRT(P187*($G$6-$E$6)*($F$6-$E$6)),$G$6-SQRT((1-P187)*($G$6-$E$6)*($G$6-$F$6))))</f>
        <v>1</v>
      </c>
      <c r="C187" s="37" t="n">
        <f aca="false">1+IF($G$7=$E$7,$F$7,IF(Q187&lt;($F$7-$E$7)/($G$7-$E$7),$E$7+SQRT(Q187*($G$7-$E$7)*($F$7-$E$7)),$G$7-SQRT((1-Q187)*($G$7-$E$7)*($G$7-$F$7))))</f>
        <v>1</v>
      </c>
      <c r="D187" s="37" t="n">
        <f aca="false">1+IF($G$8=$E$8,$F$8,IF(R187&lt;($F$8-$E$8)/($G$8-$E$8),$E$8+SQRT(R187*($G$8-$E$8)*($F$8-$E$8)),$G$8-SQRT((1-R187)*($G$8-$E$8)*($G$8-$F$8))))</f>
        <v>1</v>
      </c>
      <c r="E187" s="37" t="n">
        <f aca="false">1+IF($G$9=$E$9,$F$9,IF(S187&lt;($F$9-$E$9)/($G$9-$E$9),$E$9+SQRT(S187*($G$9-$E$9)*($F$9-$E$9)),$G$9-SQRT((1-S187)*($G$9-$E$9)*($G$9-$F$9))))</f>
        <v>1</v>
      </c>
      <c r="F187" s="37" t="n">
        <f aca="false">1+IF($G$10=$E$10,$F$10,IF(T187&lt;($F$10-$E$10)/($G$10-$E$10),$E$10+SQRT(T187*($G$10-$E$10)*($F$10-$E$10)),$G$10-SQRT((1-T187)*($G$10-$E$10)*($G$10-$F$10))))</f>
        <v>1</v>
      </c>
      <c r="G187" s="38" t="n">
        <f aca="false">IF($G$11=$E$11,$F$11,IF(U187&lt;($F$11-$E$11)/($G$11-$E$11),$E$11+SQRT(U187*($G$11-$E$11)*($F$11-$E$11)),$G$11-SQRT((1-U187)*($G$11-$E$11)*($G$11-$F$11))))</f>
        <v>0</v>
      </c>
      <c r="H187" s="39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0</v>
      </c>
      <c r="I187" s="39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0</v>
      </c>
      <c r="J187" s="39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0</v>
      </c>
      <c r="K187" s="39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0</v>
      </c>
      <c r="L187" s="39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0</v>
      </c>
      <c r="M187" s="39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0</v>
      </c>
      <c r="N187" s="39" t="str">
        <f aca="false">IF(COUNT('Business Case'!B11:G11)=0,"",H187+NPV(G187,I187:M187))</f>
        <v/>
      </c>
      <c r="P187" s="40" t="n">
        <f aca="true">RAND()</f>
        <v>0.263656376814576</v>
      </c>
      <c r="Q187" s="40" t="n">
        <f aca="true">RAND()</f>
        <v>0.45869255099206</v>
      </c>
      <c r="R187" s="40" t="n">
        <f aca="true">RAND()</f>
        <v>0.506489398703553</v>
      </c>
      <c r="S187" s="40" t="n">
        <f aca="true">RAND()</f>
        <v>0.900382264893735</v>
      </c>
      <c r="T187" s="40" t="n">
        <f aca="true">RAND()</f>
        <v>0.848844032122218</v>
      </c>
      <c r="U187" s="40" t="n">
        <f aca="true">RAND()</f>
        <v>0.400378464242755</v>
      </c>
    </row>
    <row r="188" customFormat="false" ht="15" hidden="false" customHeight="false" outlineLevel="0" collapsed="false">
      <c r="A188" s="36" t="n">
        <v>108</v>
      </c>
      <c r="B188" s="37" t="n">
        <f aca="false">1+IF($G$6=$E$6,$F$6,IF(P188&lt;($F$6-$E$6)/($G$6-$E$6),$E$6+SQRT(P188*($G$6-$E$6)*($F$6-$E$6)),$G$6-SQRT((1-P188)*($G$6-$E$6)*($G$6-$F$6))))</f>
        <v>1</v>
      </c>
      <c r="C188" s="37" t="n">
        <f aca="false">1+IF($G$7=$E$7,$F$7,IF(Q188&lt;($F$7-$E$7)/($G$7-$E$7),$E$7+SQRT(Q188*($G$7-$E$7)*($F$7-$E$7)),$G$7-SQRT((1-Q188)*($G$7-$E$7)*($G$7-$F$7))))</f>
        <v>1</v>
      </c>
      <c r="D188" s="37" t="n">
        <f aca="false">1+IF($G$8=$E$8,$F$8,IF(R188&lt;($F$8-$E$8)/($G$8-$E$8),$E$8+SQRT(R188*($G$8-$E$8)*($F$8-$E$8)),$G$8-SQRT((1-R188)*($G$8-$E$8)*($G$8-$F$8))))</f>
        <v>1</v>
      </c>
      <c r="E188" s="37" t="n">
        <f aca="false">1+IF($G$9=$E$9,$F$9,IF(S188&lt;($F$9-$E$9)/($G$9-$E$9),$E$9+SQRT(S188*($G$9-$E$9)*($F$9-$E$9)),$G$9-SQRT((1-S188)*($G$9-$E$9)*($G$9-$F$9))))</f>
        <v>1</v>
      </c>
      <c r="F188" s="37" t="n">
        <f aca="false">1+IF($G$10=$E$10,$F$10,IF(T188&lt;($F$10-$E$10)/($G$10-$E$10),$E$10+SQRT(T188*($G$10-$E$10)*($F$10-$E$10)),$G$10-SQRT((1-T188)*($G$10-$E$10)*($G$10-$F$10))))</f>
        <v>1</v>
      </c>
      <c r="G188" s="38" t="n">
        <f aca="false">IF($G$11=$E$11,$F$11,IF(U188&lt;($F$11-$E$11)/($G$11-$E$11),$E$11+SQRT(U188*($G$11-$E$11)*($F$11-$E$11)),$G$11-SQRT((1-U188)*($G$11-$E$11)*($G$11-$F$11))))</f>
        <v>0</v>
      </c>
      <c r="H188" s="39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0</v>
      </c>
      <c r="I188" s="39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0</v>
      </c>
      <c r="J188" s="39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0</v>
      </c>
      <c r="K188" s="39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0</v>
      </c>
      <c r="L188" s="39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0</v>
      </c>
      <c r="M188" s="39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0</v>
      </c>
      <c r="N188" s="39" t="str">
        <f aca="false">IF(COUNT('Business Case'!B11:G11)=0,"",H188+NPV(G188,I188:M188))</f>
        <v/>
      </c>
      <c r="P188" s="40" t="n">
        <f aca="true">RAND()</f>
        <v>0.644734663015441</v>
      </c>
      <c r="Q188" s="40" t="n">
        <f aca="true">RAND()</f>
        <v>0.252393823053374</v>
      </c>
      <c r="R188" s="40" t="n">
        <f aca="true">RAND()</f>
        <v>0.252336231151879</v>
      </c>
      <c r="S188" s="40" t="n">
        <f aca="true">RAND()</f>
        <v>0.540122207898117</v>
      </c>
      <c r="T188" s="40" t="n">
        <f aca="true">RAND()</f>
        <v>0.663143803273377</v>
      </c>
      <c r="U188" s="40" t="n">
        <f aca="true">RAND()</f>
        <v>0.718524370383256</v>
      </c>
    </row>
    <row r="189" customFormat="false" ht="15" hidden="false" customHeight="false" outlineLevel="0" collapsed="false">
      <c r="A189" s="36" t="n">
        <v>109</v>
      </c>
      <c r="B189" s="37" t="n">
        <f aca="false">1+IF($G$6=$E$6,$F$6,IF(P189&lt;($F$6-$E$6)/($G$6-$E$6),$E$6+SQRT(P189*($G$6-$E$6)*($F$6-$E$6)),$G$6-SQRT((1-P189)*($G$6-$E$6)*($G$6-$F$6))))</f>
        <v>1</v>
      </c>
      <c r="C189" s="37" t="n">
        <f aca="false">1+IF($G$7=$E$7,$F$7,IF(Q189&lt;($F$7-$E$7)/($G$7-$E$7),$E$7+SQRT(Q189*($G$7-$E$7)*($F$7-$E$7)),$G$7-SQRT((1-Q189)*($G$7-$E$7)*($G$7-$F$7))))</f>
        <v>1</v>
      </c>
      <c r="D189" s="37" t="n">
        <f aca="false">1+IF($G$8=$E$8,$F$8,IF(R189&lt;($F$8-$E$8)/($G$8-$E$8),$E$8+SQRT(R189*($G$8-$E$8)*($F$8-$E$8)),$G$8-SQRT((1-R189)*($G$8-$E$8)*($G$8-$F$8))))</f>
        <v>1</v>
      </c>
      <c r="E189" s="37" t="n">
        <f aca="false">1+IF($G$9=$E$9,$F$9,IF(S189&lt;($F$9-$E$9)/($G$9-$E$9),$E$9+SQRT(S189*($G$9-$E$9)*($F$9-$E$9)),$G$9-SQRT((1-S189)*($G$9-$E$9)*($G$9-$F$9))))</f>
        <v>1</v>
      </c>
      <c r="F189" s="37" t="n">
        <f aca="false">1+IF($G$10=$E$10,$F$10,IF(T189&lt;($F$10-$E$10)/($G$10-$E$10),$E$10+SQRT(T189*($G$10-$E$10)*($F$10-$E$10)),$G$10-SQRT((1-T189)*($G$10-$E$10)*($G$10-$F$10))))</f>
        <v>1</v>
      </c>
      <c r="G189" s="38" t="n">
        <f aca="false">IF($G$11=$E$11,$F$11,IF(U189&lt;($F$11-$E$11)/($G$11-$E$11),$E$11+SQRT(U189*($G$11-$E$11)*($F$11-$E$11)),$G$11-SQRT((1-U189)*($G$11-$E$11)*($G$11-$F$11))))</f>
        <v>0</v>
      </c>
      <c r="H189" s="39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0</v>
      </c>
      <c r="I189" s="39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0</v>
      </c>
      <c r="J189" s="39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0</v>
      </c>
      <c r="K189" s="39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0</v>
      </c>
      <c r="L189" s="39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0</v>
      </c>
      <c r="M189" s="39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0</v>
      </c>
      <c r="N189" s="39" t="str">
        <f aca="false">IF(COUNT('Business Case'!B11:G11)=0,"",H189+NPV(G189,I189:M189))</f>
        <v/>
      </c>
      <c r="P189" s="40" t="n">
        <f aca="true">RAND()</f>
        <v>0.637280838653565</v>
      </c>
      <c r="Q189" s="40" t="n">
        <f aca="true">RAND()</f>
        <v>0.215247799042717</v>
      </c>
      <c r="R189" s="40" t="n">
        <f aca="true">RAND()</f>
        <v>0.460625640625718</v>
      </c>
      <c r="S189" s="40" t="n">
        <f aca="true">RAND()</f>
        <v>0.471396443840934</v>
      </c>
      <c r="T189" s="40" t="n">
        <f aca="true">RAND()</f>
        <v>0.919947406357914</v>
      </c>
      <c r="U189" s="40" t="n">
        <f aca="true">RAND()</f>
        <v>0.197674831293074</v>
      </c>
    </row>
    <row r="190" customFormat="false" ht="15" hidden="false" customHeight="false" outlineLevel="0" collapsed="false">
      <c r="A190" s="36" t="n">
        <v>110</v>
      </c>
      <c r="B190" s="37" t="n">
        <f aca="false">1+IF($G$6=$E$6,$F$6,IF(P190&lt;($F$6-$E$6)/($G$6-$E$6),$E$6+SQRT(P190*($G$6-$E$6)*($F$6-$E$6)),$G$6-SQRT((1-P190)*($G$6-$E$6)*($G$6-$F$6))))</f>
        <v>1</v>
      </c>
      <c r="C190" s="37" t="n">
        <f aca="false">1+IF($G$7=$E$7,$F$7,IF(Q190&lt;($F$7-$E$7)/($G$7-$E$7),$E$7+SQRT(Q190*($G$7-$E$7)*($F$7-$E$7)),$G$7-SQRT((1-Q190)*($G$7-$E$7)*($G$7-$F$7))))</f>
        <v>1</v>
      </c>
      <c r="D190" s="37" t="n">
        <f aca="false">1+IF($G$8=$E$8,$F$8,IF(R190&lt;($F$8-$E$8)/($G$8-$E$8),$E$8+SQRT(R190*($G$8-$E$8)*($F$8-$E$8)),$G$8-SQRT((1-R190)*($G$8-$E$8)*($G$8-$F$8))))</f>
        <v>1</v>
      </c>
      <c r="E190" s="37" t="n">
        <f aca="false">1+IF($G$9=$E$9,$F$9,IF(S190&lt;($F$9-$E$9)/($G$9-$E$9),$E$9+SQRT(S190*($G$9-$E$9)*($F$9-$E$9)),$G$9-SQRT((1-S190)*($G$9-$E$9)*($G$9-$F$9))))</f>
        <v>1</v>
      </c>
      <c r="F190" s="37" t="n">
        <f aca="false">1+IF($G$10=$E$10,$F$10,IF(T190&lt;($F$10-$E$10)/($G$10-$E$10),$E$10+SQRT(T190*($G$10-$E$10)*($F$10-$E$10)),$G$10-SQRT((1-T190)*($G$10-$E$10)*($G$10-$F$10))))</f>
        <v>1</v>
      </c>
      <c r="G190" s="38" t="n">
        <f aca="false">IF($G$11=$E$11,$F$11,IF(U190&lt;($F$11-$E$11)/($G$11-$E$11),$E$11+SQRT(U190*($G$11-$E$11)*($F$11-$E$11)),$G$11-SQRT((1-U190)*($G$11-$E$11)*($G$11-$F$11))))</f>
        <v>0</v>
      </c>
      <c r="H190" s="39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0</v>
      </c>
      <c r="I190" s="39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0</v>
      </c>
      <c r="J190" s="39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0</v>
      </c>
      <c r="K190" s="39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0</v>
      </c>
      <c r="L190" s="39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0</v>
      </c>
      <c r="M190" s="39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0</v>
      </c>
      <c r="N190" s="39" t="str">
        <f aca="false">IF(COUNT('Business Case'!B11:G11)=0,"",H190+NPV(G190,I190:M190))</f>
        <v/>
      </c>
      <c r="P190" s="40" t="n">
        <f aca="true">RAND()</f>
        <v>0.079737522215846</v>
      </c>
      <c r="Q190" s="40" t="n">
        <f aca="true">RAND()</f>
        <v>0.232441411100677</v>
      </c>
      <c r="R190" s="40" t="n">
        <f aca="true">RAND()</f>
        <v>0.71283095972328</v>
      </c>
      <c r="S190" s="40" t="n">
        <f aca="true">RAND()</f>
        <v>0.454435913575606</v>
      </c>
      <c r="T190" s="40" t="n">
        <f aca="true">RAND()</f>
        <v>0.572001046812918</v>
      </c>
      <c r="U190" s="40" t="n">
        <f aca="true">RAND()</f>
        <v>0.793271914849597</v>
      </c>
    </row>
    <row r="191" customFormat="false" ht="15" hidden="false" customHeight="false" outlineLevel="0" collapsed="false">
      <c r="A191" s="36" t="n">
        <v>111</v>
      </c>
      <c r="B191" s="37" t="n">
        <f aca="false">1+IF($G$6=$E$6,$F$6,IF(P191&lt;($F$6-$E$6)/($G$6-$E$6),$E$6+SQRT(P191*($G$6-$E$6)*($F$6-$E$6)),$G$6-SQRT((1-P191)*($G$6-$E$6)*($G$6-$F$6))))</f>
        <v>1</v>
      </c>
      <c r="C191" s="37" t="n">
        <f aca="false">1+IF($G$7=$E$7,$F$7,IF(Q191&lt;($F$7-$E$7)/($G$7-$E$7),$E$7+SQRT(Q191*($G$7-$E$7)*($F$7-$E$7)),$G$7-SQRT((1-Q191)*($G$7-$E$7)*($G$7-$F$7))))</f>
        <v>1</v>
      </c>
      <c r="D191" s="37" t="n">
        <f aca="false">1+IF($G$8=$E$8,$F$8,IF(R191&lt;($F$8-$E$8)/($G$8-$E$8),$E$8+SQRT(R191*($G$8-$E$8)*($F$8-$E$8)),$G$8-SQRT((1-R191)*($G$8-$E$8)*($G$8-$F$8))))</f>
        <v>1</v>
      </c>
      <c r="E191" s="37" t="n">
        <f aca="false">1+IF($G$9=$E$9,$F$9,IF(S191&lt;($F$9-$E$9)/($G$9-$E$9),$E$9+SQRT(S191*($G$9-$E$9)*($F$9-$E$9)),$G$9-SQRT((1-S191)*($G$9-$E$9)*($G$9-$F$9))))</f>
        <v>1</v>
      </c>
      <c r="F191" s="37" t="n">
        <f aca="false">1+IF($G$10=$E$10,$F$10,IF(T191&lt;($F$10-$E$10)/($G$10-$E$10),$E$10+SQRT(T191*($G$10-$E$10)*($F$10-$E$10)),$G$10-SQRT((1-T191)*($G$10-$E$10)*($G$10-$F$10))))</f>
        <v>1</v>
      </c>
      <c r="G191" s="38" t="n">
        <f aca="false">IF($G$11=$E$11,$F$11,IF(U191&lt;($F$11-$E$11)/($G$11-$E$11),$E$11+SQRT(U191*($G$11-$E$11)*($F$11-$E$11)),$G$11-SQRT((1-U191)*($G$11-$E$11)*($G$11-$F$11))))</f>
        <v>0</v>
      </c>
      <c r="H191" s="39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0</v>
      </c>
      <c r="I191" s="39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0</v>
      </c>
      <c r="J191" s="39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0</v>
      </c>
      <c r="K191" s="39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0</v>
      </c>
      <c r="L191" s="39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0</v>
      </c>
      <c r="M191" s="39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0</v>
      </c>
      <c r="N191" s="39" t="str">
        <f aca="false">IF(COUNT('Business Case'!B11:G11)=0,"",H191+NPV(G191,I191:M191))</f>
        <v/>
      </c>
      <c r="P191" s="40" t="n">
        <f aca="true">RAND()</f>
        <v>0.615237259875944</v>
      </c>
      <c r="Q191" s="40" t="n">
        <f aca="true">RAND()</f>
        <v>0.589556393265573</v>
      </c>
      <c r="R191" s="40" t="n">
        <f aca="true">RAND()</f>
        <v>0.672894929592462</v>
      </c>
      <c r="S191" s="40" t="n">
        <f aca="true">RAND()</f>
        <v>0.687566446470066</v>
      </c>
      <c r="T191" s="40" t="n">
        <f aca="true">RAND()</f>
        <v>0.786942894735971</v>
      </c>
      <c r="U191" s="40" t="n">
        <f aca="true">RAND()</f>
        <v>0.753493559898498</v>
      </c>
    </row>
    <row r="192" customFormat="false" ht="15" hidden="false" customHeight="false" outlineLevel="0" collapsed="false">
      <c r="A192" s="36" t="n">
        <v>112</v>
      </c>
      <c r="B192" s="37" t="n">
        <f aca="false">1+IF($G$6=$E$6,$F$6,IF(P192&lt;($F$6-$E$6)/($G$6-$E$6),$E$6+SQRT(P192*($G$6-$E$6)*($F$6-$E$6)),$G$6-SQRT((1-P192)*($G$6-$E$6)*($G$6-$F$6))))</f>
        <v>1</v>
      </c>
      <c r="C192" s="37" t="n">
        <f aca="false">1+IF($G$7=$E$7,$F$7,IF(Q192&lt;($F$7-$E$7)/($G$7-$E$7),$E$7+SQRT(Q192*($G$7-$E$7)*($F$7-$E$7)),$G$7-SQRT((1-Q192)*($G$7-$E$7)*($G$7-$F$7))))</f>
        <v>1</v>
      </c>
      <c r="D192" s="37" t="n">
        <f aca="false">1+IF($G$8=$E$8,$F$8,IF(R192&lt;($F$8-$E$8)/($G$8-$E$8),$E$8+SQRT(R192*($G$8-$E$8)*($F$8-$E$8)),$G$8-SQRT((1-R192)*($G$8-$E$8)*($G$8-$F$8))))</f>
        <v>1</v>
      </c>
      <c r="E192" s="37" t="n">
        <f aca="false">1+IF($G$9=$E$9,$F$9,IF(S192&lt;($F$9-$E$9)/($G$9-$E$9),$E$9+SQRT(S192*($G$9-$E$9)*($F$9-$E$9)),$G$9-SQRT((1-S192)*($G$9-$E$9)*($G$9-$F$9))))</f>
        <v>1</v>
      </c>
      <c r="F192" s="37" t="n">
        <f aca="false">1+IF($G$10=$E$10,$F$10,IF(T192&lt;($F$10-$E$10)/($G$10-$E$10),$E$10+SQRT(T192*($G$10-$E$10)*($F$10-$E$10)),$G$10-SQRT((1-T192)*($G$10-$E$10)*($G$10-$F$10))))</f>
        <v>1</v>
      </c>
      <c r="G192" s="38" t="n">
        <f aca="false">IF($G$11=$E$11,$F$11,IF(U192&lt;($F$11-$E$11)/($G$11-$E$11),$E$11+SQRT(U192*($G$11-$E$11)*($F$11-$E$11)),$G$11-SQRT((1-U192)*($G$11-$E$11)*($G$11-$F$11))))</f>
        <v>0</v>
      </c>
      <c r="H192" s="39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0</v>
      </c>
      <c r="I192" s="39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0</v>
      </c>
      <c r="J192" s="39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0</v>
      </c>
      <c r="K192" s="39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0</v>
      </c>
      <c r="L192" s="39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0</v>
      </c>
      <c r="M192" s="39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0</v>
      </c>
      <c r="N192" s="39" t="str">
        <f aca="false">IF(COUNT('Business Case'!B11:G11)=0,"",H192+NPV(G192,I192:M192))</f>
        <v/>
      </c>
      <c r="P192" s="40" t="n">
        <f aca="true">RAND()</f>
        <v>0.994465239238639</v>
      </c>
      <c r="Q192" s="40" t="n">
        <f aca="true">RAND()</f>
        <v>0.87572595316928</v>
      </c>
      <c r="R192" s="40" t="n">
        <f aca="true">RAND()</f>
        <v>0.443596421149199</v>
      </c>
      <c r="S192" s="40" t="n">
        <f aca="true">RAND()</f>
        <v>0.0669998611507148</v>
      </c>
      <c r="T192" s="40" t="n">
        <f aca="true">RAND()</f>
        <v>0.860187673133367</v>
      </c>
      <c r="U192" s="40" t="n">
        <f aca="true">RAND()</f>
        <v>0.141203069624028</v>
      </c>
    </row>
    <row r="193" customFormat="false" ht="15" hidden="false" customHeight="false" outlineLevel="0" collapsed="false">
      <c r="A193" s="36" t="n">
        <v>113</v>
      </c>
      <c r="B193" s="37" t="n">
        <f aca="false">1+IF($G$6=$E$6,$F$6,IF(P193&lt;($F$6-$E$6)/($G$6-$E$6),$E$6+SQRT(P193*($G$6-$E$6)*($F$6-$E$6)),$G$6-SQRT((1-P193)*($G$6-$E$6)*($G$6-$F$6))))</f>
        <v>1</v>
      </c>
      <c r="C193" s="37" t="n">
        <f aca="false">1+IF($G$7=$E$7,$F$7,IF(Q193&lt;($F$7-$E$7)/($G$7-$E$7),$E$7+SQRT(Q193*($G$7-$E$7)*($F$7-$E$7)),$G$7-SQRT((1-Q193)*($G$7-$E$7)*($G$7-$F$7))))</f>
        <v>1</v>
      </c>
      <c r="D193" s="37" t="n">
        <f aca="false">1+IF($G$8=$E$8,$F$8,IF(R193&lt;($F$8-$E$8)/($G$8-$E$8),$E$8+SQRT(R193*($G$8-$E$8)*($F$8-$E$8)),$G$8-SQRT((1-R193)*($G$8-$E$8)*($G$8-$F$8))))</f>
        <v>1</v>
      </c>
      <c r="E193" s="37" t="n">
        <f aca="false">1+IF($G$9=$E$9,$F$9,IF(S193&lt;($F$9-$E$9)/($G$9-$E$9),$E$9+SQRT(S193*($G$9-$E$9)*($F$9-$E$9)),$G$9-SQRT((1-S193)*($G$9-$E$9)*($G$9-$F$9))))</f>
        <v>1</v>
      </c>
      <c r="F193" s="37" t="n">
        <f aca="false">1+IF($G$10=$E$10,$F$10,IF(T193&lt;($F$10-$E$10)/($G$10-$E$10),$E$10+SQRT(T193*($G$10-$E$10)*($F$10-$E$10)),$G$10-SQRT((1-T193)*($G$10-$E$10)*($G$10-$F$10))))</f>
        <v>1</v>
      </c>
      <c r="G193" s="38" t="n">
        <f aca="false">IF($G$11=$E$11,$F$11,IF(U193&lt;($F$11-$E$11)/($G$11-$E$11),$E$11+SQRT(U193*($G$11-$E$11)*($F$11-$E$11)),$G$11-SQRT((1-U193)*($G$11-$E$11)*($G$11-$F$11))))</f>
        <v>0</v>
      </c>
      <c r="H193" s="39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0</v>
      </c>
      <c r="I193" s="39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0</v>
      </c>
      <c r="J193" s="39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0</v>
      </c>
      <c r="K193" s="39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0</v>
      </c>
      <c r="L193" s="39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0</v>
      </c>
      <c r="M193" s="39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0</v>
      </c>
      <c r="N193" s="39" t="str">
        <f aca="false">IF(COUNT('Business Case'!B11:G11)=0,"",H193+NPV(G193,I193:M193))</f>
        <v/>
      </c>
      <c r="P193" s="40" t="n">
        <f aca="true">RAND()</f>
        <v>0.149133678407972</v>
      </c>
      <c r="Q193" s="40" t="n">
        <f aca="true">RAND()</f>
        <v>0.970446838466057</v>
      </c>
      <c r="R193" s="40" t="n">
        <f aca="true">RAND()</f>
        <v>0.997490708608767</v>
      </c>
      <c r="S193" s="40" t="n">
        <f aca="true">RAND()</f>
        <v>0.543346188906652</v>
      </c>
      <c r="T193" s="40" t="n">
        <f aca="true">RAND()</f>
        <v>0.67851029426579</v>
      </c>
      <c r="U193" s="40" t="n">
        <f aca="true">RAND()</f>
        <v>0.247978443897367</v>
      </c>
    </row>
    <row r="194" customFormat="false" ht="15" hidden="false" customHeight="false" outlineLevel="0" collapsed="false">
      <c r="A194" s="36" t="n">
        <v>114</v>
      </c>
      <c r="B194" s="37" t="n">
        <f aca="false">1+IF($G$6=$E$6,$F$6,IF(P194&lt;($F$6-$E$6)/($G$6-$E$6),$E$6+SQRT(P194*($G$6-$E$6)*($F$6-$E$6)),$G$6-SQRT((1-P194)*($G$6-$E$6)*($G$6-$F$6))))</f>
        <v>1</v>
      </c>
      <c r="C194" s="37" t="n">
        <f aca="false">1+IF($G$7=$E$7,$F$7,IF(Q194&lt;($F$7-$E$7)/($G$7-$E$7),$E$7+SQRT(Q194*($G$7-$E$7)*($F$7-$E$7)),$G$7-SQRT((1-Q194)*($G$7-$E$7)*($G$7-$F$7))))</f>
        <v>1</v>
      </c>
      <c r="D194" s="37" t="n">
        <f aca="false">1+IF($G$8=$E$8,$F$8,IF(R194&lt;($F$8-$E$8)/($G$8-$E$8),$E$8+SQRT(R194*($G$8-$E$8)*($F$8-$E$8)),$G$8-SQRT((1-R194)*($G$8-$E$8)*($G$8-$F$8))))</f>
        <v>1</v>
      </c>
      <c r="E194" s="37" t="n">
        <f aca="false">1+IF($G$9=$E$9,$F$9,IF(S194&lt;($F$9-$E$9)/($G$9-$E$9),$E$9+SQRT(S194*($G$9-$E$9)*($F$9-$E$9)),$G$9-SQRT((1-S194)*($G$9-$E$9)*($G$9-$F$9))))</f>
        <v>1</v>
      </c>
      <c r="F194" s="37" t="n">
        <f aca="false">1+IF($G$10=$E$10,$F$10,IF(T194&lt;($F$10-$E$10)/($G$10-$E$10),$E$10+SQRT(T194*($G$10-$E$10)*($F$10-$E$10)),$G$10-SQRT((1-T194)*($G$10-$E$10)*($G$10-$F$10))))</f>
        <v>1</v>
      </c>
      <c r="G194" s="38" t="n">
        <f aca="false">IF($G$11=$E$11,$F$11,IF(U194&lt;($F$11-$E$11)/($G$11-$E$11),$E$11+SQRT(U194*($G$11-$E$11)*($F$11-$E$11)),$G$11-SQRT((1-U194)*($G$11-$E$11)*($G$11-$F$11))))</f>
        <v>0</v>
      </c>
      <c r="H194" s="39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0</v>
      </c>
      <c r="I194" s="39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0</v>
      </c>
      <c r="J194" s="39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0</v>
      </c>
      <c r="K194" s="39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0</v>
      </c>
      <c r="L194" s="39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0</v>
      </c>
      <c r="M194" s="39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0</v>
      </c>
      <c r="N194" s="39" t="str">
        <f aca="false">IF(COUNT('Business Case'!B11:G11)=0,"",H194+NPV(G194,I194:M194))</f>
        <v/>
      </c>
      <c r="P194" s="40" t="n">
        <f aca="true">RAND()</f>
        <v>0.337496676538717</v>
      </c>
      <c r="Q194" s="40" t="n">
        <f aca="true">RAND()</f>
        <v>0.467008845826408</v>
      </c>
      <c r="R194" s="40" t="n">
        <f aca="true">RAND()</f>
        <v>0.0365059556410392</v>
      </c>
      <c r="S194" s="40" t="n">
        <f aca="true">RAND()</f>
        <v>0.0768032370305335</v>
      </c>
      <c r="T194" s="40" t="n">
        <f aca="true">RAND()</f>
        <v>0.823532583388435</v>
      </c>
      <c r="U194" s="40" t="n">
        <f aca="true">RAND()</f>
        <v>0.376281798679296</v>
      </c>
    </row>
    <row r="195" customFormat="false" ht="15" hidden="false" customHeight="false" outlineLevel="0" collapsed="false">
      <c r="A195" s="36" t="n">
        <v>115</v>
      </c>
      <c r="B195" s="37" t="n">
        <f aca="false">1+IF($G$6=$E$6,$F$6,IF(P195&lt;($F$6-$E$6)/($G$6-$E$6),$E$6+SQRT(P195*($G$6-$E$6)*($F$6-$E$6)),$G$6-SQRT((1-P195)*($G$6-$E$6)*($G$6-$F$6))))</f>
        <v>1</v>
      </c>
      <c r="C195" s="37" t="n">
        <f aca="false">1+IF($G$7=$E$7,$F$7,IF(Q195&lt;($F$7-$E$7)/($G$7-$E$7),$E$7+SQRT(Q195*($G$7-$E$7)*($F$7-$E$7)),$G$7-SQRT((1-Q195)*($G$7-$E$7)*($G$7-$F$7))))</f>
        <v>1</v>
      </c>
      <c r="D195" s="37" t="n">
        <f aca="false">1+IF($G$8=$E$8,$F$8,IF(R195&lt;($F$8-$E$8)/($G$8-$E$8),$E$8+SQRT(R195*($G$8-$E$8)*($F$8-$E$8)),$G$8-SQRT((1-R195)*($G$8-$E$8)*($G$8-$F$8))))</f>
        <v>1</v>
      </c>
      <c r="E195" s="37" t="n">
        <f aca="false">1+IF($G$9=$E$9,$F$9,IF(S195&lt;($F$9-$E$9)/($G$9-$E$9),$E$9+SQRT(S195*($G$9-$E$9)*($F$9-$E$9)),$G$9-SQRT((1-S195)*($G$9-$E$9)*($G$9-$F$9))))</f>
        <v>1</v>
      </c>
      <c r="F195" s="37" t="n">
        <f aca="false">1+IF($G$10=$E$10,$F$10,IF(T195&lt;($F$10-$E$10)/($G$10-$E$10),$E$10+SQRT(T195*($G$10-$E$10)*($F$10-$E$10)),$G$10-SQRT((1-T195)*($G$10-$E$10)*($G$10-$F$10))))</f>
        <v>1</v>
      </c>
      <c r="G195" s="38" t="n">
        <f aca="false">IF($G$11=$E$11,$F$11,IF(U195&lt;($F$11-$E$11)/($G$11-$E$11),$E$11+SQRT(U195*($G$11-$E$11)*($F$11-$E$11)),$G$11-SQRT((1-U195)*($G$11-$E$11)*($G$11-$F$11))))</f>
        <v>0</v>
      </c>
      <c r="H195" s="39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0</v>
      </c>
      <c r="I195" s="39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0</v>
      </c>
      <c r="J195" s="39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0</v>
      </c>
      <c r="K195" s="39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0</v>
      </c>
      <c r="L195" s="39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0</v>
      </c>
      <c r="M195" s="39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0</v>
      </c>
      <c r="N195" s="39" t="str">
        <f aca="false">IF(COUNT('Business Case'!B11:G11)=0,"",H195+NPV(G195,I195:M195))</f>
        <v/>
      </c>
      <c r="P195" s="40" t="n">
        <f aca="true">RAND()</f>
        <v>0.53253717408648</v>
      </c>
      <c r="Q195" s="40" t="n">
        <f aca="true">RAND()</f>
        <v>0.678344012411037</v>
      </c>
      <c r="R195" s="40" t="n">
        <f aca="true">RAND()</f>
        <v>0.923604795647682</v>
      </c>
      <c r="S195" s="40" t="n">
        <f aca="true">RAND()</f>
        <v>0.617246911979334</v>
      </c>
      <c r="T195" s="40" t="n">
        <f aca="true">RAND()</f>
        <v>0.671653727139206</v>
      </c>
      <c r="U195" s="40" t="n">
        <f aca="true">RAND()</f>
        <v>0.690162493715259</v>
      </c>
    </row>
    <row r="196" customFormat="false" ht="15" hidden="false" customHeight="false" outlineLevel="0" collapsed="false">
      <c r="A196" s="36" t="n">
        <v>116</v>
      </c>
      <c r="B196" s="37" t="n">
        <f aca="false">1+IF($G$6=$E$6,$F$6,IF(P196&lt;($F$6-$E$6)/($G$6-$E$6),$E$6+SQRT(P196*($G$6-$E$6)*($F$6-$E$6)),$G$6-SQRT((1-P196)*($G$6-$E$6)*($G$6-$F$6))))</f>
        <v>1</v>
      </c>
      <c r="C196" s="37" t="n">
        <f aca="false">1+IF($G$7=$E$7,$F$7,IF(Q196&lt;($F$7-$E$7)/($G$7-$E$7),$E$7+SQRT(Q196*($G$7-$E$7)*($F$7-$E$7)),$G$7-SQRT((1-Q196)*($G$7-$E$7)*($G$7-$F$7))))</f>
        <v>1</v>
      </c>
      <c r="D196" s="37" t="n">
        <f aca="false">1+IF($G$8=$E$8,$F$8,IF(R196&lt;($F$8-$E$8)/($G$8-$E$8),$E$8+SQRT(R196*($G$8-$E$8)*($F$8-$E$8)),$G$8-SQRT((1-R196)*($G$8-$E$8)*($G$8-$F$8))))</f>
        <v>1</v>
      </c>
      <c r="E196" s="37" t="n">
        <f aca="false">1+IF($G$9=$E$9,$F$9,IF(S196&lt;($F$9-$E$9)/($G$9-$E$9),$E$9+SQRT(S196*($G$9-$E$9)*($F$9-$E$9)),$G$9-SQRT((1-S196)*($G$9-$E$9)*($G$9-$F$9))))</f>
        <v>1</v>
      </c>
      <c r="F196" s="37" t="n">
        <f aca="false">1+IF($G$10=$E$10,$F$10,IF(T196&lt;($F$10-$E$10)/($G$10-$E$10),$E$10+SQRT(T196*($G$10-$E$10)*($F$10-$E$10)),$G$10-SQRT((1-T196)*($G$10-$E$10)*($G$10-$F$10))))</f>
        <v>1</v>
      </c>
      <c r="G196" s="38" t="n">
        <f aca="false">IF($G$11=$E$11,$F$11,IF(U196&lt;($F$11-$E$11)/($G$11-$E$11),$E$11+SQRT(U196*($G$11-$E$11)*($F$11-$E$11)),$G$11-SQRT((1-U196)*($G$11-$E$11)*($G$11-$F$11))))</f>
        <v>0</v>
      </c>
      <c r="H196" s="39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0</v>
      </c>
      <c r="I196" s="39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0</v>
      </c>
      <c r="J196" s="39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0</v>
      </c>
      <c r="K196" s="39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0</v>
      </c>
      <c r="L196" s="39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0</v>
      </c>
      <c r="M196" s="39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0</v>
      </c>
      <c r="N196" s="39" t="str">
        <f aca="false">IF(COUNT('Business Case'!B11:G11)=0,"",H196+NPV(G196,I196:M196))</f>
        <v/>
      </c>
      <c r="P196" s="40" t="n">
        <f aca="true">RAND()</f>
        <v>0.622129653718998</v>
      </c>
      <c r="Q196" s="40" t="n">
        <f aca="true">RAND()</f>
        <v>0.510164306218445</v>
      </c>
      <c r="R196" s="40" t="n">
        <f aca="true">RAND()</f>
        <v>0.0220333405738566</v>
      </c>
      <c r="S196" s="40" t="n">
        <f aca="true">RAND()</f>
        <v>0.473825301768332</v>
      </c>
      <c r="T196" s="40" t="n">
        <f aca="true">RAND()</f>
        <v>0.396656181303831</v>
      </c>
      <c r="U196" s="40" t="n">
        <f aca="true">RAND()</f>
        <v>0.419256763480417</v>
      </c>
    </row>
    <row r="197" customFormat="false" ht="15" hidden="false" customHeight="false" outlineLevel="0" collapsed="false">
      <c r="A197" s="36" t="n">
        <v>117</v>
      </c>
      <c r="B197" s="37" t="n">
        <f aca="false">1+IF($G$6=$E$6,$F$6,IF(P197&lt;($F$6-$E$6)/($G$6-$E$6),$E$6+SQRT(P197*($G$6-$E$6)*($F$6-$E$6)),$G$6-SQRT((1-P197)*($G$6-$E$6)*($G$6-$F$6))))</f>
        <v>1</v>
      </c>
      <c r="C197" s="37" t="n">
        <f aca="false">1+IF($G$7=$E$7,$F$7,IF(Q197&lt;($F$7-$E$7)/($G$7-$E$7),$E$7+SQRT(Q197*($G$7-$E$7)*($F$7-$E$7)),$G$7-SQRT((1-Q197)*($G$7-$E$7)*($G$7-$F$7))))</f>
        <v>1</v>
      </c>
      <c r="D197" s="37" t="n">
        <f aca="false">1+IF($G$8=$E$8,$F$8,IF(R197&lt;($F$8-$E$8)/($G$8-$E$8),$E$8+SQRT(R197*($G$8-$E$8)*($F$8-$E$8)),$G$8-SQRT((1-R197)*($G$8-$E$8)*($G$8-$F$8))))</f>
        <v>1</v>
      </c>
      <c r="E197" s="37" t="n">
        <f aca="false">1+IF($G$9=$E$9,$F$9,IF(S197&lt;($F$9-$E$9)/($G$9-$E$9),$E$9+SQRT(S197*($G$9-$E$9)*($F$9-$E$9)),$G$9-SQRT((1-S197)*($G$9-$E$9)*($G$9-$F$9))))</f>
        <v>1</v>
      </c>
      <c r="F197" s="37" t="n">
        <f aca="false">1+IF($G$10=$E$10,$F$10,IF(T197&lt;($F$10-$E$10)/($G$10-$E$10),$E$10+SQRT(T197*($G$10-$E$10)*($F$10-$E$10)),$G$10-SQRT((1-T197)*($G$10-$E$10)*($G$10-$F$10))))</f>
        <v>1</v>
      </c>
      <c r="G197" s="38" t="n">
        <f aca="false">IF($G$11=$E$11,$F$11,IF(U197&lt;($F$11-$E$11)/($G$11-$E$11),$E$11+SQRT(U197*($G$11-$E$11)*($F$11-$E$11)),$G$11-SQRT((1-U197)*($G$11-$E$11)*($G$11-$F$11))))</f>
        <v>0</v>
      </c>
      <c r="H197" s="39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0</v>
      </c>
      <c r="I197" s="39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0</v>
      </c>
      <c r="J197" s="39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0</v>
      </c>
      <c r="K197" s="39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0</v>
      </c>
      <c r="L197" s="39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0</v>
      </c>
      <c r="M197" s="39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0</v>
      </c>
      <c r="N197" s="39" t="str">
        <f aca="false">IF(COUNT('Business Case'!B11:G11)=0,"",H197+NPV(G197,I197:M197))</f>
        <v/>
      </c>
      <c r="P197" s="40" t="n">
        <f aca="true">RAND()</f>
        <v>0.744391200738045</v>
      </c>
      <c r="Q197" s="40" t="n">
        <f aca="true">RAND()</f>
        <v>0.396218515485818</v>
      </c>
      <c r="R197" s="40" t="n">
        <f aca="true">RAND()</f>
        <v>0.786502959493944</v>
      </c>
      <c r="S197" s="40" t="n">
        <f aca="true">RAND()</f>
        <v>0.165839612616461</v>
      </c>
      <c r="T197" s="40" t="n">
        <f aca="true">RAND()</f>
        <v>0.762651548236638</v>
      </c>
      <c r="U197" s="40" t="n">
        <f aca="true">RAND()</f>
        <v>0.18315487248093</v>
      </c>
    </row>
    <row r="198" customFormat="false" ht="15" hidden="false" customHeight="false" outlineLevel="0" collapsed="false">
      <c r="A198" s="36" t="n">
        <v>118</v>
      </c>
      <c r="B198" s="37" t="n">
        <f aca="false">1+IF($G$6=$E$6,$F$6,IF(P198&lt;($F$6-$E$6)/($G$6-$E$6),$E$6+SQRT(P198*($G$6-$E$6)*($F$6-$E$6)),$G$6-SQRT((1-P198)*($G$6-$E$6)*($G$6-$F$6))))</f>
        <v>1</v>
      </c>
      <c r="C198" s="37" t="n">
        <f aca="false">1+IF($G$7=$E$7,$F$7,IF(Q198&lt;($F$7-$E$7)/($G$7-$E$7),$E$7+SQRT(Q198*($G$7-$E$7)*($F$7-$E$7)),$G$7-SQRT((1-Q198)*($G$7-$E$7)*($G$7-$F$7))))</f>
        <v>1</v>
      </c>
      <c r="D198" s="37" t="n">
        <f aca="false">1+IF($G$8=$E$8,$F$8,IF(R198&lt;($F$8-$E$8)/($G$8-$E$8),$E$8+SQRT(R198*($G$8-$E$8)*($F$8-$E$8)),$G$8-SQRT((1-R198)*($G$8-$E$8)*($G$8-$F$8))))</f>
        <v>1</v>
      </c>
      <c r="E198" s="37" t="n">
        <f aca="false">1+IF($G$9=$E$9,$F$9,IF(S198&lt;($F$9-$E$9)/($G$9-$E$9),$E$9+SQRT(S198*($G$9-$E$9)*($F$9-$E$9)),$G$9-SQRT((1-S198)*($G$9-$E$9)*($G$9-$F$9))))</f>
        <v>1</v>
      </c>
      <c r="F198" s="37" t="n">
        <f aca="false">1+IF($G$10=$E$10,$F$10,IF(T198&lt;($F$10-$E$10)/($G$10-$E$10),$E$10+SQRT(T198*($G$10-$E$10)*($F$10-$E$10)),$G$10-SQRT((1-T198)*($G$10-$E$10)*($G$10-$F$10))))</f>
        <v>1</v>
      </c>
      <c r="G198" s="38" t="n">
        <f aca="false">IF($G$11=$E$11,$F$11,IF(U198&lt;($F$11-$E$11)/($G$11-$E$11),$E$11+SQRT(U198*($G$11-$E$11)*($F$11-$E$11)),$G$11-SQRT((1-U198)*($G$11-$E$11)*($G$11-$F$11))))</f>
        <v>0</v>
      </c>
      <c r="H198" s="39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0</v>
      </c>
      <c r="I198" s="39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0</v>
      </c>
      <c r="J198" s="39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0</v>
      </c>
      <c r="K198" s="39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0</v>
      </c>
      <c r="L198" s="39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0</v>
      </c>
      <c r="M198" s="39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0</v>
      </c>
      <c r="N198" s="39" t="str">
        <f aca="false">IF(COUNT('Business Case'!B11:G11)=0,"",H198+NPV(G198,I198:M198))</f>
        <v/>
      </c>
      <c r="P198" s="40" t="n">
        <f aca="true">RAND()</f>
        <v>0.240029797260561</v>
      </c>
      <c r="Q198" s="40" t="n">
        <f aca="true">RAND()</f>
        <v>0.940594498991597</v>
      </c>
      <c r="R198" s="40" t="n">
        <f aca="true">RAND()</f>
        <v>0.645176905466238</v>
      </c>
      <c r="S198" s="40" t="n">
        <f aca="true">RAND()</f>
        <v>0.575917793328516</v>
      </c>
      <c r="T198" s="40" t="n">
        <f aca="true">RAND()</f>
        <v>0.0193898104192269</v>
      </c>
      <c r="U198" s="40" t="n">
        <f aca="true">RAND()</f>
        <v>0.626356492683779</v>
      </c>
    </row>
    <row r="199" customFormat="false" ht="15" hidden="false" customHeight="false" outlineLevel="0" collapsed="false">
      <c r="A199" s="36" t="n">
        <v>119</v>
      </c>
      <c r="B199" s="37" t="n">
        <f aca="false">1+IF($G$6=$E$6,$F$6,IF(P199&lt;($F$6-$E$6)/($G$6-$E$6),$E$6+SQRT(P199*($G$6-$E$6)*($F$6-$E$6)),$G$6-SQRT((1-P199)*($G$6-$E$6)*($G$6-$F$6))))</f>
        <v>1</v>
      </c>
      <c r="C199" s="37" t="n">
        <f aca="false">1+IF($G$7=$E$7,$F$7,IF(Q199&lt;($F$7-$E$7)/($G$7-$E$7),$E$7+SQRT(Q199*($G$7-$E$7)*($F$7-$E$7)),$G$7-SQRT((1-Q199)*($G$7-$E$7)*($G$7-$F$7))))</f>
        <v>1</v>
      </c>
      <c r="D199" s="37" t="n">
        <f aca="false">1+IF($G$8=$E$8,$F$8,IF(R199&lt;($F$8-$E$8)/($G$8-$E$8),$E$8+SQRT(R199*($G$8-$E$8)*($F$8-$E$8)),$G$8-SQRT((1-R199)*($G$8-$E$8)*($G$8-$F$8))))</f>
        <v>1</v>
      </c>
      <c r="E199" s="37" t="n">
        <f aca="false">1+IF($G$9=$E$9,$F$9,IF(S199&lt;($F$9-$E$9)/($G$9-$E$9),$E$9+SQRT(S199*($G$9-$E$9)*($F$9-$E$9)),$G$9-SQRT((1-S199)*($G$9-$E$9)*($G$9-$F$9))))</f>
        <v>1</v>
      </c>
      <c r="F199" s="37" t="n">
        <f aca="false">1+IF($G$10=$E$10,$F$10,IF(T199&lt;($F$10-$E$10)/($G$10-$E$10),$E$10+SQRT(T199*($G$10-$E$10)*($F$10-$E$10)),$G$10-SQRT((1-T199)*($G$10-$E$10)*($G$10-$F$10))))</f>
        <v>1</v>
      </c>
      <c r="G199" s="38" t="n">
        <f aca="false">IF($G$11=$E$11,$F$11,IF(U199&lt;($F$11-$E$11)/($G$11-$E$11),$E$11+SQRT(U199*($G$11-$E$11)*($F$11-$E$11)),$G$11-SQRT((1-U199)*($G$11-$E$11)*($G$11-$F$11))))</f>
        <v>0</v>
      </c>
      <c r="H199" s="39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0</v>
      </c>
      <c r="I199" s="39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0</v>
      </c>
      <c r="J199" s="39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0</v>
      </c>
      <c r="K199" s="39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0</v>
      </c>
      <c r="L199" s="39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0</v>
      </c>
      <c r="M199" s="39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0</v>
      </c>
      <c r="N199" s="39" t="str">
        <f aca="false">IF(COUNT('Business Case'!B11:G11)=0,"",H199+NPV(G199,I199:M199))</f>
        <v/>
      </c>
      <c r="P199" s="40" t="n">
        <f aca="true">RAND()</f>
        <v>0.973823679006864</v>
      </c>
      <c r="Q199" s="40" t="n">
        <f aca="true">RAND()</f>
        <v>0.808707629583624</v>
      </c>
      <c r="R199" s="40" t="n">
        <f aca="true">RAND()</f>
        <v>0.369307067046154</v>
      </c>
      <c r="S199" s="40" t="n">
        <f aca="true">RAND()</f>
        <v>0.511454210507896</v>
      </c>
      <c r="T199" s="40" t="n">
        <f aca="true">RAND()</f>
        <v>0.108242702693305</v>
      </c>
      <c r="U199" s="40" t="n">
        <f aca="true">RAND()</f>
        <v>0.115997878959527</v>
      </c>
    </row>
    <row r="200" customFormat="false" ht="15" hidden="false" customHeight="false" outlineLevel="0" collapsed="false">
      <c r="A200" s="36" t="n">
        <v>120</v>
      </c>
      <c r="B200" s="37" t="n">
        <f aca="false">1+IF($G$6=$E$6,$F$6,IF(P200&lt;($F$6-$E$6)/($G$6-$E$6),$E$6+SQRT(P200*($G$6-$E$6)*($F$6-$E$6)),$G$6-SQRT((1-P200)*($G$6-$E$6)*($G$6-$F$6))))</f>
        <v>1</v>
      </c>
      <c r="C200" s="37" t="n">
        <f aca="false">1+IF($G$7=$E$7,$F$7,IF(Q200&lt;($F$7-$E$7)/($G$7-$E$7),$E$7+SQRT(Q200*($G$7-$E$7)*($F$7-$E$7)),$G$7-SQRT((1-Q200)*($G$7-$E$7)*($G$7-$F$7))))</f>
        <v>1</v>
      </c>
      <c r="D200" s="37" t="n">
        <f aca="false">1+IF($G$8=$E$8,$F$8,IF(R200&lt;($F$8-$E$8)/($G$8-$E$8),$E$8+SQRT(R200*($G$8-$E$8)*($F$8-$E$8)),$G$8-SQRT((1-R200)*($G$8-$E$8)*($G$8-$F$8))))</f>
        <v>1</v>
      </c>
      <c r="E200" s="37" t="n">
        <f aca="false">1+IF($G$9=$E$9,$F$9,IF(S200&lt;($F$9-$E$9)/($G$9-$E$9),$E$9+SQRT(S200*($G$9-$E$9)*($F$9-$E$9)),$G$9-SQRT((1-S200)*($G$9-$E$9)*($G$9-$F$9))))</f>
        <v>1</v>
      </c>
      <c r="F200" s="37" t="n">
        <f aca="false">1+IF($G$10=$E$10,$F$10,IF(T200&lt;($F$10-$E$10)/($G$10-$E$10),$E$10+SQRT(T200*($G$10-$E$10)*($F$10-$E$10)),$G$10-SQRT((1-T200)*($G$10-$E$10)*($G$10-$F$10))))</f>
        <v>1</v>
      </c>
      <c r="G200" s="38" t="n">
        <f aca="false">IF($G$11=$E$11,$F$11,IF(U200&lt;($F$11-$E$11)/($G$11-$E$11),$E$11+SQRT(U200*($G$11-$E$11)*($F$11-$E$11)),$G$11-SQRT((1-U200)*($G$11-$E$11)*($G$11-$F$11))))</f>
        <v>0</v>
      </c>
      <c r="H200" s="39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0</v>
      </c>
      <c r="I200" s="39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0</v>
      </c>
      <c r="J200" s="39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0</v>
      </c>
      <c r="K200" s="39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0</v>
      </c>
      <c r="L200" s="39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0</v>
      </c>
      <c r="M200" s="39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0</v>
      </c>
      <c r="N200" s="39" t="str">
        <f aca="false">IF(COUNT('Business Case'!B11:G11)=0,"",H200+NPV(G200,I200:M200))</f>
        <v/>
      </c>
      <c r="P200" s="40" t="n">
        <f aca="true">RAND()</f>
        <v>0.0125138663381978</v>
      </c>
      <c r="Q200" s="40" t="n">
        <f aca="true">RAND()</f>
        <v>0.780217558821107</v>
      </c>
      <c r="R200" s="40" t="n">
        <f aca="true">RAND()</f>
        <v>0.476269548184278</v>
      </c>
      <c r="S200" s="40" t="n">
        <f aca="true">RAND()</f>
        <v>0.236938345808335</v>
      </c>
      <c r="T200" s="40" t="n">
        <f aca="true">RAND()</f>
        <v>0.420954597369231</v>
      </c>
      <c r="U200" s="40" t="n">
        <f aca="true">RAND()</f>
        <v>0.863960204980376</v>
      </c>
    </row>
    <row r="201" customFormat="false" ht="15" hidden="false" customHeight="false" outlineLevel="0" collapsed="false">
      <c r="A201" s="36" t="n">
        <v>121</v>
      </c>
      <c r="B201" s="37" t="n">
        <f aca="false">1+IF($G$6=$E$6,$F$6,IF(P201&lt;($F$6-$E$6)/($G$6-$E$6),$E$6+SQRT(P201*($G$6-$E$6)*($F$6-$E$6)),$G$6-SQRT((1-P201)*($G$6-$E$6)*($G$6-$F$6))))</f>
        <v>1</v>
      </c>
      <c r="C201" s="37" t="n">
        <f aca="false">1+IF($G$7=$E$7,$F$7,IF(Q201&lt;($F$7-$E$7)/($G$7-$E$7),$E$7+SQRT(Q201*($G$7-$E$7)*($F$7-$E$7)),$G$7-SQRT((1-Q201)*($G$7-$E$7)*($G$7-$F$7))))</f>
        <v>1</v>
      </c>
      <c r="D201" s="37" t="n">
        <f aca="false">1+IF($G$8=$E$8,$F$8,IF(R201&lt;($F$8-$E$8)/($G$8-$E$8),$E$8+SQRT(R201*($G$8-$E$8)*($F$8-$E$8)),$G$8-SQRT((1-R201)*($G$8-$E$8)*($G$8-$F$8))))</f>
        <v>1</v>
      </c>
      <c r="E201" s="37" t="n">
        <f aca="false">1+IF($G$9=$E$9,$F$9,IF(S201&lt;($F$9-$E$9)/($G$9-$E$9),$E$9+SQRT(S201*($G$9-$E$9)*($F$9-$E$9)),$G$9-SQRT((1-S201)*($G$9-$E$9)*($G$9-$F$9))))</f>
        <v>1</v>
      </c>
      <c r="F201" s="37" t="n">
        <f aca="false">1+IF($G$10=$E$10,$F$10,IF(T201&lt;($F$10-$E$10)/($G$10-$E$10),$E$10+SQRT(T201*($G$10-$E$10)*($F$10-$E$10)),$G$10-SQRT((1-T201)*($G$10-$E$10)*($G$10-$F$10))))</f>
        <v>1</v>
      </c>
      <c r="G201" s="38" t="n">
        <f aca="false">IF($G$11=$E$11,$F$11,IF(U201&lt;($F$11-$E$11)/($G$11-$E$11),$E$11+SQRT(U201*($G$11-$E$11)*($F$11-$E$11)),$G$11-SQRT((1-U201)*($G$11-$E$11)*($G$11-$F$11))))</f>
        <v>0</v>
      </c>
      <c r="H201" s="39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0</v>
      </c>
      <c r="I201" s="39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0</v>
      </c>
      <c r="J201" s="39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0</v>
      </c>
      <c r="K201" s="39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0</v>
      </c>
      <c r="L201" s="39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0</v>
      </c>
      <c r="M201" s="39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0</v>
      </c>
      <c r="N201" s="39" t="str">
        <f aca="false">IF(COUNT('Business Case'!B11:G11)=0,"",H201+NPV(G201,I201:M201))</f>
        <v/>
      </c>
      <c r="P201" s="40" t="n">
        <f aca="true">RAND()</f>
        <v>0.133830893616377</v>
      </c>
      <c r="Q201" s="40" t="n">
        <f aca="true">RAND()</f>
        <v>0.690939451249258</v>
      </c>
      <c r="R201" s="40" t="n">
        <f aca="true">RAND()</f>
        <v>0.855167300880254</v>
      </c>
      <c r="S201" s="40" t="n">
        <f aca="true">RAND()</f>
        <v>0.301242687485413</v>
      </c>
      <c r="T201" s="40" t="n">
        <f aca="true">RAND()</f>
        <v>0.910447826782317</v>
      </c>
      <c r="U201" s="40" t="n">
        <f aca="true">RAND()</f>
        <v>0.505778895463515</v>
      </c>
    </row>
    <row r="202" customFormat="false" ht="15" hidden="false" customHeight="false" outlineLevel="0" collapsed="false">
      <c r="A202" s="36" t="n">
        <v>122</v>
      </c>
      <c r="B202" s="37" t="n">
        <f aca="false">1+IF($G$6=$E$6,$F$6,IF(P202&lt;($F$6-$E$6)/($G$6-$E$6),$E$6+SQRT(P202*($G$6-$E$6)*($F$6-$E$6)),$G$6-SQRT((1-P202)*($G$6-$E$6)*($G$6-$F$6))))</f>
        <v>1</v>
      </c>
      <c r="C202" s="37" t="n">
        <f aca="false">1+IF($G$7=$E$7,$F$7,IF(Q202&lt;($F$7-$E$7)/($G$7-$E$7),$E$7+SQRT(Q202*($G$7-$E$7)*($F$7-$E$7)),$G$7-SQRT((1-Q202)*($G$7-$E$7)*($G$7-$F$7))))</f>
        <v>1</v>
      </c>
      <c r="D202" s="37" t="n">
        <f aca="false">1+IF($G$8=$E$8,$F$8,IF(R202&lt;($F$8-$E$8)/($G$8-$E$8),$E$8+SQRT(R202*($G$8-$E$8)*($F$8-$E$8)),$G$8-SQRT((1-R202)*($G$8-$E$8)*($G$8-$F$8))))</f>
        <v>1</v>
      </c>
      <c r="E202" s="37" t="n">
        <f aca="false">1+IF($G$9=$E$9,$F$9,IF(S202&lt;($F$9-$E$9)/($G$9-$E$9),$E$9+SQRT(S202*($G$9-$E$9)*($F$9-$E$9)),$G$9-SQRT((1-S202)*($G$9-$E$9)*($G$9-$F$9))))</f>
        <v>1</v>
      </c>
      <c r="F202" s="37" t="n">
        <f aca="false">1+IF($G$10=$E$10,$F$10,IF(T202&lt;($F$10-$E$10)/($G$10-$E$10),$E$10+SQRT(T202*($G$10-$E$10)*($F$10-$E$10)),$G$10-SQRT((1-T202)*($G$10-$E$10)*($G$10-$F$10))))</f>
        <v>1</v>
      </c>
      <c r="G202" s="38" t="n">
        <f aca="false">IF($G$11=$E$11,$F$11,IF(U202&lt;($F$11-$E$11)/($G$11-$E$11),$E$11+SQRT(U202*($G$11-$E$11)*($F$11-$E$11)),$G$11-SQRT((1-U202)*($G$11-$E$11)*($G$11-$F$11))))</f>
        <v>0</v>
      </c>
      <c r="H202" s="39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0</v>
      </c>
      <c r="I202" s="39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0</v>
      </c>
      <c r="J202" s="39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0</v>
      </c>
      <c r="K202" s="39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0</v>
      </c>
      <c r="L202" s="39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0</v>
      </c>
      <c r="M202" s="39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0</v>
      </c>
      <c r="N202" s="39" t="str">
        <f aca="false">IF(COUNT('Business Case'!B11:G11)=0,"",H202+NPV(G202,I202:M202))</f>
        <v/>
      </c>
      <c r="P202" s="40" t="n">
        <f aca="true">RAND()</f>
        <v>0.357603342273853</v>
      </c>
      <c r="Q202" s="40" t="n">
        <f aca="true">RAND()</f>
        <v>0.990597533144327</v>
      </c>
      <c r="R202" s="40" t="n">
        <f aca="true">RAND()</f>
        <v>0.370115665255569</v>
      </c>
      <c r="S202" s="40" t="n">
        <f aca="true">RAND()</f>
        <v>0.265165911617802</v>
      </c>
      <c r="T202" s="40" t="n">
        <f aca="true">RAND()</f>
        <v>0.690940234507508</v>
      </c>
      <c r="U202" s="40" t="n">
        <f aca="true">RAND()</f>
        <v>0.531484928619142</v>
      </c>
    </row>
    <row r="203" customFormat="false" ht="15" hidden="false" customHeight="false" outlineLevel="0" collapsed="false">
      <c r="A203" s="36" t="n">
        <v>123</v>
      </c>
      <c r="B203" s="37" t="n">
        <f aca="false">1+IF($G$6=$E$6,$F$6,IF(P203&lt;($F$6-$E$6)/($G$6-$E$6),$E$6+SQRT(P203*($G$6-$E$6)*($F$6-$E$6)),$G$6-SQRT((1-P203)*($G$6-$E$6)*($G$6-$F$6))))</f>
        <v>1</v>
      </c>
      <c r="C203" s="37" t="n">
        <f aca="false">1+IF($G$7=$E$7,$F$7,IF(Q203&lt;($F$7-$E$7)/($G$7-$E$7),$E$7+SQRT(Q203*($G$7-$E$7)*($F$7-$E$7)),$G$7-SQRT((1-Q203)*($G$7-$E$7)*($G$7-$F$7))))</f>
        <v>1</v>
      </c>
      <c r="D203" s="37" t="n">
        <f aca="false">1+IF($G$8=$E$8,$F$8,IF(R203&lt;($F$8-$E$8)/($G$8-$E$8),$E$8+SQRT(R203*($G$8-$E$8)*($F$8-$E$8)),$G$8-SQRT((1-R203)*($G$8-$E$8)*($G$8-$F$8))))</f>
        <v>1</v>
      </c>
      <c r="E203" s="37" t="n">
        <f aca="false">1+IF($G$9=$E$9,$F$9,IF(S203&lt;($F$9-$E$9)/($G$9-$E$9),$E$9+SQRT(S203*($G$9-$E$9)*($F$9-$E$9)),$G$9-SQRT((1-S203)*($G$9-$E$9)*($G$9-$F$9))))</f>
        <v>1</v>
      </c>
      <c r="F203" s="37" t="n">
        <f aca="false">1+IF($G$10=$E$10,$F$10,IF(T203&lt;($F$10-$E$10)/($G$10-$E$10),$E$10+SQRT(T203*($G$10-$E$10)*($F$10-$E$10)),$G$10-SQRT((1-T203)*($G$10-$E$10)*($G$10-$F$10))))</f>
        <v>1</v>
      </c>
      <c r="G203" s="38" t="n">
        <f aca="false">IF($G$11=$E$11,$F$11,IF(U203&lt;($F$11-$E$11)/($G$11-$E$11),$E$11+SQRT(U203*($G$11-$E$11)*($F$11-$E$11)),$G$11-SQRT((1-U203)*($G$11-$E$11)*($G$11-$F$11))))</f>
        <v>0</v>
      </c>
      <c r="H203" s="39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0</v>
      </c>
      <c r="I203" s="39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0</v>
      </c>
      <c r="J203" s="39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0</v>
      </c>
      <c r="K203" s="39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0</v>
      </c>
      <c r="L203" s="39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0</v>
      </c>
      <c r="M203" s="39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0</v>
      </c>
      <c r="N203" s="39" t="str">
        <f aca="false">IF(COUNT('Business Case'!B11:G11)=0,"",H203+NPV(G203,I203:M203))</f>
        <v/>
      </c>
      <c r="P203" s="40" t="n">
        <f aca="true">RAND()</f>
        <v>0.716450413129353</v>
      </c>
      <c r="Q203" s="40" t="n">
        <f aca="true">RAND()</f>
        <v>0.336834843130924</v>
      </c>
      <c r="R203" s="40" t="n">
        <f aca="true">RAND()</f>
        <v>0.237290205131403</v>
      </c>
      <c r="S203" s="40" t="n">
        <f aca="true">RAND()</f>
        <v>0.557598959116818</v>
      </c>
      <c r="T203" s="40" t="n">
        <f aca="true">RAND()</f>
        <v>0.717018459530776</v>
      </c>
      <c r="U203" s="40" t="n">
        <f aca="true">RAND()</f>
        <v>0.289231806286227</v>
      </c>
    </row>
    <row r="204" customFormat="false" ht="15" hidden="false" customHeight="false" outlineLevel="0" collapsed="false">
      <c r="A204" s="36" t="n">
        <v>124</v>
      </c>
      <c r="B204" s="37" t="n">
        <f aca="false">1+IF($G$6=$E$6,$F$6,IF(P204&lt;($F$6-$E$6)/($G$6-$E$6),$E$6+SQRT(P204*($G$6-$E$6)*($F$6-$E$6)),$G$6-SQRT((1-P204)*($G$6-$E$6)*($G$6-$F$6))))</f>
        <v>1</v>
      </c>
      <c r="C204" s="37" t="n">
        <f aca="false">1+IF($G$7=$E$7,$F$7,IF(Q204&lt;($F$7-$E$7)/($G$7-$E$7),$E$7+SQRT(Q204*($G$7-$E$7)*($F$7-$E$7)),$G$7-SQRT((1-Q204)*($G$7-$E$7)*($G$7-$F$7))))</f>
        <v>1</v>
      </c>
      <c r="D204" s="37" t="n">
        <f aca="false">1+IF($G$8=$E$8,$F$8,IF(R204&lt;($F$8-$E$8)/($G$8-$E$8),$E$8+SQRT(R204*($G$8-$E$8)*($F$8-$E$8)),$G$8-SQRT((1-R204)*($G$8-$E$8)*($G$8-$F$8))))</f>
        <v>1</v>
      </c>
      <c r="E204" s="37" t="n">
        <f aca="false">1+IF($G$9=$E$9,$F$9,IF(S204&lt;($F$9-$E$9)/($G$9-$E$9),$E$9+SQRT(S204*($G$9-$E$9)*($F$9-$E$9)),$G$9-SQRT((1-S204)*($G$9-$E$9)*($G$9-$F$9))))</f>
        <v>1</v>
      </c>
      <c r="F204" s="37" t="n">
        <f aca="false">1+IF($G$10=$E$10,$F$10,IF(T204&lt;($F$10-$E$10)/($G$10-$E$10),$E$10+SQRT(T204*($G$10-$E$10)*($F$10-$E$10)),$G$10-SQRT((1-T204)*($G$10-$E$10)*($G$10-$F$10))))</f>
        <v>1</v>
      </c>
      <c r="G204" s="38" t="n">
        <f aca="false">IF($G$11=$E$11,$F$11,IF(U204&lt;($F$11-$E$11)/($G$11-$E$11),$E$11+SQRT(U204*($G$11-$E$11)*($F$11-$E$11)),$G$11-SQRT((1-U204)*($G$11-$E$11)*($G$11-$F$11))))</f>
        <v>0</v>
      </c>
      <c r="H204" s="39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0</v>
      </c>
      <c r="I204" s="39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0</v>
      </c>
      <c r="J204" s="39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0</v>
      </c>
      <c r="K204" s="39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0</v>
      </c>
      <c r="L204" s="39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0</v>
      </c>
      <c r="M204" s="39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0</v>
      </c>
      <c r="N204" s="39" t="str">
        <f aca="false">IF(COUNT('Business Case'!B11:G11)=0,"",H204+NPV(G204,I204:M204))</f>
        <v/>
      </c>
      <c r="P204" s="40" t="n">
        <f aca="true">RAND()</f>
        <v>0.014220118211168</v>
      </c>
      <c r="Q204" s="40" t="n">
        <f aca="true">RAND()</f>
        <v>0.035520980717654</v>
      </c>
      <c r="R204" s="40" t="n">
        <f aca="true">RAND()</f>
        <v>0.816689117127246</v>
      </c>
      <c r="S204" s="40" t="n">
        <f aca="true">RAND()</f>
        <v>0.692851881184733</v>
      </c>
      <c r="T204" s="40" t="n">
        <f aca="true">RAND()</f>
        <v>0.42383134208258</v>
      </c>
      <c r="U204" s="40" t="n">
        <f aca="true">RAND()</f>
        <v>0.656646757402888</v>
      </c>
    </row>
    <row r="205" customFormat="false" ht="15" hidden="false" customHeight="false" outlineLevel="0" collapsed="false">
      <c r="A205" s="36" t="n">
        <v>125</v>
      </c>
      <c r="B205" s="37" t="n">
        <f aca="false">1+IF($G$6=$E$6,$F$6,IF(P205&lt;($F$6-$E$6)/($G$6-$E$6),$E$6+SQRT(P205*($G$6-$E$6)*($F$6-$E$6)),$G$6-SQRT((1-P205)*($G$6-$E$6)*($G$6-$F$6))))</f>
        <v>1</v>
      </c>
      <c r="C205" s="37" t="n">
        <f aca="false">1+IF($G$7=$E$7,$F$7,IF(Q205&lt;($F$7-$E$7)/($G$7-$E$7),$E$7+SQRT(Q205*($G$7-$E$7)*($F$7-$E$7)),$G$7-SQRT((1-Q205)*($G$7-$E$7)*($G$7-$F$7))))</f>
        <v>1</v>
      </c>
      <c r="D205" s="37" t="n">
        <f aca="false">1+IF($G$8=$E$8,$F$8,IF(R205&lt;($F$8-$E$8)/($G$8-$E$8),$E$8+SQRT(R205*($G$8-$E$8)*($F$8-$E$8)),$G$8-SQRT((1-R205)*($G$8-$E$8)*($G$8-$F$8))))</f>
        <v>1</v>
      </c>
      <c r="E205" s="37" t="n">
        <f aca="false">1+IF($G$9=$E$9,$F$9,IF(S205&lt;($F$9-$E$9)/($G$9-$E$9),$E$9+SQRT(S205*($G$9-$E$9)*($F$9-$E$9)),$G$9-SQRT((1-S205)*($G$9-$E$9)*($G$9-$F$9))))</f>
        <v>1</v>
      </c>
      <c r="F205" s="37" t="n">
        <f aca="false">1+IF($G$10=$E$10,$F$10,IF(T205&lt;($F$10-$E$10)/($G$10-$E$10),$E$10+SQRT(T205*($G$10-$E$10)*($F$10-$E$10)),$G$10-SQRT((1-T205)*($G$10-$E$10)*($G$10-$F$10))))</f>
        <v>1</v>
      </c>
      <c r="G205" s="38" t="n">
        <f aca="false">IF($G$11=$E$11,$F$11,IF(U205&lt;($F$11-$E$11)/($G$11-$E$11),$E$11+SQRT(U205*($G$11-$E$11)*($F$11-$E$11)),$G$11-SQRT((1-U205)*($G$11-$E$11)*($G$11-$F$11))))</f>
        <v>0</v>
      </c>
      <c r="H205" s="39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0</v>
      </c>
      <c r="I205" s="39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0</v>
      </c>
      <c r="J205" s="39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0</v>
      </c>
      <c r="K205" s="39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0</v>
      </c>
      <c r="L205" s="39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0</v>
      </c>
      <c r="M205" s="39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0</v>
      </c>
      <c r="N205" s="39" t="str">
        <f aca="false">IF(COUNT('Business Case'!B11:G11)=0,"",H205+NPV(G205,I205:M205))</f>
        <v/>
      </c>
      <c r="P205" s="40" t="n">
        <f aca="true">RAND()</f>
        <v>0.420820034367493</v>
      </c>
      <c r="Q205" s="40" t="n">
        <f aca="true">RAND()</f>
        <v>0.378560768001236</v>
      </c>
      <c r="R205" s="40" t="n">
        <f aca="true">RAND()</f>
        <v>0.610578537860672</v>
      </c>
      <c r="S205" s="40" t="n">
        <f aca="true">RAND()</f>
        <v>0.375092851622279</v>
      </c>
      <c r="T205" s="40" t="n">
        <f aca="true">RAND()</f>
        <v>0.717300910792146</v>
      </c>
      <c r="U205" s="40" t="n">
        <f aca="true">RAND()</f>
        <v>0.877853346345517</v>
      </c>
    </row>
    <row r="206" customFormat="false" ht="15" hidden="false" customHeight="false" outlineLevel="0" collapsed="false">
      <c r="A206" s="36" t="n">
        <v>126</v>
      </c>
      <c r="B206" s="37" t="n">
        <f aca="false">1+IF($G$6=$E$6,$F$6,IF(P206&lt;($F$6-$E$6)/($G$6-$E$6),$E$6+SQRT(P206*($G$6-$E$6)*($F$6-$E$6)),$G$6-SQRT((1-P206)*($G$6-$E$6)*($G$6-$F$6))))</f>
        <v>1</v>
      </c>
      <c r="C206" s="37" t="n">
        <f aca="false">1+IF($G$7=$E$7,$F$7,IF(Q206&lt;($F$7-$E$7)/($G$7-$E$7),$E$7+SQRT(Q206*($G$7-$E$7)*($F$7-$E$7)),$G$7-SQRT((1-Q206)*($G$7-$E$7)*($G$7-$F$7))))</f>
        <v>1</v>
      </c>
      <c r="D206" s="37" t="n">
        <f aca="false">1+IF($G$8=$E$8,$F$8,IF(R206&lt;($F$8-$E$8)/($G$8-$E$8),$E$8+SQRT(R206*($G$8-$E$8)*($F$8-$E$8)),$G$8-SQRT((1-R206)*($G$8-$E$8)*($G$8-$F$8))))</f>
        <v>1</v>
      </c>
      <c r="E206" s="37" t="n">
        <f aca="false">1+IF($G$9=$E$9,$F$9,IF(S206&lt;($F$9-$E$9)/($G$9-$E$9),$E$9+SQRT(S206*($G$9-$E$9)*($F$9-$E$9)),$G$9-SQRT((1-S206)*($G$9-$E$9)*($G$9-$F$9))))</f>
        <v>1</v>
      </c>
      <c r="F206" s="37" t="n">
        <f aca="false">1+IF($G$10=$E$10,$F$10,IF(T206&lt;($F$10-$E$10)/($G$10-$E$10),$E$10+SQRT(T206*($G$10-$E$10)*($F$10-$E$10)),$G$10-SQRT((1-T206)*($G$10-$E$10)*($G$10-$F$10))))</f>
        <v>1</v>
      </c>
      <c r="G206" s="38" t="n">
        <f aca="false">IF($G$11=$E$11,$F$11,IF(U206&lt;($F$11-$E$11)/($G$11-$E$11),$E$11+SQRT(U206*($G$11-$E$11)*($F$11-$E$11)),$G$11-SQRT((1-U206)*($G$11-$E$11)*($G$11-$F$11))))</f>
        <v>0</v>
      </c>
      <c r="H206" s="39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0</v>
      </c>
      <c r="I206" s="39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0</v>
      </c>
      <c r="J206" s="39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0</v>
      </c>
      <c r="K206" s="39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0</v>
      </c>
      <c r="L206" s="39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0</v>
      </c>
      <c r="M206" s="39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0</v>
      </c>
      <c r="N206" s="39" t="str">
        <f aca="false">IF(COUNT('Business Case'!B11:G11)=0,"",H206+NPV(G206,I206:M206))</f>
        <v/>
      </c>
      <c r="P206" s="40" t="n">
        <f aca="true">RAND()</f>
        <v>0.294156647968938</v>
      </c>
      <c r="Q206" s="40" t="n">
        <f aca="true">RAND()</f>
        <v>0.927909126034001</v>
      </c>
      <c r="R206" s="40" t="n">
        <f aca="true">RAND()</f>
        <v>0.542530437815126</v>
      </c>
      <c r="S206" s="40" t="n">
        <f aca="true">RAND()</f>
        <v>0.48929544320426</v>
      </c>
      <c r="T206" s="40" t="n">
        <f aca="true">RAND()</f>
        <v>0.83073741908156</v>
      </c>
      <c r="U206" s="40" t="n">
        <f aca="true">RAND()</f>
        <v>0.00822773144393037</v>
      </c>
    </row>
    <row r="207" customFormat="false" ht="15" hidden="false" customHeight="false" outlineLevel="0" collapsed="false">
      <c r="A207" s="36" t="n">
        <v>127</v>
      </c>
      <c r="B207" s="37" t="n">
        <f aca="false">1+IF($G$6=$E$6,$F$6,IF(P207&lt;($F$6-$E$6)/($G$6-$E$6),$E$6+SQRT(P207*($G$6-$E$6)*($F$6-$E$6)),$G$6-SQRT((1-P207)*($G$6-$E$6)*($G$6-$F$6))))</f>
        <v>1</v>
      </c>
      <c r="C207" s="37" t="n">
        <f aca="false">1+IF($G$7=$E$7,$F$7,IF(Q207&lt;($F$7-$E$7)/($G$7-$E$7),$E$7+SQRT(Q207*($G$7-$E$7)*($F$7-$E$7)),$G$7-SQRT((1-Q207)*($G$7-$E$7)*($G$7-$F$7))))</f>
        <v>1</v>
      </c>
      <c r="D207" s="37" t="n">
        <f aca="false">1+IF($G$8=$E$8,$F$8,IF(R207&lt;($F$8-$E$8)/($G$8-$E$8),$E$8+SQRT(R207*($G$8-$E$8)*($F$8-$E$8)),$G$8-SQRT((1-R207)*($G$8-$E$8)*($G$8-$F$8))))</f>
        <v>1</v>
      </c>
      <c r="E207" s="37" t="n">
        <f aca="false">1+IF($G$9=$E$9,$F$9,IF(S207&lt;($F$9-$E$9)/($G$9-$E$9),$E$9+SQRT(S207*($G$9-$E$9)*($F$9-$E$9)),$G$9-SQRT((1-S207)*($G$9-$E$9)*($G$9-$F$9))))</f>
        <v>1</v>
      </c>
      <c r="F207" s="37" t="n">
        <f aca="false">1+IF($G$10=$E$10,$F$10,IF(T207&lt;($F$10-$E$10)/($G$10-$E$10),$E$10+SQRT(T207*($G$10-$E$10)*($F$10-$E$10)),$G$10-SQRT((1-T207)*($G$10-$E$10)*($G$10-$F$10))))</f>
        <v>1</v>
      </c>
      <c r="G207" s="38" t="n">
        <f aca="false">IF($G$11=$E$11,$F$11,IF(U207&lt;($F$11-$E$11)/($G$11-$E$11),$E$11+SQRT(U207*($G$11-$E$11)*($F$11-$E$11)),$G$11-SQRT((1-U207)*($G$11-$E$11)*($G$11-$F$11))))</f>
        <v>0</v>
      </c>
      <c r="H207" s="39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0</v>
      </c>
      <c r="I207" s="39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0</v>
      </c>
      <c r="J207" s="39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0</v>
      </c>
      <c r="K207" s="39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0</v>
      </c>
      <c r="L207" s="39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0</v>
      </c>
      <c r="M207" s="39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0</v>
      </c>
      <c r="N207" s="39" t="str">
        <f aca="false">IF(COUNT('Business Case'!B11:G11)=0,"",H207+NPV(G207,I207:M207))</f>
        <v/>
      </c>
      <c r="P207" s="40" t="n">
        <f aca="true">RAND()</f>
        <v>0.814779205935657</v>
      </c>
      <c r="Q207" s="40" t="n">
        <f aca="true">RAND()</f>
        <v>0.855659297374996</v>
      </c>
      <c r="R207" s="40" t="n">
        <f aca="true">RAND()</f>
        <v>0.0079819735651672</v>
      </c>
      <c r="S207" s="40" t="n">
        <f aca="true">RAND()</f>
        <v>0.72071947012</v>
      </c>
      <c r="T207" s="40" t="n">
        <f aca="true">RAND()</f>
        <v>0.0216086196360359</v>
      </c>
      <c r="U207" s="40" t="n">
        <f aca="true">RAND()</f>
        <v>0.947004991396137</v>
      </c>
    </row>
    <row r="208" customFormat="false" ht="15" hidden="false" customHeight="false" outlineLevel="0" collapsed="false">
      <c r="A208" s="36" t="n">
        <v>128</v>
      </c>
      <c r="B208" s="37" t="n">
        <f aca="false">1+IF($G$6=$E$6,$F$6,IF(P208&lt;($F$6-$E$6)/($G$6-$E$6),$E$6+SQRT(P208*($G$6-$E$6)*($F$6-$E$6)),$G$6-SQRT((1-P208)*($G$6-$E$6)*($G$6-$F$6))))</f>
        <v>1</v>
      </c>
      <c r="C208" s="37" t="n">
        <f aca="false">1+IF($G$7=$E$7,$F$7,IF(Q208&lt;($F$7-$E$7)/($G$7-$E$7),$E$7+SQRT(Q208*($G$7-$E$7)*($F$7-$E$7)),$G$7-SQRT((1-Q208)*($G$7-$E$7)*($G$7-$F$7))))</f>
        <v>1</v>
      </c>
      <c r="D208" s="37" t="n">
        <f aca="false">1+IF($G$8=$E$8,$F$8,IF(R208&lt;($F$8-$E$8)/($G$8-$E$8),$E$8+SQRT(R208*($G$8-$E$8)*($F$8-$E$8)),$G$8-SQRT((1-R208)*($G$8-$E$8)*($G$8-$F$8))))</f>
        <v>1</v>
      </c>
      <c r="E208" s="37" t="n">
        <f aca="false">1+IF($G$9=$E$9,$F$9,IF(S208&lt;($F$9-$E$9)/($G$9-$E$9),$E$9+SQRT(S208*($G$9-$E$9)*($F$9-$E$9)),$G$9-SQRT((1-S208)*($G$9-$E$9)*($G$9-$F$9))))</f>
        <v>1</v>
      </c>
      <c r="F208" s="37" t="n">
        <f aca="false">1+IF($G$10=$E$10,$F$10,IF(T208&lt;($F$10-$E$10)/($G$10-$E$10),$E$10+SQRT(T208*($G$10-$E$10)*($F$10-$E$10)),$G$10-SQRT((1-T208)*($G$10-$E$10)*($G$10-$F$10))))</f>
        <v>1</v>
      </c>
      <c r="G208" s="38" t="n">
        <f aca="false">IF($G$11=$E$11,$F$11,IF(U208&lt;($F$11-$E$11)/($G$11-$E$11),$E$11+SQRT(U208*($G$11-$E$11)*($F$11-$E$11)),$G$11-SQRT((1-U208)*($G$11-$E$11)*($G$11-$F$11))))</f>
        <v>0</v>
      </c>
      <c r="H208" s="39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0</v>
      </c>
      <c r="I208" s="39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0</v>
      </c>
      <c r="J208" s="39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0</v>
      </c>
      <c r="K208" s="39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0</v>
      </c>
      <c r="L208" s="39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0</v>
      </c>
      <c r="M208" s="39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0</v>
      </c>
      <c r="N208" s="39" t="str">
        <f aca="false">IF(COUNT('Business Case'!B11:G11)=0,"",H208+NPV(G208,I208:M208))</f>
        <v/>
      </c>
      <c r="P208" s="40" t="n">
        <f aca="true">RAND()</f>
        <v>0.229996386193079</v>
      </c>
      <c r="Q208" s="40" t="n">
        <f aca="true">RAND()</f>
        <v>0.826197137438573</v>
      </c>
      <c r="R208" s="40" t="n">
        <f aca="true">RAND()</f>
        <v>0.618965706467499</v>
      </c>
      <c r="S208" s="40" t="n">
        <f aca="true">RAND()</f>
        <v>0.358651343278365</v>
      </c>
      <c r="T208" s="40" t="n">
        <f aca="true">RAND()</f>
        <v>0.135409826709285</v>
      </c>
      <c r="U208" s="40" t="n">
        <f aca="true">RAND()</f>
        <v>0.387616789945322</v>
      </c>
    </row>
    <row r="209" customFormat="false" ht="15" hidden="false" customHeight="false" outlineLevel="0" collapsed="false">
      <c r="A209" s="36" t="n">
        <v>129</v>
      </c>
      <c r="B209" s="37" t="n">
        <f aca="false">1+IF($G$6=$E$6,$F$6,IF(P209&lt;($F$6-$E$6)/($G$6-$E$6),$E$6+SQRT(P209*($G$6-$E$6)*($F$6-$E$6)),$G$6-SQRT((1-P209)*($G$6-$E$6)*($G$6-$F$6))))</f>
        <v>1</v>
      </c>
      <c r="C209" s="37" t="n">
        <f aca="false">1+IF($G$7=$E$7,$F$7,IF(Q209&lt;($F$7-$E$7)/($G$7-$E$7),$E$7+SQRT(Q209*($G$7-$E$7)*($F$7-$E$7)),$G$7-SQRT((1-Q209)*($G$7-$E$7)*($G$7-$F$7))))</f>
        <v>1</v>
      </c>
      <c r="D209" s="37" t="n">
        <f aca="false">1+IF($G$8=$E$8,$F$8,IF(R209&lt;($F$8-$E$8)/($G$8-$E$8),$E$8+SQRT(R209*($G$8-$E$8)*($F$8-$E$8)),$G$8-SQRT((1-R209)*($G$8-$E$8)*($G$8-$F$8))))</f>
        <v>1</v>
      </c>
      <c r="E209" s="37" t="n">
        <f aca="false">1+IF($G$9=$E$9,$F$9,IF(S209&lt;($F$9-$E$9)/($G$9-$E$9),$E$9+SQRT(S209*($G$9-$E$9)*($F$9-$E$9)),$G$9-SQRT((1-S209)*($G$9-$E$9)*($G$9-$F$9))))</f>
        <v>1</v>
      </c>
      <c r="F209" s="37" t="n">
        <f aca="false">1+IF($G$10=$E$10,$F$10,IF(T209&lt;($F$10-$E$10)/($G$10-$E$10),$E$10+SQRT(T209*($G$10-$E$10)*($F$10-$E$10)),$G$10-SQRT((1-T209)*($G$10-$E$10)*($G$10-$F$10))))</f>
        <v>1</v>
      </c>
      <c r="G209" s="38" t="n">
        <f aca="false">IF($G$11=$E$11,$F$11,IF(U209&lt;($F$11-$E$11)/($G$11-$E$11),$E$11+SQRT(U209*($G$11-$E$11)*($F$11-$E$11)),$G$11-SQRT((1-U209)*($G$11-$E$11)*($G$11-$F$11))))</f>
        <v>0</v>
      </c>
      <c r="H209" s="39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0</v>
      </c>
      <c r="I209" s="39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0</v>
      </c>
      <c r="J209" s="39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0</v>
      </c>
      <c r="K209" s="39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0</v>
      </c>
      <c r="L209" s="39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0</v>
      </c>
      <c r="M209" s="39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0</v>
      </c>
      <c r="N209" s="39" t="str">
        <f aca="false">IF(COUNT('Business Case'!B11:G11)=0,"",H209+NPV(G209,I209:M209))</f>
        <v/>
      </c>
      <c r="P209" s="40" t="n">
        <f aca="true">RAND()</f>
        <v>0.709319780505096</v>
      </c>
      <c r="Q209" s="40" t="n">
        <f aca="true">RAND()</f>
        <v>0.103067033996017</v>
      </c>
      <c r="R209" s="40" t="n">
        <f aca="true">RAND()</f>
        <v>0.798960820872314</v>
      </c>
      <c r="S209" s="40" t="n">
        <f aca="true">RAND()</f>
        <v>0.331422863131759</v>
      </c>
      <c r="T209" s="40" t="n">
        <f aca="true">RAND()</f>
        <v>0.873313365850816</v>
      </c>
      <c r="U209" s="40" t="n">
        <f aca="true">RAND()</f>
        <v>0.0145780428251853</v>
      </c>
    </row>
    <row r="210" customFormat="false" ht="15" hidden="false" customHeight="false" outlineLevel="0" collapsed="false">
      <c r="A210" s="36" t="n">
        <v>130</v>
      </c>
      <c r="B210" s="37" t="n">
        <f aca="false">1+IF($G$6=$E$6,$F$6,IF(P210&lt;($F$6-$E$6)/($G$6-$E$6),$E$6+SQRT(P210*($G$6-$E$6)*($F$6-$E$6)),$G$6-SQRT((1-P210)*($G$6-$E$6)*($G$6-$F$6))))</f>
        <v>1</v>
      </c>
      <c r="C210" s="37" t="n">
        <f aca="false">1+IF($G$7=$E$7,$F$7,IF(Q210&lt;($F$7-$E$7)/($G$7-$E$7),$E$7+SQRT(Q210*($G$7-$E$7)*($F$7-$E$7)),$G$7-SQRT((1-Q210)*($G$7-$E$7)*($G$7-$F$7))))</f>
        <v>1</v>
      </c>
      <c r="D210" s="37" t="n">
        <f aca="false">1+IF($G$8=$E$8,$F$8,IF(R210&lt;($F$8-$E$8)/($G$8-$E$8),$E$8+SQRT(R210*($G$8-$E$8)*($F$8-$E$8)),$G$8-SQRT((1-R210)*($G$8-$E$8)*($G$8-$F$8))))</f>
        <v>1</v>
      </c>
      <c r="E210" s="37" t="n">
        <f aca="false">1+IF($G$9=$E$9,$F$9,IF(S210&lt;($F$9-$E$9)/($G$9-$E$9),$E$9+SQRT(S210*($G$9-$E$9)*($F$9-$E$9)),$G$9-SQRT((1-S210)*($G$9-$E$9)*($G$9-$F$9))))</f>
        <v>1</v>
      </c>
      <c r="F210" s="37" t="n">
        <f aca="false">1+IF($G$10=$E$10,$F$10,IF(T210&lt;($F$10-$E$10)/($G$10-$E$10),$E$10+SQRT(T210*($G$10-$E$10)*($F$10-$E$10)),$G$10-SQRT((1-T210)*($G$10-$E$10)*($G$10-$F$10))))</f>
        <v>1</v>
      </c>
      <c r="G210" s="38" t="n">
        <f aca="false">IF($G$11=$E$11,$F$11,IF(U210&lt;($F$11-$E$11)/($G$11-$E$11),$E$11+SQRT(U210*($G$11-$E$11)*($F$11-$E$11)),$G$11-SQRT((1-U210)*($G$11-$E$11)*($G$11-$F$11))))</f>
        <v>0</v>
      </c>
      <c r="H210" s="39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0</v>
      </c>
      <c r="I210" s="39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0</v>
      </c>
      <c r="J210" s="39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0</v>
      </c>
      <c r="K210" s="39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0</v>
      </c>
      <c r="L210" s="39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0</v>
      </c>
      <c r="M210" s="39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0</v>
      </c>
      <c r="N210" s="39" t="str">
        <f aca="false">IF(COUNT('Business Case'!B11:G11)=0,"",H210+NPV(G210,I210:M210))</f>
        <v/>
      </c>
      <c r="P210" s="40" t="n">
        <f aca="true">RAND()</f>
        <v>0.078848171329686</v>
      </c>
      <c r="Q210" s="40" t="n">
        <f aca="true">RAND()</f>
        <v>0.663970741951524</v>
      </c>
      <c r="R210" s="40" t="n">
        <f aca="true">RAND()</f>
        <v>0.234385510414866</v>
      </c>
      <c r="S210" s="40" t="n">
        <f aca="true">RAND()</f>
        <v>0.740480130978762</v>
      </c>
      <c r="T210" s="40" t="n">
        <f aca="true">RAND()</f>
        <v>0.707348280515987</v>
      </c>
      <c r="U210" s="40" t="n">
        <f aca="true">RAND()</f>
        <v>0.271033164845559</v>
      </c>
    </row>
    <row r="211" customFormat="false" ht="15" hidden="false" customHeight="false" outlineLevel="0" collapsed="false">
      <c r="A211" s="36" t="n">
        <v>131</v>
      </c>
      <c r="B211" s="37" t="n">
        <f aca="false">1+IF($G$6=$E$6,$F$6,IF(P211&lt;($F$6-$E$6)/($G$6-$E$6),$E$6+SQRT(P211*($G$6-$E$6)*($F$6-$E$6)),$G$6-SQRT((1-P211)*($G$6-$E$6)*($G$6-$F$6))))</f>
        <v>1</v>
      </c>
      <c r="C211" s="37" t="n">
        <f aca="false">1+IF($G$7=$E$7,$F$7,IF(Q211&lt;($F$7-$E$7)/($G$7-$E$7),$E$7+SQRT(Q211*($G$7-$E$7)*($F$7-$E$7)),$G$7-SQRT((1-Q211)*($G$7-$E$7)*($G$7-$F$7))))</f>
        <v>1</v>
      </c>
      <c r="D211" s="37" t="n">
        <f aca="false">1+IF($G$8=$E$8,$F$8,IF(R211&lt;($F$8-$E$8)/($G$8-$E$8),$E$8+SQRT(R211*($G$8-$E$8)*($F$8-$E$8)),$G$8-SQRT((1-R211)*($G$8-$E$8)*($G$8-$F$8))))</f>
        <v>1</v>
      </c>
      <c r="E211" s="37" t="n">
        <f aca="false">1+IF($G$9=$E$9,$F$9,IF(S211&lt;($F$9-$E$9)/($G$9-$E$9),$E$9+SQRT(S211*($G$9-$E$9)*($F$9-$E$9)),$G$9-SQRT((1-S211)*($G$9-$E$9)*($G$9-$F$9))))</f>
        <v>1</v>
      </c>
      <c r="F211" s="37" t="n">
        <f aca="false">1+IF($G$10=$E$10,$F$10,IF(T211&lt;($F$10-$E$10)/($G$10-$E$10),$E$10+SQRT(T211*($G$10-$E$10)*($F$10-$E$10)),$G$10-SQRT((1-T211)*($G$10-$E$10)*($G$10-$F$10))))</f>
        <v>1</v>
      </c>
      <c r="G211" s="38" t="n">
        <f aca="false">IF($G$11=$E$11,$F$11,IF(U211&lt;($F$11-$E$11)/($G$11-$E$11),$E$11+SQRT(U211*($G$11-$E$11)*($F$11-$E$11)),$G$11-SQRT((1-U211)*($G$11-$E$11)*($G$11-$F$11))))</f>
        <v>0</v>
      </c>
      <c r="H211" s="39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0</v>
      </c>
      <c r="I211" s="39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0</v>
      </c>
      <c r="J211" s="39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0</v>
      </c>
      <c r="K211" s="39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0</v>
      </c>
      <c r="L211" s="39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0</v>
      </c>
      <c r="M211" s="39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0</v>
      </c>
      <c r="N211" s="39" t="str">
        <f aca="false">IF(COUNT('Business Case'!B11:G11)=0,"",H211+NPV(G211,I211:M211))</f>
        <v/>
      </c>
      <c r="P211" s="40" t="n">
        <f aca="true">RAND()</f>
        <v>0.915800028670638</v>
      </c>
      <c r="Q211" s="40" t="n">
        <f aca="true">RAND()</f>
        <v>0.939990997946815</v>
      </c>
      <c r="R211" s="40" t="n">
        <f aca="true">RAND()</f>
        <v>0.333302075626885</v>
      </c>
      <c r="S211" s="40" t="n">
        <f aca="true">RAND()</f>
        <v>0.241046321592617</v>
      </c>
      <c r="T211" s="40" t="n">
        <f aca="true">RAND()</f>
        <v>0.20800668783357</v>
      </c>
      <c r="U211" s="40" t="n">
        <f aca="true">RAND()</f>
        <v>0.109440993690364</v>
      </c>
    </row>
    <row r="212" customFormat="false" ht="15" hidden="false" customHeight="false" outlineLevel="0" collapsed="false">
      <c r="A212" s="36" t="n">
        <v>132</v>
      </c>
      <c r="B212" s="37" t="n">
        <f aca="false">1+IF($G$6=$E$6,$F$6,IF(P212&lt;($F$6-$E$6)/($G$6-$E$6),$E$6+SQRT(P212*($G$6-$E$6)*($F$6-$E$6)),$G$6-SQRT((1-P212)*($G$6-$E$6)*($G$6-$F$6))))</f>
        <v>1</v>
      </c>
      <c r="C212" s="37" t="n">
        <f aca="false">1+IF($G$7=$E$7,$F$7,IF(Q212&lt;($F$7-$E$7)/($G$7-$E$7),$E$7+SQRT(Q212*($G$7-$E$7)*($F$7-$E$7)),$G$7-SQRT((1-Q212)*($G$7-$E$7)*($G$7-$F$7))))</f>
        <v>1</v>
      </c>
      <c r="D212" s="37" t="n">
        <f aca="false">1+IF($G$8=$E$8,$F$8,IF(R212&lt;($F$8-$E$8)/($G$8-$E$8),$E$8+SQRT(R212*($G$8-$E$8)*($F$8-$E$8)),$G$8-SQRT((1-R212)*($G$8-$E$8)*($G$8-$F$8))))</f>
        <v>1</v>
      </c>
      <c r="E212" s="37" t="n">
        <f aca="false">1+IF($G$9=$E$9,$F$9,IF(S212&lt;($F$9-$E$9)/($G$9-$E$9),$E$9+SQRT(S212*($G$9-$E$9)*($F$9-$E$9)),$G$9-SQRT((1-S212)*($G$9-$E$9)*($G$9-$F$9))))</f>
        <v>1</v>
      </c>
      <c r="F212" s="37" t="n">
        <f aca="false">1+IF($G$10=$E$10,$F$10,IF(T212&lt;($F$10-$E$10)/($G$10-$E$10),$E$10+SQRT(T212*($G$10-$E$10)*($F$10-$E$10)),$G$10-SQRT((1-T212)*($G$10-$E$10)*($G$10-$F$10))))</f>
        <v>1</v>
      </c>
      <c r="G212" s="38" t="n">
        <f aca="false">IF($G$11=$E$11,$F$11,IF(U212&lt;($F$11-$E$11)/($G$11-$E$11),$E$11+SQRT(U212*($G$11-$E$11)*($F$11-$E$11)),$G$11-SQRT((1-U212)*($G$11-$E$11)*($G$11-$F$11))))</f>
        <v>0</v>
      </c>
      <c r="H212" s="39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0</v>
      </c>
      <c r="I212" s="39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0</v>
      </c>
      <c r="J212" s="39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0</v>
      </c>
      <c r="K212" s="39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0</v>
      </c>
      <c r="L212" s="39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0</v>
      </c>
      <c r="M212" s="39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0</v>
      </c>
      <c r="N212" s="39" t="str">
        <f aca="false">IF(COUNT('Business Case'!B11:G11)=0,"",H212+NPV(G212,I212:M212))</f>
        <v/>
      </c>
      <c r="P212" s="40" t="n">
        <f aca="true">RAND()</f>
        <v>0.593661706121962</v>
      </c>
      <c r="Q212" s="40" t="n">
        <f aca="true">RAND()</f>
        <v>0.49578827723108</v>
      </c>
      <c r="R212" s="40" t="n">
        <f aca="true">RAND()</f>
        <v>0.974203503176011</v>
      </c>
      <c r="S212" s="40" t="n">
        <f aca="true">RAND()</f>
        <v>0.252838058324414</v>
      </c>
      <c r="T212" s="40" t="n">
        <f aca="true">RAND()</f>
        <v>0.365674769674635</v>
      </c>
      <c r="U212" s="40" t="n">
        <f aca="true">RAND()</f>
        <v>0.972840778174591</v>
      </c>
    </row>
    <row r="213" customFormat="false" ht="15" hidden="false" customHeight="false" outlineLevel="0" collapsed="false">
      <c r="A213" s="36" t="n">
        <v>133</v>
      </c>
      <c r="B213" s="37" t="n">
        <f aca="false">1+IF($G$6=$E$6,$F$6,IF(P213&lt;($F$6-$E$6)/($G$6-$E$6),$E$6+SQRT(P213*($G$6-$E$6)*($F$6-$E$6)),$G$6-SQRT((1-P213)*($G$6-$E$6)*($G$6-$F$6))))</f>
        <v>1</v>
      </c>
      <c r="C213" s="37" t="n">
        <f aca="false">1+IF($G$7=$E$7,$F$7,IF(Q213&lt;($F$7-$E$7)/($G$7-$E$7),$E$7+SQRT(Q213*($G$7-$E$7)*($F$7-$E$7)),$G$7-SQRT((1-Q213)*($G$7-$E$7)*($G$7-$F$7))))</f>
        <v>1</v>
      </c>
      <c r="D213" s="37" t="n">
        <f aca="false">1+IF($G$8=$E$8,$F$8,IF(R213&lt;($F$8-$E$8)/($G$8-$E$8),$E$8+SQRT(R213*($G$8-$E$8)*($F$8-$E$8)),$G$8-SQRT((1-R213)*($G$8-$E$8)*($G$8-$F$8))))</f>
        <v>1</v>
      </c>
      <c r="E213" s="37" t="n">
        <f aca="false">1+IF($G$9=$E$9,$F$9,IF(S213&lt;($F$9-$E$9)/($G$9-$E$9),$E$9+SQRT(S213*($G$9-$E$9)*($F$9-$E$9)),$G$9-SQRT((1-S213)*($G$9-$E$9)*($G$9-$F$9))))</f>
        <v>1</v>
      </c>
      <c r="F213" s="37" t="n">
        <f aca="false">1+IF($G$10=$E$10,$F$10,IF(T213&lt;($F$10-$E$10)/($G$10-$E$10),$E$10+SQRT(T213*($G$10-$E$10)*($F$10-$E$10)),$G$10-SQRT((1-T213)*($G$10-$E$10)*($G$10-$F$10))))</f>
        <v>1</v>
      </c>
      <c r="G213" s="38" t="n">
        <f aca="false">IF($G$11=$E$11,$F$11,IF(U213&lt;($F$11-$E$11)/($G$11-$E$11),$E$11+SQRT(U213*($G$11-$E$11)*($F$11-$E$11)),$G$11-SQRT((1-U213)*($G$11-$E$11)*($G$11-$F$11))))</f>
        <v>0</v>
      </c>
      <c r="H213" s="39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0</v>
      </c>
      <c r="I213" s="39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0</v>
      </c>
      <c r="J213" s="39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0</v>
      </c>
      <c r="K213" s="39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0</v>
      </c>
      <c r="L213" s="39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0</v>
      </c>
      <c r="M213" s="39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0</v>
      </c>
      <c r="N213" s="39" t="str">
        <f aca="false">IF(COUNT('Business Case'!B11:G11)=0,"",H213+NPV(G213,I213:M213))</f>
        <v/>
      </c>
      <c r="P213" s="40" t="n">
        <f aca="true">RAND()</f>
        <v>0.772110357809049</v>
      </c>
      <c r="Q213" s="40" t="n">
        <f aca="true">RAND()</f>
        <v>0.899153236001597</v>
      </c>
      <c r="R213" s="40" t="n">
        <f aca="true">RAND()</f>
        <v>0.651027645539833</v>
      </c>
      <c r="S213" s="40" t="n">
        <f aca="true">RAND()</f>
        <v>0.757142124969373</v>
      </c>
      <c r="T213" s="40" t="n">
        <f aca="true">RAND()</f>
        <v>0.902735633288564</v>
      </c>
      <c r="U213" s="40" t="n">
        <f aca="true">RAND()</f>
        <v>0.195545872474384</v>
      </c>
    </row>
    <row r="214" customFormat="false" ht="15" hidden="false" customHeight="false" outlineLevel="0" collapsed="false">
      <c r="A214" s="36" t="n">
        <v>134</v>
      </c>
      <c r="B214" s="37" t="n">
        <f aca="false">1+IF($G$6=$E$6,$F$6,IF(P214&lt;($F$6-$E$6)/($G$6-$E$6),$E$6+SQRT(P214*($G$6-$E$6)*($F$6-$E$6)),$G$6-SQRT((1-P214)*($G$6-$E$6)*($G$6-$F$6))))</f>
        <v>1</v>
      </c>
      <c r="C214" s="37" t="n">
        <f aca="false">1+IF($G$7=$E$7,$F$7,IF(Q214&lt;($F$7-$E$7)/($G$7-$E$7),$E$7+SQRT(Q214*($G$7-$E$7)*($F$7-$E$7)),$G$7-SQRT((1-Q214)*($G$7-$E$7)*($G$7-$F$7))))</f>
        <v>1</v>
      </c>
      <c r="D214" s="37" t="n">
        <f aca="false">1+IF($G$8=$E$8,$F$8,IF(R214&lt;($F$8-$E$8)/($G$8-$E$8),$E$8+SQRT(R214*($G$8-$E$8)*($F$8-$E$8)),$G$8-SQRT((1-R214)*($G$8-$E$8)*($G$8-$F$8))))</f>
        <v>1</v>
      </c>
      <c r="E214" s="37" t="n">
        <f aca="false">1+IF($G$9=$E$9,$F$9,IF(S214&lt;($F$9-$E$9)/($G$9-$E$9),$E$9+SQRT(S214*($G$9-$E$9)*($F$9-$E$9)),$G$9-SQRT((1-S214)*($G$9-$E$9)*($G$9-$F$9))))</f>
        <v>1</v>
      </c>
      <c r="F214" s="37" t="n">
        <f aca="false">1+IF($G$10=$E$10,$F$10,IF(T214&lt;($F$10-$E$10)/($G$10-$E$10),$E$10+SQRT(T214*($G$10-$E$10)*($F$10-$E$10)),$G$10-SQRT((1-T214)*($G$10-$E$10)*($G$10-$F$10))))</f>
        <v>1</v>
      </c>
      <c r="G214" s="38" t="n">
        <f aca="false">IF($G$11=$E$11,$F$11,IF(U214&lt;($F$11-$E$11)/($G$11-$E$11),$E$11+SQRT(U214*($G$11-$E$11)*($F$11-$E$11)),$G$11-SQRT((1-U214)*($G$11-$E$11)*($G$11-$F$11))))</f>
        <v>0</v>
      </c>
      <c r="H214" s="39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0</v>
      </c>
      <c r="I214" s="39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0</v>
      </c>
      <c r="J214" s="39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0</v>
      </c>
      <c r="K214" s="39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0</v>
      </c>
      <c r="L214" s="39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0</v>
      </c>
      <c r="M214" s="39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0</v>
      </c>
      <c r="N214" s="39" t="str">
        <f aca="false">IF(COUNT('Business Case'!B11:G11)=0,"",H214+NPV(G214,I214:M214))</f>
        <v/>
      </c>
      <c r="P214" s="40" t="n">
        <f aca="true">RAND()</f>
        <v>0.980851821047107</v>
      </c>
      <c r="Q214" s="40" t="n">
        <f aca="true">RAND()</f>
        <v>0.508870784194565</v>
      </c>
      <c r="R214" s="40" t="n">
        <f aca="true">RAND()</f>
        <v>0.494388432499589</v>
      </c>
      <c r="S214" s="40" t="n">
        <f aca="true">RAND()</f>
        <v>0.646681992749266</v>
      </c>
      <c r="T214" s="40" t="n">
        <f aca="true">RAND()</f>
        <v>0.229412662191752</v>
      </c>
      <c r="U214" s="40" t="n">
        <f aca="true">RAND()</f>
        <v>0.651080984103974</v>
      </c>
    </row>
    <row r="215" customFormat="false" ht="15" hidden="false" customHeight="false" outlineLevel="0" collapsed="false">
      <c r="A215" s="36" t="n">
        <v>135</v>
      </c>
      <c r="B215" s="37" t="n">
        <f aca="false">1+IF($G$6=$E$6,$F$6,IF(P215&lt;($F$6-$E$6)/($G$6-$E$6),$E$6+SQRT(P215*($G$6-$E$6)*($F$6-$E$6)),$G$6-SQRT((1-P215)*($G$6-$E$6)*($G$6-$F$6))))</f>
        <v>1</v>
      </c>
      <c r="C215" s="37" t="n">
        <f aca="false">1+IF($G$7=$E$7,$F$7,IF(Q215&lt;($F$7-$E$7)/($G$7-$E$7),$E$7+SQRT(Q215*($G$7-$E$7)*($F$7-$E$7)),$G$7-SQRT((1-Q215)*($G$7-$E$7)*($G$7-$F$7))))</f>
        <v>1</v>
      </c>
      <c r="D215" s="37" t="n">
        <f aca="false">1+IF($G$8=$E$8,$F$8,IF(R215&lt;($F$8-$E$8)/($G$8-$E$8),$E$8+SQRT(R215*($G$8-$E$8)*($F$8-$E$8)),$G$8-SQRT((1-R215)*($G$8-$E$8)*($G$8-$F$8))))</f>
        <v>1</v>
      </c>
      <c r="E215" s="37" t="n">
        <f aca="false">1+IF($G$9=$E$9,$F$9,IF(S215&lt;($F$9-$E$9)/($G$9-$E$9),$E$9+SQRT(S215*($G$9-$E$9)*($F$9-$E$9)),$G$9-SQRT((1-S215)*($G$9-$E$9)*($G$9-$F$9))))</f>
        <v>1</v>
      </c>
      <c r="F215" s="37" t="n">
        <f aca="false">1+IF($G$10=$E$10,$F$10,IF(T215&lt;($F$10-$E$10)/($G$10-$E$10),$E$10+SQRT(T215*($G$10-$E$10)*($F$10-$E$10)),$G$10-SQRT((1-T215)*($G$10-$E$10)*($G$10-$F$10))))</f>
        <v>1</v>
      </c>
      <c r="G215" s="38" t="n">
        <f aca="false">IF($G$11=$E$11,$F$11,IF(U215&lt;($F$11-$E$11)/($G$11-$E$11),$E$11+SQRT(U215*($G$11-$E$11)*($F$11-$E$11)),$G$11-SQRT((1-U215)*($G$11-$E$11)*($G$11-$F$11))))</f>
        <v>0</v>
      </c>
      <c r="H215" s="39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0</v>
      </c>
      <c r="I215" s="39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0</v>
      </c>
      <c r="J215" s="39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0</v>
      </c>
      <c r="K215" s="39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0</v>
      </c>
      <c r="L215" s="39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0</v>
      </c>
      <c r="M215" s="39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0</v>
      </c>
      <c r="N215" s="39" t="str">
        <f aca="false">IF(COUNT('Business Case'!B11:G11)=0,"",H215+NPV(G215,I215:M215))</f>
        <v/>
      </c>
      <c r="P215" s="40" t="n">
        <f aca="true">RAND()</f>
        <v>0.0671811727945949</v>
      </c>
      <c r="Q215" s="40" t="n">
        <f aca="true">RAND()</f>
        <v>0.31675347536797</v>
      </c>
      <c r="R215" s="40" t="n">
        <f aca="true">RAND()</f>
        <v>0.473244314332592</v>
      </c>
      <c r="S215" s="40" t="n">
        <f aca="true">RAND()</f>
        <v>0.53981831742781</v>
      </c>
      <c r="T215" s="40" t="n">
        <f aca="true">RAND()</f>
        <v>0.990117728663656</v>
      </c>
      <c r="U215" s="40" t="n">
        <f aca="true">RAND()</f>
        <v>0.621902471931789</v>
      </c>
    </row>
    <row r="216" customFormat="false" ht="15" hidden="false" customHeight="false" outlineLevel="0" collapsed="false">
      <c r="A216" s="36" t="n">
        <v>136</v>
      </c>
      <c r="B216" s="37" t="n">
        <f aca="false">1+IF($G$6=$E$6,$F$6,IF(P216&lt;($F$6-$E$6)/($G$6-$E$6),$E$6+SQRT(P216*($G$6-$E$6)*($F$6-$E$6)),$G$6-SQRT((1-P216)*($G$6-$E$6)*($G$6-$F$6))))</f>
        <v>1</v>
      </c>
      <c r="C216" s="37" t="n">
        <f aca="false">1+IF($G$7=$E$7,$F$7,IF(Q216&lt;($F$7-$E$7)/($G$7-$E$7),$E$7+SQRT(Q216*($G$7-$E$7)*($F$7-$E$7)),$G$7-SQRT((1-Q216)*($G$7-$E$7)*($G$7-$F$7))))</f>
        <v>1</v>
      </c>
      <c r="D216" s="37" t="n">
        <f aca="false">1+IF($G$8=$E$8,$F$8,IF(R216&lt;($F$8-$E$8)/($G$8-$E$8),$E$8+SQRT(R216*($G$8-$E$8)*($F$8-$E$8)),$G$8-SQRT((1-R216)*($G$8-$E$8)*($G$8-$F$8))))</f>
        <v>1</v>
      </c>
      <c r="E216" s="37" t="n">
        <f aca="false">1+IF($G$9=$E$9,$F$9,IF(S216&lt;($F$9-$E$9)/($G$9-$E$9),$E$9+SQRT(S216*($G$9-$E$9)*($F$9-$E$9)),$G$9-SQRT((1-S216)*($G$9-$E$9)*($G$9-$F$9))))</f>
        <v>1</v>
      </c>
      <c r="F216" s="37" t="n">
        <f aca="false">1+IF($G$10=$E$10,$F$10,IF(T216&lt;($F$10-$E$10)/($G$10-$E$10),$E$10+SQRT(T216*($G$10-$E$10)*($F$10-$E$10)),$G$10-SQRT((1-T216)*($G$10-$E$10)*($G$10-$F$10))))</f>
        <v>1</v>
      </c>
      <c r="G216" s="38" t="n">
        <f aca="false">IF($G$11=$E$11,$F$11,IF(U216&lt;($F$11-$E$11)/($G$11-$E$11),$E$11+SQRT(U216*($G$11-$E$11)*($F$11-$E$11)),$G$11-SQRT((1-U216)*($G$11-$E$11)*($G$11-$F$11))))</f>
        <v>0</v>
      </c>
      <c r="H216" s="39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0</v>
      </c>
      <c r="I216" s="39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0</v>
      </c>
      <c r="J216" s="39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0</v>
      </c>
      <c r="K216" s="39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0</v>
      </c>
      <c r="L216" s="39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0</v>
      </c>
      <c r="M216" s="39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0</v>
      </c>
      <c r="N216" s="39" t="str">
        <f aca="false">IF(COUNT('Business Case'!B11:G11)=0,"",H216+NPV(G216,I216:M216))</f>
        <v/>
      </c>
      <c r="P216" s="40" t="n">
        <f aca="true">RAND()</f>
        <v>0.126491549978535</v>
      </c>
      <c r="Q216" s="40" t="n">
        <f aca="true">RAND()</f>
        <v>0.253649162695701</v>
      </c>
      <c r="R216" s="40" t="n">
        <f aca="true">RAND()</f>
        <v>0.378308426465616</v>
      </c>
      <c r="S216" s="40" t="n">
        <f aca="true">RAND()</f>
        <v>0.423705861543059</v>
      </c>
      <c r="T216" s="40" t="n">
        <f aca="true">RAND()</f>
        <v>0.117325432535416</v>
      </c>
      <c r="U216" s="40" t="n">
        <f aca="true">RAND()</f>
        <v>0.649880810125167</v>
      </c>
    </row>
    <row r="217" customFormat="false" ht="15" hidden="false" customHeight="false" outlineLevel="0" collapsed="false">
      <c r="A217" s="36" t="n">
        <v>137</v>
      </c>
      <c r="B217" s="37" t="n">
        <f aca="false">1+IF($G$6=$E$6,$F$6,IF(P217&lt;($F$6-$E$6)/($G$6-$E$6),$E$6+SQRT(P217*($G$6-$E$6)*($F$6-$E$6)),$G$6-SQRT((1-P217)*($G$6-$E$6)*($G$6-$F$6))))</f>
        <v>1</v>
      </c>
      <c r="C217" s="37" t="n">
        <f aca="false">1+IF($G$7=$E$7,$F$7,IF(Q217&lt;($F$7-$E$7)/($G$7-$E$7),$E$7+SQRT(Q217*($G$7-$E$7)*($F$7-$E$7)),$G$7-SQRT((1-Q217)*($G$7-$E$7)*($G$7-$F$7))))</f>
        <v>1</v>
      </c>
      <c r="D217" s="37" t="n">
        <f aca="false">1+IF($G$8=$E$8,$F$8,IF(R217&lt;($F$8-$E$8)/($G$8-$E$8),$E$8+SQRT(R217*($G$8-$E$8)*($F$8-$E$8)),$G$8-SQRT((1-R217)*($G$8-$E$8)*($G$8-$F$8))))</f>
        <v>1</v>
      </c>
      <c r="E217" s="37" t="n">
        <f aca="false">1+IF($G$9=$E$9,$F$9,IF(S217&lt;($F$9-$E$9)/($G$9-$E$9),$E$9+SQRT(S217*($G$9-$E$9)*($F$9-$E$9)),$G$9-SQRT((1-S217)*($G$9-$E$9)*($G$9-$F$9))))</f>
        <v>1</v>
      </c>
      <c r="F217" s="37" t="n">
        <f aca="false">1+IF($G$10=$E$10,$F$10,IF(T217&lt;($F$10-$E$10)/($G$10-$E$10),$E$10+SQRT(T217*($G$10-$E$10)*($F$10-$E$10)),$G$10-SQRT((1-T217)*($G$10-$E$10)*($G$10-$F$10))))</f>
        <v>1</v>
      </c>
      <c r="G217" s="38" t="n">
        <f aca="false">IF($G$11=$E$11,$F$11,IF(U217&lt;($F$11-$E$11)/($G$11-$E$11),$E$11+SQRT(U217*($G$11-$E$11)*($F$11-$E$11)),$G$11-SQRT((1-U217)*($G$11-$E$11)*($G$11-$F$11))))</f>
        <v>0</v>
      </c>
      <c r="H217" s="39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0</v>
      </c>
      <c r="I217" s="39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0</v>
      </c>
      <c r="J217" s="39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0</v>
      </c>
      <c r="K217" s="39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0</v>
      </c>
      <c r="L217" s="39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0</v>
      </c>
      <c r="M217" s="39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0</v>
      </c>
      <c r="N217" s="39" t="str">
        <f aca="false">IF(COUNT('Business Case'!B11:G11)=0,"",H217+NPV(G217,I217:M217))</f>
        <v/>
      </c>
      <c r="P217" s="40" t="n">
        <f aca="true">RAND()</f>
        <v>0.208111304726239</v>
      </c>
      <c r="Q217" s="40" t="n">
        <f aca="true">RAND()</f>
        <v>0.946263913409416</v>
      </c>
      <c r="R217" s="40" t="n">
        <f aca="true">RAND()</f>
        <v>0.452243078802338</v>
      </c>
      <c r="S217" s="40" t="n">
        <f aca="true">RAND()</f>
        <v>0.362735708496149</v>
      </c>
      <c r="T217" s="40" t="n">
        <f aca="true">RAND()</f>
        <v>0.908667079496996</v>
      </c>
      <c r="U217" s="40" t="n">
        <f aca="true">RAND()</f>
        <v>0.778353264724122</v>
      </c>
    </row>
    <row r="218" customFormat="false" ht="15" hidden="false" customHeight="false" outlineLevel="0" collapsed="false">
      <c r="A218" s="36" t="n">
        <v>138</v>
      </c>
      <c r="B218" s="37" t="n">
        <f aca="false">1+IF($G$6=$E$6,$F$6,IF(P218&lt;($F$6-$E$6)/($G$6-$E$6),$E$6+SQRT(P218*($G$6-$E$6)*($F$6-$E$6)),$G$6-SQRT((1-P218)*($G$6-$E$6)*($G$6-$F$6))))</f>
        <v>1</v>
      </c>
      <c r="C218" s="37" t="n">
        <f aca="false">1+IF($G$7=$E$7,$F$7,IF(Q218&lt;($F$7-$E$7)/($G$7-$E$7),$E$7+SQRT(Q218*($G$7-$E$7)*($F$7-$E$7)),$G$7-SQRT((1-Q218)*($G$7-$E$7)*($G$7-$F$7))))</f>
        <v>1</v>
      </c>
      <c r="D218" s="37" t="n">
        <f aca="false">1+IF($G$8=$E$8,$F$8,IF(R218&lt;($F$8-$E$8)/($G$8-$E$8),$E$8+SQRT(R218*($G$8-$E$8)*($F$8-$E$8)),$G$8-SQRT((1-R218)*($G$8-$E$8)*($G$8-$F$8))))</f>
        <v>1</v>
      </c>
      <c r="E218" s="37" t="n">
        <f aca="false">1+IF($G$9=$E$9,$F$9,IF(S218&lt;($F$9-$E$9)/($G$9-$E$9),$E$9+SQRT(S218*($G$9-$E$9)*($F$9-$E$9)),$G$9-SQRT((1-S218)*($G$9-$E$9)*($G$9-$F$9))))</f>
        <v>1</v>
      </c>
      <c r="F218" s="37" t="n">
        <f aca="false">1+IF($G$10=$E$10,$F$10,IF(T218&lt;($F$10-$E$10)/($G$10-$E$10),$E$10+SQRT(T218*($G$10-$E$10)*($F$10-$E$10)),$G$10-SQRT((1-T218)*($G$10-$E$10)*($G$10-$F$10))))</f>
        <v>1</v>
      </c>
      <c r="G218" s="38" t="n">
        <f aca="false">IF($G$11=$E$11,$F$11,IF(U218&lt;($F$11-$E$11)/($G$11-$E$11),$E$11+SQRT(U218*($G$11-$E$11)*($F$11-$E$11)),$G$11-SQRT((1-U218)*($G$11-$E$11)*($G$11-$F$11))))</f>
        <v>0</v>
      </c>
      <c r="H218" s="39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0</v>
      </c>
      <c r="I218" s="39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0</v>
      </c>
      <c r="J218" s="39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0</v>
      </c>
      <c r="K218" s="39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0</v>
      </c>
      <c r="L218" s="39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0</v>
      </c>
      <c r="M218" s="39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0</v>
      </c>
      <c r="N218" s="39" t="str">
        <f aca="false">IF(COUNT('Business Case'!B11:G11)=0,"",H218+NPV(G218,I218:M218))</f>
        <v/>
      </c>
      <c r="P218" s="40" t="n">
        <f aca="true">RAND()</f>
        <v>0.757566954849383</v>
      </c>
      <c r="Q218" s="40" t="n">
        <f aca="true">RAND()</f>
        <v>0.32557067816316</v>
      </c>
      <c r="R218" s="40" t="n">
        <f aca="true">RAND()</f>
        <v>0.631408781037433</v>
      </c>
      <c r="S218" s="40" t="n">
        <f aca="true">RAND()</f>
        <v>0.48075777817567</v>
      </c>
      <c r="T218" s="40" t="n">
        <f aca="true">RAND()</f>
        <v>0.249003028761865</v>
      </c>
      <c r="U218" s="40" t="n">
        <f aca="true">RAND()</f>
        <v>0.212529148075947</v>
      </c>
    </row>
    <row r="219" customFormat="false" ht="15" hidden="false" customHeight="false" outlineLevel="0" collapsed="false">
      <c r="A219" s="36" t="n">
        <v>139</v>
      </c>
      <c r="B219" s="37" t="n">
        <f aca="false">1+IF($G$6=$E$6,$F$6,IF(P219&lt;($F$6-$E$6)/($G$6-$E$6),$E$6+SQRT(P219*($G$6-$E$6)*($F$6-$E$6)),$G$6-SQRT((1-P219)*($G$6-$E$6)*($G$6-$F$6))))</f>
        <v>1</v>
      </c>
      <c r="C219" s="37" t="n">
        <f aca="false">1+IF($G$7=$E$7,$F$7,IF(Q219&lt;($F$7-$E$7)/($G$7-$E$7),$E$7+SQRT(Q219*($G$7-$E$7)*($F$7-$E$7)),$G$7-SQRT((1-Q219)*($G$7-$E$7)*($G$7-$F$7))))</f>
        <v>1</v>
      </c>
      <c r="D219" s="37" t="n">
        <f aca="false">1+IF($G$8=$E$8,$F$8,IF(R219&lt;($F$8-$E$8)/($G$8-$E$8),$E$8+SQRT(R219*($G$8-$E$8)*($F$8-$E$8)),$G$8-SQRT((1-R219)*($G$8-$E$8)*($G$8-$F$8))))</f>
        <v>1</v>
      </c>
      <c r="E219" s="37" t="n">
        <f aca="false">1+IF($G$9=$E$9,$F$9,IF(S219&lt;($F$9-$E$9)/($G$9-$E$9),$E$9+SQRT(S219*($G$9-$E$9)*($F$9-$E$9)),$G$9-SQRT((1-S219)*($G$9-$E$9)*($G$9-$F$9))))</f>
        <v>1</v>
      </c>
      <c r="F219" s="37" t="n">
        <f aca="false">1+IF($G$10=$E$10,$F$10,IF(T219&lt;($F$10-$E$10)/($G$10-$E$10),$E$10+SQRT(T219*($G$10-$E$10)*($F$10-$E$10)),$G$10-SQRT((1-T219)*($G$10-$E$10)*($G$10-$F$10))))</f>
        <v>1</v>
      </c>
      <c r="G219" s="38" t="n">
        <f aca="false">IF($G$11=$E$11,$F$11,IF(U219&lt;($F$11-$E$11)/($G$11-$E$11),$E$11+SQRT(U219*($G$11-$E$11)*($F$11-$E$11)),$G$11-SQRT((1-U219)*($G$11-$E$11)*($G$11-$F$11))))</f>
        <v>0</v>
      </c>
      <c r="H219" s="39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0</v>
      </c>
      <c r="I219" s="39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0</v>
      </c>
      <c r="J219" s="39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0</v>
      </c>
      <c r="K219" s="39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0</v>
      </c>
      <c r="L219" s="39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0</v>
      </c>
      <c r="M219" s="39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0</v>
      </c>
      <c r="N219" s="39" t="str">
        <f aca="false">IF(COUNT('Business Case'!B11:G11)=0,"",H219+NPV(G219,I219:M219))</f>
        <v/>
      </c>
      <c r="P219" s="40" t="n">
        <f aca="true">RAND()</f>
        <v>0.222959795147198</v>
      </c>
      <c r="Q219" s="40" t="n">
        <f aca="true">RAND()</f>
        <v>0.538115498499164</v>
      </c>
      <c r="R219" s="40" t="n">
        <f aca="true">RAND()</f>
        <v>0.470120534790773</v>
      </c>
      <c r="S219" s="40" t="n">
        <f aca="true">RAND()</f>
        <v>0.43594431796106</v>
      </c>
      <c r="T219" s="40" t="n">
        <f aca="true">RAND()</f>
        <v>0.6531876086858</v>
      </c>
      <c r="U219" s="40" t="n">
        <f aca="true">RAND()</f>
        <v>0.927498137529157</v>
      </c>
    </row>
    <row r="220" customFormat="false" ht="15" hidden="false" customHeight="false" outlineLevel="0" collapsed="false">
      <c r="A220" s="36" t="n">
        <v>140</v>
      </c>
      <c r="B220" s="37" t="n">
        <f aca="false">1+IF($G$6=$E$6,$F$6,IF(P220&lt;($F$6-$E$6)/($G$6-$E$6),$E$6+SQRT(P220*($G$6-$E$6)*($F$6-$E$6)),$G$6-SQRT((1-P220)*($G$6-$E$6)*($G$6-$F$6))))</f>
        <v>1</v>
      </c>
      <c r="C220" s="37" t="n">
        <f aca="false">1+IF($G$7=$E$7,$F$7,IF(Q220&lt;($F$7-$E$7)/($G$7-$E$7),$E$7+SQRT(Q220*($G$7-$E$7)*($F$7-$E$7)),$G$7-SQRT((1-Q220)*($G$7-$E$7)*($G$7-$F$7))))</f>
        <v>1</v>
      </c>
      <c r="D220" s="37" t="n">
        <f aca="false">1+IF($G$8=$E$8,$F$8,IF(R220&lt;($F$8-$E$8)/($G$8-$E$8),$E$8+SQRT(R220*($G$8-$E$8)*($F$8-$E$8)),$G$8-SQRT((1-R220)*($G$8-$E$8)*($G$8-$F$8))))</f>
        <v>1</v>
      </c>
      <c r="E220" s="37" t="n">
        <f aca="false">1+IF($G$9=$E$9,$F$9,IF(S220&lt;($F$9-$E$9)/($G$9-$E$9),$E$9+SQRT(S220*($G$9-$E$9)*($F$9-$E$9)),$G$9-SQRT((1-S220)*($G$9-$E$9)*($G$9-$F$9))))</f>
        <v>1</v>
      </c>
      <c r="F220" s="37" t="n">
        <f aca="false">1+IF($G$10=$E$10,$F$10,IF(T220&lt;($F$10-$E$10)/($G$10-$E$10),$E$10+SQRT(T220*($G$10-$E$10)*($F$10-$E$10)),$G$10-SQRT((1-T220)*($G$10-$E$10)*($G$10-$F$10))))</f>
        <v>1</v>
      </c>
      <c r="G220" s="38" t="n">
        <f aca="false">IF($G$11=$E$11,$F$11,IF(U220&lt;($F$11-$E$11)/($G$11-$E$11),$E$11+SQRT(U220*($G$11-$E$11)*($F$11-$E$11)),$G$11-SQRT((1-U220)*($G$11-$E$11)*($G$11-$F$11))))</f>
        <v>0</v>
      </c>
      <c r="H220" s="39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0</v>
      </c>
      <c r="I220" s="39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0</v>
      </c>
      <c r="J220" s="39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0</v>
      </c>
      <c r="K220" s="39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0</v>
      </c>
      <c r="L220" s="39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0</v>
      </c>
      <c r="M220" s="39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0</v>
      </c>
      <c r="N220" s="39" t="str">
        <f aca="false">IF(COUNT('Business Case'!B11:G11)=0,"",H220+NPV(G220,I220:M220))</f>
        <v/>
      </c>
      <c r="P220" s="40" t="n">
        <f aca="true">RAND()</f>
        <v>0.323972746618519</v>
      </c>
      <c r="Q220" s="40" t="n">
        <f aca="true">RAND()</f>
        <v>0.507189116501724</v>
      </c>
      <c r="R220" s="40" t="n">
        <f aca="true">RAND()</f>
        <v>0.0567246422988064</v>
      </c>
      <c r="S220" s="40" t="n">
        <f aca="true">RAND()</f>
        <v>0.803681521405213</v>
      </c>
      <c r="T220" s="40" t="n">
        <f aca="true">RAND()</f>
        <v>0.854000016957129</v>
      </c>
      <c r="U220" s="40" t="n">
        <f aca="true">RAND()</f>
        <v>0.539506775741567</v>
      </c>
    </row>
    <row r="221" customFormat="false" ht="15" hidden="false" customHeight="false" outlineLevel="0" collapsed="false">
      <c r="A221" s="36" t="n">
        <v>141</v>
      </c>
      <c r="B221" s="37" t="n">
        <f aca="false">1+IF($G$6=$E$6,$F$6,IF(P221&lt;($F$6-$E$6)/($G$6-$E$6),$E$6+SQRT(P221*($G$6-$E$6)*($F$6-$E$6)),$G$6-SQRT((1-P221)*($G$6-$E$6)*($G$6-$F$6))))</f>
        <v>1</v>
      </c>
      <c r="C221" s="37" t="n">
        <f aca="false">1+IF($G$7=$E$7,$F$7,IF(Q221&lt;($F$7-$E$7)/($G$7-$E$7),$E$7+SQRT(Q221*($G$7-$E$7)*($F$7-$E$7)),$G$7-SQRT((1-Q221)*($G$7-$E$7)*($G$7-$F$7))))</f>
        <v>1</v>
      </c>
      <c r="D221" s="37" t="n">
        <f aca="false">1+IF($G$8=$E$8,$F$8,IF(R221&lt;($F$8-$E$8)/($G$8-$E$8),$E$8+SQRT(R221*($G$8-$E$8)*($F$8-$E$8)),$G$8-SQRT((1-R221)*($G$8-$E$8)*($G$8-$F$8))))</f>
        <v>1</v>
      </c>
      <c r="E221" s="37" t="n">
        <f aca="false">1+IF($G$9=$E$9,$F$9,IF(S221&lt;($F$9-$E$9)/($G$9-$E$9),$E$9+SQRT(S221*($G$9-$E$9)*($F$9-$E$9)),$G$9-SQRT((1-S221)*($G$9-$E$9)*($G$9-$F$9))))</f>
        <v>1</v>
      </c>
      <c r="F221" s="37" t="n">
        <f aca="false">1+IF($G$10=$E$10,$F$10,IF(T221&lt;($F$10-$E$10)/($G$10-$E$10),$E$10+SQRT(T221*($G$10-$E$10)*($F$10-$E$10)),$G$10-SQRT((1-T221)*($G$10-$E$10)*($G$10-$F$10))))</f>
        <v>1</v>
      </c>
      <c r="G221" s="38" t="n">
        <f aca="false">IF($G$11=$E$11,$F$11,IF(U221&lt;($F$11-$E$11)/($G$11-$E$11),$E$11+SQRT(U221*($G$11-$E$11)*($F$11-$E$11)),$G$11-SQRT((1-U221)*($G$11-$E$11)*($G$11-$F$11))))</f>
        <v>0</v>
      </c>
      <c r="H221" s="39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0</v>
      </c>
      <c r="I221" s="39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0</v>
      </c>
      <c r="J221" s="39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0</v>
      </c>
      <c r="K221" s="39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0</v>
      </c>
      <c r="L221" s="39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0</v>
      </c>
      <c r="M221" s="39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0</v>
      </c>
      <c r="N221" s="39" t="str">
        <f aca="false">IF(COUNT('Business Case'!B11:G11)=0,"",H221+NPV(G221,I221:M221))</f>
        <v/>
      </c>
      <c r="P221" s="40" t="n">
        <f aca="true">RAND()</f>
        <v>0.17393127875427</v>
      </c>
      <c r="Q221" s="40" t="n">
        <f aca="true">RAND()</f>
        <v>0.960436051162138</v>
      </c>
      <c r="R221" s="40" t="n">
        <f aca="true">RAND()</f>
        <v>0.732570186598167</v>
      </c>
      <c r="S221" s="40" t="n">
        <f aca="true">RAND()</f>
        <v>0.83700277421722</v>
      </c>
      <c r="T221" s="40" t="n">
        <f aca="true">RAND()</f>
        <v>0.982032169879587</v>
      </c>
      <c r="U221" s="40" t="n">
        <f aca="true">RAND()</f>
        <v>0.905334502816927</v>
      </c>
    </row>
    <row r="222" customFormat="false" ht="15" hidden="false" customHeight="false" outlineLevel="0" collapsed="false">
      <c r="A222" s="36" t="n">
        <v>142</v>
      </c>
      <c r="B222" s="37" t="n">
        <f aca="false">1+IF($G$6=$E$6,$F$6,IF(P222&lt;($F$6-$E$6)/($G$6-$E$6),$E$6+SQRT(P222*($G$6-$E$6)*($F$6-$E$6)),$G$6-SQRT((1-P222)*($G$6-$E$6)*($G$6-$F$6))))</f>
        <v>1</v>
      </c>
      <c r="C222" s="37" t="n">
        <f aca="false">1+IF($G$7=$E$7,$F$7,IF(Q222&lt;($F$7-$E$7)/($G$7-$E$7),$E$7+SQRT(Q222*($G$7-$E$7)*($F$7-$E$7)),$G$7-SQRT((1-Q222)*($G$7-$E$7)*($G$7-$F$7))))</f>
        <v>1</v>
      </c>
      <c r="D222" s="37" t="n">
        <f aca="false">1+IF($G$8=$E$8,$F$8,IF(R222&lt;($F$8-$E$8)/($G$8-$E$8),$E$8+SQRT(R222*($G$8-$E$8)*($F$8-$E$8)),$G$8-SQRT((1-R222)*($G$8-$E$8)*($G$8-$F$8))))</f>
        <v>1</v>
      </c>
      <c r="E222" s="37" t="n">
        <f aca="false">1+IF($G$9=$E$9,$F$9,IF(S222&lt;($F$9-$E$9)/($G$9-$E$9),$E$9+SQRT(S222*($G$9-$E$9)*($F$9-$E$9)),$G$9-SQRT((1-S222)*($G$9-$E$9)*($G$9-$F$9))))</f>
        <v>1</v>
      </c>
      <c r="F222" s="37" t="n">
        <f aca="false">1+IF($G$10=$E$10,$F$10,IF(T222&lt;($F$10-$E$10)/($G$10-$E$10),$E$10+SQRT(T222*($G$10-$E$10)*($F$10-$E$10)),$G$10-SQRT((1-T222)*($G$10-$E$10)*($G$10-$F$10))))</f>
        <v>1</v>
      </c>
      <c r="G222" s="38" t="n">
        <f aca="false">IF($G$11=$E$11,$F$11,IF(U222&lt;($F$11-$E$11)/($G$11-$E$11),$E$11+SQRT(U222*($G$11-$E$11)*($F$11-$E$11)),$G$11-SQRT((1-U222)*($G$11-$E$11)*($G$11-$F$11))))</f>
        <v>0</v>
      </c>
      <c r="H222" s="39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0</v>
      </c>
      <c r="I222" s="39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0</v>
      </c>
      <c r="J222" s="39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0</v>
      </c>
      <c r="K222" s="39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0</v>
      </c>
      <c r="L222" s="39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0</v>
      </c>
      <c r="M222" s="39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0</v>
      </c>
      <c r="N222" s="39" t="str">
        <f aca="false">IF(COUNT('Business Case'!B11:G11)=0,"",H222+NPV(G222,I222:M222))</f>
        <v/>
      </c>
      <c r="P222" s="40" t="n">
        <f aca="true">RAND()</f>
        <v>0.346163311954532</v>
      </c>
      <c r="Q222" s="40" t="n">
        <f aca="true">RAND()</f>
        <v>0.597183058947844</v>
      </c>
      <c r="R222" s="40" t="n">
        <f aca="true">RAND()</f>
        <v>0.292267312360791</v>
      </c>
      <c r="S222" s="40" t="n">
        <f aca="true">RAND()</f>
        <v>0.220984818870985</v>
      </c>
      <c r="T222" s="40" t="n">
        <f aca="true">RAND()</f>
        <v>0.583648466138786</v>
      </c>
      <c r="U222" s="40" t="n">
        <f aca="true">RAND()</f>
        <v>0.567446245690888</v>
      </c>
    </row>
    <row r="223" customFormat="false" ht="15" hidden="false" customHeight="false" outlineLevel="0" collapsed="false">
      <c r="A223" s="36" t="n">
        <v>143</v>
      </c>
      <c r="B223" s="37" t="n">
        <f aca="false">1+IF($G$6=$E$6,$F$6,IF(P223&lt;($F$6-$E$6)/($G$6-$E$6),$E$6+SQRT(P223*($G$6-$E$6)*($F$6-$E$6)),$G$6-SQRT((1-P223)*($G$6-$E$6)*($G$6-$F$6))))</f>
        <v>1</v>
      </c>
      <c r="C223" s="37" t="n">
        <f aca="false">1+IF($G$7=$E$7,$F$7,IF(Q223&lt;($F$7-$E$7)/($G$7-$E$7),$E$7+SQRT(Q223*($G$7-$E$7)*($F$7-$E$7)),$G$7-SQRT((1-Q223)*($G$7-$E$7)*($G$7-$F$7))))</f>
        <v>1</v>
      </c>
      <c r="D223" s="37" t="n">
        <f aca="false">1+IF($G$8=$E$8,$F$8,IF(R223&lt;($F$8-$E$8)/($G$8-$E$8),$E$8+SQRT(R223*($G$8-$E$8)*($F$8-$E$8)),$G$8-SQRT((1-R223)*($G$8-$E$8)*($G$8-$F$8))))</f>
        <v>1</v>
      </c>
      <c r="E223" s="37" t="n">
        <f aca="false">1+IF($G$9=$E$9,$F$9,IF(S223&lt;($F$9-$E$9)/($G$9-$E$9),$E$9+SQRT(S223*($G$9-$E$9)*($F$9-$E$9)),$G$9-SQRT((1-S223)*($G$9-$E$9)*($G$9-$F$9))))</f>
        <v>1</v>
      </c>
      <c r="F223" s="37" t="n">
        <f aca="false">1+IF($G$10=$E$10,$F$10,IF(T223&lt;($F$10-$E$10)/($G$10-$E$10),$E$10+SQRT(T223*($G$10-$E$10)*($F$10-$E$10)),$G$10-SQRT((1-T223)*($G$10-$E$10)*($G$10-$F$10))))</f>
        <v>1</v>
      </c>
      <c r="G223" s="38" t="n">
        <f aca="false">IF($G$11=$E$11,$F$11,IF(U223&lt;($F$11-$E$11)/($G$11-$E$11),$E$11+SQRT(U223*($G$11-$E$11)*($F$11-$E$11)),$G$11-SQRT((1-U223)*($G$11-$E$11)*($G$11-$F$11))))</f>
        <v>0</v>
      </c>
      <c r="H223" s="39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0</v>
      </c>
      <c r="I223" s="39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0</v>
      </c>
      <c r="J223" s="39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0</v>
      </c>
      <c r="K223" s="39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0</v>
      </c>
      <c r="L223" s="39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0</v>
      </c>
      <c r="M223" s="39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0</v>
      </c>
      <c r="N223" s="39" t="str">
        <f aca="false">IF(COUNT('Business Case'!B11:G11)=0,"",H223+NPV(G223,I223:M223))</f>
        <v/>
      </c>
      <c r="P223" s="40" t="n">
        <f aca="true">RAND()</f>
        <v>0.439420555921242</v>
      </c>
      <c r="Q223" s="40" t="n">
        <f aca="true">RAND()</f>
        <v>0.90595334428076</v>
      </c>
      <c r="R223" s="40" t="n">
        <f aca="true">RAND()</f>
        <v>0.127350986239071</v>
      </c>
      <c r="S223" s="40" t="n">
        <f aca="true">RAND()</f>
        <v>0.719170604878391</v>
      </c>
      <c r="T223" s="40" t="n">
        <f aca="true">RAND()</f>
        <v>0.270683186318143</v>
      </c>
      <c r="U223" s="40" t="n">
        <f aca="true">RAND()</f>
        <v>0.62096192429514</v>
      </c>
    </row>
    <row r="224" customFormat="false" ht="15" hidden="false" customHeight="false" outlineLevel="0" collapsed="false">
      <c r="A224" s="36" t="n">
        <v>144</v>
      </c>
      <c r="B224" s="37" t="n">
        <f aca="false">1+IF($G$6=$E$6,$F$6,IF(P224&lt;($F$6-$E$6)/($G$6-$E$6),$E$6+SQRT(P224*($G$6-$E$6)*($F$6-$E$6)),$G$6-SQRT((1-P224)*($G$6-$E$6)*($G$6-$F$6))))</f>
        <v>1</v>
      </c>
      <c r="C224" s="37" t="n">
        <f aca="false">1+IF($G$7=$E$7,$F$7,IF(Q224&lt;($F$7-$E$7)/($G$7-$E$7),$E$7+SQRT(Q224*($G$7-$E$7)*($F$7-$E$7)),$G$7-SQRT((1-Q224)*($G$7-$E$7)*($G$7-$F$7))))</f>
        <v>1</v>
      </c>
      <c r="D224" s="37" t="n">
        <f aca="false">1+IF($G$8=$E$8,$F$8,IF(R224&lt;($F$8-$E$8)/($G$8-$E$8),$E$8+SQRT(R224*($G$8-$E$8)*($F$8-$E$8)),$G$8-SQRT((1-R224)*($G$8-$E$8)*($G$8-$F$8))))</f>
        <v>1</v>
      </c>
      <c r="E224" s="37" t="n">
        <f aca="false">1+IF($G$9=$E$9,$F$9,IF(S224&lt;($F$9-$E$9)/($G$9-$E$9),$E$9+SQRT(S224*($G$9-$E$9)*($F$9-$E$9)),$G$9-SQRT((1-S224)*($G$9-$E$9)*($G$9-$F$9))))</f>
        <v>1</v>
      </c>
      <c r="F224" s="37" t="n">
        <f aca="false">1+IF($G$10=$E$10,$F$10,IF(T224&lt;($F$10-$E$10)/($G$10-$E$10),$E$10+SQRT(T224*($G$10-$E$10)*($F$10-$E$10)),$G$10-SQRT((1-T224)*($G$10-$E$10)*($G$10-$F$10))))</f>
        <v>1</v>
      </c>
      <c r="G224" s="38" t="n">
        <f aca="false">IF($G$11=$E$11,$F$11,IF(U224&lt;($F$11-$E$11)/($G$11-$E$11),$E$11+SQRT(U224*($G$11-$E$11)*($F$11-$E$11)),$G$11-SQRT((1-U224)*($G$11-$E$11)*($G$11-$F$11))))</f>
        <v>0</v>
      </c>
      <c r="H224" s="39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0</v>
      </c>
      <c r="I224" s="39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0</v>
      </c>
      <c r="J224" s="39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0</v>
      </c>
      <c r="K224" s="39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0</v>
      </c>
      <c r="L224" s="39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0</v>
      </c>
      <c r="M224" s="39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0</v>
      </c>
      <c r="N224" s="39" t="str">
        <f aca="false">IF(COUNT('Business Case'!B11:G11)=0,"",H224+NPV(G224,I224:M224))</f>
        <v/>
      </c>
      <c r="P224" s="40" t="n">
        <f aca="true">RAND()</f>
        <v>0.126835398889412</v>
      </c>
      <c r="Q224" s="40" t="n">
        <f aca="true">RAND()</f>
        <v>0.723676906793701</v>
      </c>
      <c r="R224" s="40" t="n">
        <f aca="true">RAND()</f>
        <v>0.499271291152295</v>
      </c>
      <c r="S224" s="40" t="n">
        <f aca="true">RAND()</f>
        <v>0.867601480208682</v>
      </c>
      <c r="T224" s="40" t="n">
        <f aca="true">RAND()</f>
        <v>0.903024143546394</v>
      </c>
      <c r="U224" s="40" t="n">
        <f aca="true">RAND()</f>
        <v>0.0822841953961605</v>
      </c>
    </row>
    <row r="225" customFormat="false" ht="15" hidden="false" customHeight="false" outlineLevel="0" collapsed="false">
      <c r="A225" s="36" t="n">
        <v>145</v>
      </c>
      <c r="B225" s="37" t="n">
        <f aca="false">1+IF($G$6=$E$6,$F$6,IF(P225&lt;($F$6-$E$6)/($G$6-$E$6),$E$6+SQRT(P225*($G$6-$E$6)*($F$6-$E$6)),$G$6-SQRT((1-P225)*($G$6-$E$6)*($G$6-$F$6))))</f>
        <v>1</v>
      </c>
      <c r="C225" s="37" t="n">
        <f aca="false">1+IF($G$7=$E$7,$F$7,IF(Q225&lt;($F$7-$E$7)/($G$7-$E$7),$E$7+SQRT(Q225*($G$7-$E$7)*($F$7-$E$7)),$G$7-SQRT((1-Q225)*($G$7-$E$7)*($G$7-$F$7))))</f>
        <v>1</v>
      </c>
      <c r="D225" s="37" t="n">
        <f aca="false">1+IF($G$8=$E$8,$F$8,IF(R225&lt;($F$8-$E$8)/($G$8-$E$8),$E$8+SQRT(R225*($G$8-$E$8)*($F$8-$E$8)),$G$8-SQRT((1-R225)*($G$8-$E$8)*($G$8-$F$8))))</f>
        <v>1</v>
      </c>
      <c r="E225" s="37" t="n">
        <f aca="false">1+IF($G$9=$E$9,$F$9,IF(S225&lt;($F$9-$E$9)/($G$9-$E$9),$E$9+SQRT(S225*($G$9-$E$9)*($F$9-$E$9)),$G$9-SQRT((1-S225)*($G$9-$E$9)*($G$9-$F$9))))</f>
        <v>1</v>
      </c>
      <c r="F225" s="37" t="n">
        <f aca="false">1+IF($G$10=$E$10,$F$10,IF(T225&lt;($F$10-$E$10)/($G$10-$E$10),$E$10+SQRT(T225*($G$10-$E$10)*($F$10-$E$10)),$G$10-SQRT((1-T225)*($G$10-$E$10)*($G$10-$F$10))))</f>
        <v>1</v>
      </c>
      <c r="G225" s="38" t="n">
        <f aca="false">IF($G$11=$E$11,$F$11,IF(U225&lt;($F$11-$E$11)/($G$11-$E$11),$E$11+SQRT(U225*($G$11-$E$11)*($F$11-$E$11)),$G$11-SQRT((1-U225)*($G$11-$E$11)*($G$11-$F$11))))</f>
        <v>0</v>
      </c>
      <c r="H225" s="39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0</v>
      </c>
      <c r="I225" s="39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0</v>
      </c>
      <c r="J225" s="39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0</v>
      </c>
      <c r="K225" s="39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0</v>
      </c>
      <c r="L225" s="39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0</v>
      </c>
      <c r="M225" s="39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0</v>
      </c>
      <c r="N225" s="39" t="str">
        <f aca="false">IF(COUNT('Business Case'!B11:G11)=0,"",H225+NPV(G225,I225:M225))</f>
        <v/>
      </c>
      <c r="P225" s="40" t="n">
        <f aca="true">RAND()</f>
        <v>0.202964215256931</v>
      </c>
      <c r="Q225" s="40" t="n">
        <f aca="true">RAND()</f>
        <v>0.308722485592052</v>
      </c>
      <c r="R225" s="40" t="n">
        <f aca="true">RAND()</f>
        <v>0.564113247938515</v>
      </c>
      <c r="S225" s="40" t="n">
        <f aca="true">RAND()</f>
        <v>0.956629984299908</v>
      </c>
      <c r="T225" s="40" t="n">
        <f aca="true">RAND()</f>
        <v>0.745594127299177</v>
      </c>
      <c r="U225" s="40" t="n">
        <f aca="true">RAND()</f>
        <v>0.345454558015705</v>
      </c>
    </row>
    <row r="226" customFormat="false" ht="15" hidden="false" customHeight="false" outlineLevel="0" collapsed="false">
      <c r="A226" s="36" t="n">
        <v>146</v>
      </c>
      <c r="B226" s="37" t="n">
        <f aca="false">1+IF($G$6=$E$6,$F$6,IF(P226&lt;($F$6-$E$6)/($G$6-$E$6),$E$6+SQRT(P226*($G$6-$E$6)*($F$6-$E$6)),$G$6-SQRT((1-P226)*($G$6-$E$6)*($G$6-$F$6))))</f>
        <v>1</v>
      </c>
      <c r="C226" s="37" t="n">
        <f aca="false">1+IF($G$7=$E$7,$F$7,IF(Q226&lt;($F$7-$E$7)/($G$7-$E$7),$E$7+SQRT(Q226*($G$7-$E$7)*($F$7-$E$7)),$G$7-SQRT((1-Q226)*($G$7-$E$7)*($G$7-$F$7))))</f>
        <v>1</v>
      </c>
      <c r="D226" s="37" t="n">
        <f aca="false">1+IF($G$8=$E$8,$F$8,IF(R226&lt;($F$8-$E$8)/($G$8-$E$8),$E$8+SQRT(R226*($G$8-$E$8)*($F$8-$E$8)),$G$8-SQRT((1-R226)*($G$8-$E$8)*($G$8-$F$8))))</f>
        <v>1</v>
      </c>
      <c r="E226" s="37" t="n">
        <f aca="false">1+IF($G$9=$E$9,$F$9,IF(S226&lt;($F$9-$E$9)/($G$9-$E$9),$E$9+SQRT(S226*($G$9-$E$9)*($F$9-$E$9)),$G$9-SQRT((1-S226)*($G$9-$E$9)*($G$9-$F$9))))</f>
        <v>1</v>
      </c>
      <c r="F226" s="37" t="n">
        <f aca="false">1+IF($G$10=$E$10,$F$10,IF(T226&lt;($F$10-$E$10)/($G$10-$E$10),$E$10+SQRT(T226*($G$10-$E$10)*($F$10-$E$10)),$G$10-SQRT((1-T226)*($G$10-$E$10)*($G$10-$F$10))))</f>
        <v>1</v>
      </c>
      <c r="G226" s="38" t="n">
        <f aca="false">IF($G$11=$E$11,$F$11,IF(U226&lt;($F$11-$E$11)/($G$11-$E$11),$E$11+SQRT(U226*($G$11-$E$11)*($F$11-$E$11)),$G$11-SQRT((1-U226)*($G$11-$E$11)*($G$11-$F$11))))</f>
        <v>0</v>
      </c>
      <c r="H226" s="39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0</v>
      </c>
      <c r="I226" s="39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0</v>
      </c>
      <c r="J226" s="39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0</v>
      </c>
      <c r="K226" s="39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0</v>
      </c>
      <c r="L226" s="39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0</v>
      </c>
      <c r="M226" s="39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0</v>
      </c>
      <c r="N226" s="39" t="str">
        <f aca="false">IF(COUNT('Business Case'!B11:G11)=0,"",H226+NPV(G226,I226:M226))</f>
        <v/>
      </c>
      <c r="P226" s="40" t="n">
        <f aca="true">RAND()</f>
        <v>0.146715855418582</v>
      </c>
      <c r="Q226" s="40" t="n">
        <f aca="true">RAND()</f>
        <v>0.935478905240994</v>
      </c>
      <c r="R226" s="40" t="n">
        <f aca="true">RAND()</f>
        <v>0.164439211452388</v>
      </c>
      <c r="S226" s="40" t="n">
        <f aca="true">RAND()</f>
        <v>0.170957439672816</v>
      </c>
      <c r="T226" s="40" t="n">
        <f aca="true">RAND()</f>
        <v>0.221649995508237</v>
      </c>
      <c r="U226" s="40" t="n">
        <f aca="true">RAND()</f>
        <v>0.808937695543467</v>
      </c>
    </row>
    <row r="227" customFormat="false" ht="15" hidden="false" customHeight="false" outlineLevel="0" collapsed="false">
      <c r="A227" s="36" t="n">
        <v>147</v>
      </c>
      <c r="B227" s="37" t="n">
        <f aca="false">1+IF($G$6=$E$6,$F$6,IF(P227&lt;($F$6-$E$6)/($G$6-$E$6),$E$6+SQRT(P227*($G$6-$E$6)*($F$6-$E$6)),$G$6-SQRT((1-P227)*($G$6-$E$6)*($G$6-$F$6))))</f>
        <v>1</v>
      </c>
      <c r="C227" s="37" t="n">
        <f aca="false">1+IF($G$7=$E$7,$F$7,IF(Q227&lt;($F$7-$E$7)/($G$7-$E$7),$E$7+SQRT(Q227*($G$7-$E$7)*($F$7-$E$7)),$G$7-SQRT((1-Q227)*($G$7-$E$7)*($G$7-$F$7))))</f>
        <v>1</v>
      </c>
      <c r="D227" s="37" t="n">
        <f aca="false">1+IF($G$8=$E$8,$F$8,IF(R227&lt;($F$8-$E$8)/($G$8-$E$8),$E$8+SQRT(R227*($G$8-$E$8)*($F$8-$E$8)),$G$8-SQRT((1-R227)*($G$8-$E$8)*($G$8-$F$8))))</f>
        <v>1</v>
      </c>
      <c r="E227" s="37" t="n">
        <f aca="false">1+IF($G$9=$E$9,$F$9,IF(S227&lt;($F$9-$E$9)/($G$9-$E$9),$E$9+SQRT(S227*($G$9-$E$9)*($F$9-$E$9)),$G$9-SQRT((1-S227)*($G$9-$E$9)*($G$9-$F$9))))</f>
        <v>1</v>
      </c>
      <c r="F227" s="37" t="n">
        <f aca="false">1+IF($G$10=$E$10,$F$10,IF(T227&lt;($F$10-$E$10)/($G$10-$E$10),$E$10+SQRT(T227*($G$10-$E$10)*($F$10-$E$10)),$G$10-SQRT((1-T227)*($G$10-$E$10)*($G$10-$F$10))))</f>
        <v>1</v>
      </c>
      <c r="G227" s="38" t="n">
        <f aca="false">IF($G$11=$E$11,$F$11,IF(U227&lt;($F$11-$E$11)/($G$11-$E$11),$E$11+SQRT(U227*($G$11-$E$11)*($F$11-$E$11)),$G$11-SQRT((1-U227)*($G$11-$E$11)*($G$11-$F$11))))</f>
        <v>0</v>
      </c>
      <c r="H227" s="39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0</v>
      </c>
      <c r="I227" s="39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0</v>
      </c>
      <c r="J227" s="39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0</v>
      </c>
      <c r="K227" s="39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0</v>
      </c>
      <c r="L227" s="39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0</v>
      </c>
      <c r="M227" s="39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0</v>
      </c>
      <c r="N227" s="39" t="str">
        <f aca="false">IF(COUNT('Business Case'!B11:G11)=0,"",H227+NPV(G227,I227:M227))</f>
        <v/>
      </c>
      <c r="P227" s="40" t="n">
        <f aca="true">RAND()</f>
        <v>0.946552224494146</v>
      </c>
      <c r="Q227" s="40" t="n">
        <f aca="true">RAND()</f>
        <v>0.732466610505265</v>
      </c>
      <c r="R227" s="40" t="n">
        <f aca="true">RAND()</f>
        <v>0.386140954242391</v>
      </c>
      <c r="S227" s="40" t="n">
        <f aca="true">RAND()</f>
        <v>0.679851175977725</v>
      </c>
      <c r="T227" s="40" t="n">
        <f aca="true">RAND()</f>
        <v>0.422752514585881</v>
      </c>
      <c r="U227" s="40" t="n">
        <f aca="true">RAND()</f>
        <v>0.446798820372773</v>
      </c>
    </row>
    <row r="228" customFormat="false" ht="15" hidden="false" customHeight="false" outlineLevel="0" collapsed="false">
      <c r="A228" s="36" t="n">
        <v>148</v>
      </c>
      <c r="B228" s="37" t="n">
        <f aca="false">1+IF($G$6=$E$6,$F$6,IF(P228&lt;($F$6-$E$6)/($G$6-$E$6),$E$6+SQRT(P228*($G$6-$E$6)*($F$6-$E$6)),$G$6-SQRT((1-P228)*($G$6-$E$6)*($G$6-$F$6))))</f>
        <v>1</v>
      </c>
      <c r="C228" s="37" t="n">
        <f aca="false">1+IF($G$7=$E$7,$F$7,IF(Q228&lt;($F$7-$E$7)/($G$7-$E$7),$E$7+SQRT(Q228*($G$7-$E$7)*($F$7-$E$7)),$G$7-SQRT((1-Q228)*($G$7-$E$7)*($G$7-$F$7))))</f>
        <v>1</v>
      </c>
      <c r="D228" s="37" t="n">
        <f aca="false">1+IF($G$8=$E$8,$F$8,IF(R228&lt;($F$8-$E$8)/($G$8-$E$8),$E$8+SQRT(R228*($G$8-$E$8)*($F$8-$E$8)),$G$8-SQRT((1-R228)*($G$8-$E$8)*($G$8-$F$8))))</f>
        <v>1</v>
      </c>
      <c r="E228" s="37" t="n">
        <f aca="false">1+IF($G$9=$E$9,$F$9,IF(S228&lt;($F$9-$E$9)/($G$9-$E$9),$E$9+SQRT(S228*($G$9-$E$9)*($F$9-$E$9)),$G$9-SQRT((1-S228)*($G$9-$E$9)*($G$9-$F$9))))</f>
        <v>1</v>
      </c>
      <c r="F228" s="37" t="n">
        <f aca="false">1+IF($G$10=$E$10,$F$10,IF(T228&lt;($F$10-$E$10)/($G$10-$E$10),$E$10+SQRT(T228*($G$10-$E$10)*($F$10-$E$10)),$G$10-SQRT((1-T228)*($G$10-$E$10)*($G$10-$F$10))))</f>
        <v>1</v>
      </c>
      <c r="G228" s="38" t="n">
        <f aca="false">IF($G$11=$E$11,$F$11,IF(U228&lt;($F$11-$E$11)/($G$11-$E$11),$E$11+SQRT(U228*($G$11-$E$11)*($F$11-$E$11)),$G$11-SQRT((1-U228)*($G$11-$E$11)*($G$11-$F$11))))</f>
        <v>0</v>
      </c>
      <c r="H228" s="39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0</v>
      </c>
      <c r="I228" s="39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0</v>
      </c>
      <c r="J228" s="39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0</v>
      </c>
      <c r="K228" s="39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0</v>
      </c>
      <c r="L228" s="39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0</v>
      </c>
      <c r="M228" s="39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0</v>
      </c>
      <c r="N228" s="39" t="str">
        <f aca="false">IF(COUNT('Business Case'!B11:G11)=0,"",H228+NPV(G228,I228:M228))</f>
        <v/>
      </c>
      <c r="P228" s="40" t="n">
        <f aca="true">RAND()</f>
        <v>0.408036315036789</v>
      </c>
      <c r="Q228" s="40" t="n">
        <f aca="true">RAND()</f>
        <v>0.954875910529206</v>
      </c>
      <c r="R228" s="40" t="n">
        <f aca="true">RAND()</f>
        <v>0.379390735350965</v>
      </c>
      <c r="S228" s="40" t="n">
        <f aca="true">RAND()</f>
        <v>0.479719413909747</v>
      </c>
      <c r="T228" s="40" t="n">
        <f aca="true">RAND()</f>
        <v>0.942713122379216</v>
      </c>
      <c r="U228" s="40" t="n">
        <f aca="true">RAND()</f>
        <v>0.0620295552526746</v>
      </c>
    </row>
    <row r="229" customFormat="false" ht="15" hidden="false" customHeight="false" outlineLevel="0" collapsed="false">
      <c r="A229" s="36" t="n">
        <v>149</v>
      </c>
      <c r="B229" s="37" t="n">
        <f aca="false">1+IF($G$6=$E$6,$F$6,IF(P229&lt;($F$6-$E$6)/($G$6-$E$6),$E$6+SQRT(P229*($G$6-$E$6)*($F$6-$E$6)),$G$6-SQRT((1-P229)*($G$6-$E$6)*($G$6-$F$6))))</f>
        <v>1</v>
      </c>
      <c r="C229" s="37" t="n">
        <f aca="false">1+IF($G$7=$E$7,$F$7,IF(Q229&lt;($F$7-$E$7)/($G$7-$E$7),$E$7+SQRT(Q229*($G$7-$E$7)*($F$7-$E$7)),$G$7-SQRT((1-Q229)*($G$7-$E$7)*($G$7-$F$7))))</f>
        <v>1</v>
      </c>
      <c r="D229" s="37" t="n">
        <f aca="false">1+IF($G$8=$E$8,$F$8,IF(R229&lt;($F$8-$E$8)/($G$8-$E$8),$E$8+SQRT(R229*($G$8-$E$8)*($F$8-$E$8)),$G$8-SQRT((1-R229)*($G$8-$E$8)*($G$8-$F$8))))</f>
        <v>1</v>
      </c>
      <c r="E229" s="37" t="n">
        <f aca="false">1+IF($G$9=$E$9,$F$9,IF(S229&lt;($F$9-$E$9)/($G$9-$E$9),$E$9+SQRT(S229*($G$9-$E$9)*($F$9-$E$9)),$G$9-SQRT((1-S229)*($G$9-$E$9)*($G$9-$F$9))))</f>
        <v>1</v>
      </c>
      <c r="F229" s="37" t="n">
        <f aca="false">1+IF($G$10=$E$10,$F$10,IF(T229&lt;($F$10-$E$10)/($G$10-$E$10),$E$10+SQRT(T229*($G$10-$E$10)*($F$10-$E$10)),$G$10-SQRT((1-T229)*($G$10-$E$10)*($G$10-$F$10))))</f>
        <v>1</v>
      </c>
      <c r="G229" s="38" t="n">
        <f aca="false">IF($G$11=$E$11,$F$11,IF(U229&lt;($F$11-$E$11)/($G$11-$E$11),$E$11+SQRT(U229*($G$11-$E$11)*($F$11-$E$11)),$G$11-SQRT((1-U229)*($G$11-$E$11)*($G$11-$F$11))))</f>
        <v>0</v>
      </c>
      <c r="H229" s="39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0</v>
      </c>
      <c r="I229" s="39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0</v>
      </c>
      <c r="J229" s="39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0</v>
      </c>
      <c r="K229" s="39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0</v>
      </c>
      <c r="L229" s="39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0</v>
      </c>
      <c r="M229" s="39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0</v>
      </c>
      <c r="N229" s="39" t="str">
        <f aca="false">IF(COUNT('Business Case'!B11:G11)=0,"",H229+NPV(G229,I229:M229))</f>
        <v/>
      </c>
      <c r="P229" s="40" t="n">
        <f aca="true">RAND()</f>
        <v>0.402795951890427</v>
      </c>
      <c r="Q229" s="40" t="n">
        <f aca="true">RAND()</f>
        <v>0.159127919607165</v>
      </c>
      <c r="R229" s="40" t="n">
        <f aca="true">RAND()</f>
        <v>0.274822090959222</v>
      </c>
      <c r="S229" s="40" t="n">
        <f aca="true">RAND()</f>
        <v>0.0137439565344722</v>
      </c>
      <c r="T229" s="40" t="n">
        <f aca="true">RAND()</f>
        <v>0.942862624667481</v>
      </c>
      <c r="U229" s="40" t="n">
        <f aca="true">RAND()</f>
        <v>0.359651982241462</v>
      </c>
    </row>
    <row r="230" customFormat="false" ht="15" hidden="false" customHeight="false" outlineLevel="0" collapsed="false">
      <c r="A230" s="36" t="n">
        <v>150</v>
      </c>
      <c r="B230" s="37" t="n">
        <f aca="false">1+IF($G$6=$E$6,$F$6,IF(P230&lt;($F$6-$E$6)/($G$6-$E$6),$E$6+SQRT(P230*($G$6-$E$6)*($F$6-$E$6)),$G$6-SQRT((1-P230)*($G$6-$E$6)*($G$6-$F$6))))</f>
        <v>1</v>
      </c>
      <c r="C230" s="37" t="n">
        <f aca="false">1+IF($G$7=$E$7,$F$7,IF(Q230&lt;($F$7-$E$7)/($G$7-$E$7),$E$7+SQRT(Q230*($G$7-$E$7)*($F$7-$E$7)),$G$7-SQRT((1-Q230)*($G$7-$E$7)*($G$7-$F$7))))</f>
        <v>1</v>
      </c>
      <c r="D230" s="37" t="n">
        <f aca="false">1+IF($G$8=$E$8,$F$8,IF(R230&lt;($F$8-$E$8)/($G$8-$E$8),$E$8+SQRT(R230*($G$8-$E$8)*($F$8-$E$8)),$G$8-SQRT((1-R230)*($G$8-$E$8)*($G$8-$F$8))))</f>
        <v>1</v>
      </c>
      <c r="E230" s="37" t="n">
        <f aca="false">1+IF($G$9=$E$9,$F$9,IF(S230&lt;($F$9-$E$9)/($G$9-$E$9),$E$9+SQRT(S230*($G$9-$E$9)*($F$9-$E$9)),$G$9-SQRT((1-S230)*($G$9-$E$9)*($G$9-$F$9))))</f>
        <v>1</v>
      </c>
      <c r="F230" s="37" t="n">
        <f aca="false">1+IF($G$10=$E$10,$F$10,IF(T230&lt;($F$10-$E$10)/($G$10-$E$10),$E$10+SQRT(T230*($G$10-$E$10)*($F$10-$E$10)),$G$10-SQRT((1-T230)*($G$10-$E$10)*($G$10-$F$10))))</f>
        <v>1</v>
      </c>
      <c r="G230" s="38" t="n">
        <f aca="false">IF($G$11=$E$11,$F$11,IF(U230&lt;($F$11-$E$11)/($G$11-$E$11),$E$11+SQRT(U230*($G$11-$E$11)*($F$11-$E$11)),$G$11-SQRT((1-U230)*($G$11-$E$11)*($G$11-$F$11))))</f>
        <v>0</v>
      </c>
      <c r="H230" s="39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0</v>
      </c>
      <c r="I230" s="39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0</v>
      </c>
      <c r="J230" s="39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0</v>
      </c>
      <c r="K230" s="39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0</v>
      </c>
      <c r="L230" s="39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0</v>
      </c>
      <c r="M230" s="39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0</v>
      </c>
      <c r="N230" s="39" t="str">
        <f aca="false">IF(COUNT('Business Case'!B11:G11)=0,"",H230+NPV(G230,I230:M230))</f>
        <v/>
      </c>
      <c r="P230" s="40" t="n">
        <f aca="true">RAND()</f>
        <v>0.772248667496283</v>
      </c>
      <c r="Q230" s="40" t="n">
        <f aca="true">RAND()</f>
        <v>0.534559513350997</v>
      </c>
      <c r="R230" s="40" t="n">
        <f aca="true">RAND()</f>
        <v>0.264175598911406</v>
      </c>
      <c r="S230" s="40" t="n">
        <f aca="true">RAND()</f>
        <v>0.841511968589083</v>
      </c>
      <c r="T230" s="40" t="n">
        <f aca="true">RAND()</f>
        <v>0.0169946788053672</v>
      </c>
      <c r="U230" s="40" t="n">
        <f aca="true">RAND()</f>
        <v>0.0461612354662329</v>
      </c>
    </row>
    <row r="231" customFormat="false" ht="15" hidden="false" customHeight="false" outlineLevel="0" collapsed="false">
      <c r="A231" s="36" t="n">
        <v>151</v>
      </c>
      <c r="B231" s="37" t="n">
        <f aca="false">1+IF($G$6=$E$6,$F$6,IF(P231&lt;($F$6-$E$6)/($G$6-$E$6),$E$6+SQRT(P231*($G$6-$E$6)*($F$6-$E$6)),$G$6-SQRT((1-P231)*($G$6-$E$6)*($G$6-$F$6))))</f>
        <v>1</v>
      </c>
      <c r="C231" s="37" t="n">
        <f aca="false">1+IF($G$7=$E$7,$F$7,IF(Q231&lt;($F$7-$E$7)/($G$7-$E$7),$E$7+SQRT(Q231*($G$7-$E$7)*($F$7-$E$7)),$G$7-SQRT((1-Q231)*($G$7-$E$7)*($G$7-$F$7))))</f>
        <v>1</v>
      </c>
      <c r="D231" s="37" t="n">
        <f aca="false">1+IF($G$8=$E$8,$F$8,IF(R231&lt;($F$8-$E$8)/($G$8-$E$8),$E$8+SQRT(R231*($G$8-$E$8)*($F$8-$E$8)),$G$8-SQRT((1-R231)*($G$8-$E$8)*($G$8-$F$8))))</f>
        <v>1</v>
      </c>
      <c r="E231" s="37" t="n">
        <f aca="false">1+IF($G$9=$E$9,$F$9,IF(S231&lt;($F$9-$E$9)/($G$9-$E$9),$E$9+SQRT(S231*($G$9-$E$9)*($F$9-$E$9)),$G$9-SQRT((1-S231)*($G$9-$E$9)*($G$9-$F$9))))</f>
        <v>1</v>
      </c>
      <c r="F231" s="37" t="n">
        <f aca="false">1+IF($G$10=$E$10,$F$10,IF(T231&lt;($F$10-$E$10)/($G$10-$E$10),$E$10+SQRT(T231*($G$10-$E$10)*($F$10-$E$10)),$G$10-SQRT((1-T231)*($G$10-$E$10)*($G$10-$F$10))))</f>
        <v>1</v>
      </c>
      <c r="G231" s="38" t="n">
        <f aca="false">IF($G$11=$E$11,$F$11,IF(U231&lt;($F$11-$E$11)/($G$11-$E$11),$E$11+SQRT(U231*($G$11-$E$11)*($F$11-$E$11)),$G$11-SQRT((1-U231)*($G$11-$E$11)*($G$11-$F$11))))</f>
        <v>0</v>
      </c>
      <c r="H231" s="39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0</v>
      </c>
      <c r="I231" s="39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0</v>
      </c>
      <c r="J231" s="39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0</v>
      </c>
      <c r="K231" s="39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0</v>
      </c>
      <c r="L231" s="39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0</v>
      </c>
      <c r="M231" s="39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0</v>
      </c>
      <c r="N231" s="39" t="str">
        <f aca="false">IF(COUNT('Business Case'!B11:G11)=0,"",H231+NPV(G231,I231:M231))</f>
        <v/>
      </c>
      <c r="P231" s="40" t="n">
        <f aca="true">RAND()</f>
        <v>0.321741327814811</v>
      </c>
      <c r="Q231" s="40" t="n">
        <f aca="true">RAND()</f>
        <v>0.727775195545388</v>
      </c>
      <c r="R231" s="40" t="n">
        <f aca="true">RAND()</f>
        <v>0.735806080461674</v>
      </c>
      <c r="S231" s="40" t="n">
        <f aca="true">RAND()</f>
        <v>0.304829685605301</v>
      </c>
      <c r="T231" s="40" t="n">
        <f aca="true">RAND()</f>
        <v>0.702579896613427</v>
      </c>
      <c r="U231" s="40" t="n">
        <f aca="true">RAND()</f>
        <v>0.437941226022938</v>
      </c>
    </row>
    <row r="232" customFormat="false" ht="15" hidden="false" customHeight="false" outlineLevel="0" collapsed="false">
      <c r="A232" s="36" t="n">
        <v>152</v>
      </c>
      <c r="B232" s="37" t="n">
        <f aca="false">1+IF($G$6=$E$6,$F$6,IF(P232&lt;($F$6-$E$6)/($G$6-$E$6),$E$6+SQRT(P232*($G$6-$E$6)*($F$6-$E$6)),$G$6-SQRT((1-P232)*($G$6-$E$6)*($G$6-$F$6))))</f>
        <v>1</v>
      </c>
      <c r="C232" s="37" t="n">
        <f aca="false">1+IF($G$7=$E$7,$F$7,IF(Q232&lt;($F$7-$E$7)/($G$7-$E$7),$E$7+SQRT(Q232*($G$7-$E$7)*($F$7-$E$7)),$G$7-SQRT((1-Q232)*($G$7-$E$7)*($G$7-$F$7))))</f>
        <v>1</v>
      </c>
      <c r="D232" s="37" t="n">
        <f aca="false">1+IF($G$8=$E$8,$F$8,IF(R232&lt;($F$8-$E$8)/($G$8-$E$8),$E$8+SQRT(R232*($G$8-$E$8)*($F$8-$E$8)),$G$8-SQRT((1-R232)*($G$8-$E$8)*($G$8-$F$8))))</f>
        <v>1</v>
      </c>
      <c r="E232" s="37" t="n">
        <f aca="false">1+IF($G$9=$E$9,$F$9,IF(S232&lt;($F$9-$E$9)/($G$9-$E$9),$E$9+SQRT(S232*($G$9-$E$9)*($F$9-$E$9)),$G$9-SQRT((1-S232)*($G$9-$E$9)*($G$9-$F$9))))</f>
        <v>1</v>
      </c>
      <c r="F232" s="37" t="n">
        <f aca="false">1+IF($G$10=$E$10,$F$10,IF(T232&lt;($F$10-$E$10)/($G$10-$E$10),$E$10+SQRT(T232*($G$10-$E$10)*($F$10-$E$10)),$G$10-SQRT((1-T232)*($G$10-$E$10)*($G$10-$F$10))))</f>
        <v>1</v>
      </c>
      <c r="G232" s="38" t="n">
        <f aca="false">IF($G$11=$E$11,$F$11,IF(U232&lt;($F$11-$E$11)/($G$11-$E$11),$E$11+SQRT(U232*($G$11-$E$11)*($F$11-$E$11)),$G$11-SQRT((1-U232)*($G$11-$E$11)*($G$11-$F$11))))</f>
        <v>0</v>
      </c>
      <c r="H232" s="39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0</v>
      </c>
      <c r="I232" s="39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0</v>
      </c>
      <c r="J232" s="39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0</v>
      </c>
      <c r="K232" s="39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0</v>
      </c>
      <c r="L232" s="39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0</v>
      </c>
      <c r="M232" s="39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0</v>
      </c>
      <c r="N232" s="39" t="str">
        <f aca="false">IF(COUNT('Business Case'!B11:G11)=0,"",H232+NPV(G232,I232:M232))</f>
        <v/>
      </c>
      <c r="P232" s="40" t="n">
        <f aca="true">RAND()</f>
        <v>0.579815351864498</v>
      </c>
      <c r="Q232" s="40" t="n">
        <f aca="true">RAND()</f>
        <v>0.00146113456571399</v>
      </c>
      <c r="R232" s="40" t="n">
        <f aca="true">RAND()</f>
        <v>0.970326090187345</v>
      </c>
      <c r="S232" s="40" t="n">
        <f aca="true">RAND()</f>
        <v>0.72168474681623</v>
      </c>
      <c r="T232" s="40" t="n">
        <f aca="true">RAND()</f>
        <v>0.63322564936833</v>
      </c>
      <c r="U232" s="40" t="n">
        <f aca="true">RAND()</f>
        <v>0.690587302682867</v>
      </c>
    </row>
    <row r="233" customFormat="false" ht="15" hidden="false" customHeight="false" outlineLevel="0" collapsed="false">
      <c r="A233" s="36" t="n">
        <v>153</v>
      </c>
      <c r="B233" s="37" t="n">
        <f aca="false">1+IF($G$6=$E$6,$F$6,IF(P233&lt;($F$6-$E$6)/($G$6-$E$6),$E$6+SQRT(P233*($G$6-$E$6)*($F$6-$E$6)),$G$6-SQRT((1-P233)*($G$6-$E$6)*($G$6-$F$6))))</f>
        <v>1</v>
      </c>
      <c r="C233" s="37" t="n">
        <f aca="false">1+IF($G$7=$E$7,$F$7,IF(Q233&lt;($F$7-$E$7)/($G$7-$E$7),$E$7+SQRT(Q233*($G$7-$E$7)*($F$7-$E$7)),$G$7-SQRT((1-Q233)*($G$7-$E$7)*($G$7-$F$7))))</f>
        <v>1</v>
      </c>
      <c r="D233" s="37" t="n">
        <f aca="false">1+IF($G$8=$E$8,$F$8,IF(R233&lt;($F$8-$E$8)/($G$8-$E$8),$E$8+SQRT(R233*($G$8-$E$8)*($F$8-$E$8)),$G$8-SQRT((1-R233)*($G$8-$E$8)*($G$8-$F$8))))</f>
        <v>1</v>
      </c>
      <c r="E233" s="37" t="n">
        <f aca="false">1+IF($G$9=$E$9,$F$9,IF(S233&lt;($F$9-$E$9)/($G$9-$E$9),$E$9+SQRT(S233*($G$9-$E$9)*($F$9-$E$9)),$G$9-SQRT((1-S233)*($G$9-$E$9)*($G$9-$F$9))))</f>
        <v>1</v>
      </c>
      <c r="F233" s="37" t="n">
        <f aca="false">1+IF($G$10=$E$10,$F$10,IF(T233&lt;($F$10-$E$10)/($G$10-$E$10),$E$10+SQRT(T233*($G$10-$E$10)*($F$10-$E$10)),$G$10-SQRT((1-T233)*($G$10-$E$10)*($G$10-$F$10))))</f>
        <v>1</v>
      </c>
      <c r="G233" s="38" t="n">
        <f aca="false">IF($G$11=$E$11,$F$11,IF(U233&lt;($F$11-$E$11)/($G$11-$E$11),$E$11+SQRT(U233*($G$11-$E$11)*($F$11-$E$11)),$G$11-SQRT((1-U233)*($G$11-$E$11)*($G$11-$F$11))))</f>
        <v>0</v>
      </c>
      <c r="H233" s="39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0</v>
      </c>
      <c r="I233" s="39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0</v>
      </c>
      <c r="J233" s="39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0</v>
      </c>
      <c r="K233" s="39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0</v>
      </c>
      <c r="L233" s="39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0</v>
      </c>
      <c r="M233" s="39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0</v>
      </c>
      <c r="N233" s="39" t="str">
        <f aca="false">IF(COUNT('Business Case'!B11:G11)=0,"",H233+NPV(G233,I233:M233))</f>
        <v/>
      </c>
      <c r="P233" s="40" t="n">
        <f aca="true">RAND()</f>
        <v>0.0157503185098398</v>
      </c>
      <c r="Q233" s="40" t="n">
        <f aca="true">RAND()</f>
        <v>0.0720572652973307</v>
      </c>
      <c r="R233" s="40" t="n">
        <f aca="true">RAND()</f>
        <v>0.646090898586405</v>
      </c>
      <c r="S233" s="40" t="n">
        <f aca="true">RAND()</f>
        <v>0.585120375931595</v>
      </c>
      <c r="T233" s="40" t="n">
        <f aca="true">RAND()</f>
        <v>0.100530784354277</v>
      </c>
      <c r="U233" s="40" t="n">
        <f aca="true">RAND()</f>
        <v>0.543096147854222</v>
      </c>
    </row>
    <row r="234" customFormat="false" ht="15" hidden="false" customHeight="false" outlineLevel="0" collapsed="false">
      <c r="A234" s="36" t="n">
        <v>154</v>
      </c>
      <c r="B234" s="37" t="n">
        <f aca="false">1+IF($G$6=$E$6,$F$6,IF(P234&lt;($F$6-$E$6)/($G$6-$E$6),$E$6+SQRT(P234*($G$6-$E$6)*($F$6-$E$6)),$G$6-SQRT((1-P234)*($G$6-$E$6)*($G$6-$F$6))))</f>
        <v>1</v>
      </c>
      <c r="C234" s="37" t="n">
        <f aca="false">1+IF($G$7=$E$7,$F$7,IF(Q234&lt;($F$7-$E$7)/($G$7-$E$7),$E$7+SQRT(Q234*($G$7-$E$7)*($F$7-$E$7)),$G$7-SQRT((1-Q234)*($G$7-$E$7)*($G$7-$F$7))))</f>
        <v>1</v>
      </c>
      <c r="D234" s="37" t="n">
        <f aca="false">1+IF($G$8=$E$8,$F$8,IF(R234&lt;($F$8-$E$8)/($G$8-$E$8),$E$8+SQRT(R234*($G$8-$E$8)*($F$8-$E$8)),$G$8-SQRT((1-R234)*($G$8-$E$8)*($G$8-$F$8))))</f>
        <v>1</v>
      </c>
      <c r="E234" s="37" t="n">
        <f aca="false">1+IF($G$9=$E$9,$F$9,IF(S234&lt;($F$9-$E$9)/($G$9-$E$9),$E$9+SQRT(S234*($G$9-$E$9)*($F$9-$E$9)),$G$9-SQRT((1-S234)*($G$9-$E$9)*($G$9-$F$9))))</f>
        <v>1</v>
      </c>
      <c r="F234" s="37" t="n">
        <f aca="false">1+IF($G$10=$E$10,$F$10,IF(T234&lt;($F$10-$E$10)/($G$10-$E$10),$E$10+SQRT(T234*($G$10-$E$10)*($F$10-$E$10)),$G$10-SQRT((1-T234)*($G$10-$E$10)*($G$10-$F$10))))</f>
        <v>1</v>
      </c>
      <c r="G234" s="38" t="n">
        <f aca="false">IF($G$11=$E$11,$F$11,IF(U234&lt;($F$11-$E$11)/($G$11-$E$11),$E$11+SQRT(U234*($G$11-$E$11)*($F$11-$E$11)),$G$11-SQRT((1-U234)*($G$11-$E$11)*($G$11-$F$11))))</f>
        <v>0</v>
      </c>
      <c r="H234" s="39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0</v>
      </c>
      <c r="I234" s="39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0</v>
      </c>
      <c r="J234" s="39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0</v>
      </c>
      <c r="K234" s="39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0</v>
      </c>
      <c r="L234" s="39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0</v>
      </c>
      <c r="M234" s="39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0</v>
      </c>
      <c r="N234" s="39" t="str">
        <f aca="false">IF(COUNT('Business Case'!B11:G11)=0,"",H234+NPV(G234,I234:M234))</f>
        <v/>
      </c>
      <c r="P234" s="40" t="n">
        <f aca="true">RAND()</f>
        <v>0.730059166200536</v>
      </c>
      <c r="Q234" s="40" t="n">
        <f aca="true">RAND()</f>
        <v>0.345981520036813</v>
      </c>
      <c r="R234" s="40" t="n">
        <f aca="true">RAND()</f>
        <v>0.127933403031664</v>
      </c>
      <c r="S234" s="40" t="n">
        <f aca="true">RAND()</f>
        <v>0.713993346499016</v>
      </c>
      <c r="T234" s="40" t="n">
        <f aca="true">RAND()</f>
        <v>0.193453179725878</v>
      </c>
      <c r="U234" s="40" t="n">
        <f aca="true">RAND()</f>
        <v>0.836147035267223</v>
      </c>
    </row>
    <row r="235" customFormat="false" ht="15" hidden="false" customHeight="false" outlineLevel="0" collapsed="false">
      <c r="A235" s="36" t="n">
        <v>155</v>
      </c>
      <c r="B235" s="37" t="n">
        <f aca="false">1+IF($G$6=$E$6,$F$6,IF(P235&lt;($F$6-$E$6)/($G$6-$E$6),$E$6+SQRT(P235*($G$6-$E$6)*($F$6-$E$6)),$G$6-SQRT((1-P235)*($G$6-$E$6)*($G$6-$F$6))))</f>
        <v>1</v>
      </c>
      <c r="C235" s="37" t="n">
        <f aca="false">1+IF($G$7=$E$7,$F$7,IF(Q235&lt;($F$7-$E$7)/($G$7-$E$7),$E$7+SQRT(Q235*($G$7-$E$7)*($F$7-$E$7)),$G$7-SQRT((1-Q235)*($G$7-$E$7)*($G$7-$F$7))))</f>
        <v>1</v>
      </c>
      <c r="D235" s="37" t="n">
        <f aca="false">1+IF($G$8=$E$8,$F$8,IF(R235&lt;($F$8-$E$8)/($G$8-$E$8),$E$8+SQRT(R235*($G$8-$E$8)*($F$8-$E$8)),$G$8-SQRT((1-R235)*($G$8-$E$8)*($G$8-$F$8))))</f>
        <v>1</v>
      </c>
      <c r="E235" s="37" t="n">
        <f aca="false">1+IF($G$9=$E$9,$F$9,IF(S235&lt;($F$9-$E$9)/($G$9-$E$9),$E$9+SQRT(S235*($G$9-$E$9)*($F$9-$E$9)),$G$9-SQRT((1-S235)*($G$9-$E$9)*($G$9-$F$9))))</f>
        <v>1</v>
      </c>
      <c r="F235" s="37" t="n">
        <f aca="false">1+IF($G$10=$E$10,$F$10,IF(T235&lt;($F$10-$E$10)/($G$10-$E$10),$E$10+SQRT(T235*($G$10-$E$10)*($F$10-$E$10)),$G$10-SQRT((1-T235)*($G$10-$E$10)*($G$10-$F$10))))</f>
        <v>1</v>
      </c>
      <c r="G235" s="38" t="n">
        <f aca="false">IF($G$11=$E$11,$F$11,IF(U235&lt;($F$11-$E$11)/($G$11-$E$11),$E$11+SQRT(U235*($G$11-$E$11)*($F$11-$E$11)),$G$11-SQRT((1-U235)*($G$11-$E$11)*($G$11-$F$11))))</f>
        <v>0</v>
      </c>
      <c r="H235" s="39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0</v>
      </c>
      <c r="I235" s="39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0</v>
      </c>
      <c r="J235" s="39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0</v>
      </c>
      <c r="K235" s="39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0</v>
      </c>
      <c r="L235" s="39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0</v>
      </c>
      <c r="M235" s="39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0</v>
      </c>
      <c r="N235" s="39" t="str">
        <f aca="false">IF(COUNT('Business Case'!B11:G11)=0,"",H235+NPV(G235,I235:M235))</f>
        <v/>
      </c>
      <c r="P235" s="40" t="n">
        <f aca="true">RAND()</f>
        <v>0.920327549500072</v>
      </c>
      <c r="Q235" s="40" t="n">
        <f aca="true">RAND()</f>
        <v>0.882940819891184</v>
      </c>
      <c r="R235" s="40" t="n">
        <f aca="true">RAND()</f>
        <v>0.00672468233744901</v>
      </c>
      <c r="S235" s="40" t="n">
        <f aca="true">RAND()</f>
        <v>0.854311467619686</v>
      </c>
      <c r="T235" s="40" t="n">
        <f aca="true">RAND()</f>
        <v>0.571125722532324</v>
      </c>
      <c r="U235" s="40" t="n">
        <f aca="true">RAND()</f>
        <v>0.625985342664863</v>
      </c>
    </row>
    <row r="236" customFormat="false" ht="15" hidden="false" customHeight="false" outlineLevel="0" collapsed="false">
      <c r="A236" s="36" t="n">
        <v>156</v>
      </c>
      <c r="B236" s="37" t="n">
        <f aca="false">1+IF($G$6=$E$6,$F$6,IF(P236&lt;($F$6-$E$6)/($G$6-$E$6),$E$6+SQRT(P236*($G$6-$E$6)*($F$6-$E$6)),$G$6-SQRT((1-P236)*($G$6-$E$6)*($G$6-$F$6))))</f>
        <v>1</v>
      </c>
      <c r="C236" s="37" t="n">
        <f aca="false">1+IF($G$7=$E$7,$F$7,IF(Q236&lt;($F$7-$E$7)/($G$7-$E$7),$E$7+SQRT(Q236*($G$7-$E$7)*($F$7-$E$7)),$G$7-SQRT((1-Q236)*($G$7-$E$7)*($G$7-$F$7))))</f>
        <v>1</v>
      </c>
      <c r="D236" s="37" t="n">
        <f aca="false">1+IF($G$8=$E$8,$F$8,IF(R236&lt;($F$8-$E$8)/($G$8-$E$8),$E$8+SQRT(R236*($G$8-$E$8)*($F$8-$E$8)),$G$8-SQRT((1-R236)*($G$8-$E$8)*($G$8-$F$8))))</f>
        <v>1</v>
      </c>
      <c r="E236" s="37" t="n">
        <f aca="false">1+IF($G$9=$E$9,$F$9,IF(S236&lt;($F$9-$E$9)/($G$9-$E$9),$E$9+SQRT(S236*($G$9-$E$9)*($F$9-$E$9)),$G$9-SQRT((1-S236)*($G$9-$E$9)*($G$9-$F$9))))</f>
        <v>1</v>
      </c>
      <c r="F236" s="37" t="n">
        <f aca="false">1+IF($G$10=$E$10,$F$10,IF(T236&lt;($F$10-$E$10)/($G$10-$E$10),$E$10+SQRT(T236*($G$10-$E$10)*($F$10-$E$10)),$G$10-SQRT((1-T236)*($G$10-$E$10)*($G$10-$F$10))))</f>
        <v>1</v>
      </c>
      <c r="G236" s="38" t="n">
        <f aca="false">IF($G$11=$E$11,$F$11,IF(U236&lt;($F$11-$E$11)/($G$11-$E$11),$E$11+SQRT(U236*($G$11-$E$11)*($F$11-$E$11)),$G$11-SQRT((1-U236)*($G$11-$E$11)*($G$11-$F$11))))</f>
        <v>0</v>
      </c>
      <c r="H236" s="39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0</v>
      </c>
      <c r="I236" s="39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0</v>
      </c>
      <c r="J236" s="39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0</v>
      </c>
      <c r="K236" s="39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0</v>
      </c>
      <c r="L236" s="39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0</v>
      </c>
      <c r="M236" s="39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0</v>
      </c>
      <c r="N236" s="39" t="str">
        <f aca="false">IF(COUNT('Business Case'!B11:G11)=0,"",H236+NPV(G236,I236:M236))</f>
        <v/>
      </c>
      <c r="P236" s="40" t="n">
        <f aca="true">RAND()</f>
        <v>0.797633913907813</v>
      </c>
      <c r="Q236" s="40" t="n">
        <f aca="true">RAND()</f>
        <v>0.496604162317064</v>
      </c>
      <c r="R236" s="40" t="n">
        <f aca="true">RAND()</f>
        <v>0.722446118665007</v>
      </c>
      <c r="S236" s="40" t="n">
        <f aca="true">RAND()</f>
        <v>0.465777006275154</v>
      </c>
      <c r="T236" s="40" t="n">
        <f aca="true">RAND()</f>
        <v>0.225198308852634</v>
      </c>
      <c r="U236" s="40" t="n">
        <f aca="true">RAND()</f>
        <v>0.433022608222661</v>
      </c>
    </row>
    <row r="237" customFormat="false" ht="15" hidden="false" customHeight="false" outlineLevel="0" collapsed="false">
      <c r="A237" s="36" t="n">
        <v>157</v>
      </c>
      <c r="B237" s="37" t="n">
        <f aca="false">1+IF($G$6=$E$6,$F$6,IF(P237&lt;($F$6-$E$6)/($G$6-$E$6),$E$6+SQRT(P237*($G$6-$E$6)*($F$6-$E$6)),$G$6-SQRT((1-P237)*($G$6-$E$6)*($G$6-$F$6))))</f>
        <v>1</v>
      </c>
      <c r="C237" s="37" t="n">
        <f aca="false">1+IF($G$7=$E$7,$F$7,IF(Q237&lt;($F$7-$E$7)/($G$7-$E$7),$E$7+SQRT(Q237*($G$7-$E$7)*($F$7-$E$7)),$G$7-SQRT((1-Q237)*($G$7-$E$7)*($G$7-$F$7))))</f>
        <v>1</v>
      </c>
      <c r="D237" s="37" t="n">
        <f aca="false">1+IF($G$8=$E$8,$F$8,IF(R237&lt;($F$8-$E$8)/($G$8-$E$8),$E$8+SQRT(R237*($G$8-$E$8)*($F$8-$E$8)),$G$8-SQRT((1-R237)*($G$8-$E$8)*($G$8-$F$8))))</f>
        <v>1</v>
      </c>
      <c r="E237" s="37" t="n">
        <f aca="false">1+IF($G$9=$E$9,$F$9,IF(S237&lt;($F$9-$E$9)/($G$9-$E$9),$E$9+SQRT(S237*($G$9-$E$9)*($F$9-$E$9)),$G$9-SQRT((1-S237)*($G$9-$E$9)*($G$9-$F$9))))</f>
        <v>1</v>
      </c>
      <c r="F237" s="37" t="n">
        <f aca="false">1+IF($G$10=$E$10,$F$10,IF(T237&lt;($F$10-$E$10)/($G$10-$E$10),$E$10+SQRT(T237*($G$10-$E$10)*($F$10-$E$10)),$G$10-SQRT((1-T237)*($G$10-$E$10)*($G$10-$F$10))))</f>
        <v>1</v>
      </c>
      <c r="G237" s="38" t="n">
        <f aca="false">IF($G$11=$E$11,$F$11,IF(U237&lt;($F$11-$E$11)/($G$11-$E$11),$E$11+SQRT(U237*($G$11-$E$11)*($F$11-$E$11)),$G$11-SQRT((1-U237)*($G$11-$E$11)*($G$11-$F$11))))</f>
        <v>0</v>
      </c>
      <c r="H237" s="39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0</v>
      </c>
      <c r="I237" s="39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0</v>
      </c>
      <c r="J237" s="39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0</v>
      </c>
      <c r="K237" s="39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0</v>
      </c>
      <c r="L237" s="39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0</v>
      </c>
      <c r="M237" s="39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0</v>
      </c>
      <c r="N237" s="39" t="str">
        <f aca="false">IF(COUNT('Business Case'!B11:G11)=0,"",H237+NPV(G237,I237:M237))</f>
        <v/>
      </c>
      <c r="P237" s="40" t="n">
        <f aca="true">RAND()</f>
        <v>0.63281753928177</v>
      </c>
      <c r="Q237" s="40" t="n">
        <f aca="true">RAND()</f>
        <v>0.981163878132094</v>
      </c>
      <c r="R237" s="40" t="n">
        <f aca="true">RAND()</f>
        <v>0.96237818167989</v>
      </c>
      <c r="S237" s="40" t="n">
        <f aca="true">RAND()</f>
        <v>0.302595759645288</v>
      </c>
      <c r="T237" s="40" t="n">
        <f aca="true">RAND()</f>
        <v>0.105473940000526</v>
      </c>
      <c r="U237" s="40" t="n">
        <f aca="true">RAND()</f>
        <v>0.14677225172757</v>
      </c>
    </row>
    <row r="238" customFormat="false" ht="15" hidden="false" customHeight="false" outlineLevel="0" collapsed="false">
      <c r="A238" s="36" t="n">
        <v>158</v>
      </c>
      <c r="B238" s="37" t="n">
        <f aca="false">1+IF($G$6=$E$6,$F$6,IF(P238&lt;($F$6-$E$6)/($G$6-$E$6),$E$6+SQRT(P238*($G$6-$E$6)*($F$6-$E$6)),$G$6-SQRT((1-P238)*($G$6-$E$6)*($G$6-$F$6))))</f>
        <v>1</v>
      </c>
      <c r="C238" s="37" t="n">
        <f aca="false">1+IF($G$7=$E$7,$F$7,IF(Q238&lt;($F$7-$E$7)/($G$7-$E$7),$E$7+SQRT(Q238*($G$7-$E$7)*($F$7-$E$7)),$G$7-SQRT((1-Q238)*($G$7-$E$7)*($G$7-$F$7))))</f>
        <v>1</v>
      </c>
      <c r="D238" s="37" t="n">
        <f aca="false">1+IF($G$8=$E$8,$F$8,IF(R238&lt;($F$8-$E$8)/($G$8-$E$8),$E$8+SQRT(R238*($G$8-$E$8)*($F$8-$E$8)),$G$8-SQRT((1-R238)*($G$8-$E$8)*($G$8-$F$8))))</f>
        <v>1</v>
      </c>
      <c r="E238" s="37" t="n">
        <f aca="false">1+IF($G$9=$E$9,$F$9,IF(S238&lt;($F$9-$E$9)/($G$9-$E$9),$E$9+SQRT(S238*($G$9-$E$9)*($F$9-$E$9)),$G$9-SQRT((1-S238)*($G$9-$E$9)*($G$9-$F$9))))</f>
        <v>1</v>
      </c>
      <c r="F238" s="37" t="n">
        <f aca="false">1+IF($G$10=$E$10,$F$10,IF(T238&lt;($F$10-$E$10)/($G$10-$E$10),$E$10+SQRT(T238*($G$10-$E$10)*($F$10-$E$10)),$G$10-SQRT((1-T238)*($G$10-$E$10)*($G$10-$F$10))))</f>
        <v>1</v>
      </c>
      <c r="G238" s="38" t="n">
        <f aca="false">IF($G$11=$E$11,$F$11,IF(U238&lt;($F$11-$E$11)/($G$11-$E$11),$E$11+SQRT(U238*($G$11-$E$11)*($F$11-$E$11)),$G$11-SQRT((1-U238)*($G$11-$E$11)*($G$11-$F$11))))</f>
        <v>0</v>
      </c>
      <c r="H238" s="39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0</v>
      </c>
      <c r="I238" s="39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0</v>
      </c>
      <c r="J238" s="39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0</v>
      </c>
      <c r="K238" s="39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0</v>
      </c>
      <c r="L238" s="39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0</v>
      </c>
      <c r="M238" s="39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0</v>
      </c>
      <c r="N238" s="39" t="str">
        <f aca="false">IF(COUNT('Business Case'!B11:G11)=0,"",H238+NPV(G238,I238:M238))</f>
        <v/>
      </c>
      <c r="P238" s="40" t="n">
        <f aca="true">RAND()</f>
        <v>0.794767150111749</v>
      </c>
      <c r="Q238" s="40" t="n">
        <f aca="true">RAND()</f>
        <v>0.0529184988136621</v>
      </c>
      <c r="R238" s="40" t="n">
        <f aca="true">RAND()</f>
        <v>0.458827248416427</v>
      </c>
      <c r="S238" s="40" t="n">
        <f aca="true">RAND()</f>
        <v>0.20864051765339</v>
      </c>
      <c r="T238" s="40" t="n">
        <f aca="true">RAND()</f>
        <v>0.989147796037923</v>
      </c>
      <c r="U238" s="40" t="n">
        <f aca="true">RAND()</f>
        <v>0.92598241755682</v>
      </c>
    </row>
    <row r="239" customFormat="false" ht="15" hidden="false" customHeight="false" outlineLevel="0" collapsed="false">
      <c r="A239" s="36" t="n">
        <v>159</v>
      </c>
      <c r="B239" s="37" t="n">
        <f aca="false">1+IF($G$6=$E$6,$F$6,IF(P239&lt;($F$6-$E$6)/($G$6-$E$6),$E$6+SQRT(P239*($G$6-$E$6)*($F$6-$E$6)),$G$6-SQRT((1-P239)*($G$6-$E$6)*($G$6-$F$6))))</f>
        <v>1</v>
      </c>
      <c r="C239" s="37" t="n">
        <f aca="false">1+IF($G$7=$E$7,$F$7,IF(Q239&lt;($F$7-$E$7)/($G$7-$E$7),$E$7+SQRT(Q239*($G$7-$E$7)*($F$7-$E$7)),$G$7-SQRT((1-Q239)*($G$7-$E$7)*($G$7-$F$7))))</f>
        <v>1</v>
      </c>
      <c r="D239" s="37" t="n">
        <f aca="false">1+IF($G$8=$E$8,$F$8,IF(R239&lt;($F$8-$E$8)/($G$8-$E$8),$E$8+SQRT(R239*($G$8-$E$8)*($F$8-$E$8)),$G$8-SQRT((1-R239)*($G$8-$E$8)*($G$8-$F$8))))</f>
        <v>1</v>
      </c>
      <c r="E239" s="37" t="n">
        <f aca="false">1+IF($G$9=$E$9,$F$9,IF(S239&lt;($F$9-$E$9)/($G$9-$E$9),$E$9+SQRT(S239*($G$9-$E$9)*($F$9-$E$9)),$G$9-SQRT((1-S239)*($G$9-$E$9)*($G$9-$F$9))))</f>
        <v>1</v>
      </c>
      <c r="F239" s="37" t="n">
        <f aca="false">1+IF($G$10=$E$10,$F$10,IF(T239&lt;($F$10-$E$10)/($G$10-$E$10),$E$10+SQRT(T239*($G$10-$E$10)*($F$10-$E$10)),$G$10-SQRT((1-T239)*($G$10-$E$10)*($G$10-$F$10))))</f>
        <v>1</v>
      </c>
      <c r="G239" s="38" t="n">
        <f aca="false">IF($G$11=$E$11,$F$11,IF(U239&lt;($F$11-$E$11)/($G$11-$E$11),$E$11+SQRT(U239*($G$11-$E$11)*($F$11-$E$11)),$G$11-SQRT((1-U239)*($G$11-$E$11)*($G$11-$F$11))))</f>
        <v>0</v>
      </c>
      <c r="H239" s="39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0</v>
      </c>
      <c r="I239" s="39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0</v>
      </c>
      <c r="J239" s="39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0</v>
      </c>
      <c r="K239" s="39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0</v>
      </c>
      <c r="L239" s="39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0</v>
      </c>
      <c r="M239" s="39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0</v>
      </c>
      <c r="N239" s="39" t="str">
        <f aca="false">IF(COUNT('Business Case'!B11:G11)=0,"",H239+NPV(G239,I239:M239))</f>
        <v/>
      </c>
      <c r="P239" s="40" t="n">
        <f aca="true">RAND()</f>
        <v>0.631488161576408</v>
      </c>
      <c r="Q239" s="40" t="n">
        <f aca="true">RAND()</f>
        <v>0.76341692508041</v>
      </c>
      <c r="R239" s="40" t="n">
        <f aca="true">RAND()</f>
        <v>0.316065625582818</v>
      </c>
      <c r="S239" s="40" t="n">
        <f aca="true">RAND()</f>
        <v>0.413063222274526</v>
      </c>
      <c r="T239" s="40" t="n">
        <f aca="true">RAND()</f>
        <v>0.7671897319425</v>
      </c>
      <c r="U239" s="40" t="n">
        <f aca="true">RAND()</f>
        <v>0.457915091339846</v>
      </c>
    </row>
    <row r="240" customFormat="false" ht="15" hidden="false" customHeight="false" outlineLevel="0" collapsed="false">
      <c r="A240" s="36" t="n">
        <v>160</v>
      </c>
      <c r="B240" s="37" t="n">
        <f aca="false">1+IF($G$6=$E$6,$F$6,IF(P240&lt;($F$6-$E$6)/($G$6-$E$6),$E$6+SQRT(P240*($G$6-$E$6)*($F$6-$E$6)),$G$6-SQRT((1-P240)*($G$6-$E$6)*($G$6-$F$6))))</f>
        <v>1</v>
      </c>
      <c r="C240" s="37" t="n">
        <f aca="false">1+IF($G$7=$E$7,$F$7,IF(Q240&lt;($F$7-$E$7)/($G$7-$E$7),$E$7+SQRT(Q240*($G$7-$E$7)*($F$7-$E$7)),$G$7-SQRT((1-Q240)*($G$7-$E$7)*($G$7-$F$7))))</f>
        <v>1</v>
      </c>
      <c r="D240" s="37" t="n">
        <f aca="false">1+IF($G$8=$E$8,$F$8,IF(R240&lt;($F$8-$E$8)/($G$8-$E$8),$E$8+SQRT(R240*($G$8-$E$8)*($F$8-$E$8)),$G$8-SQRT((1-R240)*($G$8-$E$8)*($G$8-$F$8))))</f>
        <v>1</v>
      </c>
      <c r="E240" s="37" t="n">
        <f aca="false">1+IF($G$9=$E$9,$F$9,IF(S240&lt;($F$9-$E$9)/($G$9-$E$9),$E$9+SQRT(S240*($G$9-$E$9)*($F$9-$E$9)),$G$9-SQRT((1-S240)*($G$9-$E$9)*($G$9-$F$9))))</f>
        <v>1</v>
      </c>
      <c r="F240" s="37" t="n">
        <f aca="false">1+IF($G$10=$E$10,$F$10,IF(T240&lt;($F$10-$E$10)/($G$10-$E$10),$E$10+SQRT(T240*($G$10-$E$10)*($F$10-$E$10)),$G$10-SQRT((1-T240)*($G$10-$E$10)*($G$10-$F$10))))</f>
        <v>1</v>
      </c>
      <c r="G240" s="38" t="n">
        <f aca="false">IF($G$11=$E$11,$F$11,IF(U240&lt;($F$11-$E$11)/($G$11-$E$11),$E$11+SQRT(U240*($G$11-$E$11)*($F$11-$E$11)),$G$11-SQRT((1-U240)*($G$11-$E$11)*($G$11-$F$11))))</f>
        <v>0</v>
      </c>
      <c r="H240" s="39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0</v>
      </c>
      <c r="I240" s="39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0</v>
      </c>
      <c r="J240" s="39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0</v>
      </c>
      <c r="K240" s="39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0</v>
      </c>
      <c r="L240" s="39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0</v>
      </c>
      <c r="M240" s="39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0</v>
      </c>
      <c r="N240" s="39" t="str">
        <f aca="false">IF(COUNT('Business Case'!B11:G11)=0,"",H240+NPV(G240,I240:M240))</f>
        <v/>
      </c>
      <c r="P240" s="40" t="n">
        <f aca="true">RAND()</f>
        <v>0.819916758457206</v>
      </c>
      <c r="Q240" s="40" t="n">
        <f aca="true">RAND()</f>
        <v>0.218562140280119</v>
      </c>
      <c r="R240" s="40" t="n">
        <f aca="true">RAND()</f>
        <v>0.615756064410246</v>
      </c>
      <c r="S240" s="40" t="n">
        <f aca="true">RAND()</f>
        <v>0.70488501499019</v>
      </c>
      <c r="T240" s="40" t="n">
        <f aca="true">RAND()</f>
        <v>0.540336274112784</v>
      </c>
      <c r="U240" s="40" t="n">
        <f aca="true">RAND()</f>
        <v>0.378122200524128</v>
      </c>
    </row>
    <row r="241" customFormat="false" ht="15" hidden="false" customHeight="false" outlineLevel="0" collapsed="false">
      <c r="A241" s="36" t="n">
        <v>161</v>
      </c>
      <c r="B241" s="37" t="n">
        <f aca="false">1+IF($G$6=$E$6,$F$6,IF(P241&lt;($F$6-$E$6)/($G$6-$E$6),$E$6+SQRT(P241*($G$6-$E$6)*($F$6-$E$6)),$G$6-SQRT((1-P241)*($G$6-$E$6)*($G$6-$F$6))))</f>
        <v>1</v>
      </c>
      <c r="C241" s="37" t="n">
        <f aca="false">1+IF($G$7=$E$7,$F$7,IF(Q241&lt;($F$7-$E$7)/($G$7-$E$7),$E$7+SQRT(Q241*($G$7-$E$7)*($F$7-$E$7)),$G$7-SQRT((1-Q241)*($G$7-$E$7)*($G$7-$F$7))))</f>
        <v>1</v>
      </c>
      <c r="D241" s="37" t="n">
        <f aca="false">1+IF($G$8=$E$8,$F$8,IF(R241&lt;($F$8-$E$8)/($G$8-$E$8),$E$8+SQRT(R241*($G$8-$E$8)*($F$8-$E$8)),$G$8-SQRT((1-R241)*($G$8-$E$8)*($G$8-$F$8))))</f>
        <v>1</v>
      </c>
      <c r="E241" s="37" t="n">
        <f aca="false">1+IF($G$9=$E$9,$F$9,IF(S241&lt;($F$9-$E$9)/($G$9-$E$9),$E$9+SQRT(S241*($G$9-$E$9)*($F$9-$E$9)),$G$9-SQRT((1-S241)*($G$9-$E$9)*($G$9-$F$9))))</f>
        <v>1</v>
      </c>
      <c r="F241" s="37" t="n">
        <f aca="false">1+IF($G$10=$E$10,$F$10,IF(T241&lt;($F$10-$E$10)/($G$10-$E$10),$E$10+SQRT(T241*($G$10-$E$10)*($F$10-$E$10)),$G$10-SQRT((1-T241)*($G$10-$E$10)*($G$10-$F$10))))</f>
        <v>1</v>
      </c>
      <c r="G241" s="38" t="n">
        <f aca="false">IF($G$11=$E$11,$F$11,IF(U241&lt;($F$11-$E$11)/($G$11-$E$11),$E$11+SQRT(U241*($G$11-$E$11)*($F$11-$E$11)),$G$11-SQRT((1-U241)*($G$11-$E$11)*($G$11-$F$11))))</f>
        <v>0</v>
      </c>
      <c r="H241" s="39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0</v>
      </c>
      <c r="I241" s="39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0</v>
      </c>
      <c r="J241" s="39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0</v>
      </c>
      <c r="K241" s="39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0</v>
      </c>
      <c r="L241" s="39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0</v>
      </c>
      <c r="M241" s="39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0</v>
      </c>
      <c r="N241" s="39" t="str">
        <f aca="false">IF(COUNT('Business Case'!B11:G11)=0,"",H241+NPV(G241,I241:M241))</f>
        <v/>
      </c>
      <c r="P241" s="40" t="n">
        <f aca="true">RAND()</f>
        <v>0.278570773814863</v>
      </c>
      <c r="Q241" s="40" t="n">
        <f aca="true">RAND()</f>
        <v>0.424865272535499</v>
      </c>
      <c r="R241" s="40" t="n">
        <f aca="true">RAND()</f>
        <v>0.770939171566718</v>
      </c>
      <c r="S241" s="40" t="n">
        <f aca="true">RAND()</f>
        <v>0.898424358457107</v>
      </c>
      <c r="T241" s="40" t="n">
        <f aca="true">RAND()</f>
        <v>0.463030256161525</v>
      </c>
      <c r="U241" s="40" t="n">
        <f aca="true">RAND()</f>
        <v>0.188579450750232</v>
      </c>
    </row>
    <row r="242" customFormat="false" ht="15" hidden="false" customHeight="false" outlineLevel="0" collapsed="false">
      <c r="A242" s="36" t="n">
        <v>162</v>
      </c>
      <c r="B242" s="37" t="n">
        <f aca="false">1+IF($G$6=$E$6,$F$6,IF(P242&lt;($F$6-$E$6)/($G$6-$E$6),$E$6+SQRT(P242*($G$6-$E$6)*($F$6-$E$6)),$G$6-SQRT((1-P242)*($G$6-$E$6)*($G$6-$F$6))))</f>
        <v>1</v>
      </c>
      <c r="C242" s="37" t="n">
        <f aca="false">1+IF($G$7=$E$7,$F$7,IF(Q242&lt;($F$7-$E$7)/($G$7-$E$7),$E$7+SQRT(Q242*($G$7-$E$7)*($F$7-$E$7)),$G$7-SQRT((1-Q242)*($G$7-$E$7)*($G$7-$F$7))))</f>
        <v>1</v>
      </c>
      <c r="D242" s="37" t="n">
        <f aca="false">1+IF($G$8=$E$8,$F$8,IF(R242&lt;($F$8-$E$8)/($G$8-$E$8),$E$8+SQRT(R242*($G$8-$E$8)*($F$8-$E$8)),$G$8-SQRT((1-R242)*($G$8-$E$8)*($G$8-$F$8))))</f>
        <v>1</v>
      </c>
      <c r="E242" s="37" t="n">
        <f aca="false">1+IF($G$9=$E$9,$F$9,IF(S242&lt;($F$9-$E$9)/($G$9-$E$9),$E$9+SQRT(S242*($G$9-$E$9)*($F$9-$E$9)),$G$9-SQRT((1-S242)*($G$9-$E$9)*($G$9-$F$9))))</f>
        <v>1</v>
      </c>
      <c r="F242" s="37" t="n">
        <f aca="false">1+IF($G$10=$E$10,$F$10,IF(T242&lt;($F$10-$E$10)/($G$10-$E$10),$E$10+SQRT(T242*($G$10-$E$10)*($F$10-$E$10)),$G$10-SQRT((1-T242)*($G$10-$E$10)*($G$10-$F$10))))</f>
        <v>1</v>
      </c>
      <c r="G242" s="38" t="n">
        <f aca="false">IF($G$11=$E$11,$F$11,IF(U242&lt;($F$11-$E$11)/($G$11-$E$11),$E$11+SQRT(U242*($G$11-$E$11)*($F$11-$E$11)),$G$11-SQRT((1-U242)*($G$11-$E$11)*($G$11-$F$11))))</f>
        <v>0</v>
      </c>
      <c r="H242" s="39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0</v>
      </c>
      <c r="I242" s="39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0</v>
      </c>
      <c r="J242" s="39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0</v>
      </c>
      <c r="K242" s="39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0</v>
      </c>
      <c r="L242" s="39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0</v>
      </c>
      <c r="M242" s="39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0</v>
      </c>
      <c r="N242" s="39" t="str">
        <f aca="false">IF(COUNT('Business Case'!B11:G11)=0,"",H242+NPV(G242,I242:M242))</f>
        <v/>
      </c>
      <c r="P242" s="40" t="n">
        <f aca="true">RAND()</f>
        <v>0.465959956942553</v>
      </c>
      <c r="Q242" s="40" t="n">
        <f aca="true">RAND()</f>
        <v>0.0487585582964546</v>
      </c>
      <c r="R242" s="40" t="n">
        <f aca="true">RAND()</f>
        <v>0.485759634323741</v>
      </c>
      <c r="S242" s="40" t="n">
        <f aca="true">RAND()</f>
        <v>0.766727545706926</v>
      </c>
      <c r="T242" s="40" t="n">
        <f aca="true">RAND()</f>
        <v>0.888342629097769</v>
      </c>
      <c r="U242" s="40" t="n">
        <f aca="true">RAND()</f>
        <v>0.49424407010395</v>
      </c>
    </row>
    <row r="243" customFormat="false" ht="15" hidden="false" customHeight="false" outlineLevel="0" collapsed="false">
      <c r="A243" s="36" t="n">
        <v>163</v>
      </c>
      <c r="B243" s="37" t="n">
        <f aca="false">1+IF($G$6=$E$6,$F$6,IF(P243&lt;($F$6-$E$6)/($G$6-$E$6),$E$6+SQRT(P243*($G$6-$E$6)*($F$6-$E$6)),$G$6-SQRT((1-P243)*($G$6-$E$6)*($G$6-$F$6))))</f>
        <v>1</v>
      </c>
      <c r="C243" s="37" t="n">
        <f aca="false">1+IF($G$7=$E$7,$F$7,IF(Q243&lt;($F$7-$E$7)/($G$7-$E$7),$E$7+SQRT(Q243*($G$7-$E$7)*($F$7-$E$7)),$G$7-SQRT((1-Q243)*($G$7-$E$7)*($G$7-$F$7))))</f>
        <v>1</v>
      </c>
      <c r="D243" s="37" t="n">
        <f aca="false">1+IF($G$8=$E$8,$F$8,IF(R243&lt;($F$8-$E$8)/($G$8-$E$8),$E$8+SQRT(R243*($G$8-$E$8)*($F$8-$E$8)),$G$8-SQRT((1-R243)*($G$8-$E$8)*($G$8-$F$8))))</f>
        <v>1</v>
      </c>
      <c r="E243" s="37" t="n">
        <f aca="false">1+IF($G$9=$E$9,$F$9,IF(S243&lt;($F$9-$E$9)/($G$9-$E$9),$E$9+SQRT(S243*($G$9-$E$9)*($F$9-$E$9)),$G$9-SQRT((1-S243)*($G$9-$E$9)*($G$9-$F$9))))</f>
        <v>1</v>
      </c>
      <c r="F243" s="37" t="n">
        <f aca="false">1+IF($G$10=$E$10,$F$10,IF(T243&lt;($F$10-$E$10)/($G$10-$E$10),$E$10+SQRT(T243*($G$10-$E$10)*($F$10-$E$10)),$G$10-SQRT((1-T243)*($G$10-$E$10)*($G$10-$F$10))))</f>
        <v>1</v>
      </c>
      <c r="G243" s="38" t="n">
        <f aca="false">IF($G$11=$E$11,$F$11,IF(U243&lt;($F$11-$E$11)/($G$11-$E$11),$E$11+SQRT(U243*($G$11-$E$11)*($F$11-$E$11)),$G$11-SQRT((1-U243)*($G$11-$E$11)*($G$11-$F$11))))</f>
        <v>0</v>
      </c>
      <c r="H243" s="39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0</v>
      </c>
      <c r="I243" s="39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0</v>
      </c>
      <c r="J243" s="39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0</v>
      </c>
      <c r="K243" s="39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0</v>
      </c>
      <c r="L243" s="39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0</v>
      </c>
      <c r="M243" s="39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0</v>
      </c>
      <c r="N243" s="39" t="str">
        <f aca="false">IF(COUNT('Business Case'!B11:G11)=0,"",H243+NPV(G243,I243:M243))</f>
        <v/>
      </c>
      <c r="P243" s="40" t="n">
        <f aca="true">RAND()</f>
        <v>0.029048562683276</v>
      </c>
      <c r="Q243" s="40" t="n">
        <f aca="true">RAND()</f>
        <v>0.0945500441787053</v>
      </c>
      <c r="R243" s="40" t="n">
        <f aca="true">RAND()</f>
        <v>0.421239245683683</v>
      </c>
      <c r="S243" s="40" t="n">
        <f aca="true">RAND()</f>
        <v>0.957400727737207</v>
      </c>
      <c r="T243" s="40" t="n">
        <f aca="true">RAND()</f>
        <v>0.905887236237074</v>
      </c>
      <c r="U243" s="40" t="n">
        <f aca="true">RAND()</f>
        <v>0.398026333777733</v>
      </c>
    </row>
    <row r="244" customFormat="false" ht="15" hidden="false" customHeight="false" outlineLevel="0" collapsed="false">
      <c r="A244" s="36" t="n">
        <v>164</v>
      </c>
      <c r="B244" s="37" t="n">
        <f aca="false">1+IF($G$6=$E$6,$F$6,IF(P244&lt;($F$6-$E$6)/($G$6-$E$6),$E$6+SQRT(P244*($G$6-$E$6)*($F$6-$E$6)),$G$6-SQRT((1-P244)*($G$6-$E$6)*($G$6-$F$6))))</f>
        <v>1</v>
      </c>
      <c r="C244" s="37" t="n">
        <f aca="false">1+IF($G$7=$E$7,$F$7,IF(Q244&lt;($F$7-$E$7)/($G$7-$E$7),$E$7+SQRT(Q244*($G$7-$E$7)*($F$7-$E$7)),$G$7-SQRT((1-Q244)*($G$7-$E$7)*($G$7-$F$7))))</f>
        <v>1</v>
      </c>
      <c r="D244" s="37" t="n">
        <f aca="false">1+IF($G$8=$E$8,$F$8,IF(R244&lt;($F$8-$E$8)/($G$8-$E$8),$E$8+SQRT(R244*($G$8-$E$8)*($F$8-$E$8)),$G$8-SQRT((1-R244)*($G$8-$E$8)*($G$8-$F$8))))</f>
        <v>1</v>
      </c>
      <c r="E244" s="37" t="n">
        <f aca="false">1+IF($G$9=$E$9,$F$9,IF(S244&lt;($F$9-$E$9)/($G$9-$E$9),$E$9+SQRT(S244*($G$9-$E$9)*($F$9-$E$9)),$G$9-SQRT((1-S244)*($G$9-$E$9)*($G$9-$F$9))))</f>
        <v>1</v>
      </c>
      <c r="F244" s="37" t="n">
        <f aca="false">1+IF($G$10=$E$10,$F$10,IF(T244&lt;($F$10-$E$10)/($G$10-$E$10),$E$10+SQRT(T244*($G$10-$E$10)*($F$10-$E$10)),$G$10-SQRT((1-T244)*($G$10-$E$10)*($G$10-$F$10))))</f>
        <v>1</v>
      </c>
      <c r="G244" s="38" t="n">
        <f aca="false">IF($G$11=$E$11,$F$11,IF(U244&lt;($F$11-$E$11)/($G$11-$E$11),$E$11+SQRT(U244*($G$11-$E$11)*($F$11-$E$11)),$G$11-SQRT((1-U244)*($G$11-$E$11)*($G$11-$F$11))))</f>
        <v>0</v>
      </c>
      <c r="H244" s="39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0</v>
      </c>
      <c r="I244" s="39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0</v>
      </c>
      <c r="J244" s="39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0</v>
      </c>
      <c r="K244" s="39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0</v>
      </c>
      <c r="L244" s="39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0</v>
      </c>
      <c r="M244" s="39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0</v>
      </c>
      <c r="N244" s="39" t="str">
        <f aca="false">IF(COUNT('Business Case'!B11:G11)=0,"",H244+NPV(G244,I244:M244))</f>
        <v/>
      </c>
      <c r="P244" s="40" t="n">
        <f aca="true">RAND()</f>
        <v>0.382227590797524</v>
      </c>
      <c r="Q244" s="40" t="n">
        <f aca="true">RAND()</f>
        <v>0.996101809229543</v>
      </c>
      <c r="R244" s="40" t="n">
        <f aca="true">RAND()</f>
        <v>0.970756178913108</v>
      </c>
      <c r="S244" s="40" t="n">
        <f aca="true">RAND()</f>
        <v>0.946886782889161</v>
      </c>
      <c r="T244" s="40" t="n">
        <f aca="true">RAND()</f>
        <v>0.891946014506156</v>
      </c>
      <c r="U244" s="40" t="n">
        <f aca="true">RAND()</f>
        <v>0.337873074908221</v>
      </c>
    </row>
    <row r="245" customFormat="false" ht="15" hidden="false" customHeight="false" outlineLevel="0" collapsed="false">
      <c r="A245" s="36" t="n">
        <v>165</v>
      </c>
      <c r="B245" s="37" t="n">
        <f aca="false">1+IF($G$6=$E$6,$F$6,IF(P245&lt;($F$6-$E$6)/($G$6-$E$6),$E$6+SQRT(P245*($G$6-$E$6)*($F$6-$E$6)),$G$6-SQRT((1-P245)*($G$6-$E$6)*($G$6-$F$6))))</f>
        <v>1</v>
      </c>
      <c r="C245" s="37" t="n">
        <f aca="false">1+IF($G$7=$E$7,$F$7,IF(Q245&lt;($F$7-$E$7)/($G$7-$E$7),$E$7+SQRT(Q245*($G$7-$E$7)*($F$7-$E$7)),$G$7-SQRT((1-Q245)*($G$7-$E$7)*($G$7-$F$7))))</f>
        <v>1</v>
      </c>
      <c r="D245" s="37" t="n">
        <f aca="false">1+IF($G$8=$E$8,$F$8,IF(R245&lt;($F$8-$E$8)/($G$8-$E$8),$E$8+SQRT(R245*($G$8-$E$8)*($F$8-$E$8)),$G$8-SQRT((1-R245)*($G$8-$E$8)*($G$8-$F$8))))</f>
        <v>1</v>
      </c>
      <c r="E245" s="37" t="n">
        <f aca="false">1+IF($G$9=$E$9,$F$9,IF(S245&lt;($F$9-$E$9)/($G$9-$E$9),$E$9+SQRT(S245*($G$9-$E$9)*($F$9-$E$9)),$G$9-SQRT((1-S245)*($G$9-$E$9)*($G$9-$F$9))))</f>
        <v>1</v>
      </c>
      <c r="F245" s="37" t="n">
        <f aca="false">1+IF($G$10=$E$10,$F$10,IF(T245&lt;($F$10-$E$10)/($G$10-$E$10),$E$10+SQRT(T245*($G$10-$E$10)*($F$10-$E$10)),$G$10-SQRT((1-T245)*($G$10-$E$10)*($G$10-$F$10))))</f>
        <v>1</v>
      </c>
      <c r="G245" s="38" t="n">
        <f aca="false">IF($G$11=$E$11,$F$11,IF(U245&lt;($F$11-$E$11)/($G$11-$E$11),$E$11+SQRT(U245*($G$11-$E$11)*($F$11-$E$11)),$G$11-SQRT((1-U245)*($G$11-$E$11)*($G$11-$F$11))))</f>
        <v>0</v>
      </c>
      <c r="H245" s="39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0</v>
      </c>
      <c r="I245" s="39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0</v>
      </c>
      <c r="J245" s="39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0</v>
      </c>
      <c r="K245" s="39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0</v>
      </c>
      <c r="L245" s="39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0</v>
      </c>
      <c r="M245" s="39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0</v>
      </c>
      <c r="N245" s="39" t="str">
        <f aca="false">IF(COUNT('Business Case'!B11:G11)=0,"",H245+NPV(G245,I245:M245))</f>
        <v/>
      </c>
      <c r="P245" s="40" t="n">
        <f aca="true">RAND()</f>
        <v>0.98075551768266</v>
      </c>
      <c r="Q245" s="40" t="n">
        <f aca="true">RAND()</f>
        <v>0.821111818917437</v>
      </c>
      <c r="R245" s="40" t="n">
        <f aca="true">RAND()</f>
        <v>0.44001235759936</v>
      </c>
      <c r="S245" s="40" t="n">
        <f aca="true">RAND()</f>
        <v>0.531480362080188</v>
      </c>
      <c r="T245" s="40" t="n">
        <f aca="true">RAND()</f>
        <v>0.616471094891237</v>
      </c>
      <c r="U245" s="40" t="n">
        <f aca="true">RAND()</f>
        <v>0.633331009472583</v>
      </c>
    </row>
    <row r="246" customFormat="false" ht="15" hidden="false" customHeight="false" outlineLevel="0" collapsed="false">
      <c r="A246" s="36" t="n">
        <v>166</v>
      </c>
      <c r="B246" s="37" t="n">
        <f aca="false">1+IF($G$6=$E$6,$F$6,IF(P246&lt;($F$6-$E$6)/($G$6-$E$6),$E$6+SQRT(P246*($G$6-$E$6)*($F$6-$E$6)),$G$6-SQRT((1-P246)*($G$6-$E$6)*($G$6-$F$6))))</f>
        <v>1</v>
      </c>
      <c r="C246" s="37" t="n">
        <f aca="false">1+IF($G$7=$E$7,$F$7,IF(Q246&lt;($F$7-$E$7)/($G$7-$E$7),$E$7+SQRT(Q246*($G$7-$E$7)*($F$7-$E$7)),$G$7-SQRT((1-Q246)*($G$7-$E$7)*($G$7-$F$7))))</f>
        <v>1</v>
      </c>
      <c r="D246" s="37" t="n">
        <f aca="false">1+IF($G$8=$E$8,$F$8,IF(R246&lt;($F$8-$E$8)/($G$8-$E$8),$E$8+SQRT(R246*($G$8-$E$8)*($F$8-$E$8)),$G$8-SQRT((1-R246)*($G$8-$E$8)*($G$8-$F$8))))</f>
        <v>1</v>
      </c>
      <c r="E246" s="37" t="n">
        <f aca="false">1+IF($G$9=$E$9,$F$9,IF(S246&lt;($F$9-$E$9)/($G$9-$E$9),$E$9+SQRT(S246*($G$9-$E$9)*($F$9-$E$9)),$G$9-SQRT((1-S246)*($G$9-$E$9)*($G$9-$F$9))))</f>
        <v>1</v>
      </c>
      <c r="F246" s="37" t="n">
        <f aca="false">1+IF($G$10=$E$10,$F$10,IF(T246&lt;($F$10-$E$10)/($G$10-$E$10),$E$10+SQRT(T246*($G$10-$E$10)*($F$10-$E$10)),$G$10-SQRT((1-T246)*($G$10-$E$10)*($G$10-$F$10))))</f>
        <v>1</v>
      </c>
      <c r="G246" s="38" t="n">
        <f aca="false">IF($G$11=$E$11,$F$11,IF(U246&lt;($F$11-$E$11)/($G$11-$E$11),$E$11+SQRT(U246*($G$11-$E$11)*($F$11-$E$11)),$G$11-SQRT((1-U246)*($G$11-$E$11)*($G$11-$F$11))))</f>
        <v>0</v>
      </c>
      <c r="H246" s="39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0</v>
      </c>
      <c r="I246" s="39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0</v>
      </c>
      <c r="J246" s="39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0</v>
      </c>
      <c r="K246" s="39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0</v>
      </c>
      <c r="L246" s="39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0</v>
      </c>
      <c r="M246" s="39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0</v>
      </c>
      <c r="N246" s="39" t="str">
        <f aca="false">IF(COUNT('Business Case'!B11:G11)=0,"",H246+NPV(G246,I246:M246))</f>
        <v/>
      </c>
      <c r="P246" s="40" t="n">
        <f aca="true">RAND()</f>
        <v>0.663578086609067</v>
      </c>
      <c r="Q246" s="40" t="n">
        <f aca="true">RAND()</f>
        <v>0.982443517667413</v>
      </c>
      <c r="R246" s="40" t="n">
        <f aca="true">RAND()</f>
        <v>0.952256413359156</v>
      </c>
      <c r="S246" s="40" t="n">
        <f aca="true">RAND()</f>
        <v>0.124684614317795</v>
      </c>
      <c r="T246" s="40" t="n">
        <f aca="true">RAND()</f>
        <v>0.315547833066308</v>
      </c>
      <c r="U246" s="40" t="n">
        <f aca="true">RAND()</f>
        <v>0.999824080572296</v>
      </c>
    </row>
    <row r="247" customFormat="false" ht="15" hidden="false" customHeight="false" outlineLevel="0" collapsed="false">
      <c r="A247" s="36" t="n">
        <v>167</v>
      </c>
      <c r="B247" s="37" t="n">
        <f aca="false">1+IF($G$6=$E$6,$F$6,IF(P247&lt;($F$6-$E$6)/($G$6-$E$6),$E$6+SQRT(P247*($G$6-$E$6)*($F$6-$E$6)),$G$6-SQRT((1-P247)*($G$6-$E$6)*($G$6-$F$6))))</f>
        <v>1</v>
      </c>
      <c r="C247" s="37" t="n">
        <f aca="false">1+IF($G$7=$E$7,$F$7,IF(Q247&lt;($F$7-$E$7)/($G$7-$E$7),$E$7+SQRT(Q247*($G$7-$E$7)*($F$7-$E$7)),$G$7-SQRT((1-Q247)*($G$7-$E$7)*($G$7-$F$7))))</f>
        <v>1</v>
      </c>
      <c r="D247" s="37" t="n">
        <f aca="false">1+IF($G$8=$E$8,$F$8,IF(R247&lt;($F$8-$E$8)/($G$8-$E$8),$E$8+SQRT(R247*($G$8-$E$8)*($F$8-$E$8)),$G$8-SQRT((1-R247)*($G$8-$E$8)*($G$8-$F$8))))</f>
        <v>1</v>
      </c>
      <c r="E247" s="37" t="n">
        <f aca="false">1+IF($G$9=$E$9,$F$9,IF(S247&lt;($F$9-$E$9)/($G$9-$E$9),$E$9+SQRT(S247*($G$9-$E$9)*($F$9-$E$9)),$G$9-SQRT((1-S247)*($G$9-$E$9)*($G$9-$F$9))))</f>
        <v>1</v>
      </c>
      <c r="F247" s="37" t="n">
        <f aca="false">1+IF($G$10=$E$10,$F$10,IF(T247&lt;($F$10-$E$10)/($G$10-$E$10),$E$10+SQRT(T247*($G$10-$E$10)*($F$10-$E$10)),$G$10-SQRT((1-T247)*($G$10-$E$10)*($G$10-$F$10))))</f>
        <v>1</v>
      </c>
      <c r="G247" s="38" t="n">
        <f aca="false">IF($G$11=$E$11,$F$11,IF(U247&lt;($F$11-$E$11)/($G$11-$E$11),$E$11+SQRT(U247*($G$11-$E$11)*($F$11-$E$11)),$G$11-SQRT((1-U247)*($G$11-$E$11)*($G$11-$F$11))))</f>
        <v>0</v>
      </c>
      <c r="H247" s="39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0</v>
      </c>
      <c r="I247" s="39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0</v>
      </c>
      <c r="J247" s="39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0</v>
      </c>
      <c r="K247" s="39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0</v>
      </c>
      <c r="L247" s="39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0</v>
      </c>
      <c r="M247" s="39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0</v>
      </c>
      <c r="N247" s="39" t="str">
        <f aca="false">IF(COUNT('Business Case'!B11:G11)=0,"",H247+NPV(G247,I247:M247))</f>
        <v/>
      </c>
      <c r="P247" s="40" t="n">
        <f aca="true">RAND()</f>
        <v>0.997130855639904</v>
      </c>
      <c r="Q247" s="40" t="n">
        <f aca="true">RAND()</f>
        <v>0.0676885862520868</v>
      </c>
      <c r="R247" s="40" t="n">
        <f aca="true">RAND()</f>
        <v>0.311096666317803</v>
      </c>
      <c r="S247" s="40" t="n">
        <f aca="true">RAND()</f>
        <v>0.832792701636207</v>
      </c>
      <c r="T247" s="40" t="n">
        <f aca="true">RAND()</f>
        <v>0.882156508030136</v>
      </c>
      <c r="U247" s="40" t="n">
        <f aca="true">RAND()</f>
        <v>0.141195895836849</v>
      </c>
    </row>
    <row r="248" customFormat="false" ht="15" hidden="false" customHeight="false" outlineLevel="0" collapsed="false">
      <c r="A248" s="36" t="n">
        <v>168</v>
      </c>
      <c r="B248" s="37" t="n">
        <f aca="false">1+IF($G$6=$E$6,$F$6,IF(P248&lt;($F$6-$E$6)/($G$6-$E$6),$E$6+SQRT(P248*($G$6-$E$6)*($F$6-$E$6)),$G$6-SQRT((1-P248)*($G$6-$E$6)*($G$6-$F$6))))</f>
        <v>1</v>
      </c>
      <c r="C248" s="37" t="n">
        <f aca="false">1+IF($G$7=$E$7,$F$7,IF(Q248&lt;($F$7-$E$7)/($G$7-$E$7),$E$7+SQRT(Q248*($G$7-$E$7)*($F$7-$E$7)),$G$7-SQRT((1-Q248)*($G$7-$E$7)*($G$7-$F$7))))</f>
        <v>1</v>
      </c>
      <c r="D248" s="37" t="n">
        <f aca="false">1+IF($G$8=$E$8,$F$8,IF(R248&lt;($F$8-$E$8)/($G$8-$E$8),$E$8+SQRT(R248*($G$8-$E$8)*($F$8-$E$8)),$G$8-SQRT((1-R248)*($G$8-$E$8)*($G$8-$F$8))))</f>
        <v>1</v>
      </c>
      <c r="E248" s="37" t="n">
        <f aca="false">1+IF($G$9=$E$9,$F$9,IF(S248&lt;($F$9-$E$9)/($G$9-$E$9),$E$9+SQRT(S248*($G$9-$E$9)*($F$9-$E$9)),$G$9-SQRT((1-S248)*($G$9-$E$9)*($G$9-$F$9))))</f>
        <v>1</v>
      </c>
      <c r="F248" s="37" t="n">
        <f aca="false">1+IF($G$10=$E$10,$F$10,IF(T248&lt;($F$10-$E$10)/($G$10-$E$10),$E$10+SQRT(T248*($G$10-$E$10)*($F$10-$E$10)),$G$10-SQRT((1-T248)*($G$10-$E$10)*($G$10-$F$10))))</f>
        <v>1</v>
      </c>
      <c r="G248" s="38" t="n">
        <f aca="false">IF($G$11=$E$11,$F$11,IF(U248&lt;($F$11-$E$11)/($G$11-$E$11),$E$11+SQRT(U248*($G$11-$E$11)*($F$11-$E$11)),$G$11-SQRT((1-U248)*($G$11-$E$11)*($G$11-$F$11))))</f>
        <v>0</v>
      </c>
      <c r="H248" s="39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0</v>
      </c>
      <c r="I248" s="39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0</v>
      </c>
      <c r="J248" s="39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0</v>
      </c>
      <c r="K248" s="39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0</v>
      </c>
      <c r="L248" s="39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0</v>
      </c>
      <c r="M248" s="39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0</v>
      </c>
      <c r="N248" s="39" t="str">
        <f aca="false">IF(COUNT('Business Case'!B11:G11)=0,"",H248+NPV(G248,I248:M248))</f>
        <v/>
      </c>
      <c r="P248" s="40" t="n">
        <f aca="true">RAND()</f>
        <v>0.438676019896452</v>
      </c>
      <c r="Q248" s="40" t="n">
        <f aca="true">RAND()</f>
        <v>0.701755550659564</v>
      </c>
      <c r="R248" s="40" t="n">
        <f aca="true">RAND()</f>
        <v>0.867571294310719</v>
      </c>
      <c r="S248" s="40" t="n">
        <f aca="true">RAND()</f>
        <v>0.462857228122262</v>
      </c>
      <c r="T248" s="40" t="n">
        <f aca="true">RAND()</f>
        <v>0.0546451749062096</v>
      </c>
      <c r="U248" s="40" t="n">
        <f aca="true">RAND()</f>
        <v>0.483280504234637</v>
      </c>
    </row>
    <row r="249" customFormat="false" ht="15" hidden="false" customHeight="false" outlineLevel="0" collapsed="false">
      <c r="A249" s="36" t="n">
        <v>169</v>
      </c>
      <c r="B249" s="37" t="n">
        <f aca="false">1+IF($G$6=$E$6,$F$6,IF(P249&lt;($F$6-$E$6)/($G$6-$E$6),$E$6+SQRT(P249*($G$6-$E$6)*($F$6-$E$6)),$G$6-SQRT((1-P249)*($G$6-$E$6)*($G$6-$F$6))))</f>
        <v>1</v>
      </c>
      <c r="C249" s="37" t="n">
        <f aca="false">1+IF($G$7=$E$7,$F$7,IF(Q249&lt;($F$7-$E$7)/($G$7-$E$7),$E$7+SQRT(Q249*($G$7-$E$7)*($F$7-$E$7)),$G$7-SQRT((1-Q249)*($G$7-$E$7)*($G$7-$F$7))))</f>
        <v>1</v>
      </c>
      <c r="D249" s="37" t="n">
        <f aca="false">1+IF($G$8=$E$8,$F$8,IF(R249&lt;($F$8-$E$8)/($G$8-$E$8),$E$8+SQRT(R249*($G$8-$E$8)*($F$8-$E$8)),$G$8-SQRT((1-R249)*($G$8-$E$8)*($G$8-$F$8))))</f>
        <v>1</v>
      </c>
      <c r="E249" s="37" t="n">
        <f aca="false">1+IF($G$9=$E$9,$F$9,IF(S249&lt;($F$9-$E$9)/($G$9-$E$9),$E$9+SQRT(S249*($G$9-$E$9)*($F$9-$E$9)),$G$9-SQRT((1-S249)*($G$9-$E$9)*($G$9-$F$9))))</f>
        <v>1</v>
      </c>
      <c r="F249" s="37" t="n">
        <f aca="false">1+IF($G$10=$E$10,$F$10,IF(T249&lt;($F$10-$E$10)/($G$10-$E$10),$E$10+SQRT(T249*($G$10-$E$10)*($F$10-$E$10)),$G$10-SQRT((1-T249)*($G$10-$E$10)*($G$10-$F$10))))</f>
        <v>1</v>
      </c>
      <c r="G249" s="38" t="n">
        <f aca="false">IF($G$11=$E$11,$F$11,IF(U249&lt;($F$11-$E$11)/($G$11-$E$11),$E$11+SQRT(U249*($G$11-$E$11)*($F$11-$E$11)),$G$11-SQRT((1-U249)*($G$11-$E$11)*($G$11-$F$11))))</f>
        <v>0</v>
      </c>
      <c r="H249" s="39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0</v>
      </c>
      <c r="I249" s="39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0</v>
      </c>
      <c r="J249" s="39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0</v>
      </c>
      <c r="K249" s="39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0</v>
      </c>
      <c r="L249" s="39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0</v>
      </c>
      <c r="M249" s="39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0</v>
      </c>
      <c r="N249" s="39" t="str">
        <f aca="false">IF(COUNT('Business Case'!B11:G11)=0,"",H249+NPV(G249,I249:M249))</f>
        <v/>
      </c>
      <c r="P249" s="40" t="n">
        <f aca="true">RAND()</f>
        <v>0.226169560315726</v>
      </c>
      <c r="Q249" s="40" t="n">
        <f aca="true">RAND()</f>
        <v>0.309304844659084</v>
      </c>
      <c r="R249" s="40" t="n">
        <f aca="true">RAND()</f>
        <v>0.937874211143401</v>
      </c>
      <c r="S249" s="40" t="n">
        <f aca="true">RAND()</f>
        <v>0.622241366113899</v>
      </c>
      <c r="T249" s="40" t="n">
        <f aca="true">RAND()</f>
        <v>0.712685151569338</v>
      </c>
      <c r="U249" s="40" t="n">
        <f aca="true">RAND()</f>
        <v>0.797182506889402</v>
      </c>
    </row>
    <row r="250" customFormat="false" ht="15" hidden="false" customHeight="false" outlineLevel="0" collapsed="false">
      <c r="A250" s="36" t="n">
        <v>170</v>
      </c>
      <c r="B250" s="37" t="n">
        <f aca="false">1+IF($G$6=$E$6,$F$6,IF(P250&lt;($F$6-$E$6)/($G$6-$E$6),$E$6+SQRT(P250*($G$6-$E$6)*($F$6-$E$6)),$G$6-SQRT((1-P250)*($G$6-$E$6)*($G$6-$F$6))))</f>
        <v>1</v>
      </c>
      <c r="C250" s="37" t="n">
        <f aca="false">1+IF($G$7=$E$7,$F$7,IF(Q250&lt;($F$7-$E$7)/($G$7-$E$7),$E$7+SQRT(Q250*($G$7-$E$7)*($F$7-$E$7)),$G$7-SQRT((1-Q250)*($G$7-$E$7)*($G$7-$F$7))))</f>
        <v>1</v>
      </c>
      <c r="D250" s="37" t="n">
        <f aca="false">1+IF($G$8=$E$8,$F$8,IF(R250&lt;($F$8-$E$8)/($G$8-$E$8),$E$8+SQRT(R250*($G$8-$E$8)*($F$8-$E$8)),$G$8-SQRT((1-R250)*($G$8-$E$8)*($G$8-$F$8))))</f>
        <v>1</v>
      </c>
      <c r="E250" s="37" t="n">
        <f aca="false">1+IF($G$9=$E$9,$F$9,IF(S250&lt;($F$9-$E$9)/($G$9-$E$9),$E$9+SQRT(S250*($G$9-$E$9)*($F$9-$E$9)),$G$9-SQRT((1-S250)*($G$9-$E$9)*($G$9-$F$9))))</f>
        <v>1</v>
      </c>
      <c r="F250" s="37" t="n">
        <f aca="false">1+IF($G$10=$E$10,$F$10,IF(T250&lt;($F$10-$E$10)/($G$10-$E$10),$E$10+SQRT(T250*($G$10-$E$10)*($F$10-$E$10)),$G$10-SQRT((1-T250)*($G$10-$E$10)*($G$10-$F$10))))</f>
        <v>1</v>
      </c>
      <c r="G250" s="38" t="n">
        <f aca="false">IF($G$11=$E$11,$F$11,IF(U250&lt;($F$11-$E$11)/($G$11-$E$11),$E$11+SQRT(U250*($G$11-$E$11)*($F$11-$E$11)),$G$11-SQRT((1-U250)*($G$11-$E$11)*($G$11-$F$11))))</f>
        <v>0</v>
      </c>
      <c r="H250" s="39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0</v>
      </c>
      <c r="I250" s="39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0</v>
      </c>
      <c r="J250" s="39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0</v>
      </c>
      <c r="K250" s="39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0</v>
      </c>
      <c r="L250" s="39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0</v>
      </c>
      <c r="M250" s="39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0</v>
      </c>
      <c r="N250" s="39" t="str">
        <f aca="false">IF(COUNT('Business Case'!B11:G11)=0,"",H250+NPV(G250,I250:M250))</f>
        <v/>
      </c>
      <c r="P250" s="40" t="n">
        <f aca="true">RAND()</f>
        <v>0.646617910869323</v>
      </c>
      <c r="Q250" s="40" t="n">
        <f aca="true">RAND()</f>
        <v>0.770265362596315</v>
      </c>
      <c r="R250" s="40" t="n">
        <f aca="true">RAND()</f>
        <v>0.791528456894597</v>
      </c>
      <c r="S250" s="40" t="n">
        <f aca="true">RAND()</f>
        <v>0.592473452480869</v>
      </c>
      <c r="T250" s="40" t="n">
        <f aca="true">RAND()</f>
        <v>0.214730855900269</v>
      </c>
      <c r="U250" s="40" t="n">
        <f aca="true">RAND()</f>
        <v>0.0836882577977159</v>
      </c>
    </row>
    <row r="251" customFormat="false" ht="15" hidden="false" customHeight="false" outlineLevel="0" collapsed="false">
      <c r="A251" s="36" t="n">
        <v>171</v>
      </c>
      <c r="B251" s="37" t="n">
        <f aca="false">1+IF($G$6=$E$6,$F$6,IF(P251&lt;($F$6-$E$6)/($G$6-$E$6),$E$6+SQRT(P251*($G$6-$E$6)*($F$6-$E$6)),$G$6-SQRT((1-P251)*($G$6-$E$6)*($G$6-$F$6))))</f>
        <v>1</v>
      </c>
      <c r="C251" s="37" t="n">
        <f aca="false">1+IF($G$7=$E$7,$F$7,IF(Q251&lt;($F$7-$E$7)/($G$7-$E$7),$E$7+SQRT(Q251*($G$7-$E$7)*($F$7-$E$7)),$G$7-SQRT((1-Q251)*($G$7-$E$7)*($G$7-$F$7))))</f>
        <v>1</v>
      </c>
      <c r="D251" s="37" t="n">
        <f aca="false">1+IF($G$8=$E$8,$F$8,IF(R251&lt;($F$8-$E$8)/($G$8-$E$8),$E$8+SQRT(R251*($G$8-$E$8)*($F$8-$E$8)),$G$8-SQRT((1-R251)*($G$8-$E$8)*($G$8-$F$8))))</f>
        <v>1</v>
      </c>
      <c r="E251" s="37" t="n">
        <f aca="false">1+IF($G$9=$E$9,$F$9,IF(S251&lt;($F$9-$E$9)/($G$9-$E$9),$E$9+SQRT(S251*($G$9-$E$9)*($F$9-$E$9)),$G$9-SQRT((1-S251)*($G$9-$E$9)*($G$9-$F$9))))</f>
        <v>1</v>
      </c>
      <c r="F251" s="37" t="n">
        <f aca="false">1+IF($G$10=$E$10,$F$10,IF(T251&lt;($F$10-$E$10)/($G$10-$E$10),$E$10+SQRT(T251*($G$10-$E$10)*($F$10-$E$10)),$G$10-SQRT((1-T251)*($G$10-$E$10)*($G$10-$F$10))))</f>
        <v>1</v>
      </c>
      <c r="G251" s="38" t="n">
        <f aca="false">IF($G$11=$E$11,$F$11,IF(U251&lt;($F$11-$E$11)/($G$11-$E$11),$E$11+SQRT(U251*($G$11-$E$11)*($F$11-$E$11)),$G$11-SQRT((1-U251)*($G$11-$E$11)*($G$11-$F$11))))</f>
        <v>0</v>
      </c>
      <c r="H251" s="39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0</v>
      </c>
      <c r="I251" s="39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0</v>
      </c>
      <c r="J251" s="39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0</v>
      </c>
      <c r="K251" s="39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0</v>
      </c>
      <c r="L251" s="39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0</v>
      </c>
      <c r="M251" s="39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0</v>
      </c>
      <c r="N251" s="39" t="str">
        <f aca="false">IF(COUNT('Business Case'!B11:G11)=0,"",H251+NPV(G251,I251:M251))</f>
        <v/>
      </c>
      <c r="P251" s="40" t="n">
        <f aca="true">RAND()</f>
        <v>0.923636108060163</v>
      </c>
      <c r="Q251" s="40" t="n">
        <f aca="true">RAND()</f>
        <v>0.37239939405008</v>
      </c>
      <c r="R251" s="40" t="n">
        <f aca="true">RAND()</f>
        <v>0.632373572304437</v>
      </c>
      <c r="S251" s="40" t="n">
        <f aca="true">RAND()</f>
        <v>0.405049319922687</v>
      </c>
      <c r="T251" s="40" t="n">
        <f aca="true">RAND()</f>
        <v>0.83411777428989</v>
      </c>
      <c r="U251" s="40" t="n">
        <f aca="true">RAND()</f>
        <v>0.712321918291787</v>
      </c>
    </row>
    <row r="252" customFormat="false" ht="15" hidden="false" customHeight="false" outlineLevel="0" collapsed="false">
      <c r="A252" s="36" t="n">
        <v>172</v>
      </c>
      <c r="B252" s="37" t="n">
        <f aca="false">1+IF($G$6=$E$6,$F$6,IF(P252&lt;($F$6-$E$6)/($G$6-$E$6),$E$6+SQRT(P252*($G$6-$E$6)*($F$6-$E$6)),$G$6-SQRT((1-P252)*($G$6-$E$6)*($G$6-$F$6))))</f>
        <v>1</v>
      </c>
      <c r="C252" s="37" t="n">
        <f aca="false">1+IF($G$7=$E$7,$F$7,IF(Q252&lt;($F$7-$E$7)/($G$7-$E$7),$E$7+SQRT(Q252*($G$7-$E$7)*($F$7-$E$7)),$G$7-SQRT((1-Q252)*($G$7-$E$7)*($G$7-$F$7))))</f>
        <v>1</v>
      </c>
      <c r="D252" s="37" t="n">
        <f aca="false">1+IF($G$8=$E$8,$F$8,IF(R252&lt;($F$8-$E$8)/($G$8-$E$8),$E$8+SQRT(R252*($G$8-$E$8)*($F$8-$E$8)),$G$8-SQRT((1-R252)*($G$8-$E$8)*($G$8-$F$8))))</f>
        <v>1</v>
      </c>
      <c r="E252" s="37" t="n">
        <f aca="false">1+IF($G$9=$E$9,$F$9,IF(S252&lt;($F$9-$E$9)/($G$9-$E$9),$E$9+SQRT(S252*($G$9-$E$9)*($F$9-$E$9)),$G$9-SQRT((1-S252)*($G$9-$E$9)*($G$9-$F$9))))</f>
        <v>1</v>
      </c>
      <c r="F252" s="37" t="n">
        <f aca="false">1+IF($G$10=$E$10,$F$10,IF(T252&lt;($F$10-$E$10)/($G$10-$E$10),$E$10+SQRT(T252*($G$10-$E$10)*($F$10-$E$10)),$G$10-SQRT((1-T252)*($G$10-$E$10)*($G$10-$F$10))))</f>
        <v>1</v>
      </c>
      <c r="G252" s="38" t="n">
        <f aca="false">IF($G$11=$E$11,$F$11,IF(U252&lt;($F$11-$E$11)/($G$11-$E$11),$E$11+SQRT(U252*($G$11-$E$11)*($F$11-$E$11)),$G$11-SQRT((1-U252)*($G$11-$E$11)*($G$11-$F$11))))</f>
        <v>0</v>
      </c>
      <c r="H252" s="39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0</v>
      </c>
      <c r="I252" s="39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0</v>
      </c>
      <c r="J252" s="39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0</v>
      </c>
      <c r="K252" s="39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0</v>
      </c>
      <c r="L252" s="39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0</v>
      </c>
      <c r="M252" s="39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0</v>
      </c>
      <c r="N252" s="39" t="str">
        <f aca="false">IF(COUNT('Business Case'!B11:G11)=0,"",H252+NPV(G252,I252:M252))</f>
        <v/>
      </c>
      <c r="P252" s="40" t="n">
        <f aca="true">RAND()</f>
        <v>0.115230435936358</v>
      </c>
      <c r="Q252" s="40" t="n">
        <f aca="true">RAND()</f>
        <v>0.1217395002681</v>
      </c>
      <c r="R252" s="40" t="n">
        <f aca="true">RAND()</f>
        <v>0.469662225157669</v>
      </c>
      <c r="S252" s="40" t="n">
        <f aca="true">RAND()</f>
        <v>0.456204117837702</v>
      </c>
      <c r="T252" s="40" t="n">
        <f aca="true">RAND()</f>
        <v>0.0458275009103253</v>
      </c>
      <c r="U252" s="40" t="n">
        <f aca="true">RAND()</f>
        <v>0.849833365081561</v>
      </c>
    </row>
    <row r="253" customFormat="false" ht="15" hidden="false" customHeight="false" outlineLevel="0" collapsed="false">
      <c r="A253" s="36" t="n">
        <v>173</v>
      </c>
      <c r="B253" s="37" t="n">
        <f aca="false">1+IF($G$6=$E$6,$F$6,IF(P253&lt;($F$6-$E$6)/($G$6-$E$6),$E$6+SQRT(P253*($G$6-$E$6)*($F$6-$E$6)),$G$6-SQRT((1-P253)*($G$6-$E$6)*($G$6-$F$6))))</f>
        <v>1</v>
      </c>
      <c r="C253" s="37" t="n">
        <f aca="false">1+IF($G$7=$E$7,$F$7,IF(Q253&lt;($F$7-$E$7)/($G$7-$E$7),$E$7+SQRT(Q253*($G$7-$E$7)*($F$7-$E$7)),$G$7-SQRT((1-Q253)*($G$7-$E$7)*($G$7-$F$7))))</f>
        <v>1</v>
      </c>
      <c r="D253" s="37" t="n">
        <f aca="false">1+IF($G$8=$E$8,$F$8,IF(R253&lt;($F$8-$E$8)/($G$8-$E$8),$E$8+SQRT(R253*($G$8-$E$8)*($F$8-$E$8)),$G$8-SQRT((1-R253)*($G$8-$E$8)*($G$8-$F$8))))</f>
        <v>1</v>
      </c>
      <c r="E253" s="37" t="n">
        <f aca="false">1+IF($G$9=$E$9,$F$9,IF(S253&lt;($F$9-$E$9)/($G$9-$E$9),$E$9+SQRT(S253*($G$9-$E$9)*($F$9-$E$9)),$G$9-SQRT((1-S253)*($G$9-$E$9)*($G$9-$F$9))))</f>
        <v>1</v>
      </c>
      <c r="F253" s="37" t="n">
        <f aca="false">1+IF($G$10=$E$10,$F$10,IF(T253&lt;($F$10-$E$10)/($G$10-$E$10),$E$10+SQRT(T253*($G$10-$E$10)*($F$10-$E$10)),$G$10-SQRT((1-T253)*($G$10-$E$10)*($G$10-$F$10))))</f>
        <v>1</v>
      </c>
      <c r="G253" s="38" t="n">
        <f aca="false">IF($G$11=$E$11,$F$11,IF(U253&lt;($F$11-$E$11)/($G$11-$E$11),$E$11+SQRT(U253*($G$11-$E$11)*($F$11-$E$11)),$G$11-SQRT((1-U253)*($G$11-$E$11)*($G$11-$F$11))))</f>
        <v>0</v>
      </c>
      <c r="H253" s="39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0</v>
      </c>
      <c r="I253" s="39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0</v>
      </c>
      <c r="J253" s="39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0</v>
      </c>
      <c r="K253" s="39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0</v>
      </c>
      <c r="L253" s="39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0</v>
      </c>
      <c r="M253" s="39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0</v>
      </c>
      <c r="N253" s="39" t="str">
        <f aca="false">IF(COUNT('Business Case'!B11:G11)=0,"",H253+NPV(G253,I253:M253))</f>
        <v/>
      </c>
      <c r="P253" s="40" t="n">
        <f aca="true">RAND()</f>
        <v>0.603349724836326</v>
      </c>
      <c r="Q253" s="40" t="n">
        <f aca="true">RAND()</f>
        <v>0.44523893846513</v>
      </c>
      <c r="R253" s="40" t="n">
        <f aca="true">RAND()</f>
        <v>0.934033248170333</v>
      </c>
      <c r="S253" s="40" t="n">
        <f aca="true">RAND()</f>
        <v>0.104396557095039</v>
      </c>
      <c r="T253" s="40" t="n">
        <f aca="true">RAND()</f>
        <v>0.467134162253794</v>
      </c>
      <c r="U253" s="40" t="n">
        <f aca="true">RAND()</f>
        <v>0.521817463168164</v>
      </c>
    </row>
    <row r="254" customFormat="false" ht="15" hidden="false" customHeight="false" outlineLevel="0" collapsed="false">
      <c r="A254" s="36" t="n">
        <v>174</v>
      </c>
      <c r="B254" s="37" t="n">
        <f aca="false">1+IF($G$6=$E$6,$F$6,IF(P254&lt;($F$6-$E$6)/($G$6-$E$6),$E$6+SQRT(P254*($G$6-$E$6)*($F$6-$E$6)),$G$6-SQRT((1-P254)*($G$6-$E$6)*($G$6-$F$6))))</f>
        <v>1</v>
      </c>
      <c r="C254" s="37" t="n">
        <f aca="false">1+IF($G$7=$E$7,$F$7,IF(Q254&lt;($F$7-$E$7)/($G$7-$E$7),$E$7+SQRT(Q254*($G$7-$E$7)*($F$7-$E$7)),$G$7-SQRT((1-Q254)*($G$7-$E$7)*($G$7-$F$7))))</f>
        <v>1</v>
      </c>
      <c r="D254" s="37" t="n">
        <f aca="false">1+IF($G$8=$E$8,$F$8,IF(R254&lt;($F$8-$E$8)/($G$8-$E$8),$E$8+SQRT(R254*($G$8-$E$8)*($F$8-$E$8)),$G$8-SQRT((1-R254)*($G$8-$E$8)*($G$8-$F$8))))</f>
        <v>1</v>
      </c>
      <c r="E254" s="37" t="n">
        <f aca="false">1+IF($G$9=$E$9,$F$9,IF(S254&lt;($F$9-$E$9)/($G$9-$E$9),$E$9+SQRT(S254*($G$9-$E$9)*($F$9-$E$9)),$G$9-SQRT((1-S254)*($G$9-$E$9)*($G$9-$F$9))))</f>
        <v>1</v>
      </c>
      <c r="F254" s="37" t="n">
        <f aca="false">1+IF($G$10=$E$10,$F$10,IF(T254&lt;($F$10-$E$10)/($G$10-$E$10),$E$10+SQRT(T254*($G$10-$E$10)*($F$10-$E$10)),$G$10-SQRT((1-T254)*($G$10-$E$10)*($G$10-$F$10))))</f>
        <v>1</v>
      </c>
      <c r="G254" s="38" t="n">
        <f aca="false">IF($G$11=$E$11,$F$11,IF(U254&lt;($F$11-$E$11)/($G$11-$E$11),$E$11+SQRT(U254*($G$11-$E$11)*($F$11-$E$11)),$G$11-SQRT((1-U254)*($G$11-$E$11)*($G$11-$F$11))))</f>
        <v>0</v>
      </c>
      <c r="H254" s="39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0</v>
      </c>
      <c r="I254" s="39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0</v>
      </c>
      <c r="J254" s="39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0</v>
      </c>
      <c r="K254" s="39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0</v>
      </c>
      <c r="L254" s="39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0</v>
      </c>
      <c r="M254" s="39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0</v>
      </c>
      <c r="N254" s="39" t="str">
        <f aca="false">IF(COUNT('Business Case'!B11:G11)=0,"",H254+NPV(G254,I254:M254))</f>
        <v/>
      </c>
      <c r="P254" s="40" t="n">
        <f aca="true">RAND()</f>
        <v>0.0889728785894427</v>
      </c>
      <c r="Q254" s="40" t="n">
        <f aca="true">RAND()</f>
        <v>0.368089103640121</v>
      </c>
      <c r="R254" s="40" t="n">
        <f aca="true">RAND()</f>
        <v>0.560859333698622</v>
      </c>
      <c r="S254" s="40" t="n">
        <f aca="true">RAND()</f>
        <v>0.757693622763517</v>
      </c>
      <c r="T254" s="40" t="n">
        <f aca="true">RAND()</f>
        <v>0.847018663188128</v>
      </c>
      <c r="U254" s="40" t="n">
        <f aca="true">RAND()</f>
        <v>0.327253099972922</v>
      </c>
    </row>
    <row r="255" customFormat="false" ht="15" hidden="false" customHeight="false" outlineLevel="0" collapsed="false">
      <c r="A255" s="36" t="n">
        <v>175</v>
      </c>
      <c r="B255" s="37" t="n">
        <f aca="false">1+IF($G$6=$E$6,$F$6,IF(P255&lt;($F$6-$E$6)/($G$6-$E$6),$E$6+SQRT(P255*($G$6-$E$6)*($F$6-$E$6)),$G$6-SQRT((1-P255)*($G$6-$E$6)*($G$6-$F$6))))</f>
        <v>1</v>
      </c>
      <c r="C255" s="37" t="n">
        <f aca="false">1+IF($G$7=$E$7,$F$7,IF(Q255&lt;($F$7-$E$7)/($G$7-$E$7),$E$7+SQRT(Q255*($G$7-$E$7)*($F$7-$E$7)),$G$7-SQRT((1-Q255)*($G$7-$E$7)*($G$7-$F$7))))</f>
        <v>1</v>
      </c>
      <c r="D255" s="37" t="n">
        <f aca="false">1+IF($G$8=$E$8,$F$8,IF(R255&lt;($F$8-$E$8)/($G$8-$E$8),$E$8+SQRT(R255*($G$8-$E$8)*($F$8-$E$8)),$G$8-SQRT((1-R255)*($G$8-$E$8)*($G$8-$F$8))))</f>
        <v>1</v>
      </c>
      <c r="E255" s="37" t="n">
        <f aca="false">1+IF($G$9=$E$9,$F$9,IF(S255&lt;($F$9-$E$9)/($G$9-$E$9),$E$9+SQRT(S255*($G$9-$E$9)*($F$9-$E$9)),$G$9-SQRT((1-S255)*($G$9-$E$9)*($G$9-$F$9))))</f>
        <v>1</v>
      </c>
      <c r="F255" s="37" t="n">
        <f aca="false">1+IF($G$10=$E$10,$F$10,IF(T255&lt;($F$10-$E$10)/($G$10-$E$10),$E$10+SQRT(T255*($G$10-$E$10)*($F$10-$E$10)),$G$10-SQRT((1-T255)*($G$10-$E$10)*($G$10-$F$10))))</f>
        <v>1</v>
      </c>
      <c r="G255" s="38" t="n">
        <f aca="false">IF($G$11=$E$11,$F$11,IF(U255&lt;($F$11-$E$11)/($G$11-$E$11),$E$11+SQRT(U255*($G$11-$E$11)*($F$11-$E$11)),$G$11-SQRT((1-U255)*($G$11-$E$11)*($G$11-$F$11))))</f>
        <v>0</v>
      </c>
      <c r="H255" s="39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0</v>
      </c>
      <c r="I255" s="39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0</v>
      </c>
      <c r="J255" s="39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0</v>
      </c>
      <c r="K255" s="39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0</v>
      </c>
      <c r="L255" s="39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0</v>
      </c>
      <c r="M255" s="39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0</v>
      </c>
      <c r="N255" s="39" t="str">
        <f aca="false">IF(COUNT('Business Case'!B11:G11)=0,"",H255+NPV(G255,I255:M255))</f>
        <v/>
      </c>
      <c r="P255" s="40" t="n">
        <f aca="true">RAND()</f>
        <v>0.305551599623854</v>
      </c>
      <c r="Q255" s="40" t="n">
        <f aca="true">RAND()</f>
        <v>0.778211964598265</v>
      </c>
      <c r="R255" s="40" t="n">
        <f aca="true">RAND()</f>
        <v>0.254089533502226</v>
      </c>
      <c r="S255" s="40" t="n">
        <f aca="true">RAND()</f>
        <v>0.805216746745226</v>
      </c>
      <c r="T255" s="40" t="n">
        <f aca="true">RAND()</f>
        <v>0.827853172344982</v>
      </c>
      <c r="U255" s="40" t="n">
        <f aca="true">RAND()</f>
        <v>0.0812652693438778</v>
      </c>
    </row>
    <row r="256" customFormat="false" ht="15" hidden="false" customHeight="false" outlineLevel="0" collapsed="false">
      <c r="A256" s="36" t="n">
        <v>176</v>
      </c>
      <c r="B256" s="37" t="n">
        <f aca="false">1+IF($G$6=$E$6,$F$6,IF(P256&lt;($F$6-$E$6)/($G$6-$E$6),$E$6+SQRT(P256*($G$6-$E$6)*($F$6-$E$6)),$G$6-SQRT((1-P256)*($G$6-$E$6)*($G$6-$F$6))))</f>
        <v>1</v>
      </c>
      <c r="C256" s="37" t="n">
        <f aca="false">1+IF($G$7=$E$7,$F$7,IF(Q256&lt;($F$7-$E$7)/($G$7-$E$7),$E$7+SQRT(Q256*($G$7-$E$7)*($F$7-$E$7)),$G$7-SQRT((1-Q256)*($G$7-$E$7)*($G$7-$F$7))))</f>
        <v>1</v>
      </c>
      <c r="D256" s="37" t="n">
        <f aca="false">1+IF($G$8=$E$8,$F$8,IF(R256&lt;($F$8-$E$8)/($G$8-$E$8),$E$8+SQRT(R256*($G$8-$E$8)*($F$8-$E$8)),$G$8-SQRT((1-R256)*($G$8-$E$8)*($G$8-$F$8))))</f>
        <v>1</v>
      </c>
      <c r="E256" s="37" t="n">
        <f aca="false">1+IF($G$9=$E$9,$F$9,IF(S256&lt;($F$9-$E$9)/($G$9-$E$9),$E$9+SQRT(S256*($G$9-$E$9)*($F$9-$E$9)),$G$9-SQRT((1-S256)*($G$9-$E$9)*($G$9-$F$9))))</f>
        <v>1</v>
      </c>
      <c r="F256" s="37" t="n">
        <f aca="false">1+IF($G$10=$E$10,$F$10,IF(T256&lt;($F$10-$E$10)/($G$10-$E$10),$E$10+SQRT(T256*($G$10-$E$10)*($F$10-$E$10)),$G$10-SQRT((1-T256)*($G$10-$E$10)*($G$10-$F$10))))</f>
        <v>1</v>
      </c>
      <c r="G256" s="38" t="n">
        <f aca="false">IF($G$11=$E$11,$F$11,IF(U256&lt;($F$11-$E$11)/($G$11-$E$11),$E$11+SQRT(U256*($G$11-$E$11)*($F$11-$E$11)),$G$11-SQRT((1-U256)*($G$11-$E$11)*($G$11-$F$11))))</f>
        <v>0</v>
      </c>
      <c r="H256" s="39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0</v>
      </c>
      <c r="I256" s="39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0</v>
      </c>
      <c r="J256" s="39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0</v>
      </c>
      <c r="K256" s="39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0</v>
      </c>
      <c r="L256" s="39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0</v>
      </c>
      <c r="M256" s="39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0</v>
      </c>
      <c r="N256" s="39" t="str">
        <f aca="false">IF(COUNT('Business Case'!B11:G11)=0,"",H256+NPV(G256,I256:M256))</f>
        <v/>
      </c>
      <c r="P256" s="40" t="n">
        <f aca="true">RAND()</f>
        <v>0.346408335306895</v>
      </c>
      <c r="Q256" s="40" t="n">
        <f aca="true">RAND()</f>
        <v>0.787771514353879</v>
      </c>
      <c r="R256" s="40" t="n">
        <f aca="true">RAND()</f>
        <v>0.475745215874221</v>
      </c>
      <c r="S256" s="40" t="n">
        <f aca="true">RAND()</f>
        <v>0.0872778040029913</v>
      </c>
      <c r="T256" s="40" t="n">
        <f aca="true">RAND()</f>
        <v>0.667359833977941</v>
      </c>
      <c r="U256" s="40" t="n">
        <f aca="true">RAND()</f>
        <v>0.303852368196589</v>
      </c>
    </row>
    <row r="257" customFormat="false" ht="15" hidden="false" customHeight="false" outlineLevel="0" collapsed="false">
      <c r="A257" s="36" t="n">
        <v>177</v>
      </c>
      <c r="B257" s="37" t="n">
        <f aca="false">1+IF($G$6=$E$6,$F$6,IF(P257&lt;($F$6-$E$6)/($G$6-$E$6),$E$6+SQRT(P257*($G$6-$E$6)*($F$6-$E$6)),$G$6-SQRT((1-P257)*($G$6-$E$6)*($G$6-$F$6))))</f>
        <v>1</v>
      </c>
      <c r="C257" s="37" t="n">
        <f aca="false">1+IF($G$7=$E$7,$F$7,IF(Q257&lt;($F$7-$E$7)/($G$7-$E$7),$E$7+SQRT(Q257*($G$7-$E$7)*($F$7-$E$7)),$G$7-SQRT((1-Q257)*($G$7-$E$7)*($G$7-$F$7))))</f>
        <v>1</v>
      </c>
      <c r="D257" s="37" t="n">
        <f aca="false">1+IF($G$8=$E$8,$F$8,IF(R257&lt;($F$8-$E$8)/($G$8-$E$8),$E$8+SQRT(R257*($G$8-$E$8)*($F$8-$E$8)),$G$8-SQRT((1-R257)*($G$8-$E$8)*($G$8-$F$8))))</f>
        <v>1</v>
      </c>
      <c r="E257" s="37" t="n">
        <f aca="false">1+IF($G$9=$E$9,$F$9,IF(S257&lt;($F$9-$E$9)/($G$9-$E$9),$E$9+SQRT(S257*($G$9-$E$9)*($F$9-$E$9)),$G$9-SQRT((1-S257)*($G$9-$E$9)*($G$9-$F$9))))</f>
        <v>1</v>
      </c>
      <c r="F257" s="37" t="n">
        <f aca="false">1+IF($G$10=$E$10,$F$10,IF(T257&lt;($F$10-$E$10)/($G$10-$E$10),$E$10+SQRT(T257*($G$10-$E$10)*($F$10-$E$10)),$G$10-SQRT((1-T257)*($G$10-$E$10)*($G$10-$F$10))))</f>
        <v>1</v>
      </c>
      <c r="G257" s="38" t="n">
        <f aca="false">IF($G$11=$E$11,$F$11,IF(U257&lt;($F$11-$E$11)/($G$11-$E$11),$E$11+SQRT(U257*($G$11-$E$11)*($F$11-$E$11)),$G$11-SQRT((1-U257)*($G$11-$E$11)*($G$11-$F$11))))</f>
        <v>0</v>
      </c>
      <c r="H257" s="39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0</v>
      </c>
      <c r="I257" s="39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0</v>
      </c>
      <c r="J257" s="39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0</v>
      </c>
      <c r="K257" s="39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0</v>
      </c>
      <c r="L257" s="39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0</v>
      </c>
      <c r="M257" s="39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0</v>
      </c>
      <c r="N257" s="39" t="str">
        <f aca="false">IF(COUNT('Business Case'!B11:G11)=0,"",H257+NPV(G257,I257:M257))</f>
        <v/>
      </c>
      <c r="P257" s="40" t="n">
        <f aca="true">RAND()</f>
        <v>0.460695509977764</v>
      </c>
      <c r="Q257" s="40" t="n">
        <f aca="true">RAND()</f>
        <v>0.784739141694733</v>
      </c>
      <c r="R257" s="40" t="n">
        <f aca="true">RAND()</f>
        <v>0.595499301918201</v>
      </c>
      <c r="S257" s="40" t="n">
        <f aca="true">RAND()</f>
        <v>0.603995900594188</v>
      </c>
      <c r="T257" s="40" t="n">
        <f aca="true">RAND()</f>
        <v>0.860720566782623</v>
      </c>
      <c r="U257" s="40" t="n">
        <f aca="true">RAND()</f>
        <v>0.701372694670507</v>
      </c>
    </row>
    <row r="258" customFormat="false" ht="15" hidden="false" customHeight="false" outlineLevel="0" collapsed="false">
      <c r="A258" s="36" t="n">
        <v>178</v>
      </c>
      <c r="B258" s="37" t="n">
        <f aca="false">1+IF($G$6=$E$6,$F$6,IF(P258&lt;($F$6-$E$6)/($G$6-$E$6),$E$6+SQRT(P258*($G$6-$E$6)*($F$6-$E$6)),$G$6-SQRT((1-P258)*($G$6-$E$6)*($G$6-$F$6))))</f>
        <v>1</v>
      </c>
      <c r="C258" s="37" t="n">
        <f aca="false">1+IF($G$7=$E$7,$F$7,IF(Q258&lt;($F$7-$E$7)/($G$7-$E$7),$E$7+SQRT(Q258*($G$7-$E$7)*($F$7-$E$7)),$G$7-SQRT((1-Q258)*($G$7-$E$7)*($G$7-$F$7))))</f>
        <v>1</v>
      </c>
      <c r="D258" s="37" t="n">
        <f aca="false">1+IF($G$8=$E$8,$F$8,IF(R258&lt;($F$8-$E$8)/($G$8-$E$8),$E$8+SQRT(R258*($G$8-$E$8)*($F$8-$E$8)),$G$8-SQRT((1-R258)*($G$8-$E$8)*($G$8-$F$8))))</f>
        <v>1</v>
      </c>
      <c r="E258" s="37" t="n">
        <f aca="false">1+IF($G$9=$E$9,$F$9,IF(S258&lt;($F$9-$E$9)/($G$9-$E$9),$E$9+SQRT(S258*($G$9-$E$9)*($F$9-$E$9)),$G$9-SQRT((1-S258)*($G$9-$E$9)*($G$9-$F$9))))</f>
        <v>1</v>
      </c>
      <c r="F258" s="37" t="n">
        <f aca="false">1+IF($G$10=$E$10,$F$10,IF(T258&lt;($F$10-$E$10)/($G$10-$E$10),$E$10+SQRT(T258*($G$10-$E$10)*($F$10-$E$10)),$G$10-SQRT((1-T258)*($G$10-$E$10)*($G$10-$F$10))))</f>
        <v>1</v>
      </c>
      <c r="G258" s="38" t="n">
        <f aca="false">IF($G$11=$E$11,$F$11,IF(U258&lt;($F$11-$E$11)/($G$11-$E$11),$E$11+SQRT(U258*($G$11-$E$11)*($F$11-$E$11)),$G$11-SQRT((1-U258)*($G$11-$E$11)*($G$11-$F$11))))</f>
        <v>0</v>
      </c>
      <c r="H258" s="39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0</v>
      </c>
      <c r="I258" s="39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0</v>
      </c>
      <c r="J258" s="39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0</v>
      </c>
      <c r="K258" s="39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0</v>
      </c>
      <c r="L258" s="39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0</v>
      </c>
      <c r="M258" s="39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0</v>
      </c>
      <c r="N258" s="39" t="str">
        <f aca="false">IF(COUNT('Business Case'!B11:G11)=0,"",H258+NPV(G258,I258:M258))</f>
        <v/>
      </c>
      <c r="P258" s="40" t="n">
        <f aca="true">RAND()</f>
        <v>0.920976386954724</v>
      </c>
      <c r="Q258" s="40" t="n">
        <f aca="true">RAND()</f>
        <v>0.898555080369991</v>
      </c>
      <c r="R258" s="40" t="n">
        <f aca="true">RAND()</f>
        <v>0.0429239884417998</v>
      </c>
      <c r="S258" s="40" t="n">
        <f aca="true">RAND()</f>
        <v>0.974977651141666</v>
      </c>
      <c r="T258" s="40" t="n">
        <f aca="true">RAND()</f>
        <v>0.135312201667931</v>
      </c>
      <c r="U258" s="40" t="n">
        <f aca="true">RAND()</f>
        <v>0.974176945186217</v>
      </c>
    </row>
    <row r="259" customFormat="false" ht="15" hidden="false" customHeight="false" outlineLevel="0" collapsed="false">
      <c r="A259" s="36" t="n">
        <v>179</v>
      </c>
      <c r="B259" s="37" t="n">
        <f aca="false">1+IF($G$6=$E$6,$F$6,IF(P259&lt;($F$6-$E$6)/($G$6-$E$6),$E$6+SQRT(P259*($G$6-$E$6)*($F$6-$E$6)),$G$6-SQRT((1-P259)*($G$6-$E$6)*($G$6-$F$6))))</f>
        <v>1</v>
      </c>
      <c r="C259" s="37" t="n">
        <f aca="false">1+IF($G$7=$E$7,$F$7,IF(Q259&lt;($F$7-$E$7)/($G$7-$E$7),$E$7+SQRT(Q259*($G$7-$E$7)*($F$7-$E$7)),$G$7-SQRT((1-Q259)*($G$7-$E$7)*($G$7-$F$7))))</f>
        <v>1</v>
      </c>
      <c r="D259" s="37" t="n">
        <f aca="false">1+IF($G$8=$E$8,$F$8,IF(R259&lt;($F$8-$E$8)/($G$8-$E$8),$E$8+SQRT(R259*($G$8-$E$8)*($F$8-$E$8)),$G$8-SQRT((1-R259)*($G$8-$E$8)*($G$8-$F$8))))</f>
        <v>1</v>
      </c>
      <c r="E259" s="37" t="n">
        <f aca="false">1+IF($G$9=$E$9,$F$9,IF(S259&lt;($F$9-$E$9)/($G$9-$E$9),$E$9+SQRT(S259*($G$9-$E$9)*($F$9-$E$9)),$G$9-SQRT((1-S259)*($G$9-$E$9)*($G$9-$F$9))))</f>
        <v>1</v>
      </c>
      <c r="F259" s="37" t="n">
        <f aca="false">1+IF($G$10=$E$10,$F$10,IF(T259&lt;($F$10-$E$10)/($G$10-$E$10),$E$10+SQRT(T259*($G$10-$E$10)*($F$10-$E$10)),$G$10-SQRT((1-T259)*($G$10-$E$10)*($G$10-$F$10))))</f>
        <v>1</v>
      </c>
      <c r="G259" s="38" t="n">
        <f aca="false">IF($G$11=$E$11,$F$11,IF(U259&lt;($F$11-$E$11)/($G$11-$E$11),$E$11+SQRT(U259*($G$11-$E$11)*($F$11-$E$11)),$G$11-SQRT((1-U259)*($G$11-$E$11)*($G$11-$F$11))))</f>
        <v>0</v>
      </c>
      <c r="H259" s="39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0</v>
      </c>
      <c r="I259" s="39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0</v>
      </c>
      <c r="J259" s="39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0</v>
      </c>
      <c r="K259" s="39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0</v>
      </c>
      <c r="L259" s="39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0</v>
      </c>
      <c r="M259" s="39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0</v>
      </c>
      <c r="N259" s="39" t="str">
        <f aca="false">IF(COUNT('Business Case'!B11:G11)=0,"",H259+NPV(G259,I259:M259))</f>
        <v/>
      </c>
      <c r="P259" s="40" t="n">
        <f aca="true">RAND()</f>
        <v>0.707425654093877</v>
      </c>
      <c r="Q259" s="40" t="n">
        <f aca="true">RAND()</f>
        <v>0.611270188195397</v>
      </c>
      <c r="R259" s="40" t="n">
        <f aca="true">RAND()</f>
        <v>0.530424628987492</v>
      </c>
      <c r="S259" s="40" t="n">
        <f aca="true">RAND()</f>
        <v>0.532294403565569</v>
      </c>
      <c r="T259" s="40" t="n">
        <f aca="true">RAND()</f>
        <v>0.588754508102482</v>
      </c>
      <c r="U259" s="40" t="n">
        <f aca="true">RAND()</f>
        <v>0.331916277898974</v>
      </c>
    </row>
    <row r="260" customFormat="false" ht="15" hidden="false" customHeight="false" outlineLevel="0" collapsed="false">
      <c r="A260" s="36" t="n">
        <v>180</v>
      </c>
      <c r="B260" s="37" t="n">
        <f aca="false">1+IF($G$6=$E$6,$F$6,IF(P260&lt;($F$6-$E$6)/($G$6-$E$6),$E$6+SQRT(P260*($G$6-$E$6)*($F$6-$E$6)),$G$6-SQRT((1-P260)*($G$6-$E$6)*($G$6-$F$6))))</f>
        <v>1</v>
      </c>
      <c r="C260" s="37" t="n">
        <f aca="false">1+IF($G$7=$E$7,$F$7,IF(Q260&lt;($F$7-$E$7)/($G$7-$E$7),$E$7+SQRT(Q260*($G$7-$E$7)*($F$7-$E$7)),$G$7-SQRT((1-Q260)*($G$7-$E$7)*($G$7-$F$7))))</f>
        <v>1</v>
      </c>
      <c r="D260" s="37" t="n">
        <f aca="false">1+IF($G$8=$E$8,$F$8,IF(R260&lt;($F$8-$E$8)/($G$8-$E$8),$E$8+SQRT(R260*($G$8-$E$8)*($F$8-$E$8)),$G$8-SQRT((1-R260)*($G$8-$E$8)*($G$8-$F$8))))</f>
        <v>1</v>
      </c>
      <c r="E260" s="37" t="n">
        <f aca="false">1+IF($G$9=$E$9,$F$9,IF(S260&lt;($F$9-$E$9)/($G$9-$E$9),$E$9+SQRT(S260*($G$9-$E$9)*($F$9-$E$9)),$G$9-SQRT((1-S260)*($G$9-$E$9)*($G$9-$F$9))))</f>
        <v>1</v>
      </c>
      <c r="F260" s="37" t="n">
        <f aca="false">1+IF($G$10=$E$10,$F$10,IF(T260&lt;($F$10-$E$10)/($G$10-$E$10),$E$10+SQRT(T260*($G$10-$E$10)*($F$10-$E$10)),$G$10-SQRT((1-T260)*($G$10-$E$10)*($G$10-$F$10))))</f>
        <v>1</v>
      </c>
      <c r="G260" s="38" t="n">
        <f aca="false">IF($G$11=$E$11,$F$11,IF(U260&lt;($F$11-$E$11)/($G$11-$E$11),$E$11+SQRT(U260*($G$11-$E$11)*($F$11-$E$11)),$G$11-SQRT((1-U260)*($G$11-$E$11)*($G$11-$F$11))))</f>
        <v>0</v>
      </c>
      <c r="H260" s="39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0</v>
      </c>
      <c r="I260" s="39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0</v>
      </c>
      <c r="J260" s="39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0</v>
      </c>
      <c r="K260" s="39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0</v>
      </c>
      <c r="L260" s="39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0</v>
      </c>
      <c r="M260" s="39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0</v>
      </c>
      <c r="N260" s="39" t="str">
        <f aca="false">IF(COUNT('Business Case'!B11:G11)=0,"",H260+NPV(G260,I260:M260))</f>
        <v/>
      </c>
      <c r="P260" s="40" t="n">
        <f aca="true">RAND()</f>
        <v>0.297448677953918</v>
      </c>
      <c r="Q260" s="40" t="n">
        <f aca="true">RAND()</f>
        <v>0.815629218896571</v>
      </c>
      <c r="R260" s="40" t="n">
        <f aca="true">RAND()</f>
        <v>0.205011061633577</v>
      </c>
      <c r="S260" s="40" t="n">
        <f aca="true">RAND()</f>
        <v>0.53155540196114</v>
      </c>
      <c r="T260" s="40" t="n">
        <f aca="true">RAND()</f>
        <v>0.0762291576378517</v>
      </c>
      <c r="U260" s="40" t="n">
        <f aca="true">RAND()</f>
        <v>0.84834187466389</v>
      </c>
    </row>
    <row r="261" customFormat="false" ht="15" hidden="false" customHeight="false" outlineLevel="0" collapsed="false">
      <c r="A261" s="36" t="n">
        <v>181</v>
      </c>
      <c r="B261" s="37" t="n">
        <f aca="false">1+IF($G$6=$E$6,$F$6,IF(P261&lt;($F$6-$E$6)/($G$6-$E$6),$E$6+SQRT(P261*($G$6-$E$6)*($F$6-$E$6)),$G$6-SQRT((1-P261)*($G$6-$E$6)*($G$6-$F$6))))</f>
        <v>1</v>
      </c>
      <c r="C261" s="37" t="n">
        <f aca="false">1+IF($G$7=$E$7,$F$7,IF(Q261&lt;($F$7-$E$7)/($G$7-$E$7),$E$7+SQRT(Q261*($G$7-$E$7)*($F$7-$E$7)),$G$7-SQRT((1-Q261)*($G$7-$E$7)*($G$7-$F$7))))</f>
        <v>1</v>
      </c>
      <c r="D261" s="37" t="n">
        <f aca="false">1+IF($G$8=$E$8,$F$8,IF(R261&lt;($F$8-$E$8)/($G$8-$E$8),$E$8+SQRT(R261*($G$8-$E$8)*($F$8-$E$8)),$G$8-SQRT((1-R261)*($G$8-$E$8)*($G$8-$F$8))))</f>
        <v>1</v>
      </c>
      <c r="E261" s="37" t="n">
        <f aca="false">1+IF($G$9=$E$9,$F$9,IF(S261&lt;($F$9-$E$9)/($G$9-$E$9),$E$9+SQRT(S261*($G$9-$E$9)*($F$9-$E$9)),$G$9-SQRT((1-S261)*($G$9-$E$9)*($G$9-$F$9))))</f>
        <v>1</v>
      </c>
      <c r="F261" s="37" t="n">
        <f aca="false">1+IF($G$10=$E$10,$F$10,IF(T261&lt;($F$10-$E$10)/($G$10-$E$10),$E$10+SQRT(T261*($G$10-$E$10)*($F$10-$E$10)),$G$10-SQRT((1-T261)*($G$10-$E$10)*($G$10-$F$10))))</f>
        <v>1</v>
      </c>
      <c r="G261" s="38" t="n">
        <f aca="false">IF($G$11=$E$11,$F$11,IF(U261&lt;($F$11-$E$11)/($G$11-$E$11),$E$11+SQRT(U261*($G$11-$E$11)*($F$11-$E$11)),$G$11-SQRT((1-U261)*($G$11-$E$11)*($G$11-$F$11))))</f>
        <v>0</v>
      </c>
      <c r="H261" s="39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0</v>
      </c>
      <c r="I261" s="39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0</v>
      </c>
      <c r="J261" s="39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0</v>
      </c>
      <c r="K261" s="39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0</v>
      </c>
      <c r="L261" s="39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0</v>
      </c>
      <c r="M261" s="39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0</v>
      </c>
      <c r="N261" s="39" t="str">
        <f aca="false">IF(COUNT('Business Case'!B11:G11)=0,"",H261+NPV(G261,I261:M261))</f>
        <v/>
      </c>
      <c r="P261" s="40" t="n">
        <f aca="true">RAND()</f>
        <v>0.951237717233509</v>
      </c>
      <c r="Q261" s="40" t="n">
        <f aca="true">RAND()</f>
        <v>0.183408078779773</v>
      </c>
      <c r="R261" s="40" t="n">
        <f aca="true">RAND()</f>
        <v>0.225104101553713</v>
      </c>
      <c r="S261" s="40" t="n">
        <f aca="true">RAND()</f>
        <v>0.0466622976153152</v>
      </c>
      <c r="T261" s="40" t="n">
        <f aca="true">RAND()</f>
        <v>0.695562059069053</v>
      </c>
      <c r="U261" s="40" t="n">
        <f aca="true">RAND()</f>
        <v>0.393886108081977</v>
      </c>
    </row>
    <row r="262" customFormat="false" ht="15" hidden="false" customHeight="false" outlineLevel="0" collapsed="false">
      <c r="A262" s="36" t="n">
        <v>182</v>
      </c>
      <c r="B262" s="37" t="n">
        <f aca="false">1+IF($G$6=$E$6,$F$6,IF(P262&lt;($F$6-$E$6)/($G$6-$E$6),$E$6+SQRT(P262*($G$6-$E$6)*($F$6-$E$6)),$G$6-SQRT((1-P262)*($G$6-$E$6)*($G$6-$F$6))))</f>
        <v>1</v>
      </c>
      <c r="C262" s="37" t="n">
        <f aca="false">1+IF($G$7=$E$7,$F$7,IF(Q262&lt;($F$7-$E$7)/($G$7-$E$7),$E$7+SQRT(Q262*($G$7-$E$7)*($F$7-$E$7)),$G$7-SQRT((1-Q262)*($G$7-$E$7)*($G$7-$F$7))))</f>
        <v>1</v>
      </c>
      <c r="D262" s="37" t="n">
        <f aca="false">1+IF($G$8=$E$8,$F$8,IF(R262&lt;($F$8-$E$8)/($G$8-$E$8),$E$8+SQRT(R262*($G$8-$E$8)*($F$8-$E$8)),$G$8-SQRT((1-R262)*($G$8-$E$8)*($G$8-$F$8))))</f>
        <v>1</v>
      </c>
      <c r="E262" s="37" t="n">
        <f aca="false">1+IF($G$9=$E$9,$F$9,IF(S262&lt;($F$9-$E$9)/($G$9-$E$9),$E$9+SQRT(S262*($G$9-$E$9)*($F$9-$E$9)),$G$9-SQRT((1-S262)*($G$9-$E$9)*($G$9-$F$9))))</f>
        <v>1</v>
      </c>
      <c r="F262" s="37" t="n">
        <f aca="false">1+IF($G$10=$E$10,$F$10,IF(T262&lt;($F$10-$E$10)/($G$10-$E$10),$E$10+SQRT(T262*($G$10-$E$10)*($F$10-$E$10)),$G$10-SQRT((1-T262)*($G$10-$E$10)*($G$10-$F$10))))</f>
        <v>1</v>
      </c>
      <c r="G262" s="38" t="n">
        <f aca="false">IF($G$11=$E$11,$F$11,IF(U262&lt;($F$11-$E$11)/($G$11-$E$11),$E$11+SQRT(U262*($G$11-$E$11)*($F$11-$E$11)),$G$11-SQRT((1-U262)*($G$11-$E$11)*($G$11-$F$11))))</f>
        <v>0</v>
      </c>
      <c r="H262" s="39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0</v>
      </c>
      <c r="I262" s="39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0</v>
      </c>
      <c r="J262" s="39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0</v>
      </c>
      <c r="K262" s="39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0</v>
      </c>
      <c r="L262" s="39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0</v>
      </c>
      <c r="M262" s="39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0</v>
      </c>
      <c r="N262" s="39" t="str">
        <f aca="false">IF(COUNT('Business Case'!B11:G11)=0,"",H262+NPV(G262,I262:M262))</f>
        <v/>
      </c>
      <c r="P262" s="40" t="n">
        <f aca="true">RAND()</f>
        <v>0.91704862682896</v>
      </c>
      <c r="Q262" s="40" t="n">
        <f aca="true">RAND()</f>
        <v>0.937176203778588</v>
      </c>
      <c r="R262" s="40" t="n">
        <f aca="true">RAND()</f>
        <v>0.288264749820139</v>
      </c>
      <c r="S262" s="40" t="n">
        <f aca="true">RAND()</f>
        <v>0.139712444667114</v>
      </c>
      <c r="T262" s="40" t="n">
        <f aca="true">RAND()</f>
        <v>0.776535821385494</v>
      </c>
      <c r="U262" s="40" t="n">
        <f aca="true">RAND()</f>
        <v>0.795978873817164</v>
      </c>
    </row>
    <row r="263" customFormat="false" ht="15" hidden="false" customHeight="false" outlineLevel="0" collapsed="false">
      <c r="A263" s="36" t="n">
        <v>183</v>
      </c>
      <c r="B263" s="37" t="n">
        <f aca="false">1+IF($G$6=$E$6,$F$6,IF(P263&lt;($F$6-$E$6)/($G$6-$E$6),$E$6+SQRT(P263*($G$6-$E$6)*($F$6-$E$6)),$G$6-SQRT((1-P263)*($G$6-$E$6)*($G$6-$F$6))))</f>
        <v>1</v>
      </c>
      <c r="C263" s="37" t="n">
        <f aca="false">1+IF($G$7=$E$7,$F$7,IF(Q263&lt;($F$7-$E$7)/($G$7-$E$7),$E$7+SQRT(Q263*($G$7-$E$7)*($F$7-$E$7)),$G$7-SQRT((1-Q263)*($G$7-$E$7)*($G$7-$F$7))))</f>
        <v>1</v>
      </c>
      <c r="D263" s="37" t="n">
        <f aca="false">1+IF($G$8=$E$8,$F$8,IF(R263&lt;($F$8-$E$8)/($G$8-$E$8),$E$8+SQRT(R263*($G$8-$E$8)*($F$8-$E$8)),$G$8-SQRT((1-R263)*($G$8-$E$8)*($G$8-$F$8))))</f>
        <v>1</v>
      </c>
      <c r="E263" s="37" t="n">
        <f aca="false">1+IF($G$9=$E$9,$F$9,IF(S263&lt;($F$9-$E$9)/($G$9-$E$9),$E$9+SQRT(S263*($G$9-$E$9)*($F$9-$E$9)),$G$9-SQRT((1-S263)*($G$9-$E$9)*($G$9-$F$9))))</f>
        <v>1</v>
      </c>
      <c r="F263" s="37" t="n">
        <f aca="false">1+IF($G$10=$E$10,$F$10,IF(T263&lt;($F$10-$E$10)/($G$10-$E$10),$E$10+SQRT(T263*($G$10-$E$10)*($F$10-$E$10)),$G$10-SQRT((1-T263)*($G$10-$E$10)*($G$10-$F$10))))</f>
        <v>1</v>
      </c>
      <c r="G263" s="38" t="n">
        <f aca="false">IF($G$11=$E$11,$F$11,IF(U263&lt;($F$11-$E$11)/($G$11-$E$11),$E$11+SQRT(U263*($G$11-$E$11)*($F$11-$E$11)),$G$11-SQRT((1-U263)*($G$11-$E$11)*($G$11-$F$11))))</f>
        <v>0</v>
      </c>
      <c r="H263" s="39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0</v>
      </c>
      <c r="I263" s="39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0</v>
      </c>
      <c r="J263" s="39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0</v>
      </c>
      <c r="K263" s="39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0</v>
      </c>
      <c r="L263" s="39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0</v>
      </c>
      <c r="M263" s="39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0</v>
      </c>
      <c r="N263" s="39" t="str">
        <f aca="false">IF(COUNT('Business Case'!B11:G11)=0,"",H263+NPV(G263,I263:M263))</f>
        <v/>
      </c>
      <c r="P263" s="40" t="n">
        <f aca="true">RAND()</f>
        <v>0.332329564101079</v>
      </c>
      <c r="Q263" s="40" t="n">
        <f aca="true">RAND()</f>
        <v>0.724484615025966</v>
      </c>
      <c r="R263" s="40" t="n">
        <f aca="true">RAND()</f>
        <v>0.0983838871742428</v>
      </c>
      <c r="S263" s="40" t="n">
        <f aca="true">RAND()</f>
        <v>0.485215323895202</v>
      </c>
      <c r="T263" s="40" t="n">
        <f aca="true">RAND()</f>
        <v>0.522832314753354</v>
      </c>
      <c r="U263" s="40" t="n">
        <f aca="true">RAND()</f>
        <v>0.810215625466149</v>
      </c>
    </row>
    <row r="264" customFormat="false" ht="15" hidden="false" customHeight="false" outlineLevel="0" collapsed="false">
      <c r="A264" s="36" t="n">
        <v>184</v>
      </c>
      <c r="B264" s="37" t="n">
        <f aca="false">1+IF($G$6=$E$6,$F$6,IF(P264&lt;($F$6-$E$6)/($G$6-$E$6),$E$6+SQRT(P264*($G$6-$E$6)*($F$6-$E$6)),$G$6-SQRT((1-P264)*($G$6-$E$6)*($G$6-$F$6))))</f>
        <v>1</v>
      </c>
      <c r="C264" s="37" t="n">
        <f aca="false">1+IF($G$7=$E$7,$F$7,IF(Q264&lt;($F$7-$E$7)/($G$7-$E$7),$E$7+SQRT(Q264*($G$7-$E$7)*($F$7-$E$7)),$G$7-SQRT((1-Q264)*($G$7-$E$7)*($G$7-$F$7))))</f>
        <v>1</v>
      </c>
      <c r="D264" s="37" t="n">
        <f aca="false">1+IF($G$8=$E$8,$F$8,IF(R264&lt;($F$8-$E$8)/($G$8-$E$8),$E$8+SQRT(R264*($G$8-$E$8)*($F$8-$E$8)),$G$8-SQRT((1-R264)*($G$8-$E$8)*($G$8-$F$8))))</f>
        <v>1</v>
      </c>
      <c r="E264" s="37" t="n">
        <f aca="false">1+IF($G$9=$E$9,$F$9,IF(S264&lt;($F$9-$E$9)/($G$9-$E$9),$E$9+SQRT(S264*($G$9-$E$9)*($F$9-$E$9)),$G$9-SQRT((1-S264)*($G$9-$E$9)*($G$9-$F$9))))</f>
        <v>1</v>
      </c>
      <c r="F264" s="37" t="n">
        <f aca="false">1+IF($G$10=$E$10,$F$10,IF(T264&lt;($F$10-$E$10)/($G$10-$E$10),$E$10+SQRT(T264*($G$10-$E$10)*($F$10-$E$10)),$G$10-SQRT((1-T264)*($G$10-$E$10)*($G$10-$F$10))))</f>
        <v>1</v>
      </c>
      <c r="G264" s="38" t="n">
        <f aca="false">IF($G$11=$E$11,$F$11,IF(U264&lt;($F$11-$E$11)/($G$11-$E$11),$E$11+SQRT(U264*($G$11-$E$11)*($F$11-$E$11)),$G$11-SQRT((1-U264)*($G$11-$E$11)*($G$11-$F$11))))</f>
        <v>0</v>
      </c>
      <c r="H264" s="39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0</v>
      </c>
      <c r="I264" s="39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0</v>
      </c>
      <c r="J264" s="39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0</v>
      </c>
      <c r="K264" s="39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0</v>
      </c>
      <c r="L264" s="39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0</v>
      </c>
      <c r="M264" s="39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0</v>
      </c>
      <c r="N264" s="39" t="str">
        <f aca="false">IF(COUNT('Business Case'!B11:G11)=0,"",H264+NPV(G264,I264:M264))</f>
        <v/>
      </c>
      <c r="P264" s="40" t="n">
        <f aca="true">RAND()</f>
        <v>0.651007684955433</v>
      </c>
      <c r="Q264" s="40" t="n">
        <f aca="true">RAND()</f>
        <v>0.297622634760649</v>
      </c>
      <c r="R264" s="40" t="n">
        <f aca="true">RAND()</f>
        <v>0.980271600576802</v>
      </c>
      <c r="S264" s="40" t="n">
        <f aca="true">RAND()</f>
        <v>0.309185178687956</v>
      </c>
      <c r="T264" s="40" t="n">
        <f aca="true">RAND()</f>
        <v>0.824475982151141</v>
      </c>
      <c r="U264" s="40" t="n">
        <f aca="true">RAND()</f>
        <v>0.0195407014045232</v>
      </c>
    </row>
    <row r="265" customFormat="false" ht="15" hidden="false" customHeight="false" outlineLevel="0" collapsed="false">
      <c r="A265" s="36" t="n">
        <v>185</v>
      </c>
      <c r="B265" s="37" t="n">
        <f aca="false">1+IF($G$6=$E$6,$F$6,IF(P265&lt;($F$6-$E$6)/($G$6-$E$6),$E$6+SQRT(P265*($G$6-$E$6)*($F$6-$E$6)),$G$6-SQRT((1-P265)*($G$6-$E$6)*($G$6-$F$6))))</f>
        <v>1</v>
      </c>
      <c r="C265" s="37" t="n">
        <f aca="false">1+IF($G$7=$E$7,$F$7,IF(Q265&lt;($F$7-$E$7)/($G$7-$E$7),$E$7+SQRT(Q265*($G$7-$E$7)*($F$7-$E$7)),$G$7-SQRT((1-Q265)*($G$7-$E$7)*($G$7-$F$7))))</f>
        <v>1</v>
      </c>
      <c r="D265" s="37" t="n">
        <f aca="false">1+IF($G$8=$E$8,$F$8,IF(R265&lt;($F$8-$E$8)/($G$8-$E$8),$E$8+SQRT(R265*($G$8-$E$8)*($F$8-$E$8)),$G$8-SQRT((1-R265)*($G$8-$E$8)*($G$8-$F$8))))</f>
        <v>1</v>
      </c>
      <c r="E265" s="37" t="n">
        <f aca="false">1+IF($G$9=$E$9,$F$9,IF(S265&lt;($F$9-$E$9)/($G$9-$E$9),$E$9+SQRT(S265*($G$9-$E$9)*($F$9-$E$9)),$G$9-SQRT((1-S265)*($G$9-$E$9)*($G$9-$F$9))))</f>
        <v>1</v>
      </c>
      <c r="F265" s="37" t="n">
        <f aca="false">1+IF($G$10=$E$10,$F$10,IF(T265&lt;($F$10-$E$10)/($G$10-$E$10),$E$10+SQRT(T265*($G$10-$E$10)*($F$10-$E$10)),$G$10-SQRT((1-T265)*($G$10-$E$10)*($G$10-$F$10))))</f>
        <v>1</v>
      </c>
      <c r="G265" s="38" t="n">
        <f aca="false">IF($G$11=$E$11,$F$11,IF(U265&lt;($F$11-$E$11)/($G$11-$E$11),$E$11+SQRT(U265*($G$11-$E$11)*($F$11-$E$11)),$G$11-SQRT((1-U265)*($G$11-$E$11)*($G$11-$F$11))))</f>
        <v>0</v>
      </c>
      <c r="H265" s="39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0</v>
      </c>
      <c r="I265" s="39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0</v>
      </c>
      <c r="J265" s="39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0</v>
      </c>
      <c r="K265" s="39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0</v>
      </c>
      <c r="L265" s="39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0</v>
      </c>
      <c r="M265" s="39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0</v>
      </c>
      <c r="N265" s="39" t="str">
        <f aca="false">IF(COUNT('Business Case'!B11:G11)=0,"",H265+NPV(G265,I265:M265))</f>
        <v/>
      </c>
      <c r="P265" s="40" t="n">
        <f aca="true">RAND()</f>
        <v>0.842600052816196</v>
      </c>
      <c r="Q265" s="40" t="n">
        <f aca="true">RAND()</f>
        <v>0.955143370529223</v>
      </c>
      <c r="R265" s="40" t="n">
        <f aca="true">RAND()</f>
        <v>0.34563565214389</v>
      </c>
      <c r="S265" s="40" t="n">
        <f aca="true">RAND()</f>
        <v>0.0238318364948793</v>
      </c>
      <c r="T265" s="40" t="n">
        <f aca="true">RAND()</f>
        <v>0.963573359792616</v>
      </c>
      <c r="U265" s="40" t="n">
        <f aca="true">RAND()</f>
        <v>0.0986199398858265</v>
      </c>
    </row>
    <row r="266" customFormat="false" ht="15" hidden="false" customHeight="false" outlineLevel="0" collapsed="false">
      <c r="A266" s="36" t="n">
        <v>186</v>
      </c>
      <c r="B266" s="37" t="n">
        <f aca="false">1+IF($G$6=$E$6,$F$6,IF(P266&lt;($F$6-$E$6)/($G$6-$E$6),$E$6+SQRT(P266*($G$6-$E$6)*($F$6-$E$6)),$G$6-SQRT((1-P266)*($G$6-$E$6)*($G$6-$F$6))))</f>
        <v>1</v>
      </c>
      <c r="C266" s="37" t="n">
        <f aca="false">1+IF($G$7=$E$7,$F$7,IF(Q266&lt;($F$7-$E$7)/($G$7-$E$7),$E$7+SQRT(Q266*($G$7-$E$7)*($F$7-$E$7)),$G$7-SQRT((1-Q266)*($G$7-$E$7)*($G$7-$F$7))))</f>
        <v>1</v>
      </c>
      <c r="D266" s="37" t="n">
        <f aca="false">1+IF($G$8=$E$8,$F$8,IF(R266&lt;($F$8-$E$8)/($G$8-$E$8),$E$8+SQRT(R266*($G$8-$E$8)*($F$8-$E$8)),$G$8-SQRT((1-R266)*($G$8-$E$8)*($G$8-$F$8))))</f>
        <v>1</v>
      </c>
      <c r="E266" s="37" t="n">
        <f aca="false">1+IF($G$9=$E$9,$F$9,IF(S266&lt;($F$9-$E$9)/($G$9-$E$9),$E$9+SQRT(S266*($G$9-$E$9)*($F$9-$E$9)),$G$9-SQRT((1-S266)*($G$9-$E$9)*($G$9-$F$9))))</f>
        <v>1</v>
      </c>
      <c r="F266" s="37" t="n">
        <f aca="false">1+IF($G$10=$E$10,$F$10,IF(T266&lt;($F$10-$E$10)/($G$10-$E$10),$E$10+SQRT(T266*($G$10-$E$10)*($F$10-$E$10)),$G$10-SQRT((1-T266)*($G$10-$E$10)*($G$10-$F$10))))</f>
        <v>1</v>
      </c>
      <c r="G266" s="38" t="n">
        <f aca="false">IF($G$11=$E$11,$F$11,IF(U266&lt;($F$11-$E$11)/($G$11-$E$11),$E$11+SQRT(U266*($G$11-$E$11)*($F$11-$E$11)),$G$11-SQRT((1-U266)*($G$11-$E$11)*($G$11-$F$11))))</f>
        <v>0</v>
      </c>
      <c r="H266" s="39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0</v>
      </c>
      <c r="I266" s="39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0</v>
      </c>
      <c r="J266" s="39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0</v>
      </c>
      <c r="K266" s="39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0</v>
      </c>
      <c r="L266" s="39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0</v>
      </c>
      <c r="M266" s="39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0</v>
      </c>
      <c r="N266" s="39" t="str">
        <f aca="false">IF(COUNT('Business Case'!B11:G11)=0,"",H266+NPV(G266,I266:M266))</f>
        <v/>
      </c>
      <c r="P266" s="40" t="n">
        <f aca="true">RAND()</f>
        <v>0.0732189249242009</v>
      </c>
      <c r="Q266" s="40" t="n">
        <f aca="true">RAND()</f>
        <v>0.911099372421928</v>
      </c>
      <c r="R266" s="40" t="n">
        <f aca="true">RAND()</f>
        <v>0.859196942811546</v>
      </c>
      <c r="S266" s="40" t="n">
        <f aca="true">RAND()</f>
        <v>0.0560424222390233</v>
      </c>
      <c r="T266" s="40" t="n">
        <f aca="true">RAND()</f>
        <v>0.761407427131645</v>
      </c>
      <c r="U266" s="40" t="n">
        <f aca="true">RAND()</f>
        <v>0.504212562896976</v>
      </c>
    </row>
    <row r="267" customFormat="false" ht="15" hidden="false" customHeight="false" outlineLevel="0" collapsed="false">
      <c r="A267" s="36" t="n">
        <v>187</v>
      </c>
      <c r="B267" s="37" t="n">
        <f aca="false">1+IF($G$6=$E$6,$F$6,IF(P267&lt;($F$6-$E$6)/($G$6-$E$6),$E$6+SQRT(P267*($G$6-$E$6)*($F$6-$E$6)),$G$6-SQRT((1-P267)*($G$6-$E$6)*($G$6-$F$6))))</f>
        <v>1</v>
      </c>
      <c r="C267" s="37" t="n">
        <f aca="false">1+IF($G$7=$E$7,$F$7,IF(Q267&lt;($F$7-$E$7)/($G$7-$E$7),$E$7+SQRT(Q267*($G$7-$E$7)*($F$7-$E$7)),$G$7-SQRT((1-Q267)*($G$7-$E$7)*($G$7-$F$7))))</f>
        <v>1</v>
      </c>
      <c r="D267" s="37" t="n">
        <f aca="false">1+IF($G$8=$E$8,$F$8,IF(R267&lt;($F$8-$E$8)/($G$8-$E$8),$E$8+SQRT(R267*($G$8-$E$8)*($F$8-$E$8)),$G$8-SQRT((1-R267)*($G$8-$E$8)*($G$8-$F$8))))</f>
        <v>1</v>
      </c>
      <c r="E267" s="37" t="n">
        <f aca="false">1+IF($G$9=$E$9,$F$9,IF(S267&lt;($F$9-$E$9)/($G$9-$E$9),$E$9+SQRT(S267*($G$9-$E$9)*($F$9-$E$9)),$G$9-SQRT((1-S267)*($G$9-$E$9)*($G$9-$F$9))))</f>
        <v>1</v>
      </c>
      <c r="F267" s="37" t="n">
        <f aca="false">1+IF($G$10=$E$10,$F$10,IF(T267&lt;($F$10-$E$10)/($G$10-$E$10),$E$10+SQRT(T267*($G$10-$E$10)*($F$10-$E$10)),$G$10-SQRT((1-T267)*($G$10-$E$10)*($G$10-$F$10))))</f>
        <v>1</v>
      </c>
      <c r="G267" s="38" t="n">
        <f aca="false">IF($G$11=$E$11,$F$11,IF(U267&lt;($F$11-$E$11)/($G$11-$E$11),$E$11+SQRT(U267*($G$11-$E$11)*($F$11-$E$11)),$G$11-SQRT((1-U267)*($G$11-$E$11)*($G$11-$F$11))))</f>
        <v>0</v>
      </c>
      <c r="H267" s="39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0</v>
      </c>
      <c r="I267" s="39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0</v>
      </c>
      <c r="J267" s="39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0</v>
      </c>
      <c r="K267" s="39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0</v>
      </c>
      <c r="L267" s="39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0</v>
      </c>
      <c r="M267" s="39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0</v>
      </c>
      <c r="N267" s="39" t="str">
        <f aca="false">IF(COUNT('Business Case'!B11:G11)=0,"",H267+NPV(G267,I267:M267))</f>
        <v/>
      </c>
      <c r="P267" s="40" t="n">
        <f aca="true">RAND()</f>
        <v>0.0787585309918183</v>
      </c>
      <c r="Q267" s="40" t="n">
        <f aca="true">RAND()</f>
        <v>0.0337756872940172</v>
      </c>
      <c r="R267" s="40" t="n">
        <f aca="true">RAND()</f>
        <v>0.548221446197446</v>
      </c>
      <c r="S267" s="40" t="n">
        <f aca="true">RAND()</f>
        <v>0.81494135558782</v>
      </c>
      <c r="T267" s="40" t="n">
        <f aca="true">RAND()</f>
        <v>0.0900598782227422</v>
      </c>
      <c r="U267" s="40" t="n">
        <f aca="true">RAND()</f>
        <v>0.495236844148881</v>
      </c>
    </row>
    <row r="268" customFormat="false" ht="15" hidden="false" customHeight="false" outlineLevel="0" collapsed="false">
      <c r="A268" s="36" t="n">
        <v>188</v>
      </c>
      <c r="B268" s="37" t="n">
        <f aca="false">1+IF($G$6=$E$6,$F$6,IF(P268&lt;($F$6-$E$6)/($G$6-$E$6),$E$6+SQRT(P268*($G$6-$E$6)*($F$6-$E$6)),$G$6-SQRT((1-P268)*($G$6-$E$6)*($G$6-$F$6))))</f>
        <v>1</v>
      </c>
      <c r="C268" s="37" t="n">
        <f aca="false">1+IF($G$7=$E$7,$F$7,IF(Q268&lt;($F$7-$E$7)/($G$7-$E$7),$E$7+SQRT(Q268*($G$7-$E$7)*($F$7-$E$7)),$G$7-SQRT((1-Q268)*($G$7-$E$7)*($G$7-$F$7))))</f>
        <v>1</v>
      </c>
      <c r="D268" s="37" t="n">
        <f aca="false">1+IF($G$8=$E$8,$F$8,IF(R268&lt;($F$8-$E$8)/($G$8-$E$8),$E$8+SQRT(R268*($G$8-$E$8)*($F$8-$E$8)),$G$8-SQRT((1-R268)*($G$8-$E$8)*($G$8-$F$8))))</f>
        <v>1</v>
      </c>
      <c r="E268" s="37" t="n">
        <f aca="false">1+IF($G$9=$E$9,$F$9,IF(S268&lt;($F$9-$E$9)/($G$9-$E$9),$E$9+SQRT(S268*($G$9-$E$9)*($F$9-$E$9)),$G$9-SQRT((1-S268)*($G$9-$E$9)*($G$9-$F$9))))</f>
        <v>1</v>
      </c>
      <c r="F268" s="37" t="n">
        <f aca="false">1+IF($G$10=$E$10,$F$10,IF(T268&lt;($F$10-$E$10)/($G$10-$E$10),$E$10+SQRT(T268*($G$10-$E$10)*($F$10-$E$10)),$G$10-SQRT((1-T268)*($G$10-$E$10)*($G$10-$F$10))))</f>
        <v>1</v>
      </c>
      <c r="G268" s="38" t="n">
        <f aca="false">IF($G$11=$E$11,$F$11,IF(U268&lt;($F$11-$E$11)/($G$11-$E$11),$E$11+SQRT(U268*($G$11-$E$11)*($F$11-$E$11)),$G$11-SQRT((1-U268)*($G$11-$E$11)*($G$11-$F$11))))</f>
        <v>0</v>
      </c>
      <c r="H268" s="39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0</v>
      </c>
      <c r="I268" s="39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0</v>
      </c>
      <c r="J268" s="39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0</v>
      </c>
      <c r="K268" s="39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0</v>
      </c>
      <c r="L268" s="39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0</v>
      </c>
      <c r="M268" s="39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0</v>
      </c>
      <c r="N268" s="39" t="str">
        <f aca="false">IF(COUNT('Business Case'!B11:G11)=0,"",H268+NPV(G268,I268:M268))</f>
        <v/>
      </c>
      <c r="P268" s="40" t="n">
        <f aca="true">RAND()</f>
        <v>0.0534704782222104</v>
      </c>
      <c r="Q268" s="40" t="n">
        <f aca="true">RAND()</f>
        <v>0.363958084591826</v>
      </c>
      <c r="R268" s="40" t="n">
        <f aca="true">RAND()</f>
        <v>0.430390668879955</v>
      </c>
      <c r="S268" s="40" t="n">
        <f aca="true">RAND()</f>
        <v>0.483104314792267</v>
      </c>
      <c r="T268" s="40" t="n">
        <f aca="true">RAND()</f>
        <v>0.525107237347008</v>
      </c>
      <c r="U268" s="40" t="n">
        <f aca="true">RAND()</f>
        <v>0.630037001163356</v>
      </c>
    </row>
    <row r="269" customFormat="false" ht="15" hidden="false" customHeight="false" outlineLevel="0" collapsed="false">
      <c r="A269" s="36" t="n">
        <v>189</v>
      </c>
      <c r="B269" s="37" t="n">
        <f aca="false">1+IF($G$6=$E$6,$F$6,IF(P269&lt;($F$6-$E$6)/($G$6-$E$6),$E$6+SQRT(P269*($G$6-$E$6)*($F$6-$E$6)),$G$6-SQRT((1-P269)*($G$6-$E$6)*($G$6-$F$6))))</f>
        <v>1</v>
      </c>
      <c r="C269" s="37" t="n">
        <f aca="false">1+IF($G$7=$E$7,$F$7,IF(Q269&lt;($F$7-$E$7)/($G$7-$E$7),$E$7+SQRT(Q269*($G$7-$E$7)*($F$7-$E$7)),$G$7-SQRT((1-Q269)*($G$7-$E$7)*($G$7-$F$7))))</f>
        <v>1</v>
      </c>
      <c r="D269" s="37" t="n">
        <f aca="false">1+IF($G$8=$E$8,$F$8,IF(R269&lt;($F$8-$E$8)/($G$8-$E$8),$E$8+SQRT(R269*($G$8-$E$8)*($F$8-$E$8)),$G$8-SQRT((1-R269)*($G$8-$E$8)*($G$8-$F$8))))</f>
        <v>1</v>
      </c>
      <c r="E269" s="37" t="n">
        <f aca="false">1+IF($G$9=$E$9,$F$9,IF(S269&lt;($F$9-$E$9)/($G$9-$E$9),$E$9+SQRT(S269*($G$9-$E$9)*($F$9-$E$9)),$G$9-SQRT((1-S269)*($G$9-$E$9)*($G$9-$F$9))))</f>
        <v>1</v>
      </c>
      <c r="F269" s="37" t="n">
        <f aca="false">1+IF($G$10=$E$10,$F$10,IF(T269&lt;($F$10-$E$10)/($G$10-$E$10),$E$10+SQRT(T269*($G$10-$E$10)*($F$10-$E$10)),$G$10-SQRT((1-T269)*($G$10-$E$10)*($G$10-$F$10))))</f>
        <v>1</v>
      </c>
      <c r="G269" s="38" t="n">
        <f aca="false">IF($G$11=$E$11,$F$11,IF(U269&lt;($F$11-$E$11)/($G$11-$E$11),$E$11+SQRT(U269*($G$11-$E$11)*($F$11-$E$11)),$G$11-SQRT((1-U269)*($G$11-$E$11)*($G$11-$F$11))))</f>
        <v>0</v>
      </c>
      <c r="H269" s="39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0</v>
      </c>
      <c r="I269" s="39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0</v>
      </c>
      <c r="J269" s="39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0</v>
      </c>
      <c r="K269" s="39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0</v>
      </c>
      <c r="L269" s="39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0</v>
      </c>
      <c r="M269" s="39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0</v>
      </c>
      <c r="N269" s="39" t="str">
        <f aca="false">IF(COUNT('Business Case'!B11:G11)=0,"",H269+NPV(G269,I269:M269))</f>
        <v/>
      </c>
      <c r="P269" s="40" t="n">
        <f aca="true">RAND()</f>
        <v>0.74651128433145</v>
      </c>
      <c r="Q269" s="40" t="n">
        <f aca="true">RAND()</f>
        <v>0.292688744604381</v>
      </c>
      <c r="R269" s="40" t="n">
        <f aca="true">RAND()</f>
        <v>0.437825016289114</v>
      </c>
      <c r="S269" s="40" t="n">
        <f aca="true">RAND()</f>
        <v>0.889516388485246</v>
      </c>
      <c r="T269" s="40" t="n">
        <f aca="true">RAND()</f>
        <v>0.110522359065487</v>
      </c>
      <c r="U269" s="40" t="n">
        <f aca="true">RAND()</f>
        <v>0.402410963492529</v>
      </c>
    </row>
    <row r="270" customFormat="false" ht="15" hidden="false" customHeight="false" outlineLevel="0" collapsed="false">
      <c r="A270" s="36" t="n">
        <v>190</v>
      </c>
      <c r="B270" s="37" t="n">
        <f aca="false">1+IF($G$6=$E$6,$F$6,IF(P270&lt;($F$6-$E$6)/($G$6-$E$6),$E$6+SQRT(P270*($G$6-$E$6)*($F$6-$E$6)),$G$6-SQRT((1-P270)*($G$6-$E$6)*($G$6-$F$6))))</f>
        <v>1</v>
      </c>
      <c r="C270" s="37" t="n">
        <f aca="false">1+IF($G$7=$E$7,$F$7,IF(Q270&lt;($F$7-$E$7)/($G$7-$E$7),$E$7+SQRT(Q270*($G$7-$E$7)*($F$7-$E$7)),$G$7-SQRT((1-Q270)*($G$7-$E$7)*($G$7-$F$7))))</f>
        <v>1</v>
      </c>
      <c r="D270" s="37" t="n">
        <f aca="false">1+IF($G$8=$E$8,$F$8,IF(R270&lt;($F$8-$E$8)/($G$8-$E$8),$E$8+SQRT(R270*($G$8-$E$8)*($F$8-$E$8)),$G$8-SQRT((1-R270)*($G$8-$E$8)*($G$8-$F$8))))</f>
        <v>1</v>
      </c>
      <c r="E270" s="37" t="n">
        <f aca="false">1+IF($G$9=$E$9,$F$9,IF(S270&lt;($F$9-$E$9)/($G$9-$E$9),$E$9+SQRT(S270*($G$9-$E$9)*($F$9-$E$9)),$G$9-SQRT((1-S270)*($G$9-$E$9)*($G$9-$F$9))))</f>
        <v>1</v>
      </c>
      <c r="F270" s="37" t="n">
        <f aca="false">1+IF($G$10=$E$10,$F$10,IF(T270&lt;($F$10-$E$10)/($G$10-$E$10),$E$10+SQRT(T270*($G$10-$E$10)*($F$10-$E$10)),$G$10-SQRT((1-T270)*($G$10-$E$10)*($G$10-$F$10))))</f>
        <v>1</v>
      </c>
      <c r="G270" s="38" t="n">
        <f aca="false">IF($G$11=$E$11,$F$11,IF(U270&lt;($F$11-$E$11)/($G$11-$E$11),$E$11+SQRT(U270*($G$11-$E$11)*($F$11-$E$11)),$G$11-SQRT((1-U270)*($G$11-$E$11)*($G$11-$F$11))))</f>
        <v>0</v>
      </c>
      <c r="H270" s="39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0</v>
      </c>
      <c r="I270" s="39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0</v>
      </c>
      <c r="J270" s="39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0</v>
      </c>
      <c r="K270" s="39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0</v>
      </c>
      <c r="L270" s="39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0</v>
      </c>
      <c r="M270" s="39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0</v>
      </c>
      <c r="N270" s="39" t="str">
        <f aca="false">IF(COUNT('Business Case'!B11:G11)=0,"",H270+NPV(G270,I270:M270))</f>
        <v/>
      </c>
      <c r="P270" s="40" t="n">
        <f aca="true">RAND()</f>
        <v>0.56548159470359</v>
      </c>
      <c r="Q270" s="40" t="n">
        <f aca="true">RAND()</f>
        <v>0.979633929045956</v>
      </c>
      <c r="R270" s="40" t="n">
        <f aca="true">RAND()</f>
        <v>0.900935651486567</v>
      </c>
      <c r="S270" s="40" t="n">
        <f aca="true">RAND()</f>
        <v>0.839875571745893</v>
      </c>
      <c r="T270" s="40" t="n">
        <f aca="true">RAND()</f>
        <v>0.512268108549935</v>
      </c>
      <c r="U270" s="40" t="n">
        <f aca="true">RAND()</f>
        <v>0.260711323193271</v>
      </c>
    </row>
    <row r="271" customFormat="false" ht="15" hidden="false" customHeight="false" outlineLevel="0" collapsed="false">
      <c r="A271" s="36" t="n">
        <v>191</v>
      </c>
      <c r="B271" s="37" t="n">
        <f aca="false">1+IF($G$6=$E$6,$F$6,IF(P271&lt;($F$6-$E$6)/($G$6-$E$6),$E$6+SQRT(P271*($G$6-$E$6)*($F$6-$E$6)),$G$6-SQRT((1-P271)*($G$6-$E$6)*($G$6-$F$6))))</f>
        <v>1</v>
      </c>
      <c r="C271" s="37" t="n">
        <f aca="false">1+IF($G$7=$E$7,$F$7,IF(Q271&lt;($F$7-$E$7)/($G$7-$E$7),$E$7+SQRT(Q271*($G$7-$E$7)*($F$7-$E$7)),$G$7-SQRT((1-Q271)*($G$7-$E$7)*($G$7-$F$7))))</f>
        <v>1</v>
      </c>
      <c r="D271" s="37" t="n">
        <f aca="false">1+IF($G$8=$E$8,$F$8,IF(R271&lt;($F$8-$E$8)/($G$8-$E$8),$E$8+SQRT(R271*($G$8-$E$8)*($F$8-$E$8)),$G$8-SQRT((1-R271)*($G$8-$E$8)*($G$8-$F$8))))</f>
        <v>1</v>
      </c>
      <c r="E271" s="37" t="n">
        <f aca="false">1+IF($G$9=$E$9,$F$9,IF(S271&lt;($F$9-$E$9)/($G$9-$E$9),$E$9+SQRT(S271*($G$9-$E$9)*($F$9-$E$9)),$G$9-SQRT((1-S271)*($G$9-$E$9)*($G$9-$F$9))))</f>
        <v>1</v>
      </c>
      <c r="F271" s="37" t="n">
        <f aca="false">1+IF($G$10=$E$10,$F$10,IF(T271&lt;($F$10-$E$10)/($G$10-$E$10),$E$10+SQRT(T271*($G$10-$E$10)*($F$10-$E$10)),$G$10-SQRT((1-T271)*($G$10-$E$10)*($G$10-$F$10))))</f>
        <v>1</v>
      </c>
      <c r="G271" s="38" t="n">
        <f aca="false">IF($G$11=$E$11,$F$11,IF(U271&lt;($F$11-$E$11)/($G$11-$E$11),$E$11+SQRT(U271*($G$11-$E$11)*($F$11-$E$11)),$G$11-SQRT((1-U271)*($G$11-$E$11)*($G$11-$F$11))))</f>
        <v>0</v>
      </c>
      <c r="H271" s="39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0</v>
      </c>
      <c r="I271" s="39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0</v>
      </c>
      <c r="J271" s="39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0</v>
      </c>
      <c r="K271" s="39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0</v>
      </c>
      <c r="L271" s="39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0</v>
      </c>
      <c r="M271" s="39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0</v>
      </c>
      <c r="N271" s="39" t="str">
        <f aca="false">IF(COUNT('Business Case'!B11:G11)=0,"",H271+NPV(G271,I271:M271))</f>
        <v/>
      </c>
      <c r="P271" s="40" t="n">
        <f aca="true">RAND()</f>
        <v>0.254465912436279</v>
      </c>
      <c r="Q271" s="40" t="n">
        <f aca="true">RAND()</f>
        <v>0.743266485845257</v>
      </c>
      <c r="R271" s="40" t="n">
        <f aca="true">RAND()</f>
        <v>0.056257278751064</v>
      </c>
      <c r="S271" s="40" t="n">
        <f aca="true">RAND()</f>
        <v>0.50275421249895</v>
      </c>
      <c r="T271" s="40" t="n">
        <f aca="true">RAND()</f>
        <v>0.170189189332967</v>
      </c>
      <c r="U271" s="40" t="n">
        <f aca="true">RAND()</f>
        <v>0.257923934615957</v>
      </c>
    </row>
    <row r="272" customFormat="false" ht="15" hidden="false" customHeight="false" outlineLevel="0" collapsed="false">
      <c r="A272" s="36" t="n">
        <v>192</v>
      </c>
      <c r="B272" s="37" t="n">
        <f aca="false">1+IF($G$6=$E$6,$F$6,IF(P272&lt;($F$6-$E$6)/($G$6-$E$6),$E$6+SQRT(P272*($G$6-$E$6)*($F$6-$E$6)),$G$6-SQRT((1-P272)*($G$6-$E$6)*($G$6-$F$6))))</f>
        <v>1</v>
      </c>
      <c r="C272" s="37" t="n">
        <f aca="false">1+IF($G$7=$E$7,$F$7,IF(Q272&lt;($F$7-$E$7)/($G$7-$E$7),$E$7+SQRT(Q272*($G$7-$E$7)*($F$7-$E$7)),$G$7-SQRT((1-Q272)*($G$7-$E$7)*($G$7-$F$7))))</f>
        <v>1</v>
      </c>
      <c r="D272" s="37" t="n">
        <f aca="false">1+IF($G$8=$E$8,$F$8,IF(R272&lt;($F$8-$E$8)/($G$8-$E$8),$E$8+SQRT(R272*($G$8-$E$8)*($F$8-$E$8)),$G$8-SQRT((1-R272)*($G$8-$E$8)*($G$8-$F$8))))</f>
        <v>1</v>
      </c>
      <c r="E272" s="37" t="n">
        <f aca="false">1+IF($G$9=$E$9,$F$9,IF(S272&lt;($F$9-$E$9)/($G$9-$E$9),$E$9+SQRT(S272*($G$9-$E$9)*($F$9-$E$9)),$G$9-SQRT((1-S272)*($G$9-$E$9)*($G$9-$F$9))))</f>
        <v>1</v>
      </c>
      <c r="F272" s="37" t="n">
        <f aca="false">1+IF($G$10=$E$10,$F$10,IF(T272&lt;($F$10-$E$10)/($G$10-$E$10),$E$10+SQRT(T272*($G$10-$E$10)*($F$10-$E$10)),$G$10-SQRT((1-T272)*($G$10-$E$10)*($G$10-$F$10))))</f>
        <v>1</v>
      </c>
      <c r="G272" s="38" t="n">
        <f aca="false">IF($G$11=$E$11,$F$11,IF(U272&lt;($F$11-$E$11)/($G$11-$E$11),$E$11+SQRT(U272*($G$11-$E$11)*($F$11-$E$11)),$G$11-SQRT((1-U272)*($G$11-$E$11)*($G$11-$F$11))))</f>
        <v>0</v>
      </c>
      <c r="H272" s="39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0</v>
      </c>
      <c r="I272" s="39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0</v>
      </c>
      <c r="J272" s="39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0</v>
      </c>
      <c r="K272" s="39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0</v>
      </c>
      <c r="L272" s="39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0</v>
      </c>
      <c r="M272" s="39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0</v>
      </c>
      <c r="N272" s="39" t="str">
        <f aca="false">IF(COUNT('Business Case'!B11:G11)=0,"",H272+NPV(G272,I272:M272))</f>
        <v/>
      </c>
      <c r="P272" s="40" t="n">
        <f aca="true">RAND()</f>
        <v>0.574502607454822</v>
      </c>
      <c r="Q272" s="40" t="n">
        <f aca="true">RAND()</f>
        <v>0.430297381239701</v>
      </c>
      <c r="R272" s="40" t="n">
        <f aca="true">RAND()</f>
        <v>0.997727544236829</v>
      </c>
      <c r="S272" s="40" t="n">
        <f aca="true">RAND()</f>
        <v>0.518272166538206</v>
      </c>
      <c r="T272" s="40" t="n">
        <f aca="true">RAND()</f>
        <v>0.0126799425957503</v>
      </c>
      <c r="U272" s="40" t="n">
        <f aca="true">RAND()</f>
        <v>0.423975081503153</v>
      </c>
    </row>
    <row r="273" customFormat="false" ht="15" hidden="false" customHeight="false" outlineLevel="0" collapsed="false">
      <c r="A273" s="36" t="n">
        <v>193</v>
      </c>
      <c r="B273" s="37" t="n">
        <f aca="false">1+IF($G$6=$E$6,$F$6,IF(P273&lt;($F$6-$E$6)/($G$6-$E$6),$E$6+SQRT(P273*($G$6-$E$6)*($F$6-$E$6)),$G$6-SQRT((1-P273)*($G$6-$E$6)*($G$6-$F$6))))</f>
        <v>1</v>
      </c>
      <c r="C273" s="37" t="n">
        <f aca="false">1+IF($G$7=$E$7,$F$7,IF(Q273&lt;($F$7-$E$7)/($G$7-$E$7),$E$7+SQRT(Q273*($G$7-$E$7)*($F$7-$E$7)),$G$7-SQRT((1-Q273)*($G$7-$E$7)*($G$7-$F$7))))</f>
        <v>1</v>
      </c>
      <c r="D273" s="37" t="n">
        <f aca="false">1+IF($G$8=$E$8,$F$8,IF(R273&lt;($F$8-$E$8)/($G$8-$E$8),$E$8+SQRT(R273*($G$8-$E$8)*($F$8-$E$8)),$G$8-SQRT((1-R273)*($G$8-$E$8)*($G$8-$F$8))))</f>
        <v>1</v>
      </c>
      <c r="E273" s="37" t="n">
        <f aca="false">1+IF($G$9=$E$9,$F$9,IF(S273&lt;($F$9-$E$9)/($G$9-$E$9),$E$9+SQRT(S273*($G$9-$E$9)*($F$9-$E$9)),$G$9-SQRT((1-S273)*($G$9-$E$9)*($G$9-$F$9))))</f>
        <v>1</v>
      </c>
      <c r="F273" s="37" t="n">
        <f aca="false">1+IF($G$10=$E$10,$F$10,IF(T273&lt;($F$10-$E$10)/($G$10-$E$10),$E$10+SQRT(T273*($G$10-$E$10)*($F$10-$E$10)),$G$10-SQRT((1-T273)*($G$10-$E$10)*($G$10-$F$10))))</f>
        <v>1</v>
      </c>
      <c r="G273" s="38" t="n">
        <f aca="false">IF($G$11=$E$11,$F$11,IF(U273&lt;($F$11-$E$11)/($G$11-$E$11),$E$11+SQRT(U273*($G$11-$E$11)*($F$11-$E$11)),$G$11-SQRT((1-U273)*($G$11-$E$11)*($G$11-$F$11))))</f>
        <v>0</v>
      </c>
      <c r="H273" s="39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0</v>
      </c>
      <c r="I273" s="39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0</v>
      </c>
      <c r="J273" s="39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0</v>
      </c>
      <c r="K273" s="39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0</v>
      </c>
      <c r="L273" s="39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0</v>
      </c>
      <c r="M273" s="39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0</v>
      </c>
      <c r="N273" s="39" t="str">
        <f aca="false">IF(COUNT('Business Case'!B11:G11)=0,"",H273+NPV(G273,I273:M273))</f>
        <v/>
      </c>
      <c r="P273" s="40" t="n">
        <f aca="true">RAND()</f>
        <v>0.0906751960063634</v>
      </c>
      <c r="Q273" s="40" t="n">
        <f aca="true">RAND()</f>
        <v>0.575492774779924</v>
      </c>
      <c r="R273" s="40" t="n">
        <f aca="true">RAND()</f>
        <v>0.343309655654872</v>
      </c>
      <c r="S273" s="40" t="n">
        <f aca="true">RAND()</f>
        <v>0.633789353670222</v>
      </c>
      <c r="T273" s="40" t="n">
        <f aca="true">RAND()</f>
        <v>0.810678141332472</v>
      </c>
      <c r="U273" s="40" t="n">
        <f aca="true">RAND()</f>
        <v>0.0231255926912349</v>
      </c>
    </row>
    <row r="274" customFormat="false" ht="15" hidden="false" customHeight="false" outlineLevel="0" collapsed="false">
      <c r="A274" s="36" t="n">
        <v>194</v>
      </c>
      <c r="B274" s="37" t="n">
        <f aca="false">1+IF($G$6=$E$6,$F$6,IF(P274&lt;($F$6-$E$6)/($G$6-$E$6),$E$6+SQRT(P274*($G$6-$E$6)*($F$6-$E$6)),$G$6-SQRT((1-P274)*($G$6-$E$6)*($G$6-$F$6))))</f>
        <v>1</v>
      </c>
      <c r="C274" s="37" t="n">
        <f aca="false">1+IF($G$7=$E$7,$F$7,IF(Q274&lt;($F$7-$E$7)/($G$7-$E$7),$E$7+SQRT(Q274*($G$7-$E$7)*($F$7-$E$7)),$G$7-SQRT((1-Q274)*($G$7-$E$7)*($G$7-$F$7))))</f>
        <v>1</v>
      </c>
      <c r="D274" s="37" t="n">
        <f aca="false">1+IF($G$8=$E$8,$F$8,IF(R274&lt;($F$8-$E$8)/($G$8-$E$8),$E$8+SQRT(R274*($G$8-$E$8)*($F$8-$E$8)),$G$8-SQRT((1-R274)*($G$8-$E$8)*($G$8-$F$8))))</f>
        <v>1</v>
      </c>
      <c r="E274" s="37" t="n">
        <f aca="false">1+IF($G$9=$E$9,$F$9,IF(S274&lt;($F$9-$E$9)/($G$9-$E$9),$E$9+SQRT(S274*($G$9-$E$9)*($F$9-$E$9)),$G$9-SQRT((1-S274)*($G$9-$E$9)*($G$9-$F$9))))</f>
        <v>1</v>
      </c>
      <c r="F274" s="37" t="n">
        <f aca="false">1+IF($G$10=$E$10,$F$10,IF(T274&lt;($F$10-$E$10)/($G$10-$E$10),$E$10+SQRT(T274*($G$10-$E$10)*($F$10-$E$10)),$G$10-SQRT((1-T274)*($G$10-$E$10)*($G$10-$F$10))))</f>
        <v>1</v>
      </c>
      <c r="G274" s="38" t="n">
        <f aca="false">IF($G$11=$E$11,$F$11,IF(U274&lt;($F$11-$E$11)/($G$11-$E$11),$E$11+SQRT(U274*($G$11-$E$11)*($F$11-$E$11)),$G$11-SQRT((1-U274)*($G$11-$E$11)*($G$11-$F$11))))</f>
        <v>0</v>
      </c>
      <c r="H274" s="39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0</v>
      </c>
      <c r="I274" s="39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0</v>
      </c>
      <c r="J274" s="39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0</v>
      </c>
      <c r="K274" s="39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0</v>
      </c>
      <c r="L274" s="39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0</v>
      </c>
      <c r="M274" s="39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0</v>
      </c>
      <c r="N274" s="39" t="str">
        <f aca="false">IF(COUNT('Business Case'!B11:G11)=0,"",H274+NPV(G274,I274:M274))</f>
        <v/>
      </c>
      <c r="P274" s="40" t="n">
        <f aca="true">RAND()</f>
        <v>0.283530946622066</v>
      </c>
      <c r="Q274" s="40" t="n">
        <f aca="true">RAND()</f>
        <v>0.996722868837924</v>
      </c>
      <c r="R274" s="40" t="n">
        <f aca="true">RAND()</f>
        <v>0.701818500958872</v>
      </c>
      <c r="S274" s="40" t="n">
        <f aca="true">RAND()</f>
        <v>0.384616827134069</v>
      </c>
      <c r="T274" s="40" t="n">
        <f aca="true">RAND()</f>
        <v>0.291181696254533</v>
      </c>
      <c r="U274" s="40" t="n">
        <f aca="true">RAND()</f>
        <v>0.529279630894759</v>
      </c>
    </row>
    <row r="275" customFormat="false" ht="15" hidden="false" customHeight="false" outlineLevel="0" collapsed="false">
      <c r="A275" s="36" t="n">
        <v>195</v>
      </c>
      <c r="B275" s="37" t="n">
        <f aca="false">1+IF($G$6=$E$6,$F$6,IF(P275&lt;($F$6-$E$6)/($G$6-$E$6),$E$6+SQRT(P275*($G$6-$E$6)*($F$6-$E$6)),$G$6-SQRT((1-P275)*($G$6-$E$6)*($G$6-$F$6))))</f>
        <v>1</v>
      </c>
      <c r="C275" s="37" t="n">
        <f aca="false">1+IF($G$7=$E$7,$F$7,IF(Q275&lt;($F$7-$E$7)/($G$7-$E$7),$E$7+SQRT(Q275*($G$7-$E$7)*($F$7-$E$7)),$G$7-SQRT((1-Q275)*($G$7-$E$7)*($G$7-$F$7))))</f>
        <v>1</v>
      </c>
      <c r="D275" s="37" t="n">
        <f aca="false">1+IF($G$8=$E$8,$F$8,IF(R275&lt;($F$8-$E$8)/($G$8-$E$8),$E$8+SQRT(R275*($G$8-$E$8)*($F$8-$E$8)),$G$8-SQRT((1-R275)*($G$8-$E$8)*($G$8-$F$8))))</f>
        <v>1</v>
      </c>
      <c r="E275" s="37" t="n">
        <f aca="false">1+IF($G$9=$E$9,$F$9,IF(S275&lt;($F$9-$E$9)/($G$9-$E$9),$E$9+SQRT(S275*($G$9-$E$9)*($F$9-$E$9)),$G$9-SQRT((1-S275)*($G$9-$E$9)*($G$9-$F$9))))</f>
        <v>1</v>
      </c>
      <c r="F275" s="37" t="n">
        <f aca="false">1+IF($G$10=$E$10,$F$10,IF(T275&lt;($F$10-$E$10)/($G$10-$E$10),$E$10+SQRT(T275*($G$10-$E$10)*($F$10-$E$10)),$G$10-SQRT((1-T275)*($G$10-$E$10)*($G$10-$F$10))))</f>
        <v>1</v>
      </c>
      <c r="G275" s="38" t="n">
        <f aca="false">IF($G$11=$E$11,$F$11,IF(U275&lt;($F$11-$E$11)/($G$11-$E$11),$E$11+SQRT(U275*($G$11-$E$11)*($F$11-$E$11)),$G$11-SQRT((1-U275)*($G$11-$E$11)*($G$11-$F$11))))</f>
        <v>0</v>
      </c>
      <c r="H275" s="39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0</v>
      </c>
      <c r="I275" s="39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0</v>
      </c>
      <c r="J275" s="39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0</v>
      </c>
      <c r="K275" s="39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0</v>
      </c>
      <c r="L275" s="39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0</v>
      </c>
      <c r="M275" s="39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0</v>
      </c>
      <c r="N275" s="39" t="str">
        <f aca="false">IF(COUNT('Business Case'!B11:G11)=0,"",H275+NPV(G275,I275:M275))</f>
        <v/>
      </c>
      <c r="P275" s="40" t="n">
        <f aca="true">RAND()</f>
        <v>0.593989806530482</v>
      </c>
      <c r="Q275" s="40" t="n">
        <f aca="true">RAND()</f>
        <v>0.663123711844897</v>
      </c>
      <c r="R275" s="40" t="n">
        <f aca="true">RAND()</f>
        <v>0.964403326749513</v>
      </c>
      <c r="S275" s="40" t="n">
        <f aca="true">RAND()</f>
        <v>0.903039728249065</v>
      </c>
      <c r="T275" s="40" t="n">
        <f aca="true">RAND()</f>
        <v>0.913480012381849</v>
      </c>
      <c r="U275" s="40" t="n">
        <f aca="true">RAND()</f>
        <v>0.819432461953006</v>
      </c>
    </row>
    <row r="276" customFormat="false" ht="15" hidden="false" customHeight="false" outlineLevel="0" collapsed="false">
      <c r="A276" s="36" t="n">
        <v>196</v>
      </c>
      <c r="B276" s="37" t="n">
        <f aca="false">1+IF($G$6=$E$6,$F$6,IF(P276&lt;($F$6-$E$6)/($G$6-$E$6),$E$6+SQRT(P276*($G$6-$E$6)*($F$6-$E$6)),$G$6-SQRT((1-P276)*($G$6-$E$6)*($G$6-$F$6))))</f>
        <v>1</v>
      </c>
      <c r="C276" s="37" t="n">
        <f aca="false">1+IF($G$7=$E$7,$F$7,IF(Q276&lt;($F$7-$E$7)/($G$7-$E$7),$E$7+SQRT(Q276*($G$7-$E$7)*($F$7-$E$7)),$G$7-SQRT((1-Q276)*($G$7-$E$7)*($G$7-$F$7))))</f>
        <v>1</v>
      </c>
      <c r="D276" s="37" t="n">
        <f aca="false">1+IF($G$8=$E$8,$F$8,IF(R276&lt;($F$8-$E$8)/($G$8-$E$8),$E$8+SQRT(R276*($G$8-$E$8)*($F$8-$E$8)),$G$8-SQRT((1-R276)*($G$8-$E$8)*($G$8-$F$8))))</f>
        <v>1</v>
      </c>
      <c r="E276" s="37" t="n">
        <f aca="false">1+IF($G$9=$E$9,$F$9,IF(S276&lt;($F$9-$E$9)/($G$9-$E$9),$E$9+SQRT(S276*($G$9-$E$9)*($F$9-$E$9)),$G$9-SQRT((1-S276)*($G$9-$E$9)*($G$9-$F$9))))</f>
        <v>1</v>
      </c>
      <c r="F276" s="37" t="n">
        <f aca="false">1+IF($G$10=$E$10,$F$10,IF(T276&lt;($F$10-$E$10)/($G$10-$E$10),$E$10+SQRT(T276*($G$10-$E$10)*($F$10-$E$10)),$G$10-SQRT((1-T276)*($G$10-$E$10)*($G$10-$F$10))))</f>
        <v>1</v>
      </c>
      <c r="G276" s="38" t="n">
        <f aca="false">IF($G$11=$E$11,$F$11,IF(U276&lt;($F$11-$E$11)/($G$11-$E$11),$E$11+SQRT(U276*($G$11-$E$11)*($F$11-$E$11)),$G$11-SQRT((1-U276)*($G$11-$E$11)*($G$11-$F$11))))</f>
        <v>0</v>
      </c>
      <c r="H276" s="39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0</v>
      </c>
      <c r="I276" s="39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0</v>
      </c>
      <c r="J276" s="39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0</v>
      </c>
      <c r="K276" s="39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0</v>
      </c>
      <c r="L276" s="39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0</v>
      </c>
      <c r="M276" s="39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0</v>
      </c>
      <c r="N276" s="39" t="str">
        <f aca="false">IF(COUNT('Business Case'!B11:G11)=0,"",H276+NPV(G276,I276:M276))</f>
        <v/>
      </c>
      <c r="P276" s="40" t="n">
        <f aca="true">RAND()</f>
        <v>0.906420724667651</v>
      </c>
      <c r="Q276" s="40" t="n">
        <f aca="true">RAND()</f>
        <v>0.739106260103782</v>
      </c>
      <c r="R276" s="40" t="n">
        <f aca="true">RAND()</f>
        <v>0.717012554850665</v>
      </c>
      <c r="S276" s="40" t="n">
        <f aca="true">RAND()</f>
        <v>0.880469374079864</v>
      </c>
      <c r="T276" s="40" t="n">
        <f aca="true">RAND()</f>
        <v>0.617147889172913</v>
      </c>
      <c r="U276" s="40" t="n">
        <f aca="true">RAND()</f>
        <v>0.259418887892448</v>
      </c>
    </row>
    <row r="277" customFormat="false" ht="15" hidden="false" customHeight="false" outlineLevel="0" collapsed="false">
      <c r="A277" s="36" t="n">
        <v>197</v>
      </c>
      <c r="B277" s="37" t="n">
        <f aca="false">1+IF($G$6=$E$6,$F$6,IF(P277&lt;($F$6-$E$6)/($G$6-$E$6),$E$6+SQRT(P277*($G$6-$E$6)*($F$6-$E$6)),$G$6-SQRT((1-P277)*($G$6-$E$6)*($G$6-$F$6))))</f>
        <v>1</v>
      </c>
      <c r="C277" s="37" t="n">
        <f aca="false">1+IF($G$7=$E$7,$F$7,IF(Q277&lt;($F$7-$E$7)/($G$7-$E$7),$E$7+SQRT(Q277*($G$7-$E$7)*($F$7-$E$7)),$G$7-SQRT((1-Q277)*($G$7-$E$7)*($G$7-$F$7))))</f>
        <v>1</v>
      </c>
      <c r="D277" s="37" t="n">
        <f aca="false">1+IF($G$8=$E$8,$F$8,IF(R277&lt;($F$8-$E$8)/($G$8-$E$8),$E$8+SQRT(R277*($G$8-$E$8)*($F$8-$E$8)),$G$8-SQRT((1-R277)*($G$8-$E$8)*($G$8-$F$8))))</f>
        <v>1</v>
      </c>
      <c r="E277" s="37" t="n">
        <f aca="false">1+IF($G$9=$E$9,$F$9,IF(S277&lt;($F$9-$E$9)/($G$9-$E$9),$E$9+SQRT(S277*($G$9-$E$9)*($F$9-$E$9)),$G$9-SQRT((1-S277)*($G$9-$E$9)*($G$9-$F$9))))</f>
        <v>1</v>
      </c>
      <c r="F277" s="37" t="n">
        <f aca="false">1+IF($G$10=$E$10,$F$10,IF(T277&lt;($F$10-$E$10)/($G$10-$E$10),$E$10+SQRT(T277*($G$10-$E$10)*($F$10-$E$10)),$G$10-SQRT((1-T277)*($G$10-$E$10)*($G$10-$F$10))))</f>
        <v>1</v>
      </c>
      <c r="G277" s="38" t="n">
        <f aca="false">IF($G$11=$E$11,$F$11,IF(U277&lt;($F$11-$E$11)/($G$11-$E$11),$E$11+SQRT(U277*($G$11-$E$11)*($F$11-$E$11)),$G$11-SQRT((1-U277)*($G$11-$E$11)*($G$11-$F$11))))</f>
        <v>0</v>
      </c>
      <c r="H277" s="39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0</v>
      </c>
      <c r="I277" s="39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0</v>
      </c>
      <c r="J277" s="39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0</v>
      </c>
      <c r="K277" s="39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0</v>
      </c>
      <c r="L277" s="39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0</v>
      </c>
      <c r="M277" s="39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0</v>
      </c>
      <c r="N277" s="39" t="str">
        <f aca="false">IF(COUNT('Business Case'!B11:G11)=0,"",H277+NPV(G277,I277:M277))</f>
        <v/>
      </c>
      <c r="P277" s="40" t="n">
        <f aca="true">RAND()</f>
        <v>0.836493150398625</v>
      </c>
      <c r="Q277" s="40" t="n">
        <f aca="true">RAND()</f>
        <v>0.812730549848739</v>
      </c>
      <c r="R277" s="40" t="n">
        <f aca="true">RAND()</f>
        <v>0.529233816781956</v>
      </c>
      <c r="S277" s="40" t="n">
        <f aca="true">RAND()</f>
        <v>0.735984930882153</v>
      </c>
      <c r="T277" s="40" t="n">
        <f aca="true">RAND()</f>
        <v>0.451172585447526</v>
      </c>
      <c r="U277" s="40" t="n">
        <f aca="true">RAND()</f>
        <v>0.373298823104094</v>
      </c>
    </row>
    <row r="278" customFormat="false" ht="15" hidden="false" customHeight="false" outlineLevel="0" collapsed="false">
      <c r="A278" s="36" t="n">
        <v>198</v>
      </c>
      <c r="B278" s="37" t="n">
        <f aca="false">1+IF($G$6=$E$6,$F$6,IF(P278&lt;($F$6-$E$6)/($G$6-$E$6),$E$6+SQRT(P278*($G$6-$E$6)*($F$6-$E$6)),$G$6-SQRT((1-P278)*($G$6-$E$6)*($G$6-$F$6))))</f>
        <v>1</v>
      </c>
      <c r="C278" s="37" t="n">
        <f aca="false">1+IF($G$7=$E$7,$F$7,IF(Q278&lt;($F$7-$E$7)/($G$7-$E$7),$E$7+SQRT(Q278*($G$7-$E$7)*($F$7-$E$7)),$G$7-SQRT((1-Q278)*($G$7-$E$7)*($G$7-$F$7))))</f>
        <v>1</v>
      </c>
      <c r="D278" s="37" t="n">
        <f aca="false">1+IF($G$8=$E$8,$F$8,IF(R278&lt;($F$8-$E$8)/($G$8-$E$8),$E$8+SQRT(R278*($G$8-$E$8)*($F$8-$E$8)),$G$8-SQRT((1-R278)*($G$8-$E$8)*($G$8-$F$8))))</f>
        <v>1</v>
      </c>
      <c r="E278" s="37" t="n">
        <f aca="false">1+IF($G$9=$E$9,$F$9,IF(S278&lt;($F$9-$E$9)/($G$9-$E$9),$E$9+SQRT(S278*($G$9-$E$9)*($F$9-$E$9)),$G$9-SQRT((1-S278)*($G$9-$E$9)*($G$9-$F$9))))</f>
        <v>1</v>
      </c>
      <c r="F278" s="37" t="n">
        <f aca="false">1+IF($G$10=$E$10,$F$10,IF(T278&lt;($F$10-$E$10)/($G$10-$E$10),$E$10+SQRT(T278*($G$10-$E$10)*($F$10-$E$10)),$G$10-SQRT((1-T278)*($G$10-$E$10)*($G$10-$F$10))))</f>
        <v>1</v>
      </c>
      <c r="G278" s="38" t="n">
        <f aca="false">IF($G$11=$E$11,$F$11,IF(U278&lt;($F$11-$E$11)/($G$11-$E$11),$E$11+SQRT(U278*($G$11-$E$11)*($F$11-$E$11)),$G$11-SQRT((1-U278)*($G$11-$E$11)*($G$11-$F$11))))</f>
        <v>0</v>
      </c>
      <c r="H278" s="39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0</v>
      </c>
      <c r="I278" s="39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0</v>
      </c>
      <c r="J278" s="39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0</v>
      </c>
      <c r="K278" s="39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0</v>
      </c>
      <c r="L278" s="39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0</v>
      </c>
      <c r="M278" s="39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0</v>
      </c>
      <c r="N278" s="39" t="str">
        <f aca="false">IF(COUNT('Business Case'!B11:G11)=0,"",H278+NPV(G278,I278:M278))</f>
        <v/>
      </c>
      <c r="P278" s="40" t="n">
        <f aca="true">RAND()</f>
        <v>0.520357657276707</v>
      </c>
      <c r="Q278" s="40" t="n">
        <f aca="true">RAND()</f>
        <v>0.560532055387836</v>
      </c>
      <c r="R278" s="40" t="n">
        <f aca="true">RAND()</f>
        <v>0.708395450831931</v>
      </c>
      <c r="S278" s="40" t="n">
        <f aca="true">RAND()</f>
        <v>0.183269003481604</v>
      </c>
      <c r="T278" s="40" t="n">
        <f aca="true">RAND()</f>
        <v>0.370626554195861</v>
      </c>
      <c r="U278" s="40" t="n">
        <f aca="true">RAND()</f>
        <v>0.585111007203986</v>
      </c>
    </row>
    <row r="279" customFormat="false" ht="15" hidden="false" customHeight="false" outlineLevel="0" collapsed="false">
      <c r="A279" s="36" t="n">
        <v>199</v>
      </c>
      <c r="B279" s="37" t="n">
        <f aca="false">1+IF($G$6=$E$6,$F$6,IF(P279&lt;($F$6-$E$6)/($G$6-$E$6),$E$6+SQRT(P279*($G$6-$E$6)*($F$6-$E$6)),$G$6-SQRT((1-P279)*($G$6-$E$6)*($G$6-$F$6))))</f>
        <v>1</v>
      </c>
      <c r="C279" s="37" t="n">
        <f aca="false">1+IF($G$7=$E$7,$F$7,IF(Q279&lt;($F$7-$E$7)/($G$7-$E$7),$E$7+SQRT(Q279*($G$7-$E$7)*($F$7-$E$7)),$G$7-SQRT((1-Q279)*($G$7-$E$7)*($G$7-$F$7))))</f>
        <v>1</v>
      </c>
      <c r="D279" s="37" t="n">
        <f aca="false">1+IF($G$8=$E$8,$F$8,IF(R279&lt;($F$8-$E$8)/($G$8-$E$8),$E$8+SQRT(R279*($G$8-$E$8)*($F$8-$E$8)),$G$8-SQRT((1-R279)*($G$8-$E$8)*($G$8-$F$8))))</f>
        <v>1</v>
      </c>
      <c r="E279" s="37" t="n">
        <f aca="false">1+IF($G$9=$E$9,$F$9,IF(S279&lt;($F$9-$E$9)/($G$9-$E$9),$E$9+SQRT(S279*($G$9-$E$9)*($F$9-$E$9)),$G$9-SQRT((1-S279)*($G$9-$E$9)*($G$9-$F$9))))</f>
        <v>1</v>
      </c>
      <c r="F279" s="37" t="n">
        <f aca="false">1+IF($G$10=$E$10,$F$10,IF(T279&lt;($F$10-$E$10)/($G$10-$E$10),$E$10+SQRT(T279*($G$10-$E$10)*($F$10-$E$10)),$G$10-SQRT((1-T279)*($G$10-$E$10)*($G$10-$F$10))))</f>
        <v>1</v>
      </c>
      <c r="G279" s="38" t="n">
        <f aca="false">IF($G$11=$E$11,$F$11,IF(U279&lt;($F$11-$E$11)/($G$11-$E$11),$E$11+SQRT(U279*($G$11-$E$11)*($F$11-$E$11)),$G$11-SQRT((1-U279)*($G$11-$E$11)*($G$11-$F$11))))</f>
        <v>0</v>
      </c>
      <c r="H279" s="39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0</v>
      </c>
      <c r="I279" s="39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0</v>
      </c>
      <c r="J279" s="39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0</v>
      </c>
      <c r="K279" s="39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0</v>
      </c>
      <c r="L279" s="39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0</v>
      </c>
      <c r="M279" s="39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0</v>
      </c>
      <c r="N279" s="39" t="str">
        <f aca="false">IF(COUNT('Business Case'!B11:G11)=0,"",H279+NPV(G279,I279:M279))</f>
        <v/>
      </c>
      <c r="P279" s="40" t="n">
        <f aca="true">RAND()</f>
        <v>0.436694221614394</v>
      </c>
      <c r="Q279" s="40" t="n">
        <f aca="true">RAND()</f>
        <v>0.602212800814424</v>
      </c>
      <c r="R279" s="40" t="n">
        <f aca="true">RAND()</f>
        <v>0.0236283289664605</v>
      </c>
      <c r="S279" s="40" t="n">
        <f aca="true">RAND()</f>
        <v>0.828485885788163</v>
      </c>
      <c r="T279" s="40" t="n">
        <f aca="true">RAND()</f>
        <v>0.166181205128816</v>
      </c>
      <c r="U279" s="40" t="n">
        <f aca="true">RAND()</f>
        <v>0.997521476003514</v>
      </c>
    </row>
    <row r="280" customFormat="false" ht="15" hidden="false" customHeight="false" outlineLevel="0" collapsed="false">
      <c r="A280" s="36" t="n">
        <v>200</v>
      </c>
      <c r="B280" s="37" t="n">
        <f aca="false">1+IF($G$6=$E$6,$F$6,IF(P280&lt;($F$6-$E$6)/($G$6-$E$6),$E$6+SQRT(P280*($G$6-$E$6)*($F$6-$E$6)),$G$6-SQRT((1-P280)*($G$6-$E$6)*($G$6-$F$6))))</f>
        <v>1</v>
      </c>
      <c r="C280" s="37" t="n">
        <f aca="false">1+IF($G$7=$E$7,$F$7,IF(Q280&lt;($F$7-$E$7)/($G$7-$E$7),$E$7+SQRT(Q280*($G$7-$E$7)*($F$7-$E$7)),$G$7-SQRT((1-Q280)*($G$7-$E$7)*($G$7-$F$7))))</f>
        <v>1</v>
      </c>
      <c r="D280" s="37" t="n">
        <f aca="false">1+IF($G$8=$E$8,$F$8,IF(R280&lt;($F$8-$E$8)/($G$8-$E$8),$E$8+SQRT(R280*($G$8-$E$8)*($F$8-$E$8)),$G$8-SQRT((1-R280)*($G$8-$E$8)*($G$8-$F$8))))</f>
        <v>1</v>
      </c>
      <c r="E280" s="37" t="n">
        <f aca="false">1+IF($G$9=$E$9,$F$9,IF(S280&lt;($F$9-$E$9)/($G$9-$E$9),$E$9+SQRT(S280*($G$9-$E$9)*($F$9-$E$9)),$G$9-SQRT((1-S280)*($G$9-$E$9)*($G$9-$F$9))))</f>
        <v>1</v>
      </c>
      <c r="F280" s="37" t="n">
        <f aca="false">1+IF($G$10=$E$10,$F$10,IF(T280&lt;($F$10-$E$10)/($G$10-$E$10),$E$10+SQRT(T280*($G$10-$E$10)*($F$10-$E$10)),$G$10-SQRT((1-T280)*($G$10-$E$10)*($G$10-$F$10))))</f>
        <v>1</v>
      </c>
      <c r="G280" s="38" t="n">
        <f aca="false">IF($G$11=$E$11,$F$11,IF(U280&lt;($F$11-$E$11)/($G$11-$E$11),$E$11+SQRT(U280*($G$11-$E$11)*($F$11-$E$11)),$G$11-SQRT((1-U280)*($G$11-$E$11)*($G$11-$F$11))))</f>
        <v>0</v>
      </c>
      <c r="H280" s="39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0</v>
      </c>
      <c r="I280" s="39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0</v>
      </c>
      <c r="J280" s="39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0</v>
      </c>
      <c r="K280" s="39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0</v>
      </c>
      <c r="L280" s="39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0</v>
      </c>
      <c r="M280" s="39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0</v>
      </c>
      <c r="N280" s="39" t="str">
        <f aca="false">IF(COUNT('Business Case'!B11:G11)=0,"",H280+NPV(G280,I280:M280))</f>
        <v/>
      </c>
      <c r="P280" s="40" t="n">
        <f aca="true">RAND()</f>
        <v>0.986495893732437</v>
      </c>
      <c r="Q280" s="40" t="n">
        <f aca="true">RAND()</f>
        <v>0.874235846556655</v>
      </c>
      <c r="R280" s="40" t="n">
        <f aca="true">RAND()</f>
        <v>0.368522141510113</v>
      </c>
      <c r="S280" s="40" t="n">
        <f aca="true">RAND()</f>
        <v>0.752554666584014</v>
      </c>
      <c r="T280" s="40" t="n">
        <f aca="true">RAND()</f>
        <v>0.505006730188682</v>
      </c>
      <c r="U280" s="40" t="n">
        <f aca="true">RAND()</f>
        <v>0.541377093883626</v>
      </c>
    </row>
    <row r="281" customFormat="false" ht="15" hidden="false" customHeight="false" outlineLevel="0" collapsed="false">
      <c r="A281" s="36" t="n">
        <v>201</v>
      </c>
      <c r="B281" s="37" t="n">
        <f aca="false">1+IF($G$6=$E$6,$F$6,IF(P281&lt;($F$6-$E$6)/($G$6-$E$6),$E$6+SQRT(P281*($G$6-$E$6)*($F$6-$E$6)),$G$6-SQRT((1-P281)*($G$6-$E$6)*($G$6-$F$6))))</f>
        <v>1</v>
      </c>
      <c r="C281" s="37" t="n">
        <f aca="false">1+IF($G$7=$E$7,$F$7,IF(Q281&lt;($F$7-$E$7)/($G$7-$E$7),$E$7+SQRT(Q281*($G$7-$E$7)*($F$7-$E$7)),$G$7-SQRT((1-Q281)*($G$7-$E$7)*($G$7-$F$7))))</f>
        <v>1</v>
      </c>
      <c r="D281" s="37" t="n">
        <f aca="false">1+IF($G$8=$E$8,$F$8,IF(R281&lt;($F$8-$E$8)/($G$8-$E$8),$E$8+SQRT(R281*($G$8-$E$8)*($F$8-$E$8)),$G$8-SQRT((1-R281)*($G$8-$E$8)*($G$8-$F$8))))</f>
        <v>1</v>
      </c>
      <c r="E281" s="37" t="n">
        <f aca="false">1+IF($G$9=$E$9,$F$9,IF(S281&lt;($F$9-$E$9)/($G$9-$E$9),$E$9+SQRT(S281*($G$9-$E$9)*($F$9-$E$9)),$G$9-SQRT((1-S281)*($G$9-$E$9)*($G$9-$F$9))))</f>
        <v>1</v>
      </c>
      <c r="F281" s="37" t="n">
        <f aca="false">1+IF($G$10=$E$10,$F$10,IF(T281&lt;($F$10-$E$10)/($G$10-$E$10),$E$10+SQRT(T281*($G$10-$E$10)*($F$10-$E$10)),$G$10-SQRT((1-T281)*($G$10-$E$10)*($G$10-$F$10))))</f>
        <v>1</v>
      </c>
      <c r="G281" s="38" t="n">
        <f aca="false">IF($G$11=$E$11,$F$11,IF(U281&lt;($F$11-$E$11)/($G$11-$E$11),$E$11+SQRT(U281*($G$11-$E$11)*($F$11-$E$11)),$G$11-SQRT((1-U281)*($G$11-$E$11)*($G$11-$F$11))))</f>
        <v>0</v>
      </c>
      <c r="H281" s="39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0</v>
      </c>
      <c r="I281" s="39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0</v>
      </c>
      <c r="J281" s="39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0</v>
      </c>
      <c r="K281" s="39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0</v>
      </c>
      <c r="L281" s="39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0</v>
      </c>
      <c r="M281" s="39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0</v>
      </c>
      <c r="N281" s="39" t="str">
        <f aca="false">IF(COUNT('Business Case'!B11:G11)=0,"",H281+NPV(G281,I281:M281))</f>
        <v/>
      </c>
      <c r="P281" s="40" t="n">
        <f aca="true">RAND()</f>
        <v>0.0539939304503391</v>
      </c>
      <c r="Q281" s="40" t="n">
        <f aca="true">RAND()</f>
        <v>0.81819295584184</v>
      </c>
      <c r="R281" s="40" t="n">
        <f aca="true">RAND()</f>
        <v>0.112494900709627</v>
      </c>
      <c r="S281" s="40" t="n">
        <f aca="true">RAND()</f>
        <v>0.990967613144304</v>
      </c>
      <c r="T281" s="40" t="n">
        <f aca="true">RAND()</f>
        <v>0.458485036844963</v>
      </c>
      <c r="U281" s="40" t="n">
        <f aca="true">RAND()</f>
        <v>0.538469203259787</v>
      </c>
    </row>
    <row r="282" customFormat="false" ht="15" hidden="false" customHeight="false" outlineLevel="0" collapsed="false">
      <c r="A282" s="36" t="n">
        <v>202</v>
      </c>
      <c r="B282" s="37" t="n">
        <f aca="false">1+IF($G$6=$E$6,$F$6,IF(P282&lt;($F$6-$E$6)/($G$6-$E$6),$E$6+SQRT(P282*($G$6-$E$6)*($F$6-$E$6)),$G$6-SQRT((1-P282)*($G$6-$E$6)*($G$6-$F$6))))</f>
        <v>1</v>
      </c>
      <c r="C282" s="37" t="n">
        <f aca="false">1+IF($G$7=$E$7,$F$7,IF(Q282&lt;($F$7-$E$7)/($G$7-$E$7),$E$7+SQRT(Q282*($G$7-$E$7)*($F$7-$E$7)),$G$7-SQRT((1-Q282)*($G$7-$E$7)*($G$7-$F$7))))</f>
        <v>1</v>
      </c>
      <c r="D282" s="37" t="n">
        <f aca="false">1+IF($G$8=$E$8,$F$8,IF(R282&lt;($F$8-$E$8)/($G$8-$E$8),$E$8+SQRT(R282*($G$8-$E$8)*($F$8-$E$8)),$G$8-SQRT((1-R282)*($G$8-$E$8)*($G$8-$F$8))))</f>
        <v>1</v>
      </c>
      <c r="E282" s="37" t="n">
        <f aca="false">1+IF($G$9=$E$9,$F$9,IF(S282&lt;($F$9-$E$9)/($G$9-$E$9),$E$9+SQRT(S282*($G$9-$E$9)*($F$9-$E$9)),$G$9-SQRT((1-S282)*($G$9-$E$9)*($G$9-$F$9))))</f>
        <v>1</v>
      </c>
      <c r="F282" s="37" t="n">
        <f aca="false">1+IF($G$10=$E$10,$F$10,IF(T282&lt;($F$10-$E$10)/($G$10-$E$10),$E$10+SQRT(T282*($G$10-$E$10)*($F$10-$E$10)),$G$10-SQRT((1-T282)*($G$10-$E$10)*($G$10-$F$10))))</f>
        <v>1</v>
      </c>
      <c r="G282" s="38" t="n">
        <f aca="false">IF($G$11=$E$11,$F$11,IF(U282&lt;($F$11-$E$11)/($G$11-$E$11),$E$11+SQRT(U282*($G$11-$E$11)*($F$11-$E$11)),$G$11-SQRT((1-U282)*($G$11-$E$11)*($G$11-$F$11))))</f>
        <v>0</v>
      </c>
      <c r="H282" s="39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0</v>
      </c>
      <c r="I282" s="39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0</v>
      </c>
      <c r="J282" s="39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0</v>
      </c>
      <c r="K282" s="39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0</v>
      </c>
      <c r="L282" s="39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0</v>
      </c>
      <c r="M282" s="39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0</v>
      </c>
      <c r="N282" s="39" t="str">
        <f aca="false">IF(COUNT('Business Case'!B11:G11)=0,"",H282+NPV(G282,I282:M282))</f>
        <v/>
      </c>
      <c r="P282" s="40" t="n">
        <f aca="true">RAND()</f>
        <v>0.639301688987581</v>
      </c>
      <c r="Q282" s="40" t="n">
        <f aca="true">RAND()</f>
        <v>0.642905993988509</v>
      </c>
      <c r="R282" s="40" t="n">
        <f aca="true">RAND()</f>
        <v>0.399216462318124</v>
      </c>
      <c r="S282" s="40" t="n">
        <f aca="true">RAND()</f>
        <v>0.0576791301675405</v>
      </c>
      <c r="T282" s="40" t="n">
        <f aca="true">RAND()</f>
        <v>0.592690356810675</v>
      </c>
      <c r="U282" s="40" t="n">
        <f aca="true">RAND()</f>
        <v>0.311140456783544</v>
      </c>
    </row>
    <row r="283" customFormat="false" ht="15" hidden="false" customHeight="false" outlineLevel="0" collapsed="false">
      <c r="A283" s="36" t="n">
        <v>203</v>
      </c>
      <c r="B283" s="37" t="n">
        <f aca="false">1+IF($G$6=$E$6,$F$6,IF(P283&lt;($F$6-$E$6)/($G$6-$E$6),$E$6+SQRT(P283*($G$6-$E$6)*($F$6-$E$6)),$G$6-SQRT((1-P283)*($G$6-$E$6)*($G$6-$F$6))))</f>
        <v>1</v>
      </c>
      <c r="C283" s="37" t="n">
        <f aca="false">1+IF($G$7=$E$7,$F$7,IF(Q283&lt;($F$7-$E$7)/($G$7-$E$7),$E$7+SQRT(Q283*($G$7-$E$7)*($F$7-$E$7)),$G$7-SQRT((1-Q283)*($G$7-$E$7)*($G$7-$F$7))))</f>
        <v>1</v>
      </c>
      <c r="D283" s="37" t="n">
        <f aca="false">1+IF($G$8=$E$8,$F$8,IF(R283&lt;($F$8-$E$8)/($G$8-$E$8),$E$8+SQRT(R283*($G$8-$E$8)*($F$8-$E$8)),$G$8-SQRT((1-R283)*($G$8-$E$8)*($G$8-$F$8))))</f>
        <v>1</v>
      </c>
      <c r="E283" s="37" t="n">
        <f aca="false">1+IF($G$9=$E$9,$F$9,IF(S283&lt;($F$9-$E$9)/($G$9-$E$9),$E$9+SQRT(S283*($G$9-$E$9)*($F$9-$E$9)),$G$9-SQRT((1-S283)*($G$9-$E$9)*($G$9-$F$9))))</f>
        <v>1</v>
      </c>
      <c r="F283" s="37" t="n">
        <f aca="false">1+IF($G$10=$E$10,$F$10,IF(T283&lt;($F$10-$E$10)/($G$10-$E$10),$E$10+SQRT(T283*($G$10-$E$10)*($F$10-$E$10)),$G$10-SQRT((1-T283)*($G$10-$E$10)*($G$10-$F$10))))</f>
        <v>1</v>
      </c>
      <c r="G283" s="38" t="n">
        <f aca="false">IF($G$11=$E$11,$F$11,IF(U283&lt;($F$11-$E$11)/($G$11-$E$11),$E$11+SQRT(U283*($G$11-$E$11)*($F$11-$E$11)),$G$11-SQRT((1-U283)*($G$11-$E$11)*($G$11-$F$11))))</f>
        <v>0</v>
      </c>
      <c r="H283" s="39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0</v>
      </c>
      <c r="I283" s="39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0</v>
      </c>
      <c r="J283" s="39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0</v>
      </c>
      <c r="K283" s="39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0</v>
      </c>
      <c r="L283" s="39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0</v>
      </c>
      <c r="M283" s="39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0</v>
      </c>
      <c r="N283" s="39" t="str">
        <f aca="false">IF(COUNT('Business Case'!B11:G11)=0,"",H283+NPV(G283,I283:M283))</f>
        <v/>
      </c>
      <c r="P283" s="40" t="n">
        <f aca="true">RAND()</f>
        <v>0.435340349348938</v>
      </c>
      <c r="Q283" s="40" t="n">
        <f aca="true">RAND()</f>
        <v>0.114515033532492</v>
      </c>
      <c r="R283" s="40" t="n">
        <f aca="true">RAND()</f>
        <v>0.0228052431630594</v>
      </c>
      <c r="S283" s="40" t="n">
        <f aca="true">RAND()</f>
        <v>0.639992961490713</v>
      </c>
      <c r="T283" s="40" t="n">
        <f aca="true">RAND()</f>
        <v>0.292156216202816</v>
      </c>
      <c r="U283" s="40" t="n">
        <f aca="true">RAND()</f>
        <v>0.601439903091636</v>
      </c>
    </row>
    <row r="284" customFormat="false" ht="15" hidden="false" customHeight="false" outlineLevel="0" collapsed="false">
      <c r="A284" s="36" t="n">
        <v>204</v>
      </c>
      <c r="B284" s="37" t="n">
        <f aca="false">1+IF($G$6=$E$6,$F$6,IF(P284&lt;($F$6-$E$6)/($G$6-$E$6),$E$6+SQRT(P284*($G$6-$E$6)*($F$6-$E$6)),$G$6-SQRT((1-P284)*($G$6-$E$6)*($G$6-$F$6))))</f>
        <v>1</v>
      </c>
      <c r="C284" s="37" t="n">
        <f aca="false">1+IF($G$7=$E$7,$F$7,IF(Q284&lt;($F$7-$E$7)/($G$7-$E$7),$E$7+SQRT(Q284*($G$7-$E$7)*($F$7-$E$7)),$G$7-SQRT((1-Q284)*($G$7-$E$7)*($G$7-$F$7))))</f>
        <v>1</v>
      </c>
      <c r="D284" s="37" t="n">
        <f aca="false">1+IF($G$8=$E$8,$F$8,IF(R284&lt;($F$8-$E$8)/($G$8-$E$8),$E$8+SQRT(R284*($G$8-$E$8)*($F$8-$E$8)),$G$8-SQRT((1-R284)*($G$8-$E$8)*($G$8-$F$8))))</f>
        <v>1</v>
      </c>
      <c r="E284" s="37" t="n">
        <f aca="false">1+IF($G$9=$E$9,$F$9,IF(S284&lt;($F$9-$E$9)/($G$9-$E$9),$E$9+SQRT(S284*($G$9-$E$9)*($F$9-$E$9)),$G$9-SQRT((1-S284)*($G$9-$E$9)*($G$9-$F$9))))</f>
        <v>1</v>
      </c>
      <c r="F284" s="37" t="n">
        <f aca="false">1+IF($G$10=$E$10,$F$10,IF(T284&lt;($F$10-$E$10)/($G$10-$E$10),$E$10+SQRT(T284*($G$10-$E$10)*($F$10-$E$10)),$G$10-SQRT((1-T284)*($G$10-$E$10)*($G$10-$F$10))))</f>
        <v>1</v>
      </c>
      <c r="G284" s="38" t="n">
        <f aca="false">IF($G$11=$E$11,$F$11,IF(U284&lt;($F$11-$E$11)/($G$11-$E$11),$E$11+SQRT(U284*($G$11-$E$11)*($F$11-$E$11)),$G$11-SQRT((1-U284)*($G$11-$E$11)*($G$11-$F$11))))</f>
        <v>0</v>
      </c>
      <c r="H284" s="39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0</v>
      </c>
      <c r="I284" s="39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0</v>
      </c>
      <c r="J284" s="39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0</v>
      </c>
      <c r="K284" s="39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0</v>
      </c>
      <c r="L284" s="39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0</v>
      </c>
      <c r="M284" s="39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0</v>
      </c>
      <c r="N284" s="39" t="str">
        <f aca="false">IF(COUNT('Business Case'!B11:G11)=0,"",H284+NPV(G284,I284:M284))</f>
        <v/>
      </c>
      <c r="P284" s="40" t="n">
        <f aca="true">RAND()</f>
        <v>0.449109129421474</v>
      </c>
      <c r="Q284" s="40" t="n">
        <f aca="true">RAND()</f>
        <v>0.715059875754333</v>
      </c>
      <c r="R284" s="40" t="n">
        <f aca="true">RAND()</f>
        <v>0.295754783147932</v>
      </c>
      <c r="S284" s="40" t="n">
        <f aca="true">RAND()</f>
        <v>0.00243933842518158</v>
      </c>
      <c r="T284" s="40" t="n">
        <f aca="true">RAND()</f>
        <v>0.620983353912122</v>
      </c>
      <c r="U284" s="40" t="n">
        <f aca="true">RAND()</f>
        <v>0.854774546745166</v>
      </c>
    </row>
    <row r="285" customFormat="false" ht="15" hidden="false" customHeight="false" outlineLevel="0" collapsed="false">
      <c r="A285" s="36" t="n">
        <v>205</v>
      </c>
      <c r="B285" s="37" t="n">
        <f aca="false">1+IF($G$6=$E$6,$F$6,IF(P285&lt;($F$6-$E$6)/($G$6-$E$6),$E$6+SQRT(P285*($G$6-$E$6)*($F$6-$E$6)),$G$6-SQRT((1-P285)*($G$6-$E$6)*($G$6-$F$6))))</f>
        <v>1</v>
      </c>
      <c r="C285" s="37" t="n">
        <f aca="false">1+IF($G$7=$E$7,$F$7,IF(Q285&lt;($F$7-$E$7)/($G$7-$E$7),$E$7+SQRT(Q285*($G$7-$E$7)*($F$7-$E$7)),$G$7-SQRT((1-Q285)*($G$7-$E$7)*($G$7-$F$7))))</f>
        <v>1</v>
      </c>
      <c r="D285" s="37" t="n">
        <f aca="false">1+IF($G$8=$E$8,$F$8,IF(R285&lt;($F$8-$E$8)/($G$8-$E$8),$E$8+SQRT(R285*($G$8-$E$8)*($F$8-$E$8)),$G$8-SQRT((1-R285)*($G$8-$E$8)*($G$8-$F$8))))</f>
        <v>1</v>
      </c>
      <c r="E285" s="37" t="n">
        <f aca="false">1+IF($G$9=$E$9,$F$9,IF(S285&lt;($F$9-$E$9)/($G$9-$E$9),$E$9+SQRT(S285*($G$9-$E$9)*($F$9-$E$9)),$G$9-SQRT((1-S285)*($G$9-$E$9)*($G$9-$F$9))))</f>
        <v>1</v>
      </c>
      <c r="F285" s="37" t="n">
        <f aca="false">1+IF($G$10=$E$10,$F$10,IF(T285&lt;($F$10-$E$10)/($G$10-$E$10),$E$10+SQRT(T285*($G$10-$E$10)*($F$10-$E$10)),$G$10-SQRT((1-T285)*($G$10-$E$10)*($G$10-$F$10))))</f>
        <v>1</v>
      </c>
      <c r="G285" s="38" t="n">
        <f aca="false">IF($G$11=$E$11,$F$11,IF(U285&lt;($F$11-$E$11)/($G$11-$E$11),$E$11+SQRT(U285*($G$11-$E$11)*($F$11-$E$11)),$G$11-SQRT((1-U285)*($G$11-$E$11)*($G$11-$F$11))))</f>
        <v>0</v>
      </c>
      <c r="H285" s="39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0</v>
      </c>
      <c r="I285" s="39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0</v>
      </c>
      <c r="J285" s="39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0</v>
      </c>
      <c r="K285" s="39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0</v>
      </c>
      <c r="L285" s="39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0</v>
      </c>
      <c r="M285" s="39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0</v>
      </c>
      <c r="N285" s="39" t="str">
        <f aca="false">IF(COUNT('Business Case'!B11:G11)=0,"",H285+NPV(G285,I285:M285))</f>
        <v/>
      </c>
      <c r="P285" s="40" t="n">
        <f aca="true">RAND()</f>
        <v>0.909459629751977</v>
      </c>
      <c r="Q285" s="40" t="n">
        <f aca="true">RAND()</f>
        <v>0.206691030976552</v>
      </c>
      <c r="R285" s="40" t="n">
        <f aca="true">RAND()</f>
        <v>0.951513305031439</v>
      </c>
      <c r="S285" s="40" t="n">
        <f aca="true">RAND()</f>
        <v>0.123483526843936</v>
      </c>
      <c r="T285" s="40" t="n">
        <f aca="true">RAND()</f>
        <v>0.169322838157027</v>
      </c>
      <c r="U285" s="40" t="n">
        <f aca="true">RAND()</f>
        <v>0.370615134384758</v>
      </c>
    </row>
    <row r="286" customFormat="false" ht="15" hidden="false" customHeight="false" outlineLevel="0" collapsed="false">
      <c r="A286" s="36" t="n">
        <v>206</v>
      </c>
      <c r="B286" s="37" t="n">
        <f aca="false">1+IF($G$6=$E$6,$F$6,IF(P286&lt;($F$6-$E$6)/($G$6-$E$6),$E$6+SQRT(P286*($G$6-$E$6)*($F$6-$E$6)),$G$6-SQRT((1-P286)*($G$6-$E$6)*($G$6-$F$6))))</f>
        <v>1</v>
      </c>
      <c r="C286" s="37" t="n">
        <f aca="false">1+IF($G$7=$E$7,$F$7,IF(Q286&lt;($F$7-$E$7)/($G$7-$E$7),$E$7+SQRT(Q286*($G$7-$E$7)*($F$7-$E$7)),$G$7-SQRT((1-Q286)*($G$7-$E$7)*($G$7-$F$7))))</f>
        <v>1</v>
      </c>
      <c r="D286" s="37" t="n">
        <f aca="false">1+IF($G$8=$E$8,$F$8,IF(R286&lt;($F$8-$E$8)/($G$8-$E$8),$E$8+SQRT(R286*($G$8-$E$8)*($F$8-$E$8)),$G$8-SQRT((1-R286)*($G$8-$E$8)*($G$8-$F$8))))</f>
        <v>1</v>
      </c>
      <c r="E286" s="37" t="n">
        <f aca="false">1+IF($G$9=$E$9,$F$9,IF(S286&lt;($F$9-$E$9)/($G$9-$E$9),$E$9+SQRT(S286*($G$9-$E$9)*($F$9-$E$9)),$G$9-SQRT((1-S286)*($G$9-$E$9)*($G$9-$F$9))))</f>
        <v>1</v>
      </c>
      <c r="F286" s="37" t="n">
        <f aca="false">1+IF($G$10=$E$10,$F$10,IF(T286&lt;($F$10-$E$10)/($G$10-$E$10),$E$10+SQRT(T286*($G$10-$E$10)*($F$10-$E$10)),$G$10-SQRT((1-T286)*($G$10-$E$10)*($G$10-$F$10))))</f>
        <v>1</v>
      </c>
      <c r="G286" s="38" t="n">
        <f aca="false">IF($G$11=$E$11,$F$11,IF(U286&lt;($F$11-$E$11)/($G$11-$E$11),$E$11+SQRT(U286*($G$11-$E$11)*($F$11-$E$11)),$G$11-SQRT((1-U286)*($G$11-$E$11)*($G$11-$F$11))))</f>
        <v>0</v>
      </c>
      <c r="H286" s="39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0</v>
      </c>
      <c r="I286" s="39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0</v>
      </c>
      <c r="J286" s="39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0</v>
      </c>
      <c r="K286" s="39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0</v>
      </c>
      <c r="L286" s="39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0</v>
      </c>
      <c r="M286" s="39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0</v>
      </c>
      <c r="N286" s="39" t="str">
        <f aca="false">IF(COUNT('Business Case'!B11:G11)=0,"",H286+NPV(G286,I286:M286))</f>
        <v/>
      </c>
      <c r="P286" s="40" t="n">
        <f aca="true">RAND()</f>
        <v>0.942424053692524</v>
      </c>
      <c r="Q286" s="40" t="n">
        <f aca="true">RAND()</f>
        <v>0.659638647420055</v>
      </c>
      <c r="R286" s="40" t="n">
        <f aca="true">RAND()</f>
        <v>0.12257227439805</v>
      </c>
      <c r="S286" s="40" t="n">
        <f aca="true">RAND()</f>
        <v>0.614035270098719</v>
      </c>
      <c r="T286" s="40" t="n">
        <f aca="true">RAND()</f>
        <v>0.211982210089756</v>
      </c>
      <c r="U286" s="40" t="n">
        <f aca="true">RAND()</f>
        <v>0.615834073278151</v>
      </c>
    </row>
    <row r="287" customFormat="false" ht="15" hidden="false" customHeight="false" outlineLevel="0" collapsed="false">
      <c r="A287" s="36" t="n">
        <v>207</v>
      </c>
      <c r="B287" s="37" t="n">
        <f aca="false">1+IF($G$6=$E$6,$F$6,IF(P287&lt;($F$6-$E$6)/($G$6-$E$6),$E$6+SQRT(P287*($G$6-$E$6)*($F$6-$E$6)),$G$6-SQRT((1-P287)*($G$6-$E$6)*($G$6-$F$6))))</f>
        <v>1</v>
      </c>
      <c r="C287" s="37" t="n">
        <f aca="false">1+IF($G$7=$E$7,$F$7,IF(Q287&lt;($F$7-$E$7)/($G$7-$E$7),$E$7+SQRT(Q287*($G$7-$E$7)*($F$7-$E$7)),$G$7-SQRT((1-Q287)*($G$7-$E$7)*($G$7-$F$7))))</f>
        <v>1</v>
      </c>
      <c r="D287" s="37" t="n">
        <f aca="false">1+IF($G$8=$E$8,$F$8,IF(R287&lt;($F$8-$E$8)/($G$8-$E$8),$E$8+SQRT(R287*($G$8-$E$8)*($F$8-$E$8)),$G$8-SQRT((1-R287)*($G$8-$E$8)*($G$8-$F$8))))</f>
        <v>1</v>
      </c>
      <c r="E287" s="37" t="n">
        <f aca="false">1+IF($G$9=$E$9,$F$9,IF(S287&lt;($F$9-$E$9)/($G$9-$E$9),$E$9+SQRT(S287*($G$9-$E$9)*($F$9-$E$9)),$G$9-SQRT((1-S287)*($G$9-$E$9)*($G$9-$F$9))))</f>
        <v>1</v>
      </c>
      <c r="F287" s="37" t="n">
        <f aca="false">1+IF($G$10=$E$10,$F$10,IF(T287&lt;($F$10-$E$10)/($G$10-$E$10),$E$10+SQRT(T287*($G$10-$E$10)*($F$10-$E$10)),$G$10-SQRT((1-T287)*($G$10-$E$10)*($G$10-$F$10))))</f>
        <v>1</v>
      </c>
      <c r="G287" s="38" t="n">
        <f aca="false">IF($G$11=$E$11,$F$11,IF(U287&lt;($F$11-$E$11)/($G$11-$E$11),$E$11+SQRT(U287*($G$11-$E$11)*($F$11-$E$11)),$G$11-SQRT((1-U287)*($G$11-$E$11)*($G$11-$F$11))))</f>
        <v>0</v>
      </c>
      <c r="H287" s="39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0</v>
      </c>
      <c r="I287" s="39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0</v>
      </c>
      <c r="J287" s="39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0</v>
      </c>
      <c r="K287" s="39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0</v>
      </c>
      <c r="L287" s="39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0</v>
      </c>
      <c r="M287" s="39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0</v>
      </c>
      <c r="N287" s="39" t="str">
        <f aca="false">IF(COUNT('Business Case'!B11:G11)=0,"",H287+NPV(G287,I287:M287))</f>
        <v/>
      </c>
      <c r="P287" s="40" t="n">
        <f aca="true">RAND()</f>
        <v>0.647121796882507</v>
      </c>
      <c r="Q287" s="40" t="n">
        <f aca="true">RAND()</f>
        <v>0.852273760898207</v>
      </c>
      <c r="R287" s="40" t="n">
        <f aca="true">RAND()</f>
        <v>0.767021968558828</v>
      </c>
      <c r="S287" s="40" t="n">
        <f aca="true">RAND()</f>
        <v>0.775126766273353</v>
      </c>
      <c r="T287" s="40" t="n">
        <f aca="true">RAND()</f>
        <v>0.221054674475905</v>
      </c>
      <c r="U287" s="40" t="n">
        <f aca="true">RAND()</f>
        <v>0.0864573735441645</v>
      </c>
    </row>
    <row r="288" customFormat="false" ht="15" hidden="false" customHeight="false" outlineLevel="0" collapsed="false">
      <c r="A288" s="36" t="n">
        <v>208</v>
      </c>
      <c r="B288" s="37" t="n">
        <f aca="false">1+IF($G$6=$E$6,$F$6,IF(P288&lt;($F$6-$E$6)/($G$6-$E$6),$E$6+SQRT(P288*($G$6-$E$6)*($F$6-$E$6)),$G$6-SQRT((1-P288)*($G$6-$E$6)*($G$6-$F$6))))</f>
        <v>1</v>
      </c>
      <c r="C288" s="37" t="n">
        <f aca="false">1+IF($G$7=$E$7,$F$7,IF(Q288&lt;($F$7-$E$7)/($G$7-$E$7),$E$7+SQRT(Q288*($G$7-$E$7)*($F$7-$E$7)),$G$7-SQRT((1-Q288)*($G$7-$E$7)*($G$7-$F$7))))</f>
        <v>1</v>
      </c>
      <c r="D288" s="37" t="n">
        <f aca="false">1+IF($G$8=$E$8,$F$8,IF(R288&lt;($F$8-$E$8)/($G$8-$E$8),$E$8+SQRT(R288*($G$8-$E$8)*($F$8-$E$8)),$G$8-SQRT((1-R288)*($G$8-$E$8)*($G$8-$F$8))))</f>
        <v>1</v>
      </c>
      <c r="E288" s="37" t="n">
        <f aca="false">1+IF($G$9=$E$9,$F$9,IF(S288&lt;($F$9-$E$9)/($G$9-$E$9),$E$9+SQRT(S288*($G$9-$E$9)*($F$9-$E$9)),$G$9-SQRT((1-S288)*($G$9-$E$9)*($G$9-$F$9))))</f>
        <v>1</v>
      </c>
      <c r="F288" s="37" t="n">
        <f aca="false">1+IF($G$10=$E$10,$F$10,IF(T288&lt;($F$10-$E$10)/($G$10-$E$10),$E$10+SQRT(T288*($G$10-$E$10)*($F$10-$E$10)),$G$10-SQRT((1-T288)*($G$10-$E$10)*($G$10-$F$10))))</f>
        <v>1</v>
      </c>
      <c r="G288" s="38" t="n">
        <f aca="false">IF($G$11=$E$11,$F$11,IF(U288&lt;($F$11-$E$11)/($G$11-$E$11),$E$11+SQRT(U288*($G$11-$E$11)*($F$11-$E$11)),$G$11-SQRT((1-U288)*($G$11-$E$11)*($G$11-$F$11))))</f>
        <v>0</v>
      </c>
      <c r="H288" s="39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0</v>
      </c>
      <c r="I288" s="39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0</v>
      </c>
      <c r="J288" s="39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0</v>
      </c>
      <c r="K288" s="39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0</v>
      </c>
      <c r="L288" s="39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0</v>
      </c>
      <c r="M288" s="39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0</v>
      </c>
      <c r="N288" s="39" t="str">
        <f aca="false">IF(COUNT('Business Case'!B11:G11)=0,"",H288+NPV(G288,I288:M288))</f>
        <v/>
      </c>
      <c r="P288" s="40" t="n">
        <f aca="true">RAND()</f>
        <v>0.611332358873921</v>
      </c>
      <c r="Q288" s="40" t="n">
        <f aca="true">RAND()</f>
        <v>0.590680124905735</v>
      </c>
      <c r="R288" s="40" t="n">
        <f aca="true">RAND()</f>
        <v>0.550391462607806</v>
      </c>
      <c r="S288" s="40" t="n">
        <f aca="true">RAND()</f>
        <v>0.87403637975935</v>
      </c>
      <c r="T288" s="40" t="n">
        <f aca="true">RAND()</f>
        <v>0.0580317600012366</v>
      </c>
      <c r="U288" s="40" t="n">
        <f aca="true">RAND()</f>
        <v>0.9342067671649</v>
      </c>
    </row>
    <row r="289" customFormat="false" ht="15" hidden="false" customHeight="false" outlineLevel="0" collapsed="false">
      <c r="A289" s="36" t="n">
        <v>209</v>
      </c>
      <c r="B289" s="37" t="n">
        <f aca="false">1+IF($G$6=$E$6,$F$6,IF(P289&lt;($F$6-$E$6)/($G$6-$E$6),$E$6+SQRT(P289*($G$6-$E$6)*($F$6-$E$6)),$G$6-SQRT((1-P289)*($G$6-$E$6)*($G$6-$F$6))))</f>
        <v>1</v>
      </c>
      <c r="C289" s="37" t="n">
        <f aca="false">1+IF($G$7=$E$7,$F$7,IF(Q289&lt;($F$7-$E$7)/($G$7-$E$7),$E$7+SQRT(Q289*($G$7-$E$7)*($F$7-$E$7)),$G$7-SQRT((1-Q289)*($G$7-$E$7)*($G$7-$F$7))))</f>
        <v>1</v>
      </c>
      <c r="D289" s="37" t="n">
        <f aca="false">1+IF($G$8=$E$8,$F$8,IF(R289&lt;($F$8-$E$8)/($G$8-$E$8),$E$8+SQRT(R289*($G$8-$E$8)*($F$8-$E$8)),$G$8-SQRT((1-R289)*($G$8-$E$8)*($G$8-$F$8))))</f>
        <v>1</v>
      </c>
      <c r="E289" s="37" t="n">
        <f aca="false">1+IF($G$9=$E$9,$F$9,IF(S289&lt;($F$9-$E$9)/($G$9-$E$9),$E$9+SQRT(S289*($G$9-$E$9)*($F$9-$E$9)),$G$9-SQRT((1-S289)*($G$9-$E$9)*($G$9-$F$9))))</f>
        <v>1</v>
      </c>
      <c r="F289" s="37" t="n">
        <f aca="false">1+IF($G$10=$E$10,$F$10,IF(T289&lt;($F$10-$E$10)/($G$10-$E$10),$E$10+SQRT(T289*($G$10-$E$10)*($F$10-$E$10)),$G$10-SQRT((1-T289)*($G$10-$E$10)*($G$10-$F$10))))</f>
        <v>1</v>
      </c>
      <c r="G289" s="38" t="n">
        <f aca="false">IF($G$11=$E$11,$F$11,IF(U289&lt;($F$11-$E$11)/($G$11-$E$11),$E$11+SQRT(U289*($G$11-$E$11)*($F$11-$E$11)),$G$11-SQRT((1-U289)*($G$11-$E$11)*($G$11-$F$11))))</f>
        <v>0</v>
      </c>
      <c r="H289" s="39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0</v>
      </c>
      <c r="I289" s="39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0</v>
      </c>
      <c r="J289" s="39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0</v>
      </c>
      <c r="K289" s="39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0</v>
      </c>
      <c r="L289" s="39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0</v>
      </c>
      <c r="M289" s="39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0</v>
      </c>
      <c r="N289" s="39" t="str">
        <f aca="false">IF(COUNT('Business Case'!B11:G11)=0,"",H289+NPV(G289,I289:M289))</f>
        <v/>
      </c>
      <c r="P289" s="40" t="n">
        <f aca="true">RAND()</f>
        <v>0.596812306171501</v>
      </c>
      <c r="Q289" s="40" t="n">
        <f aca="true">RAND()</f>
        <v>0.57217608982512</v>
      </c>
      <c r="R289" s="40" t="n">
        <f aca="true">RAND()</f>
        <v>0.460228283604872</v>
      </c>
      <c r="S289" s="40" t="n">
        <f aca="true">RAND()</f>
        <v>0.39654865099748</v>
      </c>
      <c r="T289" s="40" t="n">
        <f aca="true">RAND()</f>
        <v>0.779163351886703</v>
      </c>
      <c r="U289" s="40" t="n">
        <f aca="true">RAND()</f>
        <v>0.685007192453918</v>
      </c>
    </row>
    <row r="290" customFormat="false" ht="15" hidden="false" customHeight="false" outlineLevel="0" collapsed="false">
      <c r="A290" s="36" t="n">
        <v>210</v>
      </c>
      <c r="B290" s="37" t="n">
        <f aca="false">1+IF($G$6=$E$6,$F$6,IF(P290&lt;($F$6-$E$6)/($G$6-$E$6),$E$6+SQRT(P290*($G$6-$E$6)*($F$6-$E$6)),$G$6-SQRT((1-P290)*($G$6-$E$6)*($G$6-$F$6))))</f>
        <v>1</v>
      </c>
      <c r="C290" s="37" t="n">
        <f aca="false">1+IF($G$7=$E$7,$F$7,IF(Q290&lt;($F$7-$E$7)/($G$7-$E$7),$E$7+SQRT(Q290*($G$7-$E$7)*($F$7-$E$7)),$G$7-SQRT((1-Q290)*($G$7-$E$7)*($G$7-$F$7))))</f>
        <v>1</v>
      </c>
      <c r="D290" s="37" t="n">
        <f aca="false">1+IF($G$8=$E$8,$F$8,IF(R290&lt;($F$8-$E$8)/($G$8-$E$8),$E$8+SQRT(R290*($G$8-$E$8)*($F$8-$E$8)),$G$8-SQRT((1-R290)*($G$8-$E$8)*($G$8-$F$8))))</f>
        <v>1</v>
      </c>
      <c r="E290" s="37" t="n">
        <f aca="false">1+IF($G$9=$E$9,$F$9,IF(S290&lt;($F$9-$E$9)/($G$9-$E$9),$E$9+SQRT(S290*($G$9-$E$9)*($F$9-$E$9)),$G$9-SQRT((1-S290)*($G$9-$E$9)*($G$9-$F$9))))</f>
        <v>1</v>
      </c>
      <c r="F290" s="37" t="n">
        <f aca="false">1+IF($G$10=$E$10,$F$10,IF(T290&lt;($F$10-$E$10)/($G$10-$E$10),$E$10+SQRT(T290*($G$10-$E$10)*($F$10-$E$10)),$G$10-SQRT((1-T290)*($G$10-$E$10)*($G$10-$F$10))))</f>
        <v>1</v>
      </c>
      <c r="G290" s="38" t="n">
        <f aca="false">IF($G$11=$E$11,$F$11,IF(U290&lt;($F$11-$E$11)/($G$11-$E$11),$E$11+SQRT(U290*($G$11-$E$11)*($F$11-$E$11)),$G$11-SQRT((1-U290)*($G$11-$E$11)*($G$11-$F$11))))</f>
        <v>0</v>
      </c>
      <c r="H290" s="39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0</v>
      </c>
      <c r="I290" s="39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0</v>
      </c>
      <c r="J290" s="39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0</v>
      </c>
      <c r="K290" s="39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0</v>
      </c>
      <c r="L290" s="39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0</v>
      </c>
      <c r="M290" s="39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0</v>
      </c>
      <c r="N290" s="39" t="str">
        <f aca="false">IF(COUNT('Business Case'!B11:G11)=0,"",H290+NPV(G290,I290:M290))</f>
        <v/>
      </c>
      <c r="P290" s="40" t="n">
        <f aca="true">RAND()</f>
        <v>0.323244360109646</v>
      </c>
      <c r="Q290" s="40" t="n">
        <f aca="true">RAND()</f>
        <v>0.723290071632289</v>
      </c>
      <c r="R290" s="40" t="n">
        <f aca="true">RAND()</f>
        <v>0.701471638835708</v>
      </c>
      <c r="S290" s="40" t="n">
        <f aca="true">RAND()</f>
        <v>0.611209624831928</v>
      </c>
      <c r="T290" s="40" t="n">
        <f aca="true">RAND()</f>
        <v>0.0322836957050568</v>
      </c>
      <c r="U290" s="40" t="n">
        <f aca="true">RAND()</f>
        <v>0.203173194644859</v>
      </c>
    </row>
    <row r="291" customFormat="false" ht="15" hidden="false" customHeight="false" outlineLevel="0" collapsed="false">
      <c r="A291" s="36" t="n">
        <v>211</v>
      </c>
      <c r="B291" s="37" t="n">
        <f aca="false">1+IF($G$6=$E$6,$F$6,IF(P291&lt;($F$6-$E$6)/($G$6-$E$6),$E$6+SQRT(P291*($G$6-$E$6)*($F$6-$E$6)),$G$6-SQRT((1-P291)*($G$6-$E$6)*($G$6-$F$6))))</f>
        <v>1</v>
      </c>
      <c r="C291" s="37" t="n">
        <f aca="false">1+IF($G$7=$E$7,$F$7,IF(Q291&lt;($F$7-$E$7)/($G$7-$E$7),$E$7+SQRT(Q291*($G$7-$E$7)*($F$7-$E$7)),$G$7-SQRT((1-Q291)*($G$7-$E$7)*($G$7-$F$7))))</f>
        <v>1</v>
      </c>
      <c r="D291" s="37" t="n">
        <f aca="false">1+IF($G$8=$E$8,$F$8,IF(R291&lt;($F$8-$E$8)/($G$8-$E$8),$E$8+SQRT(R291*($G$8-$E$8)*($F$8-$E$8)),$G$8-SQRT((1-R291)*($G$8-$E$8)*($G$8-$F$8))))</f>
        <v>1</v>
      </c>
      <c r="E291" s="37" t="n">
        <f aca="false">1+IF($G$9=$E$9,$F$9,IF(S291&lt;($F$9-$E$9)/($G$9-$E$9),$E$9+SQRT(S291*($G$9-$E$9)*($F$9-$E$9)),$G$9-SQRT((1-S291)*($G$9-$E$9)*($G$9-$F$9))))</f>
        <v>1</v>
      </c>
      <c r="F291" s="37" t="n">
        <f aca="false">1+IF($G$10=$E$10,$F$10,IF(T291&lt;($F$10-$E$10)/($G$10-$E$10),$E$10+SQRT(T291*($G$10-$E$10)*($F$10-$E$10)),$G$10-SQRT((1-T291)*($G$10-$E$10)*($G$10-$F$10))))</f>
        <v>1</v>
      </c>
      <c r="G291" s="38" t="n">
        <f aca="false">IF($G$11=$E$11,$F$11,IF(U291&lt;($F$11-$E$11)/($G$11-$E$11),$E$11+SQRT(U291*($G$11-$E$11)*($F$11-$E$11)),$G$11-SQRT((1-U291)*($G$11-$E$11)*($G$11-$F$11))))</f>
        <v>0</v>
      </c>
      <c r="H291" s="39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0</v>
      </c>
      <c r="I291" s="39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0</v>
      </c>
      <c r="J291" s="39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0</v>
      </c>
      <c r="K291" s="39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0</v>
      </c>
      <c r="L291" s="39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0</v>
      </c>
      <c r="M291" s="39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0</v>
      </c>
      <c r="N291" s="39" t="str">
        <f aca="false">IF(COUNT('Business Case'!B11:G11)=0,"",H291+NPV(G291,I291:M291))</f>
        <v/>
      </c>
      <c r="P291" s="40" t="n">
        <f aca="true">RAND()</f>
        <v>0.39700446607361</v>
      </c>
      <c r="Q291" s="40" t="n">
        <f aca="true">RAND()</f>
        <v>0.525873645085617</v>
      </c>
      <c r="R291" s="40" t="n">
        <f aca="true">RAND()</f>
        <v>0.472461380248074</v>
      </c>
      <c r="S291" s="40" t="n">
        <f aca="true">RAND()</f>
        <v>0.480527476807776</v>
      </c>
      <c r="T291" s="40" t="n">
        <f aca="true">RAND()</f>
        <v>0.483896253685867</v>
      </c>
      <c r="U291" s="40" t="n">
        <f aca="true">RAND()</f>
        <v>0.290460545223781</v>
      </c>
    </row>
    <row r="292" customFormat="false" ht="15" hidden="false" customHeight="false" outlineLevel="0" collapsed="false">
      <c r="A292" s="36" t="n">
        <v>212</v>
      </c>
      <c r="B292" s="37" t="n">
        <f aca="false">1+IF($G$6=$E$6,$F$6,IF(P292&lt;($F$6-$E$6)/($G$6-$E$6),$E$6+SQRT(P292*($G$6-$E$6)*($F$6-$E$6)),$G$6-SQRT((1-P292)*($G$6-$E$6)*($G$6-$F$6))))</f>
        <v>1</v>
      </c>
      <c r="C292" s="37" t="n">
        <f aca="false">1+IF($G$7=$E$7,$F$7,IF(Q292&lt;($F$7-$E$7)/($G$7-$E$7),$E$7+SQRT(Q292*($G$7-$E$7)*($F$7-$E$7)),$G$7-SQRT((1-Q292)*($G$7-$E$7)*($G$7-$F$7))))</f>
        <v>1</v>
      </c>
      <c r="D292" s="37" t="n">
        <f aca="false">1+IF($G$8=$E$8,$F$8,IF(R292&lt;($F$8-$E$8)/($G$8-$E$8),$E$8+SQRT(R292*($G$8-$E$8)*($F$8-$E$8)),$G$8-SQRT((1-R292)*($G$8-$E$8)*($G$8-$F$8))))</f>
        <v>1</v>
      </c>
      <c r="E292" s="37" t="n">
        <f aca="false">1+IF($G$9=$E$9,$F$9,IF(S292&lt;($F$9-$E$9)/($G$9-$E$9),$E$9+SQRT(S292*($G$9-$E$9)*($F$9-$E$9)),$G$9-SQRT((1-S292)*($G$9-$E$9)*($G$9-$F$9))))</f>
        <v>1</v>
      </c>
      <c r="F292" s="37" t="n">
        <f aca="false">1+IF($G$10=$E$10,$F$10,IF(T292&lt;($F$10-$E$10)/($G$10-$E$10),$E$10+SQRT(T292*($G$10-$E$10)*($F$10-$E$10)),$G$10-SQRT((1-T292)*($G$10-$E$10)*($G$10-$F$10))))</f>
        <v>1</v>
      </c>
      <c r="G292" s="38" t="n">
        <f aca="false">IF($G$11=$E$11,$F$11,IF(U292&lt;($F$11-$E$11)/($G$11-$E$11),$E$11+SQRT(U292*($G$11-$E$11)*($F$11-$E$11)),$G$11-SQRT((1-U292)*($G$11-$E$11)*($G$11-$F$11))))</f>
        <v>0</v>
      </c>
      <c r="H292" s="39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0</v>
      </c>
      <c r="I292" s="39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0</v>
      </c>
      <c r="J292" s="39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0</v>
      </c>
      <c r="K292" s="39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0</v>
      </c>
      <c r="L292" s="39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0</v>
      </c>
      <c r="M292" s="39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0</v>
      </c>
      <c r="N292" s="39" t="str">
        <f aca="false">IF(COUNT('Business Case'!B11:G11)=0,"",H292+NPV(G292,I292:M292))</f>
        <v/>
      </c>
      <c r="P292" s="40" t="n">
        <f aca="true">RAND()</f>
        <v>0.240104496174799</v>
      </c>
      <c r="Q292" s="40" t="n">
        <f aca="true">RAND()</f>
        <v>0.974154904690029</v>
      </c>
      <c r="R292" s="40" t="n">
        <f aca="true">RAND()</f>
        <v>0.696316562460911</v>
      </c>
      <c r="S292" s="40" t="n">
        <f aca="true">RAND()</f>
        <v>0.150895554549712</v>
      </c>
      <c r="T292" s="40" t="n">
        <f aca="true">RAND()</f>
        <v>0.302832458330737</v>
      </c>
      <c r="U292" s="40" t="n">
        <f aca="true">RAND()</f>
        <v>0.0266049253389116</v>
      </c>
    </row>
    <row r="293" customFormat="false" ht="15" hidden="false" customHeight="false" outlineLevel="0" collapsed="false">
      <c r="A293" s="36" t="n">
        <v>213</v>
      </c>
      <c r="B293" s="37" t="n">
        <f aca="false">1+IF($G$6=$E$6,$F$6,IF(P293&lt;($F$6-$E$6)/($G$6-$E$6),$E$6+SQRT(P293*($G$6-$E$6)*($F$6-$E$6)),$G$6-SQRT((1-P293)*($G$6-$E$6)*($G$6-$F$6))))</f>
        <v>1</v>
      </c>
      <c r="C293" s="37" t="n">
        <f aca="false">1+IF($G$7=$E$7,$F$7,IF(Q293&lt;($F$7-$E$7)/($G$7-$E$7),$E$7+SQRT(Q293*($G$7-$E$7)*($F$7-$E$7)),$G$7-SQRT((1-Q293)*($G$7-$E$7)*($G$7-$F$7))))</f>
        <v>1</v>
      </c>
      <c r="D293" s="37" t="n">
        <f aca="false">1+IF($G$8=$E$8,$F$8,IF(R293&lt;($F$8-$E$8)/($G$8-$E$8),$E$8+SQRT(R293*($G$8-$E$8)*($F$8-$E$8)),$G$8-SQRT((1-R293)*($G$8-$E$8)*($G$8-$F$8))))</f>
        <v>1</v>
      </c>
      <c r="E293" s="37" t="n">
        <f aca="false">1+IF($G$9=$E$9,$F$9,IF(S293&lt;($F$9-$E$9)/($G$9-$E$9),$E$9+SQRT(S293*($G$9-$E$9)*($F$9-$E$9)),$G$9-SQRT((1-S293)*($G$9-$E$9)*($G$9-$F$9))))</f>
        <v>1</v>
      </c>
      <c r="F293" s="37" t="n">
        <f aca="false">1+IF($G$10=$E$10,$F$10,IF(T293&lt;($F$10-$E$10)/($G$10-$E$10),$E$10+SQRT(T293*($G$10-$E$10)*($F$10-$E$10)),$G$10-SQRT((1-T293)*($G$10-$E$10)*($G$10-$F$10))))</f>
        <v>1</v>
      </c>
      <c r="G293" s="38" t="n">
        <f aca="false">IF($G$11=$E$11,$F$11,IF(U293&lt;($F$11-$E$11)/($G$11-$E$11),$E$11+SQRT(U293*($G$11-$E$11)*($F$11-$E$11)),$G$11-SQRT((1-U293)*($G$11-$E$11)*($G$11-$F$11))))</f>
        <v>0</v>
      </c>
      <c r="H293" s="39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0</v>
      </c>
      <c r="I293" s="39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0</v>
      </c>
      <c r="J293" s="39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0</v>
      </c>
      <c r="K293" s="39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0</v>
      </c>
      <c r="L293" s="39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0</v>
      </c>
      <c r="M293" s="39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0</v>
      </c>
      <c r="N293" s="39" t="str">
        <f aca="false">IF(COUNT('Business Case'!B11:G11)=0,"",H293+NPV(G293,I293:M293))</f>
        <v/>
      </c>
      <c r="P293" s="40" t="n">
        <f aca="true">RAND()</f>
        <v>0.603249907125619</v>
      </c>
      <c r="Q293" s="40" t="n">
        <f aca="true">RAND()</f>
        <v>0.427597541905329</v>
      </c>
      <c r="R293" s="40" t="n">
        <f aca="true">RAND()</f>
        <v>0.689657613796659</v>
      </c>
      <c r="S293" s="40" t="n">
        <f aca="true">RAND()</f>
        <v>0.162948958964214</v>
      </c>
      <c r="T293" s="40" t="n">
        <f aca="true">RAND()</f>
        <v>0.947195517324935</v>
      </c>
      <c r="U293" s="40" t="n">
        <f aca="true">RAND()</f>
        <v>0.576725437295683</v>
      </c>
    </row>
    <row r="294" customFormat="false" ht="15" hidden="false" customHeight="false" outlineLevel="0" collapsed="false">
      <c r="A294" s="36" t="n">
        <v>214</v>
      </c>
      <c r="B294" s="37" t="n">
        <f aca="false">1+IF($G$6=$E$6,$F$6,IF(P294&lt;($F$6-$E$6)/($G$6-$E$6),$E$6+SQRT(P294*($G$6-$E$6)*($F$6-$E$6)),$G$6-SQRT((1-P294)*($G$6-$E$6)*($G$6-$F$6))))</f>
        <v>1</v>
      </c>
      <c r="C294" s="37" t="n">
        <f aca="false">1+IF($G$7=$E$7,$F$7,IF(Q294&lt;($F$7-$E$7)/($G$7-$E$7),$E$7+SQRT(Q294*($G$7-$E$7)*($F$7-$E$7)),$G$7-SQRT((1-Q294)*($G$7-$E$7)*($G$7-$F$7))))</f>
        <v>1</v>
      </c>
      <c r="D294" s="37" t="n">
        <f aca="false">1+IF($G$8=$E$8,$F$8,IF(R294&lt;($F$8-$E$8)/($G$8-$E$8),$E$8+SQRT(R294*($G$8-$E$8)*($F$8-$E$8)),$G$8-SQRT((1-R294)*($G$8-$E$8)*($G$8-$F$8))))</f>
        <v>1</v>
      </c>
      <c r="E294" s="37" t="n">
        <f aca="false">1+IF($G$9=$E$9,$F$9,IF(S294&lt;($F$9-$E$9)/($G$9-$E$9),$E$9+SQRT(S294*($G$9-$E$9)*($F$9-$E$9)),$G$9-SQRT((1-S294)*($G$9-$E$9)*($G$9-$F$9))))</f>
        <v>1</v>
      </c>
      <c r="F294" s="37" t="n">
        <f aca="false">1+IF($G$10=$E$10,$F$10,IF(T294&lt;($F$10-$E$10)/($G$10-$E$10),$E$10+SQRT(T294*($G$10-$E$10)*($F$10-$E$10)),$G$10-SQRT((1-T294)*($G$10-$E$10)*($G$10-$F$10))))</f>
        <v>1</v>
      </c>
      <c r="G294" s="38" t="n">
        <f aca="false">IF($G$11=$E$11,$F$11,IF(U294&lt;($F$11-$E$11)/($G$11-$E$11),$E$11+SQRT(U294*($G$11-$E$11)*($F$11-$E$11)),$G$11-SQRT((1-U294)*($G$11-$E$11)*($G$11-$F$11))))</f>
        <v>0</v>
      </c>
      <c r="H294" s="39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0</v>
      </c>
      <c r="I294" s="39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0</v>
      </c>
      <c r="J294" s="39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0</v>
      </c>
      <c r="K294" s="39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0</v>
      </c>
      <c r="L294" s="39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0</v>
      </c>
      <c r="M294" s="39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0</v>
      </c>
      <c r="N294" s="39" t="str">
        <f aca="false">IF(COUNT('Business Case'!B11:G11)=0,"",H294+NPV(G294,I294:M294))</f>
        <v/>
      </c>
      <c r="P294" s="40" t="n">
        <f aca="true">RAND()</f>
        <v>0.00637415509149973</v>
      </c>
      <c r="Q294" s="40" t="n">
        <f aca="true">RAND()</f>
        <v>0.581545050440892</v>
      </c>
      <c r="R294" s="40" t="n">
        <f aca="true">RAND()</f>
        <v>0.712219713030051</v>
      </c>
      <c r="S294" s="40" t="n">
        <f aca="true">RAND()</f>
        <v>0.324171780856682</v>
      </c>
      <c r="T294" s="40" t="n">
        <f aca="true">RAND()</f>
        <v>0.680612075457172</v>
      </c>
      <c r="U294" s="40" t="n">
        <f aca="true">RAND()</f>
        <v>0.366907116654877</v>
      </c>
    </row>
    <row r="295" customFormat="false" ht="15" hidden="false" customHeight="false" outlineLevel="0" collapsed="false">
      <c r="A295" s="36" t="n">
        <v>215</v>
      </c>
      <c r="B295" s="37" t="n">
        <f aca="false">1+IF($G$6=$E$6,$F$6,IF(P295&lt;($F$6-$E$6)/($G$6-$E$6),$E$6+SQRT(P295*($G$6-$E$6)*($F$6-$E$6)),$G$6-SQRT((1-P295)*($G$6-$E$6)*($G$6-$F$6))))</f>
        <v>1</v>
      </c>
      <c r="C295" s="37" t="n">
        <f aca="false">1+IF($G$7=$E$7,$F$7,IF(Q295&lt;($F$7-$E$7)/($G$7-$E$7),$E$7+SQRT(Q295*($G$7-$E$7)*($F$7-$E$7)),$G$7-SQRT((1-Q295)*($G$7-$E$7)*($G$7-$F$7))))</f>
        <v>1</v>
      </c>
      <c r="D295" s="37" t="n">
        <f aca="false">1+IF($G$8=$E$8,$F$8,IF(R295&lt;($F$8-$E$8)/($G$8-$E$8),$E$8+SQRT(R295*($G$8-$E$8)*($F$8-$E$8)),$G$8-SQRT((1-R295)*($G$8-$E$8)*($G$8-$F$8))))</f>
        <v>1</v>
      </c>
      <c r="E295" s="37" t="n">
        <f aca="false">1+IF($G$9=$E$9,$F$9,IF(S295&lt;($F$9-$E$9)/($G$9-$E$9),$E$9+SQRT(S295*($G$9-$E$9)*($F$9-$E$9)),$G$9-SQRT((1-S295)*($G$9-$E$9)*($G$9-$F$9))))</f>
        <v>1</v>
      </c>
      <c r="F295" s="37" t="n">
        <f aca="false">1+IF($G$10=$E$10,$F$10,IF(T295&lt;($F$10-$E$10)/($G$10-$E$10),$E$10+SQRT(T295*($G$10-$E$10)*($F$10-$E$10)),$G$10-SQRT((1-T295)*($G$10-$E$10)*($G$10-$F$10))))</f>
        <v>1</v>
      </c>
      <c r="G295" s="38" t="n">
        <f aca="false">IF($G$11=$E$11,$F$11,IF(U295&lt;($F$11-$E$11)/($G$11-$E$11),$E$11+SQRT(U295*($G$11-$E$11)*($F$11-$E$11)),$G$11-SQRT((1-U295)*($G$11-$E$11)*($G$11-$F$11))))</f>
        <v>0</v>
      </c>
      <c r="H295" s="39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0</v>
      </c>
      <c r="I295" s="39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0</v>
      </c>
      <c r="J295" s="39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0</v>
      </c>
      <c r="K295" s="39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0</v>
      </c>
      <c r="L295" s="39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0</v>
      </c>
      <c r="M295" s="39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0</v>
      </c>
      <c r="N295" s="39" t="str">
        <f aca="false">IF(COUNT('Business Case'!B11:G11)=0,"",H295+NPV(G295,I295:M295))</f>
        <v/>
      </c>
      <c r="P295" s="40" t="n">
        <f aca="true">RAND()</f>
        <v>0.692718799587199</v>
      </c>
      <c r="Q295" s="40" t="n">
        <f aca="true">RAND()</f>
        <v>0.941989129015842</v>
      </c>
      <c r="R295" s="40" t="n">
        <f aca="true">RAND()</f>
        <v>0.72520891013611</v>
      </c>
      <c r="S295" s="40" t="n">
        <f aca="true">RAND()</f>
        <v>0.196015945781424</v>
      </c>
      <c r="T295" s="40" t="n">
        <f aca="true">RAND()</f>
        <v>0.980009246594615</v>
      </c>
      <c r="U295" s="40" t="n">
        <f aca="true">RAND()</f>
        <v>0.0910168640404675</v>
      </c>
    </row>
    <row r="296" customFormat="false" ht="15" hidden="false" customHeight="false" outlineLevel="0" collapsed="false">
      <c r="A296" s="36" t="n">
        <v>216</v>
      </c>
      <c r="B296" s="37" t="n">
        <f aca="false">1+IF($G$6=$E$6,$F$6,IF(P296&lt;($F$6-$E$6)/($G$6-$E$6),$E$6+SQRT(P296*($G$6-$E$6)*($F$6-$E$6)),$G$6-SQRT((1-P296)*($G$6-$E$6)*($G$6-$F$6))))</f>
        <v>1</v>
      </c>
      <c r="C296" s="37" t="n">
        <f aca="false">1+IF($G$7=$E$7,$F$7,IF(Q296&lt;($F$7-$E$7)/($G$7-$E$7),$E$7+SQRT(Q296*($G$7-$E$7)*($F$7-$E$7)),$G$7-SQRT((1-Q296)*($G$7-$E$7)*($G$7-$F$7))))</f>
        <v>1</v>
      </c>
      <c r="D296" s="37" t="n">
        <f aca="false">1+IF($G$8=$E$8,$F$8,IF(R296&lt;($F$8-$E$8)/($G$8-$E$8),$E$8+SQRT(R296*($G$8-$E$8)*($F$8-$E$8)),$G$8-SQRT((1-R296)*($G$8-$E$8)*($G$8-$F$8))))</f>
        <v>1</v>
      </c>
      <c r="E296" s="37" t="n">
        <f aca="false">1+IF($G$9=$E$9,$F$9,IF(S296&lt;($F$9-$E$9)/($G$9-$E$9),$E$9+SQRT(S296*($G$9-$E$9)*($F$9-$E$9)),$G$9-SQRT((1-S296)*($G$9-$E$9)*($G$9-$F$9))))</f>
        <v>1</v>
      </c>
      <c r="F296" s="37" t="n">
        <f aca="false">1+IF($G$10=$E$10,$F$10,IF(T296&lt;($F$10-$E$10)/($G$10-$E$10),$E$10+SQRT(T296*($G$10-$E$10)*($F$10-$E$10)),$G$10-SQRT((1-T296)*($G$10-$E$10)*($G$10-$F$10))))</f>
        <v>1</v>
      </c>
      <c r="G296" s="38" t="n">
        <f aca="false">IF($G$11=$E$11,$F$11,IF(U296&lt;($F$11-$E$11)/($G$11-$E$11),$E$11+SQRT(U296*($G$11-$E$11)*($F$11-$E$11)),$G$11-SQRT((1-U296)*($G$11-$E$11)*($G$11-$F$11))))</f>
        <v>0</v>
      </c>
      <c r="H296" s="39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0</v>
      </c>
      <c r="I296" s="39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0</v>
      </c>
      <c r="J296" s="39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0</v>
      </c>
      <c r="K296" s="39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0</v>
      </c>
      <c r="L296" s="39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0</v>
      </c>
      <c r="M296" s="39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0</v>
      </c>
      <c r="N296" s="39" t="str">
        <f aca="false">IF(COUNT('Business Case'!B11:G11)=0,"",H296+NPV(G296,I296:M296))</f>
        <v/>
      </c>
      <c r="P296" s="40" t="n">
        <f aca="true">RAND()</f>
        <v>0.584133362785219</v>
      </c>
      <c r="Q296" s="40" t="n">
        <f aca="true">RAND()</f>
        <v>0.577910077041784</v>
      </c>
      <c r="R296" s="40" t="n">
        <f aca="true">RAND()</f>
        <v>0.605837068779112</v>
      </c>
      <c r="S296" s="40" t="n">
        <f aca="true">RAND()</f>
        <v>0.00845046065005949</v>
      </c>
      <c r="T296" s="40" t="n">
        <f aca="true">RAND()</f>
        <v>0.278631775581997</v>
      </c>
      <c r="U296" s="40" t="n">
        <f aca="true">RAND()</f>
        <v>0.424057392196154</v>
      </c>
    </row>
    <row r="297" customFormat="false" ht="15" hidden="false" customHeight="false" outlineLevel="0" collapsed="false">
      <c r="A297" s="36" t="n">
        <v>217</v>
      </c>
      <c r="B297" s="37" t="n">
        <f aca="false">1+IF($G$6=$E$6,$F$6,IF(P297&lt;($F$6-$E$6)/($G$6-$E$6),$E$6+SQRT(P297*($G$6-$E$6)*($F$6-$E$6)),$G$6-SQRT((1-P297)*($G$6-$E$6)*($G$6-$F$6))))</f>
        <v>1</v>
      </c>
      <c r="C297" s="37" t="n">
        <f aca="false">1+IF($G$7=$E$7,$F$7,IF(Q297&lt;($F$7-$E$7)/($G$7-$E$7),$E$7+SQRT(Q297*($G$7-$E$7)*($F$7-$E$7)),$G$7-SQRT((1-Q297)*($G$7-$E$7)*($G$7-$F$7))))</f>
        <v>1</v>
      </c>
      <c r="D297" s="37" t="n">
        <f aca="false">1+IF($G$8=$E$8,$F$8,IF(R297&lt;($F$8-$E$8)/($G$8-$E$8),$E$8+SQRT(R297*($G$8-$E$8)*($F$8-$E$8)),$G$8-SQRT((1-R297)*($G$8-$E$8)*($G$8-$F$8))))</f>
        <v>1</v>
      </c>
      <c r="E297" s="37" t="n">
        <f aca="false">1+IF($G$9=$E$9,$F$9,IF(S297&lt;($F$9-$E$9)/($G$9-$E$9),$E$9+SQRT(S297*($G$9-$E$9)*($F$9-$E$9)),$G$9-SQRT((1-S297)*($G$9-$E$9)*($G$9-$F$9))))</f>
        <v>1</v>
      </c>
      <c r="F297" s="37" t="n">
        <f aca="false">1+IF($G$10=$E$10,$F$10,IF(T297&lt;($F$10-$E$10)/($G$10-$E$10),$E$10+SQRT(T297*($G$10-$E$10)*($F$10-$E$10)),$G$10-SQRT((1-T297)*($G$10-$E$10)*($G$10-$F$10))))</f>
        <v>1</v>
      </c>
      <c r="G297" s="38" t="n">
        <f aca="false">IF($G$11=$E$11,$F$11,IF(U297&lt;($F$11-$E$11)/($G$11-$E$11),$E$11+SQRT(U297*($G$11-$E$11)*($F$11-$E$11)),$G$11-SQRT((1-U297)*($G$11-$E$11)*($G$11-$F$11))))</f>
        <v>0</v>
      </c>
      <c r="H297" s="39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0</v>
      </c>
      <c r="I297" s="39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0</v>
      </c>
      <c r="J297" s="39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0</v>
      </c>
      <c r="K297" s="39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0</v>
      </c>
      <c r="L297" s="39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0</v>
      </c>
      <c r="M297" s="39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0</v>
      </c>
      <c r="N297" s="39" t="str">
        <f aca="false">IF(COUNT('Business Case'!B11:G11)=0,"",H297+NPV(G297,I297:M297))</f>
        <v/>
      </c>
      <c r="P297" s="40" t="n">
        <f aca="true">RAND()</f>
        <v>0.0708024309389686</v>
      </c>
      <c r="Q297" s="40" t="n">
        <f aca="true">RAND()</f>
        <v>0.918909163871265</v>
      </c>
      <c r="R297" s="40" t="n">
        <f aca="true">RAND()</f>
        <v>0.178877542707542</v>
      </c>
      <c r="S297" s="40" t="n">
        <f aca="true">RAND()</f>
        <v>0.732059010893092</v>
      </c>
      <c r="T297" s="40" t="n">
        <f aca="true">RAND()</f>
        <v>0.000525749901248104</v>
      </c>
      <c r="U297" s="40" t="n">
        <f aca="true">RAND()</f>
        <v>0.642059762727697</v>
      </c>
    </row>
    <row r="298" customFormat="false" ht="15" hidden="false" customHeight="false" outlineLevel="0" collapsed="false">
      <c r="A298" s="36" t="n">
        <v>218</v>
      </c>
      <c r="B298" s="37" t="n">
        <f aca="false">1+IF($G$6=$E$6,$F$6,IF(P298&lt;($F$6-$E$6)/($G$6-$E$6),$E$6+SQRT(P298*($G$6-$E$6)*($F$6-$E$6)),$G$6-SQRT((1-P298)*($G$6-$E$6)*($G$6-$F$6))))</f>
        <v>1</v>
      </c>
      <c r="C298" s="37" t="n">
        <f aca="false">1+IF($G$7=$E$7,$F$7,IF(Q298&lt;($F$7-$E$7)/($G$7-$E$7),$E$7+SQRT(Q298*($G$7-$E$7)*($F$7-$E$7)),$G$7-SQRT((1-Q298)*($G$7-$E$7)*($G$7-$F$7))))</f>
        <v>1</v>
      </c>
      <c r="D298" s="37" t="n">
        <f aca="false">1+IF($G$8=$E$8,$F$8,IF(R298&lt;($F$8-$E$8)/($G$8-$E$8),$E$8+SQRT(R298*($G$8-$E$8)*($F$8-$E$8)),$G$8-SQRT((1-R298)*($G$8-$E$8)*($G$8-$F$8))))</f>
        <v>1</v>
      </c>
      <c r="E298" s="37" t="n">
        <f aca="false">1+IF($G$9=$E$9,$F$9,IF(S298&lt;($F$9-$E$9)/($G$9-$E$9),$E$9+SQRT(S298*($G$9-$E$9)*($F$9-$E$9)),$G$9-SQRT((1-S298)*($G$9-$E$9)*($G$9-$F$9))))</f>
        <v>1</v>
      </c>
      <c r="F298" s="37" t="n">
        <f aca="false">1+IF($G$10=$E$10,$F$10,IF(T298&lt;($F$10-$E$10)/($G$10-$E$10),$E$10+SQRT(T298*($G$10-$E$10)*($F$10-$E$10)),$G$10-SQRT((1-T298)*($G$10-$E$10)*($G$10-$F$10))))</f>
        <v>1</v>
      </c>
      <c r="G298" s="38" t="n">
        <f aca="false">IF($G$11=$E$11,$F$11,IF(U298&lt;($F$11-$E$11)/($G$11-$E$11),$E$11+SQRT(U298*($G$11-$E$11)*($F$11-$E$11)),$G$11-SQRT((1-U298)*($G$11-$E$11)*($G$11-$F$11))))</f>
        <v>0</v>
      </c>
      <c r="H298" s="39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0</v>
      </c>
      <c r="I298" s="39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0</v>
      </c>
      <c r="J298" s="39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0</v>
      </c>
      <c r="K298" s="39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0</v>
      </c>
      <c r="L298" s="39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0</v>
      </c>
      <c r="M298" s="39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0</v>
      </c>
      <c r="N298" s="39" t="str">
        <f aca="false">IF(COUNT('Business Case'!B11:G11)=0,"",H298+NPV(G298,I298:M298))</f>
        <v/>
      </c>
      <c r="P298" s="40" t="n">
        <f aca="true">RAND()</f>
        <v>0.326737808084594</v>
      </c>
      <c r="Q298" s="40" t="n">
        <f aca="true">RAND()</f>
        <v>0.477735511706984</v>
      </c>
      <c r="R298" s="40" t="n">
        <f aca="true">RAND()</f>
        <v>0.504025250168848</v>
      </c>
      <c r="S298" s="40" t="n">
        <f aca="true">RAND()</f>
        <v>0.312047334597629</v>
      </c>
      <c r="T298" s="40" t="n">
        <f aca="true">RAND()</f>
        <v>0.0598963053901405</v>
      </c>
      <c r="U298" s="40" t="n">
        <f aca="true">RAND()</f>
        <v>0.852954174411343</v>
      </c>
    </row>
    <row r="299" customFormat="false" ht="15" hidden="false" customHeight="false" outlineLevel="0" collapsed="false">
      <c r="A299" s="36" t="n">
        <v>219</v>
      </c>
      <c r="B299" s="37" t="n">
        <f aca="false">1+IF($G$6=$E$6,$F$6,IF(P299&lt;($F$6-$E$6)/($G$6-$E$6),$E$6+SQRT(P299*($G$6-$E$6)*($F$6-$E$6)),$G$6-SQRT((1-P299)*($G$6-$E$6)*($G$6-$F$6))))</f>
        <v>1</v>
      </c>
      <c r="C299" s="37" t="n">
        <f aca="false">1+IF($G$7=$E$7,$F$7,IF(Q299&lt;($F$7-$E$7)/($G$7-$E$7),$E$7+SQRT(Q299*($G$7-$E$7)*($F$7-$E$7)),$G$7-SQRT((1-Q299)*($G$7-$E$7)*($G$7-$F$7))))</f>
        <v>1</v>
      </c>
      <c r="D299" s="37" t="n">
        <f aca="false">1+IF($G$8=$E$8,$F$8,IF(R299&lt;($F$8-$E$8)/($G$8-$E$8),$E$8+SQRT(R299*($G$8-$E$8)*($F$8-$E$8)),$G$8-SQRT((1-R299)*($G$8-$E$8)*($G$8-$F$8))))</f>
        <v>1</v>
      </c>
      <c r="E299" s="37" t="n">
        <f aca="false">1+IF($G$9=$E$9,$F$9,IF(S299&lt;($F$9-$E$9)/($G$9-$E$9),$E$9+SQRT(S299*($G$9-$E$9)*($F$9-$E$9)),$G$9-SQRT((1-S299)*($G$9-$E$9)*($G$9-$F$9))))</f>
        <v>1</v>
      </c>
      <c r="F299" s="37" t="n">
        <f aca="false">1+IF($G$10=$E$10,$F$10,IF(T299&lt;($F$10-$E$10)/($G$10-$E$10),$E$10+SQRT(T299*($G$10-$E$10)*($F$10-$E$10)),$G$10-SQRT((1-T299)*($G$10-$E$10)*($G$10-$F$10))))</f>
        <v>1</v>
      </c>
      <c r="G299" s="38" t="n">
        <f aca="false">IF($G$11=$E$11,$F$11,IF(U299&lt;($F$11-$E$11)/($G$11-$E$11),$E$11+SQRT(U299*($G$11-$E$11)*($F$11-$E$11)),$G$11-SQRT((1-U299)*($G$11-$E$11)*($G$11-$F$11))))</f>
        <v>0</v>
      </c>
      <c r="H299" s="39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0</v>
      </c>
      <c r="I299" s="39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0</v>
      </c>
      <c r="J299" s="39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0</v>
      </c>
      <c r="K299" s="39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0</v>
      </c>
      <c r="L299" s="39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0</v>
      </c>
      <c r="M299" s="39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0</v>
      </c>
      <c r="N299" s="39" t="str">
        <f aca="false">IF(COUNT('Business Case'!B11:G11)=0,"",H299+NPV(G299,I299:M299))</f>
        <v/>
      </c>
      <c r="P299" s="40" t="n">
        <f aca="true">RAND()</f>
        <v>0.727909852160856</v>
      </c>
      <c r="Q299" s="40" t="n">
        <f aca="true">RAND()</f>
        <v>0.687536159033175</v>
      </c>
      <c r="R299" s="40" t="n">
        <f aca="true">RAND()</f>
        <v>0.894493130680255</v>
      </c>
      <c r="S299" s="40" t="n">
        <f aca="true">RAND()</f>
        <v>0.20036914354086</v>
      </c>
      <c r="T299" s="40" t="n">
        <f aca="true">RAND()</f>
        <v>0.248467963956143</v>
      </c>
      <c r="U299" s="40" t="n">
        <f aca="true">RAND()</f>
        <v>0.855519312391957</v>
      </c>
    </row>
    <row r="300" customFormat="false" ht="15" hidden="false" customHeight="false" outlineLevel="0" collapsed="false">
      <c r="A300" s="36" t="n">
        <v>220</v>
      </c>
      <c r="B300" s="37" t="n">
        <f aca="false">1+IF($G$6=$E$6,$F$6,IF(P300&lt;($F$6-$E$6)/($G$6-$E$6),$E$6+SQRT(P300*($G$6-$E$6)*($F$6-$E$6)),$G$6-SQRT((1-P300)*($G$6-$E$6)*($G$6-$F$6))))</f>
        <v>1</v>
      </c>
      <c r="C300" s="37" t="n">
        <f aca="false">1+IF($G$7=$E$7,$F$7,IF(Q300&lt;($F$7-$E$7)/($G$7-$E$7),$E$7+SQRT(Q300*($G$7-$E$7)*($F$7-$E$7)),$G$7-SQRT((1-Q300)*($G$7-$E$7)*($G$7-$F$7))))</f>
        <v>1</v>
      </c>
      <c r="D300" s="37" t="n">
        <f aca="false">1+IF($G$8=$E$8,$F$8,IF(R300&lt;($F$8-$E$8)/($G$8-$E$8),$E$8+SQRT(R300*($G$8-$E$8)*($F$8-$E$8)),$G$8-SQRT((1-R300)*($G$8-$E$8)*($G$8-$F$8))))</f>
        <v>1</v>
      </c>
      <c r="E300" s="37" t="n">
        <f aca="false">1+IF($G$9=$E$9,$F$9,IF(S300&lt;($F$9-$E$9)/($G$9-$E$9),$E$9+SQRT(S300*($G$9-$E$9)*($F$9-$E$9)),$G$9-SQRT((1-S300)*($G$9-$E$9)*($G$9-$F$9))))</f>
        <v>1</v>
      </c>
      <c r="F300" s="37" t="n">
        <f aca="false">1+IF($G$10=$E$10,$F$10,IF(T300&lt;($F$10-$E$10)/($G$10-$E$10),$E$10+SQRT(T300*($G$10-$E$10)*($F$10-$E$10)),$G$10-SQRT((1-T300)*($G$10-$E$10)*($G$10-$F$10))))</f>
        <v>1</v>
      </c>
      <c r="G300" s="38" t="n">
        <f aca="false">IF($G$11=$E$11,$F$11,IF(U300&lt;($F$11-$E$11)/($G$11-$E$11),$E$11+SQRT(U300*($G$11-$E$11)*($F$11-$E$11)),$G$11-SQRT((1-U300)*($G$11-$E$11)*($G$11-$F$11))))</f>
        <v>0</v>
      </c>
      <c r="H300" s="39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0</v>
      </c>
      <c r="I300" s="39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0</v>
      </c>
      <c r="J300" s="39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0</v>
      </c>
      <c r="K300" s="39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0</v>
      </c>
      <c r="L300" s="39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0</v>
      </c>
      <c r="M300" s="39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0</v>
      </c>
      <c r="N300" s="39" t="str">
        <f aca="false">IF(COUNT('Business Case'!B11:G11)=0,"",H300+NPV(G300,I300:M300))</f>
        <v/>
      </c>
      <c r="P300" s="40" t="n">
        <f aca="true">RAND()</f>
        <v>0.362359878758113</v>
      </c>
      <c r="Q300" s="40" t="n">
        <f aca="true">RAND()</f>
        <v>0.557010978591335</v>
      </c>
      <c r="R300" s="40" t="n">
        <f aca="true">RAND()</f>
        <v>0.40868692212608</v>
      </c>
      <c r="S300" s="40" t="n">
        <f aca="true">RAND()</f>
        <v>0.287321179817679</v>
      </c>
      <c r="T300" s="40" t="n">
        <f aca="true">RAND()</f>
        <v>0.795914858956515</v>
      </c>
      <c r="U300" s="40" t="n">
        <f aca="true">RAND()</f>
        <v>0.250485595765504</v>
      </c>
    </row>
    <row r="301" customFormat="false" ht="15" hidden="false" customHeight="false" outlineLevel="0" collapsed="false">
      <c r="A301" s="36" t="n">
        <v>221</v>
      </c>
      <c r="B301" s="37" t="n">
        <f aca="false">1+IF($G$6=$E$6,$F$6,IF(P301&lt;($F$6-$E$6)/($G$6-$E$6),$E$6+SQRT(P301*($G$6-$E$6)*($F$6-$E$6)),$G$6-SQRT((1-P301)*($G$6-$E$6)*($G$6-$F$6))))</f>
        <v>1</v>
      </c>
      <c r="C301" s="37" t="n">
        <f aca="false">1+IF($G$7=$E$7,$F$7,IF(Q301&lt;($F$7-$E$7)/($G$7-$E$7),$E$7+SQRT(Q301*($G$7-$E$7)*($F$7-$E$7)),$G$7-SQRT((1-Q301)*($G$7-$E$7)*($G$7-$F$7))))</f>
        <v>1</v>
      </c>
      <c r="D301" s="37" t="n">
        <f aca="false">1+IF($G$8=$E$8,$F$8,IF(R301&lt;($F$8-$E$8)/($G$8-$E$8),$E$8+SQRT(R301*($G$8-$E$8)*($F$8-$E$8)),$G$8-SQRT((1-R301)*($G$8-$E$8)*($G$8-$F$8))))</f>
        <v>1</v>
      </c>
      <c r="E301" s="37" t="n">
        <f aca="false">1+IF($G$9=$E$9,$F$9,IF(S301&lt;($F$9-$E$9)/($G$9-$E$9),$E$9+SQRT(S301*($G$9-$E$9)*($F$9-$E$9)),$G$9-SQRT((1-S301)*($G$9-$E$9)*($G$9-$F$9))))</f>
        <v>1</v>
      </c>
      <c r="F301" s="37" t="n">
        <f aca="false">1+IF($G$10=$E$10,$F$10,IF(T301&lt;($F$10-$E$10)/($G$10-$E$10),$E$10+SQRT(T301*($G$10-$E$10)*($F$10-$E$10)),$G$10-SQRT((1-T301)*($G$10-$E$10)*($G$10-$F$10))))</f>
        <v>1</v>
      </c>
      <c r="G301" s="38" t="n">
        <f aca="false">IF($G$11=$E$11,$F$11,IF(U301&lt;($F$11-$E$11)/($G$11-$E$11),$E$11+SQRT(U301*($G$11-$E$11)*($F$11-$E$11)),$G$11-SQRT((1-U301)*($G$11-$E$11)*($G$11-$F$11))))</f>
        <v>0</v>
      </c>
      <c r="H301" s="39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0</v>
      </c>
      <c r="I301" s="39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0</v>
      </c>
      <c r="J301" s="39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0</v>
      </c>
      <c r="K301" s="39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0</v>
      </c>
      <c r="L301" s="39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0</v>
      </c>
      <c r="M301" s="39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0</v>
      </c>
      <c r="N301" s="39" t="str">
        <f aca="false">IF(COUNT('Business Case'!B11:G11)=0,"",H301+NPV(G301,I301:M301))</f>
        <v/>
      </c>
      <c r="P301" s="40" t="n">
        <f aca="true">RAND()</f>
        <v>0.393970587043713</v>
      </c>
      <c r="Q301" s="40" t="n">
        <f aca="true">RAND()</f>
        <v>0.233632790678312</v>
      </c>
      <c r="R301" s="40" t="n">
        <f aca="true">RAND()</f>
        <v>0.136336583650166</v>
      </c>
      <c r="S301" s="40" t="n">
        <f aca="true">RAND()</f>
        <v>0.0520947986504133</v>
      </c>
      <c r="T301" s="40" t="n">
        <f aca="true">RAND()</f>
        <v>0.966701298664243</v>
      </c>
      <c r="U301" s="40" t="n">
        <f aca="true">RAND()</f>
        <v>0.723706202890821</v>
      </c>
    </row>
    <row r="302" customFormat="false" ht="15" hidden="false" customHeight="false" outlineLevel="0" collapsed="false">
      <c r="A302" s="36" t="n">
        <v>222</v>
      </c>
      <c r="B302" s="37" t="n">
        <f aca="false">1+IF($G$6=$E$6,$F$6,IF(P302&lt;($F$6-$E$6)/($G$6-$E$6),$E$6+SQRT(P302*($G$6-$E$6)*($F$6-$E$6)),$G$6-SQRT((1-P302)*($G$6-$E$6)*($G$6-$F$6))))</f>
        <v>1</v>
      </c>
      <c r="C302" s="37" t="n">
        <f aca="false">1+IF($G$7=$E$7,$F$7,IF(Q302&lt;($F$7-$E$7)/($G$7-$E$7),$E$7+SQRT(Q302*($G$7-$E$7)*($F$7-$E$7)),$G$7-SQRT((1-Q302)*($G$7-$E$7)*($G$7-$F$7))))</f>
        <v>1</v>
      </c>
      <c r="D302" s="37" t="n">
        <f aca="false">1+IF($G$8=$E$8,$F$8,IF(R302&lt;($F$8-$E$8)/($G$8-$E$8),$E$8+SQRT(R302*($G$8-$E$8)*($F$8-$E$8)),$G$8-SQRT((1-R302)*($G$8-$E$8)*($G$8-$F$8))))</f>
        <v>1</v>
      </c>
      <c r="E302" s="37" t="n">
        <f aca="false">1+IF($G$9=$E$9,$F$9,IF(S302&lt;($F$9-$E$9)/($G$9-$E$9),$E$9+SQRT(S302*($G$9-$E$9)*($F$9-$E$9)),$G$9-SQRT((1-S302)*($G$9-$E$9)*($G$9-$F$9))))</f>
        <v>1</v>
      </c>
      <c r="F302" s="37" t="n">
        <f aca="false">1+IF($G$10=$E$10,$F$10,IF(T302&lt;($F$10-$E$10)/($G$10-$E$10),$E$10+SQRT(T302*($G$10-$E$10)*($F$10-$E$10)),$G$10-SQRT((1-T302)*($G$10-$E$10)*($G$10-$F$10))))</f>
        <v>1</v>
      </c>
      <c r="G302" s="38" t="n">
        <f aca="false">IF($G$11=$E$11,$F$11,IF(U302&lt;($F$11-$E$11)/($G$11-$E$11),$E$11+SQRT(U302*($G$11-$E$11)*($F$11-$E$11)),$G$11-SQRT((1-U302)*($G$11-$E$11)*($G$11-$F$11))))</f>
        <v>0</v>
      </c>
      <c r="H302" s="39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0</v>
      </c>
      <c r="I302" s="39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0</v>
      </c>
      <c r="J302" s="39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0</v>
      </c>
      <c r="K302" s="39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0</v>
      </c>
      <c r="L302" s="39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0</v>
      </c>
      <c r="M302" s="39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0</v>
      </c>
      <c r="N302" s="39" t="str">
        <f aca="false">IF(COUNT('Business Case'!B11:G11)=0,"",H302+NPV(G302,I302:M302))</f>
        <v/>
      </c>
      <c r="P302" s="40" t="n">
        <f aca="true">RAND()</f>
        <v>0.0359937906057652</v>
      </c>
      <c r="Q302" s="40" t="n">
        <f aca="true">RAND()</f>
        <v>0.13603223222803</v>
      </c>
      <c r="R302" s="40" t="n">
        <f aca="true">RAND()</f>
        <v>0.694135655112567</v>
      </c>
      <c r="S302" s="40" t="n">
        <f aca="true">RAND()</f>
        <v>0.781413541008384</v>
      </c>
      <c r="T302" s="40" t="n">
        <f aca="true">RAND()</f>
        <v>0.417678936748824</v>
      </c>
      <c r="U302" s="40" t="n">
        <f aca="true">RAND()</f>
        <v>0.508974636181183</v>
      </c>
    </row>
    <row r="303" customFormat="false" ht="15" hidden="false" customHeight="false" outlineLevel="0" collapsed="false">
      <c r="A303" s="36" t="n">
        <v>223</v>
      </c>
      <c r="B303" s="37" t="n">
        <f aca="false">1+IF($G$6=$E$6,$F$6,IF(P303&lt;($F$6-$E$6)/($G$6-$E$6),$E$6+SQRT(P303*($G$6-$E$6)*($F$6-$E$6)),$G$6-SQRT((1-P303)*($G$6-$E$6)*($G$6-$F$6))))</f>
        <v>1</v>
      </c>
      <c r="C303" s="37" t="n">
        <f aca="false">1+IF($G$7=$E$7,$F$7,IF(Q303&lt;($F$7-$E$7)/($G$7-$E$7),$E$7+SQRT(Q303*($G$7-$E$7)*($F$7-$E$7)),$G$7-SQRT((1-Q303)*($G$7-$E$7)*($G$7-$F$7))))</f>
        <v>1</v>
      </c>
      <c r="D303" s="37" t="n">
        <f aca="false">1+IF($G$8=$E$8,$F$8,IF(R303&lt;($F$8-$E$8)/($G$8-$E$8),$E$8+SQRT(R303*($G$8-$E$8)*($F$8-$E$8)),$G$8-SQRT((1-R303)*($G$8-$E$8)*($G$8-$F$8))))</f>
        <v>1</v>
      </c>
      <c r="E303" s="37" t="n">
        <f aca="false">1+IF($G$9=$E$9,$F$9,IF(S303&lt;($F$9-$E$9)/($G$9-$E$9),$E$9+SQRT(S303*($G$9-$E$9)*($F$9-$E$9)),$G$9-SQRT((1-S303)*($G$9-$E$9)*($G$9-$F$9))))</f>
        <v>1</v>
      </c>
      <c r="F303" s="37" t="n">
        <f aca="false">1+IF($G$10=$E$10,$F$10,IF(T303&lt;($F$10-$E$10)/($G$10-$E$10),$E$10+SQRT(T303*($G$10-$E$10)*($F$10-$E$10)),$G$10-SQRT((1-T303)*($G$10-$E$10)*($G$10-$F$10))))</f>
        <v>1</v>
      </c>
      <c r="G303" s="38" t="n">
        <f aca="false">IF($G$11=$E$11,$F$11,IF(U303&lt;($F$11-$E$11)/($G$11-$E$11),$E$11+SQRT(U303*($G$11-$E$11)*($F$11-$E$11)),$G$11-SQRT((1-U303)*($G$11-$E$11)*($G$11-$F$11))))</f>
        <v>0</v>
      </c>
      <c r="H303" s="39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0</v>
      </c>
      <c r="I303" s="39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0</v>
      </c>
      <c r="J303" s="39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0</v>
      </c>
      <c r="K303" s="39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0</v>
      </c>
      <c r="L303" s="39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0</v>
      </c>
      <c r="M303" s="39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0</v>
      </c>
      <c r="N303" s="39" t="str">
        <f aca="false">IF(COUNT('Business Case'!B11:G11)=0,"",H303+NPV(G303,I303:M303))</f>
        <v/>
      </c>
      <c r="P303" s="40" t="n">
        <f aca="true">RAND()</f>
        <v>0.930576742644221</v>
      </c>
      <c r="Q303" s="40" t="n">
        <f aca="true">RAND()</f>
        <v>0.371851621781853</v>
      </c>
      <c r="R303" s="40" t="n">
        <f aca="true">RAND()</f>
        <v>0.680659561653676</v>
      </c>
      <c r="S303" s="40" t="n">
        <f aca="true">RAND()</f>
        <v>0.0515787970676963</v>
      </c>
      <c r="T303" s="40" t="n">
        <f aca="true">RAND()</f>
        <v>0.082525199553193</v>
      </c>
      <c r="U303" s="40" t="n">
        <f aca="true">RAND()</f>
        <v>0.890566626110872</v>
      </c>
    </row>
    <row r="304" customFormat="false" ht="15" hidden="false" customHeight="false" outlineLevel="0" collapsed="false">
      <c r="A304" s="36" t="n">
        <v>224</v>
      </c>
      <c r="B304" s="37" t="n">
        <f aca="false">1+IF($G$6=$E$6,$F$6,IF(P304&lt;($F$6-$E$6)/($G$6-$E$6),$E$6+SQRT(P304*($G$6-$E$6)*($F$6-$E$6)),$G$6-SQRT((1-P304)*($G$6-$E$6)*($G$6-$F$6))))</f>
        <v>1</v>
      </c>
      <c r="C304" s="37" t="n">
        <f aca="false">1+IF($G$7=$E$7,$F$7,IF(Q304&lt;($F$7-$E$7)/($G$7-$E$7),$E$7+SQRT(Q304*($G$7-$E$7)*($F$7-$E$7)),$G$7-SQRT((1-Q304)*($G$7-$E$7)*($G$7-$F$7))))</f>
        <v>1</v>
      </c>
      <c r="D304" s="37" t="n">
        <f aca="false">1+IF($G$8=$E$8,$F$8,IF(R304&lt;($F$8-$E$8)/($G$8-$E$8),$E$8+SQRT(R304*($G$8-$E$8)*($F$8-$E$8)),$G$8-SQRT((1-R304)*($G$8-$E$8)*($G$8-$F$8))))</f>
        <v>1</v>
      </c>
      <c r="E304" s="37" t="n">
        <f aca="false">1+IF($G$9=$E$9,$F$9,IF(S304&lt;($F$9-$E$9)/($G$9-$E$9),$E$9+SQRT(S304*($G$9-$E$9)*($F$9-$E$9)),$G$9-SQRT((1-S304)*($G$9-$E$9)*($G$9-$F$9))))</f>
        <v>1</v>
      </c>
      <c r="F304" s="37" t="n">
        <f aca="false">1+IF($G$10=$E$10,$F$10,IF(T304&lt;($F$10-$E$10)/($G$10-$E$10),$E$10+SQRT(T304*($G$10-$E$10)*($F$10-$E$10)),$G$10-SQRT((1-T304)*($G$10-$E$10)*($G$10-$F$10))))</f>
        <v>1</v>
      </c>
      <c r="G304" s="38" t="n">
        <f aca="false">IF($G$11=$E$11,$F$11,IF(U304&lt;($F$11-$E$11)/($G$11-$E$11),$E$11+SQRT(U304*($G$11-$E$11)*($F$11-$E$11)),$G$11-SQRT((1-U304)*($G$11-$E$11)*($G$11-$F$11))))</f>
        <v>0</v>
      </c>
      <c r="H304" s="39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0</v>
      </c>
      <c r="I304" s="39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0</v>
      </c>
      <c r="J304" s="39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0</v>
      </c>
      <c r="K304" s="39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0</v>
      </c>
      <c r="L304" s="39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0</v>
      </c>
      <c r="M304" s="39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0</v>
      </c>
      <c r="N304" s="39" t="str">
        <f aca="false">IF(COUNT('Business Case'!B11:G11)=0,"",H304+NPV(G304,I304:M304))</f>
        <v/>
      </c>
      <c r="P304" s="40" t="n">
        <f aca="true">RAND()</f>
        <v>0.342308504756968</v>
      </c>
      <c r="Q304" s="40" t="n">
        <f aca="true">RAND()</f>
        <v>0.00334411653454737</v>
      </c>
      <c r="R304" s="40" t="n">
        <f aca="true">RAND()</f>
        <v>0.554425874811436</v>
      </c>
      <c r="S304" s="40" t="n">
        <f aca="true">RAND()</f>
        <v>0.808605471006493</v>
      </c>
      <c r="T304" s="40" t="n">
        <f aca="true">RAND()</f>
        <v>0.731846370394065</v>
      </c>
      <c r="U304" s="40" t="n">
        <f aca="true">RAND()</f>
        <v>0.704151810008471</v>
      </c>
    </row>
    <row r="305" customFormat="false" ht="15" hidden="false" customHeight="false" outlineLevel="0" collapsed="false">
      <c r="A305" s="36" t="n">
        <v>225</v>
      </c>
      <c r="B305" s="37" t="n">
        <f aca="false">1+IF($G$6=$E$6,$F$6,IF(P305&lt;($F$6-$E$6)/($G$6-$E$6),$E$6+SQRT(P305*($G$6-$E$6)*($F$6-$E$6)),$G$6-SQRT((1-P305)*($G$6-$E$6)*($G$6-$F$6))))</f>
        <v>1</v>
      </c>
      <c r="C305" s="37" t="n">
        <f aca="false">1+IF($G$7=$E$7,$F$7,IF(Q305&lt;($F$7-$E$7)/($G$7-$E$7),$E$7+SQRT(Q305*($G$7-$E$7)*($F$7-$E$7)),$G$7-SQRT((1-Q305)*($G$7-$E$7)*($G$7-$F$7))))</f>
        <v>1</v>
      </c>
      <c r="D305" s="37" t="n">
        <f aca="false">1+IF($G$8=$E$8,$F$8,IF(R305&lt;($F$8-$E$8)/($G$8-$E$8),$E$8+SQRT(R305*($G$8-$E$8)*($F$8-$E$8)),$G$8-SQRT((1-R305)*($G$8-$E$8)*($G$8-$F$8))))</f>
        <v>1</v>
      </c>
      <c r="E305" s="37" t="n">
        <f aca="false">1+IF($G$9=$E$9,$F$9,IF(S305&lt;($F$9-$E$9)/($G$9-$E$9),$E$9+SQRT(S305*($G$9-$E$9)*($F$9-$E$9)),$G$9-SQRT((1-S305)*($G$9-$E$9)*($G$9-$F$9))))</f>
        <v>1</v>
      </c>
      <c r="F305" s="37" t="n">
        <f aca="false">1+IF($G$10=$E$10,$F$10,IF(T305&lt;($F$10-$E$10)/($G$10-$E$10),$E$10+SQRT(T305*($G$10-$E$10)*($F$10-$E$10)),$G$10-SQRT((1-T305)*($G$10-$E$10)*($G$10-$F$10))))</f>
        <v>1</v>
      </c>
      <c r="G305" s="38" t="n">
        <f aca="false">IF($G$11=$E$11,$F$11,IF(U305&lt;($F$11-$E$11)/($G$11-$E$11),$E$11+SQRT(U305*($G$11-$E$11)*($F$11-$E$11)),$G$11-SQRT((1-U305)*($G$11-$E$11)*($G$11-$F$11))))</f>
        <v>0</v>
      </c>
      <c r="H305" s="39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0</v>
      </c>
      <c r="I305" s="39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0</v>
      </c>
      <c r="J305" s="39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0</v>
      </c>
      <c r="K305" s="39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0</v>
      </c>
      <c r="L305" s="39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0</v>
      </c>
      <c r="M305" s="39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0</v>
      </c>
      <c r="N305" s="39" t="str">
        <f aca="false">IF(COUNT('Business Case'!B11:G11)=0,"",H305+NPV(G305,I305:M305))</f>
        <v/>
      </c>
      <c r="P305" s="40" t="n">
        <f aca="true">RAND()</f>
        <v>0.800600392474692</v>
      </c>
      <c r="Q305" s="40" t="n">
        <f aca="true">RAND()</f>
        <v>0.248259388180594</v>
      </c>
      <c r="R305" s="40" t="n">
        <f aca="true">RAND()</f>
        <v>0.818516433226796</v>
      </c>
      <c r="S305" s="40" t="n">
        <f aca="true">RAND()</f>
        <v>0.593807480262442</v>
      </c>
      <c r="T305" s="40" t="n">
        <f aca="true">RAND()</f>
        <v>0.343465245541465</v>
      </c>
      <c r="U305" s="40" t="n">
        <f aca="true">RAND()</f>
        <v>0.0403327332701404</v>
      </c>
    </row>
    <row r="306" customFormat="false" ht="15" hidden="false" customHeight="false" outlineLevel="0" collapsed="false">
      <c r="A306" s="36" t="n">
        <v>226</v>
      </c>
      <c r="B306" s="37" t="n">
        <f aca="false">1+IF($G$6=$E$6,$F$6,IF(P306&lt;($F$6-$E$6)/($G$6-$E$6),$E$6+SQRT(P306*($G$6-$E$6)*($F$6-$E$6)),$G$6-SQRT((1-P306)*($G$6-$E$6)*($G$6-$F$6))))</f>
        <v>1</v>
      </c>
      <c r="C306" s="37" t="n">
        <f aca="false">1+IF($G$7=$E$7,$F$7,IF(Q306&lt;($F$7-$E$7)/($G$7-$E$7),$E$7+SQRT(Q306*($G$7-$E$7)*($F$7-$E$7)),$G$7-SQRT((1-Q306)*($G$7-$E$7)*($G$7-$F$7))))</f>
        <v>1</v>
      </c>
      <c r="D306" s="37" t="n">
        <f aca="false">1+IF($G$8=$E$8,$F$8,IF(R306&lt;($F$8-$E$8)/($G$8-$E$8),$E$8+SQRT(R306*($G$8-$E$8)*($F$8-$E$8)),$G$8-SQRT((1-R306)*($G$8-$E$8)*($G$8-$F$8))))</f>
        <v>1</v>
      </c>
      <c r="E306" s="37" t="n">
        <f aca="false">1+IF($G$9=$E$9,$F$9,IF(S306&lt;($F$9-$E$9)/($G$9-$E$9),$E$9+SQRT(S306*($G$9-$E$9)*($F$9-$E$9)),$G$9-SQRT((1-S306)*($G$9-$E$9)*($G$9-$F$9))))</f>
        <v>1</v>
      </c>
      <c r="F306" s="37" t="n">
        <f aca="false">1+IF($G$10=$E$10,$F$10,IF(T306&lt;($F$10-$E$10)/($G$10-$E$10),$E$10+SQRT(T306*($G$10-$E$10)*($F$10-$E$10)),$G$10-SQRT((1-T306)*($G$10-$E$10)*($G$10-$F$10))))</f>
        <v>1</v>
      </c>
      <c r="G306" s="38" t="n">
        <f aca="false">IF($G$11=$E$11,$F$11,IF(U306&lt;($F$11-$E$11)/($G$11-$E$11),$E$11+SQRT(U306*($G$11-$E$11)*($F$11-$E$11)),$G$11-SQRT((1-U306)*($G$11-$E$11)*($G$11-$F$11))))</f>
        <v>0</v>
      </c>
      <c r="H306" s="39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0</v>
      </c>
      <c r="I306" s="39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0</v>
      </c>
      <c r="J306" s="39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0</v>
      </c>
      <c r="K306" s="39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0</v>
      </c>
      <c r="L306" s="39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0</v>
      </c>
      <c r="M306" s="39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0</v>
      </c>
      <c r="N306" s="39" t="str">
        <f aca="false">IF(COUNT('Business Case'!B11:G11)=0,"",H306+NPV(G306,I306:M306))</f>
        <v/>
      </c>
      <c r="P306" s="40" t="n">
        <f aca="true">RAND()</f>
        <v>0.023713488545268</v>
      </c>
      <c r="Q306" s="40" t="n">
        <f aca="true">RAND()</f>
        <v>0.308441253300263</v>
      </c>
      <c r="R306" s="40" t="n">
        <f aca="true">RAND()</f>
        <v>0.600705549184715</v>
      </c>
      <c r="S306" s="40" t="n">
        <f aca="true">RAND()</f>
        <v>0.305380789394737</v>
      </c>
      <c r="T306" s="40" t="n">
        <f aca="true">RAND()</f>
        <v>0.712306913739099</v>
      </c>
      <c r="U306" s="40" t="n">
        <f aca="true">RAND()</f>
        <v>0.790764478822722</v>
      </c>
    </row>
    <row r="307" customFormat="false" ht="15" hidden="false" customHeight="false" outlineLevel="0" collapsed="false">
      <c r="A307" s="36" t="n">
        <v>227</v>
      </c>
      <c r="B307" s="37" t="n">
        <f aca="false">1+IF($G$6=$E$6,$F$6,IF(P307&lt;($F$6-$E$6)/($G$6-$E$6),$E$6+SQRT(P307*($G$6-$E$6)*($F$6-$E$6)),$G$6-SQRT((1-P307)*($G$6-$E$6)*($G$6-$F$6))))</f>
        <v>1</v>
      </c>
      <c r="C307" s="37" t="n">
        <f aca="false">1+IF($G$7=$E$7,$F$7,IF(Q307&lt;($F$7-$E$7)/($G$7-$E$7),$E$7+SQRT(Q307*($G$7-$E$7)*($F$7-$E$7)),$G$7-SQRT((1-Q307)*($G$7-$E$7)*($G$7-$F$7))))</f>
        <v>1</v>
      </c>
      <c r="D307" s="37" t="n">
        <f aca="false">1+IF($G$8=$E$8,$F$8,IF(R307&lt;($F$8-$E$8)/($G$8-$E$8),$E$8+SQRT(R307*($G$8-$E$8)*($F$8-$E$8)),$G$8-SQRT((1-R307)*($G$8-$E$8)*($G$8-$F$8))))</f>
        <v>1</v>
      </c>
      <c r="E307" s="37" t="n">
        <f aca="false">1+IF($G$9=$E$9,$F$9,IF(S307&lt;($F$9-$E$9)/($G$9-$E$9),$E$9+SQRT(S307*($G$9-$E$9)*($F$9-$E$9)),$G$9-SQRT((1-S307)*($G$9-$E$9)*($G$9-$F$9))))</f>
        <v>1</v>
      </c>
      <c r="F307" s="37" t="n">
        <f aca="false">1+IF($G$10=$E$10,$F$10,IF(T307&lt;($F$10-$E$10)/($G$10-$E$10),$E$10+SQRT(T307*($G$10-$E$10)*($F$10-$E$10)),$G$10-SQRT((1-T307)*($G$10-$E$10)*($G$10-$F$10))))</f>
        <v>1</v>
      </c>
      <c r="G307" s="38" t="n">
        <f aca="false">IF($G$11=$E$11,$F$11,IF(U307&lt;($F$11-$E$11)/($G$11-$E$11),$E$11+SQRT(U307*($G$11-$E$11)*($F$11-$E$11)),$G$11-SQRT((1-U307)*($G$11-$E$11)*($G$11-$F$11))))</f>
        <v>0</v>
      </c>
      <c r="H307" s="39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0</v>
      </c>
      <c r="I307" s="39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0</v>
      </c>
      <c r="J307" s="39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0</v>
      </c>
      <c r="K307" s="39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0</v>
      </c>
      <c r="L307" s="39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0</v>
      </c>
      <c r="M307" s="39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0</v>
      </c>
      <c r="N307" s="39" t="str">
        <f aca="false">IF(COUNT('Business Case'!B11:G11)=0,"",H307+NPV(G307,I307:M307))</f>
        <v/>
      </c>
      <c r="P307" s="40" t="n">
        <f aca="true">RAND()</f>
        <v>0.910447846885448</v>
      </c>
      <c r="Q307" s="40" t="n">
        <f aca="true">RAND()</f>
        <v>0.0837994723449745</v>
      </c>
      <c r="R307" s="40" t="n">
        <f aca="true">RAND()</f>
        <v>0.425981354395517</v>
      </c>
      <c r="S307" s="40" t="n">
        <f aca="true">RAND()</f>
        <v>0.620868002264038</v>
      </c>
      <c r="T307" s="40" t="n">
        <f aca="true">RAND()</f>
        <v>0.259139193657928</v>
      </c>
      <c r="U307" s="40" t="n">
        <f aca="true">RAND()</f>
        <v>0.131732511094491</v>
      </c>
    </row>
    <row r="308" customFormat="false" ht="15" hidden="false" customHeight="false" outlineLevel="0" collapsed="false">
      <c r="A308" s="36" t="n">
        <v>228</v>
      </c>
      <c r="B308" s="37" t="n">
        <f aca="false">1+IF($G$6=$E$6,$F$6,IF(P308&lt;($F$6-$E$6)/($G$6-$E$6),$E$6+SQRT(P308*($G$6-$E$6)*($F$6-$E$6)),$G$6-SQRT((1-P308)*($G$6-$E$6)*($G$6-$F$6))))</f>
        <v>1</v>
      </c>
      <c r="C308" s="37" t="n">
        <f aca="false">1+IF($G$7=$E$7,$F$7,IF(Q308&lt;($F$7-$E$7)/($G$7-$E$7),$E$7+SQRT(Q308*($G$7-$E$7)*($F$7-$E$7)),$G$7-SQRT((1-Q308)*($G$7-$E$7)*($G$7-$F$7))))</f>
        <v>1</v>
      </c>
      <c r="D308" s="37" t="n">
        <f aca="false">1+IF($G$8=$E$8,$F$8,IF(R308&lt;($F$8-$E$8)/($G$8-$E$8),$E$8+SQRT(R308*($G$8-$E$8)*($F$8-$E$8)),$G$8-SQRT((1-R308)*($G$8-$E$8)*($G$8-$F$8))))</f>
        <v>1</v>
      </c>
      <c r="E308" s="37" t="n">
        <f aca="false">1+IF($G$9=$E$9,$F$9,IF(S308&lt;($F$9-$E$9)/($G$9-$E$9),$E$9+SQRT(S308*($G$9-$E$9)*($F$9-$E$9)),$G$9-SQRT((1-S308)*($G$9-$E$9)*($G$9-$F$9))))</f>
        <v>1</v>
      </c>
      <c r="F308" s="37" t="n">
        <f aca="false">1+IF($G$10=$E$10,$F$10,IF(T308&lt;($F$10-$E$10)/($G$10-$E$10),$E$10+SQRT(T308*($G$10-$E$10)*($F$10-$E$10)),$G$10-SQRT((1-T308)*($G$10-$E$10)*($G$10-$F$10))))</f>
        <v>1</v>
      </c>
      <c r="G308" s="38" t="n">
        <f aca="false">IF($G$11=$E$11,$F$11,IF(U308&lt;($F$11-$E$11)/($G$11-$E$11),$E$11+SQRT(U308*($G$11-$E$11)*($F$11-$E$11)),$G$11-SQRT((1-U308)*($G$11-$E$11)*($G$11-$F$11))))</f>
        <v>0</v>
      </c>
      <c r="H308" s="39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0</v>
      </c>
      <c r="I308" s="39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0</v>
      </c>
      <c r="J308" s="39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0</v>
      </c>
      <c r="K308" s="39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0</v>
      </c>
      <c r="L308" s="39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0</v>
      </c>
      <c r="M308" s="39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0</v>
      </c>
      <c r="N308" s="39" t="str">
        <f aca="false">IF(COUNT('Business Case'!B11:G11)=0,"",H308+NPV(G308,I308:M308))</f>
        <v/>
      </c>
      <c r="P308" s="40" t="n">
        <f aca="true">RAND()</f>
        <v>0.905454011436284</v>
      </c>
      <c r="Q308" s="40" t="n">
        <f aca="true">RAND()</f>
        <v>0.772871761884998</v>
      </c>
      <c r="R308" s="40" t="n">
        <f aca="true">RAND()</f>
        <v>0.308388216928686</v>
      </c>
      <c r="S308" s="40" t="n">
        <f aca="true">RAND()</f>
        <v>0.932497355606795</v>
      </c>
      <c r="T308" s="40" t="n">
        <f aca="true">RAND()</f>
        <v>0.169232246519119</v>
      </c>
      <c r="U308" s="40" t="n">
        <f aca="true">RAND()</f>
        <v>0.24768848964494</v>
      </c>
    </row>
    <row r="309" customFormat="false" ht="15" hidden="false" customHeight="false" outlineLevel="0" collapsed="false">
      <c r="A309" s="36" t="n">
        <v>229</v>
      </c>
      <c r="B309" s="37" t="n">
        <f aca="false">1+IF($G$6=$E$6,$F$6,IF(P309&lt;($F$6-$E$6)/($G$6-$E$6),$E$6+SQRT(P309*($G$6-$E$6)*($F$6-$E$6)),$G$6-SQRT((1-P309)*($G$6-$E$6)*($G$6-$F$6))))</f>
        <v>1</v>
      </c>
      <c r="C309" s="37" t="n">
        <f aca="false">1+IF($G$7=$E$7,$F$7,IF(Q309&lt;($F$7-$E$7)/($G$7-$E$7),$E$7+SQRT(Q309*($G$7-$E$7)*($F$7-$E$7)),$G$7-SQRT((1-Q309)*($G$7-$E$7)*($G$7-$F$7))))</f>
        <v>1</v>
      </c>
      <c r="D309" s="37" t="n">
        <f aca="false">1+IF($G$8=$E$8,$F$8,IF(R309&lt;($F$8-$E$8)/($G$8-$E$8),$E$8+SQRT(R309*($G$8-$E$8)*($F$8-$E$8)),$G$8-SQRT((1-R309)*($G$8-$E$8)*($G$8-$F$8))))</f>
        <v>1</v>
      </c>
      <c r="E309" s="37" t="n">
        <f aca="false">1+IF($G$9=$E$9,$F$9,IF(S309&lt;($F$9-$E$9)/($G$9-$E$9),$E$9+SQRT(S309*($G$9-$E$9)*($F$9-$E$9)),$G$9-SQRT((1-S309)*($G$9-$E$9)*($G$9-$F$9))))</f>
        <v>1</v>
      </c>
      <c r="F309" s="37" t="n">
        <f aca="false">1+IF($G$10=$E$10,$F$10,IF(T309&lt;($F$10-$E$10)/($G$10-$E$10),$E$10+SQRT(T309*($G$10-$E$10)*($F$10-$E$10)),$G$10-SQRT((1-T309)*($G$10-$E$10)*($G$10-$F$10))))</f>
        <v>1</v>
      </c>
      <c r="G309" s="38" t="n">
        <f aca="false">IF($G$11=$E$11,$F$11,IF(U309&lt;($F$11-$E$11)/($G$11-$E$11),$E$11+SQRT(U309*($G$11-$E$11)*($F$11-$E$11)),$G$11-SQRT((1-U309)*($G$11-$E$11)*($G$11-$F$11))))</f>
        <v>0</v>
      </c>
      <c r="H309" s="39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0</v>
      </c>
      <c r="I309" s="39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0</v>
      </c>
      <c r="J309" s="39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0</v>
      </c>
      <c r="K309" s="39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0</v>
      </c>
      <c r="L309" s="39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0</v>
      </c>
      <c r="M309" s="39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0</v>
      </c>
      <c r="N309" s="39" t="str">
        <f aca="false">IF(COUNT('Business Case'!B11:G11)=0,"",H309+NPV(G309,I309:M309))</f>
        <v/>
      </c>
      <c r="P309" s="40" t="n">
        <f aca="true">RAND()</f>
        <v>0.321686325395855</v>
      </c>
      <c r="Q309" s="40" t="n">
        <f aca="true">RAND()</f>
        <v>0.328584587451154</v>
      </c>
      <c r="R309" s="40" t="n">
        <f aca="true">RAND()</f>
        <v>0.463914010667834</v>
      </c>
      <c r="S309" s="40" t="n">
        <f aca="true">RAND()</f>
        <v>0.330972688332316</v>
      </c>
      <c r="T309" s="40" t="n">
        <f aca="true">RAND()</f>
        <v>0.890939982454708</v>
      </c>
      <c r="U309" s="40" t="n">
        <f aca="true">RAND()</f>
        <v>0.975543311198434</v>
      </c>
    </row>
    <row r="310" customFormat="false" ht="15" hidden="false" customHeight="false" outlineLevel="0" collapsed="false">
      <c r="A310" s="36" t="n">
        <v>230</v>
      </c>
      <c r="B310" s="37" t="n">
        <f aca="false">1+IF($G$6=$E$6,$F$6,IF(P310&lt;($F$6-$E$6)/($G$6-$E$6),$E$6+SQRT(P310*($G$6-$E$6)*($F$6-$E$6)),$G$6-SQRT((1-P310)*($G$6-$E$6)*($G$6-$F$6))))</f>
        <v>1</v>
      </c>
      <c r="C310" s="37" t="n">
        <f aca="false">1+IF($G$7=$E$7,$F$7,IF(Q310&lt;($F$7-$E$7)/($G$7-$E$7),$E$7+SQRT(Q310*($G$7-$E$7)*($F$7-$E$7)),$G$7-SQRT((1-Q310)*($G$7-$E$7)*($G$7-$F$7))))</f>
        <v>1</v>
      </c>
      <c r="D310" s="37" t="n">
        <f aca="false">1+IF($G$8=$E$8,$F$8,IF(R310&lt;($F$8-$E$8)/($G$8-$E$8),$E$8+SQRT(R310*($G$8-$E$8)*($F$8-$E$8)),$G$8-SQRT((1-R310)*($G$8-$E$8)*($G$8-$F$8))))</f>
        <v>1</v>
      </c>
      <c r="E310" s="37" t="n">
        <f aca="false">1+IF($G$9=$E$9,$F$9,IF(S310&lt;($F$9-$E$9)/($G$9-$E$9),$E$9+SQRT(S310*($G$9-$E$9)*($F$9-$E$9)),$G$9-SQRT((1-S310)*($G$9-$E$9)*($G$9-$F$9))))</f>
        <v>1</v>
      </c>
      <c r="F310" s="37" t="n">
        <f aca="false">1+IF($G$10=$E$10,$F$10,IF(T310&lt;($F$10-$E$10)/($G$10-$E$10),$E$10+SQRT(T310*($G$10-$E$10)*($F$10-$E$10)),$G$10-SQRT((1-T310)*($G$10-$E$10)*($G$10-$F$10))))</f>
        <v>1</v>
      </c>
      <c r="G310" s="38" t="n">
        <f aca="false">IF($G$11=$E$11,$F$11,IF(U310&lt;($F$11-$E$11)/($G$11-$E$11),$E$11+SQRT(U310*($G$11-$E$11)*($F$11-$E$11)),$G$11-SQRT((1-U310)*($G$11-$E$11)*($G$11-$F$11))))</f>
        <v>0</v>
      </c>
      <c r="H310" s="39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0</v>
      </c>
      <c r="I310" s="39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0</v>
      </c>
      <c r="J310" s="39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0</v>
      </c>
      <c r="K310" s="39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0</v>
      </c>
      <c r="L310" s="39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0</v>
      </c>
      <c r="M310" s="39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0</v>
      </c>
      <c r="N310" s="39" t="str">
        <f aca="false">IF(COUNT('Business Case'!B11:G11)=0,"",H310+NPV(G310,I310:M310))</f>
        <v/>
      </c>
      <c r="P310" s="40" t="n">
        <f aca="true">RAND()</f>
        <v>0.0141815303393524</v>
      </c>
      <c r="Q310" s="40" t="n">
        <f aca="true">RAND()</f>
        <v>0.240731463626109</v>
      </c>
      <c r="R310" s="40" t="n">
        <f aca="true">RAND()</f>
        <v>0.739975929338021</v>
      </c>
      <c r="S310" s="40" t="n">
        <f aca="true">RAND()</f>
        <v>0.479727241076919</v>
      </c>
      <c r="T310" s="40" t="n">
        <f aca="true">RAND()</f>
        <v>0.117853354325142</v>
      </c>
      <c r="U310" s="40" t="n">
        <f aca="true">RAND()</f>
        <v>0.0178590882615234</v>
      </c>
    </row>
    <row r="311" customFormat="false" ht="15" hidden="false" customHeight="false" outlineLevel="0" collapsed="false">
      <c r="A311" s="36" t="n">
        <v>231</v>
      </c>
      <c r="B311" s="37" t="n">
        <f aca="false">1+IF($G$6=$E$6,$F$6,IF(P311&lt;($F$6-$E$6)/($G$6-$E$6),$E$6+SQRT(P311*($G$6-$E$6)*($F$6-$E$6)),$G$6-SQRT((1-P311)*($G$6-$E$6)*($G$6-$F$6))))</f>
        <v>1</v>
      </c>
      <c r="C311" s="37" t="n">
        <f aca="false">1+IF($G$7=$E$7,$F$7,IF(Q311&lt;($F$7-$E$7)/($G$7-$E$7),$E$7+SQRT(Q311*($G$7-$E$7)*($F$7-$E$7)),$G$7-SQRT((1-Q311)*($G$7-$E$7)*($G$7-$F$7))))</f>
        <v>1</v>
      </c>
      <c r="D311" s="37" t="n">
        <f aca="false">1+IF($G$8=$E$8,$F$8,IF(R311&lt;($F$8-$E$8)/($G$8-$E$8),$E$8+SQRT(R311*($G$8-$E$8)*($F$8-$E$8)),$G$8-SQRT((1-R311)*($G$8-$E$8)*($G$8-$F$8))))</f>
        <v>1</v>
      </c>
      <c r="E311" s="37" t="n">
        <f aca="false">1+IF($G$9=$E$9,$F$9,IF(S311&lt;($F$9-$E$9)/($G$9-$E$9),$E$9+SQRT(S311*($G$9-$E$9)*($F$9-$E$9)),$G$9-SQRT((1-S311)*($G$9-$E$9)*($G$9-$F$9))))</f>
        <v>1</v>
      </c>
      <c r="F311" s="37" t="n">
        <f aca="false">1+IF($G$10=$E$10,$F$10,IF(T311&lt;($F$10-$E$10)/($G$10-$E$10),$E$10+SQRT(T311*($G$10-$E$10)*($F$10-$E$10)),$G$10-SQRT((1-T311)*($G$10-$E$10)*($G$10-$F$10))))</f>
        <v>1</v>
      </c>
      <c r="G311" s="38" t="n">
        <f aca="false">IF($G$11=$E$11,$F$11,IF(U311&lt;($F$11-$E$11)/($G$11-$E$11),$E$11+SQRT(U311*($G$11-$E$11)*($F$11-$E$11)),$G$11-SQRT((1-U311)*($G$11-$E$11)*($G$11-$F$11))))</f>
        <v>0</v>
      </c>
      <c r="H311" s="39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0</v>
      </c>
      <c r="I311" s="39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0</v>
      </c>
      <c r="J311" s="39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0</v>
      </c>
      <c r="K311" s="39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0</v>
      </c>
      <c r="L311" s="39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0</v>
      </c>
      <c r="M311" s="39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0</v>
      </c>
      <c r="N311" s="39" t="str">
        <f aca="false">IF(COUNT('Business Case'!B11:G11)=0,"",H311+NPV(G311,I311:M311))</f>
        <v/>
      </c>
      <c r="P311" s="40" t="n">
        <f aca="true">RAND()</f>
        <v>0.411554791409522</v>
      </c>
      <c r="Q311" s="40" t="n">
        <f aca="true">RAND()</f>
        <v>0.260911237724954</v>
      </c>
      <c r="R311" s="40" t="n">
        <f aca="true">RAND()</f>
        <v>0.470541936861167</v>
      </c>
      <c r="S311" s="40" t="n">
        <f aca="true">RAND()</f>
        <v>0.90273685167237</v>
      </c>
      <c r="T311" s="40" t="n">
        <f aca="true">RAND()</f>
        <v>0.572666267218751</v>
      </c>
      <c r="U311" s="40" t="n">
        <f aca="true">RAND()</f>
        <v>0.572572913049742</v>
      </c>
    </row>
    <row r="312" customFormat="false" ht="15" hidden="false" customHeight="false" outlineLevel="0" collapsed="false">
      <c r="A312" s="36" t="n">
        <v>232</v>
      </c>
      <c r="B312" s="37" t="n">
        <f aca="false">1+IF($G$6=$E$6,$F$6,IF(P312&lt;($F$6-$E$6)/($G$6-$E$6),$E$6+SQRT(P312*($G$6-$E$6)*($F$6-$E$6)),$G$6-SQRT((1-P312)*($G$6-$E$6)*($G$6-$F$6))))</f>
        <v>1</v>
      </c>
      <c r="C312" s="37" t="n">
        <f aca="false">1+IF($G$7=$E$7,$F$7,IF(Q312&lt;($F$7-$E$7)/($G$7-$E$7),$E$7+SQRT(Q312*($G$7-$E$7)*($F$7-$E$7)),$G$7-SQRT((1-Q312)*($G$7-$E$7)*($G$7-$F$7))))</f>
        <v>1</v>
      </c>
      <c r="D312" s="37" t="n">
        <f aca="false">1+IF($G$8=$E$8,$F$8,IF(R312&lt;($F$8-$E$8)/($G$8-$E$8),$E$8+SQRT(R312*($G$8-$E$8)*($F$8-$E$8)),$G$8-SQRT((1-R312)*($G$8-$E$8)*($G$8-$F$8))))</f>
        <v>1</v>
      </c>
      <c r="E312" s="37" t="n">
        <f aca="false">1+IF($G$9=$E$9,$F$9,IF(S312&lt;($F$9-$E$9)/($G$9-$E$9),$E$9+SQRT(S312*($G$9-$E$9)*($F$9-$E$9)),$G$9-SQRT((1-S312)*($G$9-$E$9)*($G$9-$F$9))))</f>
        <v>1</v>
      </c>
      <c r="F312" s="37" t="n">
        <f aca="false">1+IF($G$10=$E$10,$F$10,IF(T312&lt;($F$10-$E$10)/($G$10-$E$10),$E$10+SQRT(T312*($G$10-$E$10)*($F$10-$E$10)),$G$10-SQRT((1-T312)*($G$10-$E$10)*($G$10-$F$10))))</f>
        <v>1</v>
      </c>
      <c r="G312" s="38" t="n">
        <f aca="false">IF($G$11=$E$11,$F$11,IF(U312&lt;($F$11-$E$11)/($G$11-$E$11),$E$11+SQRT(U312*($G$11-$E$11)*($F$11-$E$11)),$G$11-SQRT((1-U312)*($G$11-$E$11)*($G$11-$F$11))))</f>
        <v>0</v>
      </c>
      <c r="H312" s="39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0</v>
      </c>
      <c r="I312" s="39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0</v>
      </c>
      <c r="J312" s="39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0</v>
      </c>
      <c r="K312" s="39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0</v>
      </c>
      <c r="L312" s="39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0</v>
      </c>
      <c r="M312" s="39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0</v>
      </c>
      <c r="N312" s="39" t="str">
        <f aca="false">IF(COUNT('Business Case'!B11:G11)=0,"",H312+NPV(G312,I312:M312))</f>
        <v/>
      </c>
      <c r="P312" s="40" t="n">
        <f aca="true">RAND()</f>
        <v>0.0571487967657792</v>
      </c>
      <c r="Q312" s="40" t="n">
        <f aca="true">RAND()</f>
        <v>0.211156544503719</v>
      </c>
      <c r="R312" s="40" t="n">
        <f aca="true">RAND()</f>
        <v>0.669657678510508</v>
      </c>
      <c r="S312" s="40" t="n">
        <f aca="true">RAND()</f>
        <v>0.0325877806917507</v>
      </c>
      <c r="T312" s="40" t="n">
        <f aca="true">RAND()</f>
        <v>0.963327101176311</v>
      </c>
      <c r="U312" s="40" t="n">
        <f aca="true">RAND()</f>
        <v>0.570548397017858</v>
      </c>
    </row>
    <row r="313" customFormat="false" ht="15" hidden="false" customHeight="false" outlineLevel="0" collapsed="false">
      <c r="A313" s="36" t="n">
        <v>233</v>
      </c>
      <c r="B313" s="37" t="n">
        <f aca="false">1+IF($G$6=$E$6,$F$6,IF(P313&lt;($F$6-$E$6)/($G$6-$E$6),$E$6+SQRT(P313*($G$6-$E$6)*($F$6-$E$6)),$G$6-SQRT((1-P313)*($G$6-$E$6)*($G$6-$F$6))))</f>
        <v>1</v>
      </c>
      <c r="C313" s="37" t="n">
        <f aca="false">1+IF($G$7=$E$7,$F$7,IF(Q313&lt;($F$7-$E$7)/($G$7-$E$7),$E$7+SQRT(Q313*($G$7-$E$7)*($F$7-$E$7)),$G$7-SQRT((1-Q313)*($G$7-$E$7)*($G$7-$F$7))))</f>
        <v>1</v>
      </c>
      <c r="D313" s="37" t="n">
        <f aca="false">1+IF($G$8=$E$8,$F$8,IF(R313&lt;($F$8-$E$8)/($G$8-$E$8),$E$8+SQRT(R313*($G$8-$E$8)*($F$8-$E$8)),$G$8-SQRT((1-R313)*($G$8-$E$8)*($G$8-$F$8))))</f>
        <v>1</v>
      </c>
      <c r="E313" s="37" t="n">
        <f aca="false">1+IF($G$9=$E$9,$F$9,IF(S313&lt;($F$9-$E$9)/($G$9-$E$9),$E$9+SQRT(S313*($G$9-$E$9)*($F$9-$E$9)),$G$9-SQRT((1-S313)*($G$9-$E$9)*($G$9-$F$9))))</f>
        <v>1</v>
      </c>
      <c r="F313" s="37" t="n">
        <f aca="false">1+IF($G$10=$E$10,$F$10,IF(T313&lt;($F$10-$E$10)/($G$10-$E$10),$E$10+SQRT(T313*($G$10-$E$10)*($F$10-$E$10)),$G$10-SQRT((1-T313)*($G$10-$E$10)*($G$10-$F$10))))</f>
        <v>1</v>
      </c>
      <c r="G313" s="38" t="n">
        <f aca="false">IF($G$11=$E$11,$F$11,IF(U313&lt;($F$11-$E$11)/($G$11-$E$11),$E$11+SQRT(U313*($G$11-$E$11)*($F$11-$E$11)),$G$11-SQRT((1-U313)*($G$11-$E$11)*($G$11-$F$11))))</f>
        <v>0</v>
      </c>
      <c r="H313" s="39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0</v>
      </c>
      <c r="I313" s="39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0</v>
      </c>
      <c r="J313" s="39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0</v>
      </c>
      <c r="K313" s="39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0</v>
      </c>
      <c r="L313" s="39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0</v>
      </c>
      <c r="M313" s="39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0</v>
      </c>
      <c r="N313" s="39" t="str">
        <f aca="false">IF(COUNT('Business Case'!B11:G11)=0,"",H313+NPV(G313,I313:M313))</f>
        <v/>
      </c>
      <c r="P313" s="40" t="n">
        <f aca="true">RAND()</f>
        <v>0.0608662056474471</v>
      </c>
      <c r="Q313" s="40" t="n">
        <f aca="true">RAND()</f>
        <v>0.303281852742865</v>
      </c>
      <c r="R313" s="40" t="n">
        <f aca="true">RAND()</f>
        <v>0.390335079120026</v>
      </c>
      <c r="S313" s="40" t="n">
        <f aca="true">RAND()</f>
        <v>0.670311043761153</v>
      </c>
      <c r="T313" s="40" t="n">
        <f aca="true">RAND()</f>
        <v>0.00600588327076793</v>
      </c>
      <c r="U313" s="40" t="n">
        <f aca="true">RAND()</f>
        <v>0.879624327121852</v>
      </c>
    </row>
    <row r="314" customFormat="false" ht="15" hidden="false" customHeight="false" outlineLevel="0" collapsed="false">
      <c r="A314" s="36" t="n">
        <v>234</v>
      </c>
      <c r="B314" s="37" t="n">
        <f aca="false">1+IF($G$6=$E$6,$F$6,IF(P314&lt;($F$6-$E$6)/($G$6-$E$6),$E$6+SQRT(P314*($G$6-$E$6)*($F$6-$E$6)),$G$6-SQRT((1-P314)*($G$6-$E$6)*($G$6-$F$6))))</f>
        <v>1</v>
      </c>
      <c r="C314" s="37" t="n">
        <f aca="false">1+IF($G$7=$E$7,$F$7,IF(Q314&lt;($F$7-$E$7)/($G$7-$E$7),$E$7+SQRT(Q314*($G$7-$E$7)*($F$7-$E$7)),$G$7-SQRT((1-Q314)*($G$7-$E$7)*($G$7-$F$7))))</f>
        <v>1</v>
      </c>
      <c r="D314" s="37" t="n">
        <f aca="false">1+IF($G$8=$E$8,$F$8,IF(R314&lt;($F$8-$E$8)/($G$8-$E$8),$E$8+SQRT(R314*($G$8-$E$8)*($F$8-$E$8)),$G$8-SQRT((1-R314)*($G$8-$E$8)*($G$8-$F$8))))</f>
        <v>1</v>
      </c>
      <c r="E314" s="37" t="n">
        <f aca="false">1+IF($G$9=$E$9,$F$9,IF(S314&lt;($F$9-$E$9)/($G$9-$E$9),$E$9+SQRT(S314*($G$9-$E$9)*($F$9-$E$9)),$G$9-SQRT((1-S314)*($G$9-$E$9)*($G$9-$F$9))))</f>
        <v>1</v>
      </c>
      <c r="F314" s="37" t="n">
        <f aca="false">1+IF($G$10=$E$10,$F$10,IF(T314&lt;($F$10-$E$10)/($G$10-$E$10),$E$10+SQRT(T314*($G$10-$E$10)*($F$10-$E$10)),$G$10-SQRT((1-T314)*($G$10-$E$10)*($G$10-$F$10))))</f>
        <v>1</v>
      </c>
      <c r="G314" s="38" t="n">
        <f aca="false">IF($G$11=$E$11,$F$11,IF(U314&lt;($F$11-$E$11)/($G$11-$E$11),$E$11+SQRT(U314*($G$11-$E$11)*($F$11-$E$11)),$G$11-SQRT((1-U314)*($G$11-$E$11)*($G$11-$F$11))))</f>
        <v>0</v>
      </c>
      <c r="H314" s="39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0</v>
      </c>
      <c r="I314" s="39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0</v>
      </c>
      <c r="J314" s="39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0</v>
      </c>
      <c r="K314" s="39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0</v>
      </c>
      <c r="L314" s="39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0</v>
      </c>
      <c r="M314" s="39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0</v>
      </c>
      <c r="N314" s="39" t="str">
        <f aca="false">IF(COUNT('Business Case'!B11:G11)=0,"",H314+NPV(G314,I314:M314))</f>
        <v/>
      </c>
      <c r="P314" s="40" t="n">
        <f aca="true">RAND()</f>
        <v>0.437735897578652</v>
      </c>
      <c r="Q314" s="40" t="n">
        <f aca="true">RAND()</f>
        <v>0.816770602075589</v>
      </c>
      <c r="R314" s="40" t="n">
        <f aca="true">RAND()</f>
        <v>0.776563215890751</v>
      </c>
      <c r="S314" s="40" t="n">
        <f aca="true">RAND()</f>
        <v>0.00702021018095677</v>
      </c>
      <c r="T314" s="40" t="n">
        <f aca="true">RAND()</f>
        <v>0.773283475406122</v>
      </c>
      <c r="U314" s="40" t="n">
        <f aca="true">RAND()</f>
        <v>0.527915756154979</v>
      </c>
    </row>
    <row r="315" customFormat="false" ht="15" hidden="false" customHeight="false" outlineLevel="0" collapsed="false">
      <c r="A315" s="36" t="n">
        <v>235</v>
      </c>
      <c r="B315" s="37" t="n">
        <f aca="false">1+IF($G$6=$E$6,$F$6,IF(P315&lt;($F$6-$E$6)/($G$6-$E$6),$E$6+SQRT(P315*($G$6-$E$6)*($F$6-$E$6)),$G$6-SQRT((1-P315)*($G$6-$E$6)*($G$6-$F$6))))</f>
        <v>1</v>
      </c>
      <c r="C315" s="37" t="n">
        <f aca="false">1+IF($G$7=$E$7,$F$7,IF(Q315&lt;($F$7-$E$7)/($G$7-$E$7),$E$7+SQRT(Q315*($G$7-$E$7)*($F$7-$E$7)),$G$7-SQRT((1-Q315)*($G$7-$E$7)*($G$7-$F$7))))</f>
        <v>1</v>
      </c>
      <c r="D315" s="37" t="n">
        <f aca="false">1+IF($G$8=$E$8,$F$8,IF(R315&lt;($F$8-$E$8)/($G$8-$E$8),$E$8+SQRT(R315*($G$8-$E$8)*($F$8-$E$8)),$G$8-SQRT((1-R315)*($G$8-$E$8)*($G$8-$F$8))))</f>
        <v>1</v>
      </c>
      <c r="E315" s="37" t="n">
        <f aca="false">1+IF($G$9=$E$9,$F$9,IF(S315&lt;($F$9-$E$9)/($G$9-$E$9),$E$9+SQRT(S315*($G$9-$E$9)*($F$9-$E$9)),$G$9-SQRT((1-S315)*($G$9-$E$9)*($G$9-$F$9))))</f>
        <v>1</v>
      </c>
      <c r="F315" s="37" t="n">
        <f aca="false">1+IF($G$10=$E$10,$F$10,IF(T315&lt;($F$10-$E$10)/($G$10-$E$10),$E$10+SQRT(T315*($G$10-$E$10)*($F$10-$E$10)),$G$10-SQRT((1-T315)*($G$10-$E$10)*($G$10-$F$10))))</f>
        <v>1</v>
      </c>
      <c r="G315" s="38" t="n">
        <f aca="false">IF($G$11=$E$11,$F$11,IF(U315&lt;($F$11-$E$11)/($G$11-$E$11),$E$11+SQRT(U315*($G$11-$E$11)*($F$11-$E$11)),$G$11-SQRT((1-U315)*($G$11-$E$11)*($G$11-$F$11))))</f>
        <v>0</v>
      </c>
      <c r="H315" s="39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0</v>
      </c>
      <c r="I315" s="39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0</v>
      </c>
      <c r="J315" s="39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0</v>
      </c>
      <c r="K315" s="39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0</v>
      </c>
      <c r="L315" s="39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0</v>
      </c>
      <c r="M315" s="39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0</v>
      </c>
      <c r="N315" s="39" t="str">
        <f aca="false">IF(COUNT('Business Case'!B11:G11)=0,"",H315+NPV(G315,I315:M315))</f>
        <v/>
      </c>
      <c r="P315" s="40" t="n">
        <f aca="true">RAND()</f>
        <v>0.624121627743277</v>
      </c>
      <c r="Q315" s="40" t="n">
        <f aca="true">RAND()</f>
        <v>0.785017133303099</v>
      </c>
      <c r="R315" s="40" t="n">
        <f aca="true">RAND()</f>
        <v>0.0475546727845314</v>
      </c>
      <c r="S315" s="40" t="n">
        <f aca="true">RAND()</f>
        <v>0.712837762741228</v>
      </c>
      <c r="T315" s="40" t="n">
        <f aca="true">RAND()</f>
        <v>0.863511839289363</v>
      </c>
      <c r="U315" s="40" t="n">
        <f aca="true">RAND()</f>
        <v>0.215438861992137</v>
      </c>
    </row>
    <row r="316" customFormat="false" ht="15" hidden="false" customHeight="false" outlineLevel="0" collapsed="false">
      <c r="A316" s="36" t="n">
        <v>236</v>
      </c>
      <c r="B316" s="37" t="n">
        <f aca="false">1+IF($G$6=$E$6,$F$6,IF(P316&lt;($F$6-$E$6)/($G$6-$E$6),$E$6+SQRT(P316*($G$6-$E$6)*($F$6-$E$6)),$G$6-SQRT((1-P316)*($G$6-$E$6)*($G$6-$F$6))))</f>
        <v>1</v>
      </c>
      <c r="C316" s="37" t="n">
        <f aca="false">1+IF($G$7=$E$7,$F$7,IF(Q316&lt;($F$7-$E$7)/($G$7-$E$7),$E$7+SQRT(Q316*($G$7-$E$7)*($F$7-$E$7)),$G$7-SQRT((1-Q316)*($G$7-$E$7)*($G$7-$F$7))))</f>
        <v>1</v>
      </c>
      <c r="D316" s="37" t="n">
        <f aca="false">1+IF($G$8=$E$8,$F$8,IF(R316&lt;($F$8-$E$8)/($G$8-$E$8),$E$8+SQRT(R316*($G$8-$E$8)*($F$8-$E$8)),$G$8-SQRT((1-R316)*($G$8-$E$8)*($G$8-$F$8))))</f>
        <v>1</v>
      </c>
      <c r="E316" s="37" t="n">
        <f aca="false">1+IF($G$9=$E$9,$F$9,IF(S316&lt;($F$9-$E$9)/($G$9-$E$9),$E$9+SQRT(S316*($G$9-$E$9)*($F$9-$E$9)),$G$9-SQRT((1-S316)*($G$9-$E$9)*($G$9-$F$9))))</f>
        <v>1</v>
      </c>
      <c r="F316" s="37" t="n">
        <f aca="false">1+IF($G$10=$E$10,$F$10,IF(T316&lt;($F$10-$E$10)/($G$10-$E$10),$E$10+SQRT(T316*($G$10-$E$10)*($F$10-$E$10)),$G$10-SQRT((1-T316)*($G$10-$E$10)*($G$10-$F$10))))</f>
        <v>1</v>
      </c>
      <c r="G316" s="38" t="n">
        <f aca="false">IF($G$11=$E$11,$F$11,IF(U316&lt;($F$11-$E$11)/($G$11-$E$11),$E$11+SQRT(U316*($G$11-$E$11)*($F$11-$E$11)),$G$11-SQRT((1-U316)*($G$11-$E$11)*($G$11-$F$11))))</f>
        <v>0</v>
      </c>
      <c r="H316" s="39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0</v>
      </c>
      <c r="I316" s="39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0</v>
      </c>
      <c r="J316" s="39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0</v>
      </c>
      <c r="K316" s="39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0</v>
      </c>
      <c r="L316" s="39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0</v>
      </c>
      <c r="M316" s="39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0</v>
      </c>
      <c r="N316" s="39" t="str">
        <f aca="false">IF(COUNT('Business Case'!B11:G11)=0,"",H316+NPV(G316,I316:M316))</f>
        <v/>
      </c>
      <c r="P316" s="40" t="n">
        <f aca="true">RAND()</f>
        <v>0.357930410416736</v>
      </c>
      <c r="Q316" s="40" t="n">
        <f aca="true">RAND()</f>
        <v>0.656978588865661</v>
      </c>
      <c r="R316" s="40" t="n">
        <f aca="true">RAND()</f>
        <v>0.812218387399853</v>
      </c>
      <c r="S316" s="40" t="n">
        <f aca="true">RAND()</f>
        <v>0.372478551857785</v>
      </c>
      <c r="T316" s="40" t="n">
        <f aca="true">RAND()</f>
        <v>0.79534895828913</v>
      </c>
      <c r="U316" s="40" t="n">
        <f aca="true">RAND()</f>
        <v>0.393823616450293</v>
      </c>
    </row>
    <row r="317" customFormat="false" ht="15" hidden="false" customHeight="false" outlineLevel="0" collapsed="false">
      <c r="A317" s="36" t="n">
        <v>237</v>
      </c>
      <c r="B317" s="37" t="n">
        <f aca="false">1+IF($G$6=$E$6,$F$6,IF(P317&lt;($F$6-$E$6)/($G$6-$E$6),$E$6+SQRT(P317*($G$6-$E$6)*($F$6-$E$6)),$G$6-SQRT((1-P317)*($G$6-$E$6)*($G$6-$F$6))))</f>
        <v>1</v>
      </c>
      <c r="C317" s="37" t="n">
        <f aca="false">1+IF($G$7=$E$7,$F$7,IF(Q317&lt;($F$7-$E$7)/($G$7-$E$7),$E$7+SQRT(Q317*($G$7-$E$7)*($F$7-$E$7)),$G$7-SQRT((1-Q317)*($G$7-$E$7)*($G$7-$F$7))))</f>
        <v>1</v>
      </c>
      <c r="D317" s="37" t="n">
        <f aca="false">1+IF($G$8=$E$8,$F$8,IF(R317&lt;($F$8-$E$8)/($G$8-$E$8),$E$8+SQRT(R317*($G$8-$E$8)*($F$8-$E$8)),$G$8-SQRT((1-R317)*($G$8-$E$8)*($G$8-$F$8))))</f>
        <v>1</v>
      </c>
      <c r="E317" s="37" t="n">
        <f aca="false">1+IF($G$9=$E$9,$F$9,IF(S317&lt;($F$9-$E$9)/($G$9-$E$9),$E$9+SQRT(S317*($G$9-$E$9)*($F$9-$E$9)),$G$9-SQRT((1-S317)*($G$9-$E$9)*($G$9-$F$9))))</f>
        <v>1</v>
      </c>
      <c r="F317" s="37" t="n">
        <f aca="false">1+IF($G$10=$E$10,$F$10,IF(T317&lt;($F$10-$E$10)/($G$10-$E$10),$E$10+SQRT(T317*($G$10-$E$10)*($F$10-$E$10)),$G$10-SQRT((1-T317)*($G$10-$E$10)*($G$10-$F$10))))</f>
        <v>1</v>
      </c>
      <c r="G317" s="38" t="n">
        <f aca="false">IF($G$11=$E$11,$F$11,IF(U317&lt;($F$11-$E$11)/($G$11-$E$11),$E$11+SQRT(U317*($G$11-$E$11)*($F$11-$E$11)),$G$11-SQRT((1-U317)*($G$11-$E$11)*($G$11-$F$11))))</f>
        <v>0</v>
      </c>
      <c r="H317" s="39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0</v>
      </c>
      <c r="I317" s="39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0</v>
      </c>
      <c r="J317" s="39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0</v>
      </c>
      <c r="K317" s="39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0</v>
      </c>
      <c r="L317" s="39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0</v>
      </c>
      <c r="M317" s="39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0</v>
      </c>
      <c r="N317" s="39" t="str">
        <f aca="false">IF(COUNT('Business Case'!B11:G11)=0,"",H317+NPV(G317,I317:M317))</f>
        <v/>
      </c>
      <c r="P317" s="40" t="n">
        <f aca="true">RAND()</f>
        <v>0.0877814006094466</v>
      </c>
      <c r="Q317" s="40" t="n">
        <f aca="true">RAND()</f>
        <v>0.996991465940989</v>
      </c>
      <c r="R317" s="40" t="n">
        <f aca="true">RAND()</f>
        <v>0.74874518353607</v>
      </c>
      <c r="S317" s="40" t="n">
        <f aca="true">RAND()</f>
        <v>0.724533960267961</v>
      </c>
      <c r="T317" s="40" t="n">
        <f aca="true">RAND()</f>
        <v>0.670227796087495</v>
      </c>
      <c r="U317" s="40" t="n">
        <f aca="true">RAND()</f>
        <v>0.890783558424232</v>
      </c>
    </row>
    <row r="318" customFormat="false" ht="15" hidden="false" customHeight="false" outlineLevel="0" collapsed="false">
      <c r="A318" s="36" t="n">
        <v>238</v>
      </c>
      <c r="B318" s="37" t="n">
        <f aca="false">1+IF($G$6=$E$6,$F$6,IF(P318&lt;($F$6-$E$6)/($G$6-$E$6),$E$6+SQRT(P318*($G$6-$E$6)*($F$6-$E$6)),$G$6-SQRT((1-P318)*($G$6-$E$6)*($G$6-$F$6))))</f>
        <v>1</v>
      </c>
      <c r="C318" s="37" t="n">
        <f aca="false">1+IF($G$7=$E$7,$F$7,IF(Q318&lt;($F$7-$E$7)/($G$7-$E$7),$E$7+SQRT(Q318*($G$7-$E$7)*($F$7-$E$7)),$G$7-SQRT((1-Q318)*($G$7-$E$7)*($G$7-$F$7))))</f>
        <v>1</v>
      </c>
      <c r="D318" s="37" t="n">
        <f aca="false">1+IF($G$8=$E$8,$F$8,IF(R318&lt;($F$8-$E$8)/($G$8-$E$8),$E$8+SQRT(R318*($G$8-$E$8)*($F$8-$E$8)),$G$8-SQRT((1-R318)*($G$8-$E$8)*($G$8-$F$8))))</f>
        <v>1</v>
      </c>
      <c r="E318" s="37" t="n">
        <f aca="false">1+IF($G$9=$E$9,$F$9,IF(S318&lt;($F$9-$E$9)/($G$9-$E$9),$E$9+SQRT(S318*($G$9-$E$9)*($F$9-$E$9)),$G$9-SQRT((1-S318)*($G$9-$E$9)*($G$9-$F$9))))</f>
        <v>1</v>
      </c>
      <c r="F318" s="37" t="n">
        <f aca="false">1+IF($G$10=$E$10,$F$10,IF(T318&lt;($F$10-$E$10)/($G$10-$E$10),$E$10+SQRT(T318*($G$10-$E$10)*($F$10-$E$10)),$G$10-SQRT((1-T318)*($G$10-$E$10)*($G$10-$F$10))))</f>
        <v>1</v>
      </c>
      <c r="G318" s="38" t="n">
        <f aca="false">IF($G$11=$E$11,$F$11,IF(U318&lt;($F$11-$E$11)/($G$11-$E$11),$E$11+SQRT(U318*($G$11-$E$11)*($F$11-$E$11)),$G$11-SQRT((1-U318)*($G$11-$E$11)*($G$11-$F$11))))</f>
        <v>0</v>
      </c>
      <c r="H318" s="39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0</v>
      </c>
      <c r="I318" s="39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0</v>
      </c>
      <c r="J318" s="39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0</v>
      </c>
      <c r="K318" s="39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0</v>
      </c>
      <c r="L318" s="39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0</v>
      </c>
      <c r="M318" s="39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0</v>
      </c>
      <c r="N318" s="39" t="str">
        <f aca="false">IF(COUNT('Business Case'!B11:G11)=0,"",H318+NPV(G318,I318:M318))</f>
        <v/>
      </c>
      <c r="P318" s="40" t="n">
        <f aca="true">RAND()</f>
        <v>0.190275945008539</v>
      </c>
      <c r="Q318" s="40" t="n">
        <f aca="true">RAND()</f>
        <v>0.865893401348686</v>
      </c>
      <c r="R318" s="40" t="n">
        <f aca="true">RAND()</f>
        <v>0.303744463195646</v>
      </c>
      <c r="S318" s="40" t="n">
        <f aca="true">RAND()</f>
        <v>0.960174345352674</v>
      </c>
      <c r="T318" s="40" t="n">
        <f aca="true">RAND()</f>
        <v>0.653386173557444</v>
      </c>
      <c r="U318" s="40" t="n">
        <f aca="true">RAND()</f>
        <v>0.946437702561494</v>
      </c>
    </row>
    <row r="319" customFormat="false" ht="15" hidden="false" customHeight="false" outlineLevel="0" collapsed="false">
      <c r="A319" s="36" t="n">
        <v>239</v>
      </c>
      <c r="B319" s="37" t="n">
        <f aca="false">1+IF($G$6=$E$6,$F$6,IF(P319&lt;($F$6-$E$6)/($G$6-$E$6),$E$6+SQRT(P319*($G$6-$E$6)*($F$6-$E$6)),$G$6-SQRT((1-P319)*($G$6-$E$6)*($G$6-$F$6))))</f>
        <v>1</v>
      </c>
      <c r="C319" s="37" t="n">
        <f aca="false">1+IF($G$7=$E$7,$F$7,IF(Q319&lt;($F$7-$E$7)/($G$7-$E$7),$E$7+SQRT(Q319*($G$7-$E$7)*($F$7-$E$7)),$G$7-SQRT((1-Q319)*($G$7-$E$7)*($G$7-$F$7))))</f>
        <v>1</v>
      </c>
      <c r="D319" s="37" t="n">
        <f aca="false">1+IF($G$8=$E$8,$F$8,IF(R319&lt;($F$8-$E$8)/($G$8-$E$8),$E$8+SQRT(R319*($G$8-$E$8)*($F$8-$E$8)),$G$8-SQRT((1-R319)*($G$8-$E$8)*($G$8-$F$8))))</f>
        <v>1</v>
      </c>
      <c r="E319" s="37" t="n">
        <f aca="false">1+IF($G$9=$E$9,$F$9,IF(S319&lt;($F$9-$E$9)/($G$9-$E$9),$E$9+SQRT(S319*($G$9-$E$9)*($F$9-$E$9)),$G$9-SQRT((1-S319)*($G$9-$E$9)*($G$9-$F$9))))</f>
        <v>1</v>
      </c>
      <c r="F319" s="37" t="n">
        <f aca="false">1+IF($G$10=$E$10,$F$10,IF(T319&lt;($F$10-$E$10)/($G$10-$E$10),$E$10+SQRT(T319*($G$10-$E$10)*($F$10-$E$10)),$G$10-SQRT((1-T319)*($G$10-$E$10)*($G$10-$F$10))))</f>
        <v>1</v>
      </c>
      <c r="G319" s="38" t="n">
        <f aca="false">IF($G$11=$E$11,$F$11,IF(U319&lt;($F$11-$E$11)/($G$11-$E$11),$E$11+SQRT(U319*($G$11-$E$11)*($F$11-$E$11)),$G$11-SQRT((1-U319)*($G$11-$E$11)*($G$11-$F$11))))</f>
        <v>0</v>
      </c>
      <c r="H319" s="39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0</v>
      </c>
      <c r="I319" s="39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0</v>
      </c>
      <c r="J319" s="39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0</v>
      </c>
      <c r="K319" s="39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0</v>
      </c>
      <c r="L319" s="39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0</v>
      </c>
      <c r="M319" s="39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0</v>
      </c>
      <c r="N319" s="39" t="str">
        <f aca="false">IF(COUNT('Business Case'!B11:G11)=0,"",H319+NPV(G319,I319:M319))</f>
        <v/>
      </c>
      <c r="P319" s="40" t="n">
        <f aca="true">RAND()</f>
        <v>0.0328924228122488</v>
      </c>
      <c r="Q319" s="40" t="n">
        <f aca="true">RAND()</f>
        <v>0.274364835932616</v>
      </c>
      <c r="R319" s="40" t="n">
        <f aca="true">RAND()</f>
        <v>0.852724868231359</v>
      </c>
      <c r="S319" s="40" t="n">
        <f aca="true">RAND()</f>
        <v>0.400068141958736</v>
      </c>
      <c r="T319" s="40" t="n">
        <f aca="true">RAND()</f>
        <v>0.671405046530759</v>
      </c>
      <c r="U319" s="40" t="n">
        <f aca="true">RAND()</f>
        <v>0.88654156981332</v>
      </c>
    </row>
    <row r="320" customFormat="false" ht="15" hidden="false" customHeight="false" outlineLevel="0" collapsed="false">
      <c r="A320" s="36" t="n">
        <v>240</v>
      </c>
      <c r="B320" s="37" t="n">
        <f aca="false">1+IF($G$6=$E$6,$F$6,IF(P320&lt;($F$6-$E$6)/($G$6-$E$6),$E$6+SQRT(P320*($G$6-$E$6)*($F$6-$E$6)),$G$6-SQRT((1-P320)*($G$6-$E$6)*($G$6-$F$6))))</f>
        <v>1</v>
      </c>
      <c r="C320" s="37" t="n">
        <f aca="false">1+IF($G$7=$E$7,$F$7,IF(Q320&lt;($F$7-$E$7)/($G$7-$E$7),$E$7+SQRT(Q320*($G$7-$E$7)*($F$7-$E$7)),$G$7-SQRT((1-Q320)*($G$7-$E$7)*($G$7-$F$7))))</f>
        <v>1</v>
      </c>
      <c r="D320" s="37" t="n">
        <f aca="false">1+IF($G$8=$E$8,$F$8,IF(R320&lt;($F$8-$E$8)/($G$8-$E$8),$E$8+SQRT(R320*($G$8-$E$8)*($F$8-$E$8)),$G$8-SQRT((1-R320)*($G$8-$E$8)*($G$8-$F$8))))</f>
        <v>1</v>
      </c>
      <c r="E320" s="37" t="n">
        <f aca="false">1+IF($G$9=$E$9,$F$9,IF(S320&lt;($F$9-$E$9)/($G$9-$E$9),$E$9+SQRT(S320*($G$9-$E$9)*($F$9-$E$9)),$G$9-SQRT((1-S320)*($G$9-$E$9)*($G$9-$F$9))))</f>
        <v>1</v>
      </c>
      <c r="F320" s="37" t="n">
        <f aca="false">1+IF($G$10=$E$10,$F$10,IF(T320&lt;($F$10-$E$10)/($G$10-$E$10),$E$10+SQRT(T320*($G$10-$E$10)*($F$10-$E$10)),$G$10-SQRT((1-T320)*($G$10-$E$10)*($G$10-$F$10))))</f>
        <v>1</v>
      </c>
      <c r="G320" s="38" t="n">
        <f aca="false">IF($G$11=$E$11,$F$11,IF(U320&lt;($F$11-$E$11)/($G$11-$E$11),$E$11+SQRT(U320*($G$11-$E$11)*($F$11-$E$11)),$G$11-SQRT((1-U320)*($G$11-$E$11)*($G$11-$F$11))))</f>
        <v>0</v>
      </c>
      <c r="H320" s="39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0</v>
      </c>
      <c r="I320" s="39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0</v>
      </c>
      <c r="J320" s="39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0</v>
      </c>
      <c r="K320" s="39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0</v>
      </c>
      <c r="L320" s="39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0</v>
      </c>
      <c r="M320" s="39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0</v>
      </c>
      <c r="N320" s="39" t="str">
        <f aca="false">IF(COUNT('Business Case'!B11:G11)=0,"",H320+NPV(G320,I320:M320))</f>
        <v/>
      </c>
      <c r="P320" s="40" t="n">
        <f aca="true">RAND()</f>
        <v>0.974893789598098</v>
      </c>
      <c r="Q320" s="40" t="n">
        <f aca="true">RAND()</f>
        <v>0.289963585981669</v>
      </c>
      <c r="R320" s="40" t="n">
        <f aca="true">RAND()</f>
        <v>0.449875072851997</v>
      </c>
      <c r="S320" s="40" t="n">
        <f aca="true">RAND()</f>
        <v>0.556312398891439</v>
      </c>
      <c r="T320" s="40" t="n">
        <f aca="true">RAND()</f>
        <v>0.0899902827219431</v>
      </c>
      <c r="U320" s="40" t="n">
        <f aca="true">RAND()</f>
        <v>0.137344515486574</v>
      </c>
    </row>
    <row r="321" customFormat="false" ht="15" hidden="false" customHeight="false" outlineLevel="0" collapsed="false">
      <c r="A321" s="36" t="n">
        <v>241</v>
      </c>
      <c r="B321" s="37" t="n">
        <f aca="false">1+IF($G$6=$E$6,$F$6,IF(P321&lt;($F$6-$E$6)/($G$6-$E$6),$E$6+SQRT(P321*($G$6-$E$6)*($F$6-$E$6)),$G$6-SQRT((1-P321)*($G$6-$E$6)*($G$6-$F$6))))</f>
        <v>1</v>
      </c>
      <c r="C321" s="37" t="n">
        <f aca="false">1+IF($G$7=$E$7,$F$7,IF(Q321&lt;($F$7-$E$7)/($G$7-$E$7),$E$7+SQRT(Q321*($G$7-$E$7)*($F$7-$E$7)),$G$7-SQRT((1-Q321)*($G$7-$E$7)*($G$7-$F$7))))</f>
        <v>1</v>
      </c>
      <c r="D321" s="37" t="n">
        <f aca="false">1+IF($G$8=$E$8,$F$8,IF(R321&lt;($F$8-$E$8)/($G$8-$E$8),$E$8+SQRT(R321*($G$8-$E$8)*($F$8-$E$8)),$G$8-SQRT((1-R321)*($G$8-$E$8)*($G$8-$F$8))))</f>
        <v>1</v>
      </c>
      <c r="E321" s="37" t="n">
        <f aca="false">1+IF($G$9=$E$9,$F$9,IF(S321&lt;($F$9-$E$9)/($G$9-$E$9),$E$9+SQRT(S321*($G$9-$E$9)*($F$9-$E$9)),$G$9-SQRT((1-S321)*($G$9-$E$9)*($G$9-$F$9))))</f>
        <v>1</v>
      </c>
      <c r="F321" s="37" t="n">
        <f aca="false">1+IF($G$10=$E$10,$F$10,IF(T321&lt;($F$10-$E$10)/($G$10-$E$10),$E$10+SQRT(T321*($G$10-$E$10)*($F$10-$E$10)),$G$10-SQRT((1-T321)*($G$10-$E$10)*($G$10-$F$10))))</f>
        <v>1</v>
      </c>
      <c r="G321" s="38" t="n">
        <f aca="false">IF($G$11=$E$11,$F$11,IF(U321&lt;($F$11-$E$11)/($G$11-$E$11),$E$11+SQRT(U321*($G$11-$E$11)*($F$11-$E$11)),$G$11-SQRT((1-U321)*($G$11-$E$11)*($G$11-$F$11))))</f>
        <v>0</v>
      </c>
      <c r="H321" s="39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0</v>
      </c>
      <c r="I321" s="39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0</v>
      </c>
      <c r="J321" s="39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0</v>
      </c>
      <c r="K321" s="39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0</v>
      </c>
      <c r="L321" s="39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0</v>
      </c>
      <c r="M321" s="39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0</v>
      </c>
      <c r="N321" s="39" t="str">
        <f aca="false">IF(COUNT('Business Case'!B11:G11)=0,"",H321+NPV(G321,I321:M321))</f>
        <v/>
      </c>
      <c r="P321" s="40" t="n">
        <f aca="true">RAND()</f>
        <v>0.740323774144684</v>
      </c>
      <c r="Q321" s="40" t="n">
        <f aca="true">RAND()</f>
        <v>0.173846115532891</v>
      </c>
      <c r="R321" s="40" t="n">
        <f aca="true">RAND()</f>
        <v>0.967624473696547</v>
      </c>
      <c r="S321" s="40" t="n">
        <f aca="true">RAND()</f>
        <v>0.697867527915563</v>
      </c>
      <c r="T321" s="40" t="n">
        <f aca="true">RAND()</f>
        <v>0.443659612045731</v>
      </c>
      <c r="U321" s="40" t="n">
        <f aca="true">RAND()</f>
        <v>0.587549915190559</v>
      </c>
    </row>
    <row r="322" customFormat="false" ht="15" hidden="false" customHeight="false" outlineLevel="0" collapsed="false">
      <c r="A322" s="36" t="n">
        <v>242</v>
      </c>
      <c r="B322" s="37" t="n">
        <f aca="false">1+IF($G$6=$E$6,$F$6,IF(P322&lt;($F$6-$E$6)/($G$6-$E$6),$E$6+SQRT(P322*($G$6-$E$6)*($F$6-$E$6)),$G$6-SQRT((1-P322)*($G$6-$E$6)*($G$6-$F$6))))</f>
        <v>1</v>
      </c>
      <c r="C322" s="37" t="n">
        <f aca="false">1+IF($G$7=$E$7,$F$7,IF(Q322&lt;($F$7-$E$7)/($G$7-$E$7),$E$7+SQRT(Q322*($G$7-$E$7)*($F$7-$E$7)),$G$7-SQRT((1-Q322)*($G$7-$E$7)*($G$7-$F$7))))</f>
        <v>1</v>
      </c>
      <c r="D322" s="37" t="n">
        <f aca="false">1+IF($G$8=$E$8,$F$8,IF(R322&lt;($F$8-$E$8)/($G$8-$E$8),$E$8+SQRT(R322*($G$8-$E$8)*($F$8-$E$8)),$G$8-SQRT((1-R322)*($G$8-$E$8)*($G$8-$F$8))))</f>
        <v>1</v>
      </c>
      <c r="E322" s="37" t="n">
        <f aca="false">1+IF($G$9=$E$9,$F$9,IF(S322&lt;($F$9-$E$9)/($G$9-$E$9),$E$9+SQRT(S322*($G$9-$E$9)*($F$9-$E$9)),$G$9-SQRT((1-S322)*($G$9-$E$9)*($G$9-$F$9))))</f>
        <v>1</v>
      </c>
      <c r="F322" s="37" t="n">
        <f aca="false">1+IF($G$10=$E$10,$F$10,IF(T322&lt;($F$10-$E$10)/($G$10-$E$10),$E$10+SQRT(T322*($G$10-$E$10)*($F$10-$E$10)),$G$10-SQRT((1-T322)*($G$10-$E$10)*($G$10-$F$10))))</f>
        <v>1</v>
      </c>
      <c r="G322" s="38" t="n">
        <f aca="false">IF($G$11=$E$11,$F$11,IF(U322&lt;($F$11-$E$11)/($G$11-$E$11),$E$11+SQRT(U322*($G$11-$E$11)*($F$11-$E$11)),$G$11-SQRT((1-U322)*($G$11-$E$11)*($G$11-$F$11))))</f>
        <v>0</v>
      </c>
      <c r="H322" s="39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0</v>
      </c>
      <c r="I322" s="39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0</v>
      </c>
      <c r="J322" s="39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0</v>
      </c>
      <c r="K322" s="39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0</v>
      </c>
      <c r="L322" s="39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0</v>
      </c>
      <c r="M322" s="39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0</v>
      </c>
      <c r="N322" s="39" t="str">
        <f aca="false">IF(COUNT('Business Case'!B11:G11)=0,"",H322+NPV(G322,I322:M322))</f>
        <v/>
      </c>
      <c r="P322" s="40" t="n">
        <f aca="true">RAND()</f>
        <v>0.80631178825315</v>
      </c>
      <c r="Q322" s="40" t="n">
        <f aca="true">RAND()</f>
        <v>0.615310540620769</v>
      </c>
      <c r="R322" s="40" t="n">
        <f aca="true">RAND()</f>
        <v>0.454705489505941</v>
      </c>
      <c r="S322" s="40" t="n">
        <f aca="true">RAND()</f>
        <v>0.118587065079072</v>
      </c>
      <c r="T322" s="40" t="n">
        <f aca="true">RAND()</f>
        <v>0.646773938086118</v>
      </c>
      <c r="U322" s="40" t="n">
        <f aca="true">RAND()</f>
        <v>0.0418521944347638</v>
      </c>
    </row>
    <row r="323" customFormat="false" ht="15" hidden="false" customHeight="false" outlineLevel="0" collapsed="false">
      <c r="A323" s="36" t="n">
        <v>243</v>
      </c>
      <c r="B323" s="37" t="n">
        <f aca="false">1+IF($G$6=$E$6,$F$6,IF(P323&lt;($F$6-$E$6)/($G$6-$E$6),$E$6+SQRT(P323*($G$6-$E$6)*($F$6-$E$6)),$G$6-SQRT((1-P323)*($G$6-$E$6)*($G$6-$F$6))))</f>
        <v>1</v>
      </c>
      <c r="C323" s="37" t="n">
        <f aca="false">1+IF($G$7=$E$7,$F$7,IF(Q323&lt;($F$7-$E$7)/($G$7-$E$7),$E$7+SQRT(Q323*($G$7-$E$7)*($F$7-$E$7)),$G$7-SQRT((1-Q323)*($G$7-$E$7)*($G$7-$F$7))))</f>
        <v>1</v>
      </c>
      <c r="D323" s="37" t="n">
        <f aca="false">1+IF($G$8=$E$8,$F$8,IF(R323&lt;($F$8-$E$8)/($G$8-$E$8),$E$8+SQRT(R323*($G$8-$E$8)*($F$8-$E$8)),$G$8-SQRT((1-R323)*($G$8-$E$8)*($G$8-$F$8))))</f>
        <v>1</v>
      </c>
      <c r="E323" s="37" t="n">
        <f aca="false">1+IF($G$9=$E$9,$F$9,IF(S323&lt;($F$9-$E$9)/($G$9-$E$9),$E$9+SQRT(S323*($G$9-$E$9)*($F$9-$E$9)),$G$9-SQRT((1-S323)*($G$9-$E$9)*($G$9-$F$9))))</f>
        <v>1</v>
      </c>
      <c r="F323" s="37" t="n">
        <f aca="false">1+IF($G$10=$E$10,$F$10,IF(T323&lt;($F$10-$E$10)/($G$10-$E$10),$E$10+SQRT(T323*($G$10-$E$10)*($F$10-$E$10)),$G$10-SQRT((1-T323)*($G$10-$E$10)*($G$10-$F$10))))</f>
        <v>1</v>
      </c>
      <c r="G323" s="38" t="n">
        <f aca="false">IF($G$11=$E$11,$F$11,IF(U323&lt;($F$11-$E$11)/($G$11-$E$11),$E$11+SQRT(U323*($G$11-$E$11)*($F$11-$E$11)),$G$11-SQRT((1-U323)*($G$11-$E$11)*($G$11-$F$11))))</f>
        <v>0</v>
      </c>
      <c r="H323" s="39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0</v>
      </c>
      <c r="I323" s="39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0</v>
      </c>
      <c r="J323" s="39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0</v>
      </c>
      <c r="K323" s="39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0</v>
      </c>
      <c r="L323" s="39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0</v>
      </c>
      <c r="M323" s="39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0</v>
      </c>
      <c r="N323" s="39" t="str">
        <f aca="false">IF(COUNT('Business Case'!B11:G11)=0,"",H323+NPV(G323,I323:M323))</f>
        <v/>
      </c>
      <c r="P323" s="40" t="n">
        <f aca="true">RAND()</f>
        <v>0.720235918822504</v>
      </c>
      <c r="Q323" s="40" t="n">
        <f aca="true">RAND()</f>
        <v>0.459356334791739</v>
      </c>
      <c r="R323" s="40" t="n">
        <f aca="true">RAND()</f>
        <v>0.856245647423111</v>
      </c>
      <c r="S323" s="40" t="n">
        <f aca="true">RAND()</f>
        <v>0.690369691488765</v>
      </c>
      <c r="T323" s="40" t="n">
        <f aca="true">RAND()</f>
        <v>0.034900624332731</v>
      </c>
      <c r="U323" s="40" t="n">
        <f aca="true">RAND()</f>
        <v>0.872143978109554</v>
      </c>
    </row>
    <row r="324" customFormat="false" ht="15" hidden="false" customHeight="false" outlineLevel="0" collapsed="false">
      <c r="A324" s="36" t="n">
        <v>244</v>
      </c>
      <c r="B324" s="37" t="n">
        <f aca="false">1+IF($G$6=$E$6,$F$6,IF(P324&lt;($F$6-$E$6)/($G$6-$E$6),$E$6+SQRT(P324*($G$6-$E$6)*($F$6-$E$6)),$G$6-SQRT((1-P324)*($G$6-$E$6)*($G$6-$F$6))))</f>
        <v>1</v>
      </c>
      <c r="C324" s="37" t="n">
        <f aca="false">1+IF($G$7=$E$7,$F$7,IF(Q324&lt;($F$7-$E$7)/($G$7-$E$7),$E$7+SQRT(Q324*($G$7-$E$7)*($F$7-$E$7)),$G$7-SQRT((1-Q324)*($G$7-$E$7)*($G$7-$F$7))))</f>
        <v>1</v>
      </c>
      <c r="D324" s="37" t="n">
        <f aca="false">1+IF($G$8=$E$8,$F$8,IF(R324&lt;($F$8-$E$8)/($G$8-$E$8),$E$8+SQRT(R324*($G$8-$E$8)*($F$8-$E$8)),$G$8-SQRT((1-R324)*($G$8-$E$8)*($G$8-$F$8))))</f>
        <v>1</v>
      </c>
      <c r="E324" s="37" t="n">
        <f aca="false">1+IF($G$9=$E$9,$F$9,IF(S324&lt;($F$9-$E$9)/($G$9-$E$9),$E$9+SQRT(S324*($G$9-$E$9)*($F$9-$E$9)),$G$9-SQRT((1-S324)*($G$9-$E$9)*($G$9-$F$9))))</f>
        <v>1</v>
      </c>
      <c r="F324" s="37" t="n">
        <f aca="false">1+IF($G$10=$E$10,$F$10,IF(T324&lt;($F$10-$E$10)/($G$10-$E$10),$E$10+SQRT(T324*($G$10-$E$10)*($F$10-$E$10)),$G$10-SQRT((1-T324)*($G$10-$E$10)*($G$10-$F$10))))</f>
        <v>1</v>
      </c>
      <c r="G324" s="38" t="n">
        <f aca="false">IF($G$11=$E$11,$F$11,IF(U324&lt;($F$11-$E$11)/($G$11-$E$11),$E$11+SQRT(U324*($G$11-$E$11)*($F$11-$E$11)),$G$11-SQRT((1-U324)*($G$11-$E$11)*($G$11-$F$11))))</f>
        <v>0</v>
      </c>
      <c r="H324" s="39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0</v>
      </c>
      <c r="I324" s="39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0</v>
      </c>
      <c r="J324" s="39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0</v>
      </c>
      <c r="K324" s="39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0</v>
      </c>
      <c r="L324" s="39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0</v>
      </c>
      <c r="M324" s="39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0</v>
      </c>
      <c r="N324" s="39" t="str">
        <f aca="false">IF(COUNT('Business Case'!B11:G11)=0,"",H324+NPV(G324,I324:M324))</f>
        <v/>
      </c>
      <c r="P324" s="40" t="n">
        <f aca="true">RAND()</f>
        <v>0.129799737974119</v>
      </c>
      <c r="Q324" s="40" t="n">
        <f aca="true">RAND()</f>
        <v>0.790858696804873</v>
      </c>
      <c r="R324" s="40" t="n">
        <f aca="true">RAND()</f>
        <v>0.0500452235291723</v>
      </c>
      <c r="S324" s="40" t="n">
        <f aca="true">RAND()</f>
        <v>0.876338704923344</v>
      </c>
      <c r="T324" s="40" t="n">
        <f aca="true">RAND()</f>
        <v>0.365032148992706</v>
      </c>
      <c r="U324" s="40" t="n">
        <f aca="true">RAND()</f>
        <v>0.0397590783405149</v>
      </c>
    </row>
    <row r="325" customFormat="false" ht="15" hidden="false" customHeight="false" outlineLevel="0" collapsed="false">
      <c r="A325" s="36" t="n">
        <v>245</v>
      </c>
      <c r="B325" s="37" t="n">
        <f aca="false">1+IF($G$6=$E$6,$F$6,IF(P325&lt;($F$6-$E$6)/($G$6-$E$6),$E$6+SQRT(P325*($G$6-$E$6)*($F$6-$E$6)),$G$6-SQRT((1-P325)*($G$6-$E$6)*($G$6-$F$6))))</f>
        <v>1</v>
      </c>
      <c r="C325" s="37" t="n">
        <f aca="false">1+IF($G$7=$E$7,$F$7,IF(Q325&lt;($F$7-$E$7)/($G$7-$E$7),$E$7+SQRT(Q325*($G$7-$E$7)*($F$7-$E$7)),$G$7-SQRT((1-Q325)*($G$7-$E$7)*($G$7-$F$7))))</f>
        <v>1</v>
      </c>
      <c r="D325" s="37" t="n">
        <f aca="false">1+IF($G$8=$E$8,$F$8,IF(R325&lt;($F$8-$E$8)/($G$8-$E$8),$E$8+SQRT(R325*($G$8-$E$8)*($F$8-$E$8)),$G$8-SQRT((1-R325)*($G$8-$E$8)*($G$8-$F$8))))</f>
        <v>1</v>
      </c>
      <c r="E325" s="37" t="n">
        <f aca="false">1+IF($G$9=$E$9,$F$9,IF(S325&lt;($F$9-$E$9)/($G$9-$E$9),$E$9+SQRT(S325*($G$9-$E$9)*($F$9-$E$9)),$G$9-SQRT((1-S325)*($G$9-$E$9)*($G$9-$F$9))))</f>
        <v>1</v>
      </c>
      <c r="F325" s="37" t="n">
        <f aca="false">1+IF($G$10=$E$10,$F$10,IF(T325&lt;($F$10-$E$10)/($G$10-$E$10),$E$10+SQRT(T325*($G$10-$E$10)*($F$10-$E$10)),$G$10-SQRT((1-T325)*($G$10-$E$10)*($G$10-$F$10))))</f>
        <v>1</v>
      </c>
      <c r="G325" s="38" t="n">
        <f aca="false">IF($G$11=$E$11,$F$11,IF(U325&lt;($F$11-$E$11)/($G$11-$E$11),$E$11+SQRT(U325*($G$11-$E$11)*($F$11-$E$11)),$G$11-SQRT((1-U325)*($G$11-$E$11)*($G$11-$F$11))))</f>
        <v>0</v>
      </c>
      <c r="H325" s="39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0</v>
      </c>
      <c r="I325" s="39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0</v>
      </c>
      <c r="J325" s="39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0</v>
      </c>
      <c r="K325" s="39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0</v>
      </c>
      <c r="L325" s="39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0</v>
      </c>
      <c r="M325" s="39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0</v>
      </c>
      <c r="N325" s="39" t="str">
        <f aca="false">IF(COUNT('Business Case'!B11:G11)=0,"",H325+NPV(G325,I325:M325))</f>
        <v/>
      </c>
      <c r="P325" s="40" t="n">
        <f aca="true">RAND()</f>
        <v>0.377569528131588</v>
      </c>
      <c r="Q325" s="40" t="n">
        <f aca="true">RAND()</f>
        <v>0.89317215106115</v>
      </c>
      <c r="R325" s="40" t="n">
        <f aca="true">RAND()</f>
        <v>0.72643621730238</v>
      </c>
      <c r="S325" s="40" t="n">
        <f aca="true">RAND()</f>
        <v>0.784055949514116</v>
      </c>
      <c r="T325" s="40" t="n">
        <f aca="true">RAND()</f>
        <v>0.872218894853173</v>
      </c>
      <c r="U325" s="40" t="n">
        <f aca="true">RAND()</f>
        <v>0.239197654471324</v>
      </c>
    </row>
    <row r="326" customFormat="false" ht="15" hidden="false" customHeight="false" outlineLevel="0" collapsed="false">
      <c r="A326" s="36" t="n">
        <v>246</v>
      </c>
      <c r="B326" s="37" t="n">
        <f aca="false">1+IF($G$6=$E$6,$F$6,IF(P326&lt;($F$6-$E$6)/($G$6-$E$6),$E$6+SQRT(P326*($G$6-$E$6)*($F$6-$E$6)),$G$6-SQRT((1-P326)*($G$6-$E$6)*($G$6-$F$6))))</f>
        <v>1</v>
      </c>
      <c r="C326" s="37" t="n">
        <f aca="false">1+IF($G$7=$E$7,$F$7,IF(Q326&lt;($F$7-$E$7)/($G$7-$E$7),$E$7+SQRT(Q326*($G$7-$E$7)*($F$7-$E$7)),$G$7-SQRT((1-Q326)*($G$7-$E$7)*($G$7-$F$7))))</f>
        <v>1</v>
      </c>
      <c r="D326" s="37" t="n">
        <f aca="false">1+IF($G$8=$E$8,$F$8,IF(R326&lt;($F$8-$E$8)/($G$8-$E$8),$E$8+SQRT(R326*($G$8-$E$8)*($F$8-$E$8)),$G$8-SQRT((1-R326)*($G$8-$E$8)*($G$8-$F$8))))</f>
        <v>1</v>
      </c>
      <c r="E326" s="37" t="n">
        <f aca="false">1+IF($G$9=$E$9,$F$9,IF(S326&lt;($F$9-$E$9)/($G$9-$E$9),$E$9+SQRT(S326*($G$9-$E$9)*($F$9-$E$9)),$G$9-SQRT((1-S326)*($G$9-$E$9)*($G$9-$F$9))))</f>
        <v>1</v>
      </c>
      <c r="F326" s="37" t="n">
        <f aca="false">1+IF($G$10=$E$10,$F$10,IF(T326&lt;($F$10-$E$10)/($G$10-$E$10),$E$10+SQRT(T326*($G$10-$E$10)*($F$10-$E$10)),$G$10-SQRT((1-T326)*($G$10-$E$10)*($G$10-$F$10))))</f>
        <v>1</v>
      </c>
      <c r="G326" s="38" t="n">
        <f aca="false">IF($G$11=$E$11,$F$11,IF(U326&lt;($F$11-$E$11)/($G$11-$E$11),$E$11+SQRT(U326*($G$11-$E$11)*($F$11-$E$11)),$G$11-SQRT((1-U326)*($G$11-$E$11)*($G$11-$F$11))))</f>
        <v>0</v>
      </c>
      <c r="H326" s="39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0</v>
      </c>
      <c r="I326" s="39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0</v>
      </c>
      <c r="J326" s="39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0</v>
      </c>
      <c r="K326" s="39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0</v>
      </c>
      <c r="L326" s="39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0</v>
      </c>
      <c r="M326" s="39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0</v>
      </c>
      <c r="N326" s="39" t="str">
        <f aca="false">IF(COUNT('Business Case'!B11:G11)=0,"",H326+NPV(G326,I326:M326))</f>
        <v/>
      </c>
      <c r="P326" s="40" t="n">
        <f aca="true">RAND()</f>
        <v>0.0481743721497592</v>
      </c>
      <c r="Q326" s="40" t="n">
        <f aca="true">RAND()</f>
        <v>0.665001687906383</v>
      </c>
      <c r="R326" s="40" t="n">
        <f aca="true">RAND()</f>
        <v>0.549998431041034</v>
      </c>
      <c r="S326" s="40" t="n">
        <f aca="true">RAND()</f>
        <v>0.163047940078054</v>
      </c>
      <c r="T326" s="40" t="n">
        <f aca="true">RAND()</f>
        <v>0.500248854254198</v>
      </c>
      <c r="U326" s="40" t="n">
        <f aca="true">RAND()</f>
        <v>0.174959965771925</v>
      </c>
    </row>
    <row r="327" customFormat="false" ht="15" hidden="false" customHeight="false" outlineLevel="0" collapsed="false">
      <c r="A327" s="36" t="n">
        <v>247</v>
      </c>
      <c r="B327" s="37" t="n">
        <f aca="false">1+IF($G$6=$E$6,$F$6,IF(P327&lt;($F$6-$E$6)/($G$6-$E$6),$E$6+SQRT(P327*($G$6-$E$6)*($F$6-$E$6)),$G$6-SQRT((1-P327)*($G$6-$E$6)*($G$6-$F$6))))</f>
        <v>1</v>
      </c>
      <c r="C327" s="37" t="n">
        <f aca="false">1+IF($G$7=$E$7,$F$7,IF(Q327&lt;($F$7-$E$7)/($G$7-$E$7),$E$7+SQRT(Q327*($G$7-$E$7)*($F$7-$E$7)),$G$7-SQRT((1-Q327)*($G$7-$E$7)*($G$7-$F$7))))</f>
        <v>1</v>
      </c>
      <c r="D327" s="37" t="n">
        <f aca="false">1+IF($G$8=$E$8,$F$8,IF(R327&lt;($F$8-$E$8)/($G$8-$E$8),$E$8+SQRT(R327*($G$8-$E$8)*($F$8-$E$8)),$G$8-SQRT((1-R327)*($G$8-$E$8)*($G$8-$F$8))))</f>
        <v>1</v>
      </c>
      <c r="E327" s="37" t="n">
        <f aca="false">1+IF($G$9=$E$9,$F$9,IF(S327&lt;($F$9-$E$9)/($G$9-$E$9),$E$9+SQRT(S327*($G$9-$E$9)*($F$9-$E$9)),$G$9-SQRT((1-S327)*($G$9-$E$9)*($G$9-$F$9))))</f>
        <v>1</v>
      </c>
      <c r="F327" s="37" t="n">
        <f aca="false">1+IF($G$10=$E$10,$F$10,IF(T327&lt;($F$10-$E$10)/($G$10-$E$10),$E$10+SQRT(T327*($G$10-$E$10)*($F$10-$E$10)),$G$10-SQRT((1-T327)*($G$10-$E$10)*($G$10-$F$10))))</f>
        <v>1</v>
      </c>
      <c r="G327" s="38" t="n">
        <f aca="false">IF($G$11=$E$11,$F$11,IF(U327&lt;($F$11-$E$11)/($G$11-$E$11),$E$11+SQRT(U327*($G$11-$E$11)*($F$11-$E$11)),$G$11-SQRT((1-U327)*($G$11-$E$11)*($G$11-$F$11))))</f>
        <v>0</v>
      </c>
      <c r="H327" s="39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0</v>
      </c>
      <c r="I327" s="39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0</v>
      </c>
      <c r="J327" s="39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0</v>
      </c>
      <c r="K327" s="39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0</v>
      </c>
      <c r="L327" s="39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0</v>
      </c>
      <c r="M327" s="39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0</v>
      </c>
      <c r="N327" s="39" t="str">
        <f aca="false">IF(COUNT('Business Case'!B11:G11)=0,"",H327+NPV(G327,I327:M327))</f>
        <v/>
      </c>
      <c r="P327" s="40" t="n">
        <f aca="true">RAND()</f>
        <v>0.00032525134113615</v>
      </c>
      <c r="Q327" s="40" t="n">
        <f aca="true">RAND()</f>
        <v>0.259759959028027</v>
      </c>
      <c r="R327" s="40" t="n">
        <f aca="true">RAND()</f>
        <v>0.668431324198106</v>
      </c>
      <c r="S327" s="40" t="n">
        <f aca="true">RAND()</f>
        <v>0.936205051846567</v>
      </c>
      <c r="T327" s="40" t="n">
        <f aca="true">RAND()</f>
        <v>0.108404412382328</v>
      </c>
      <c r="U327" s="40" t="n">
        <f aca="true">RAND()</f>
        <v>0.595785306963323</v>
      </c>
    </row>
    <row r="328" customFormat="false" ht="15" hidden="false" customHeight="false" outlineLevel="0" collapsed="false">
      <c r="A328" s="36" t="n">
        <v>248</v>
      </c>
      <c r="B328" s="37" t="n">
        <f aca="false">1+IF($G$6=$E$6,$F$6,IF(P328&lt;($F$6-$E$6)/($G$6-$E$6),$E$6+SQRT(P328*($G$6-$E$6)*($F$6-$E$6)),$G$6-SQRT((1-P328)*($G$6-$E$6)*($G$6-$F$6))))</f>
        <v>1</v>
      </c>
      <c r="C328" s="37" t="n">
        <f aca="false">1+IF($G$7=$E$7,$F$7,IF(Q328&lt;($F$7-$E$7)/($G$7-$E$7),$E$7+SQRT(Q328*($G$7-$E$7)*($F$7-$E$7)),$G$7-SQRT((1-Q328)*($G$7-$E$7)*($G$7-$F$7))))</f>
        <v>1</v>
      </c>
      <c r="D328" s="37" t="n">
        <f aca="false">1+IF($G$8=$E$8,$F$8,IF(R328&lt;($F$8-$E$8)/($G$8-$E$8),$E$8+SQRT(R328*($G$8-$E$8)*($F$8-$E$8)),$G$8-SQRT((1-R328)*($G$8-$E$8)*($G$8-$F$8))))</f>
        <v>1</v>
      </c>
      <c r="E328" s="37" t="n">
        <f aca="false">1+IF($G$9=$E$9,$F$9,IF(S328&lt;($F$9-$E$9)/($G$9-$E$9),$E$9+SQRT(S328*($G$9-$E$9)*($F$9-$E$9)),$G$9-SQRT((1-S328)*($G$9-$E$9)*($G$9-$F$9))))</f>
        <v>1</v>
      </c>
      <c r="F328" s="37" t="n">
        <f aca="false">1+IF($G$10=$E$10,$F$10,IF(T328&lt;($F$10-$E$10)/($G$10-$E$10),$E$10+SQRT(T328*($G$10-$E$10)*($F$10-$E$10)),$G$10-SQRT((1-T328)*($G$10-$E$10)*($G$10-$F$10))))</f>
        <v>1</v>
      </c>
      <c r="G328" s="38" t="n">
        <f aca="false">IF($G$11=$E$11,$F$11,IF(U328&lt;($F$11-$E$11)/($G$11-$E$11),$E$11+SQRT(U328*($G$11-$E$11)*($F$11-$E$11)),$G$11-SQRT((1-U328)*($G$11-$E$11)*($G$11-$F$11))))</f>
        <v>0</v>
      </c>
      <c r="H328" s="39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0</v>
      </c>
      <c r="I328" s="39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0</v>
      </c>
      <c r="J328" s="39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0</v>
      </c>
      <c r="K328" s="39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0</v>
      </c>
      <c r="L328" s="39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0</v>
      </c>
      <c r="M328" s="39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0</v>
      </c>
      <c r="N328" s="39" t="str">
        <f aca="false">IF(COUNT('Business Case'!B11:G11)=0,"",H328+NPV(G328,I328:M328))</f>
        <v/>
      </c>
      <c r="P328" s="40" t="n">
        <f aca="true">RAND()</f>
        <v>0.215029779917229</v>
      </c>
      <c r="Q328" s="40" t="n">
        <f aca="true">RAND()</f>
        <v>0.0964298258688419</v>
      </c>
      <c r="R328" s="40" t="n">
        <f aca="true">RAND()</f>
        <v>0.682164690837461</v>
      </c>
      <c r="S328" s="40" t="n">
        <f aca="true">RAND()</f>
        <v>0.994601553791117</v>
      </c>
      <c r="T328" s="40" t="n">
        <f aca="true">RAND()</f>
        <v>0.713453706612838</v>
      </c>
      <c r="U328" s="40" t="n">
        <f aca="true">RAND()</f>
        <v>0.760559945890235</v>
      </c>
    </row>
    <row r="329" customFormat="false" ht="15" hidden="false" customHeight="false" outlineLevel="0" collapsed="false">
      <c r="A329" s="36" t="n">
        <v>249</v>
      </c>
      <c r="B329" s="37" t="n">
        <f aca="false">1+IF($G$6=$E$6,$F$6,IF(P329&lt;($F$6-$E$6)/($G$6-$E$6),$E$6+SQRT(P329*($G$6-$E$6)*($F$6-$E$6)),$G$6-SQRT((1-P329)*($G$6-$E$6)*($G$6-$F$6))))</f>
        <v>1</v>
      </c>
      <c r="C329" s="37" t="n">
        <f aca="false">1+IF($G$7=$E$7,$F$7,IF(Q329&lt;($F$7-$E$7)/($G$7-$E$7),$E$7+SQRT(Q329*($G$7-$E$7)*($F$7-$E$7)),$G$7-SQRT((1-Q329)*($G$7-$E$7)*($G$7-$F$7))))</f>
        <v>1</v>
      </c>
      <c r="D329" s="37" t="n">
        <f aca="false">1+IF($G$8=$E$8,$F$8,IF(R329&lt;($F$8-$E$8)/($G$8-$E$8),$E$8+SQRT(R329*($G$8-$E$8)*($F$8-$E$8)),$G$8-SQRT((1-R329)*($G$8-$E$8)*($G$8-$F$8))))</f>
        <v>1</v>
      </c>
      <c r="E329" s="37" t="n">
        <f aca="false">1+IF($G$9=$E$9,$F$9,IF(S329&lt;($F$9-$E$9)/($G$9-$E$9),$E$9+SQRT(S329*($G$9-$E$9)*($F$9-$E$9)),$G$9-SQRT((1-S329)*($G$9-$E$9)*($G$9-$F$9))))</f>
        <v>1</v>
      </c>
      <c r="F329" s="37" t="n">
        <f aca="false">1+IF($G$10=$E$10,$F$10,IF(T329&lt;($F$10-$E$10)/($G$10-$E$10),$E$10+SQRT(T329*($G$10-$E$10)*($F$10-$E$10)),$G$10-SQRT((1-T329)*($G$10-$E$10)*($G$10-$F$10))))</f>
        <v>1</v>
      </c>
      <c r="G329" s="38" t="n">
        <f aca="false">IF($G$11=$E$11,$F$11,IF(U329&lt;($F$11-$E$11)/($G$11-$E$11),$E$11+SQRT(U329*($G$11-$E$11)*($F$11-$E$11)),$G$11-SQRT((1-U329)*($G$11-$E$11)*($G$11-$F$11))))</f>
        <v>0</v>
      </c>
      <c r="H329" s="39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0</v>
      </c>
      <c r="I329" s="39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0</v>
      </c>
      <c r="J329" s="39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0</v>
      </c>
      <c r="K329" s="39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0</v>
      </c>
      <c r="L329" s="39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0</v>
      </c>
      <c r="M329" s="39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0</v>
      </c>
      <c r="N329" s="39" t="str">
        <f aca="false">IF(COUNT('Business Case'!B11:G11)=0,"",H329+NPV(G329,I329:M329))</f>
        <v/>
      </c>
      <c r="P329" s="40" t="n">
        <f aca="true">RAND()</f>
        <v>0.35985253102536</v>
      </c>
      <c r="Q329" s="40" t="n">
        <f aca="true">RAND()</f>
        <v>0.174947728069657</v>
      </c>
      <c r="R329" s="40" t="n">
        <f aca="true">RAND()</f>
        <v>0.024803256301717</v>
      </c>
      <c r="S329" s="40" t="n">
        <f aca="true">RAND()</f>
        <v>0.34907782385808</v>
      </c>
      <c r="T329" s="40" t="n">
        <f aca="true">RAND()</f>
        <v>0.942207278784341</v>
      </c>
      <c r="U329" s="40" t="n">
        <f aca="true">RAND()</f>
        <v>0.0468093242906588</v>
      </c>
    </row>
    <row r="330" customFormat="false" ht="15" hidden="false" customHeight="false" outlineLevel="0" collapsed="false">
      <c r="A330" s="36" t="n">
        <v>250</v>
      </c>
      <c r="B330" s="37" t="n">
        <f aca="false">1+IF($G$6=$E$6,$F$6,IF(P330&lt;($F$6-$E$6)/($G$6-$E$6),$E$6+SQRT(P330*($G$6-$E$6)*($F$6-$E$6)),$G$6-SQRT((1-P330)*($G$6-$E$6)*($G$6-$F$6))))</f>
        <v>1</v>
      </c>
      <c r="C330" s="37" t="n">
        <f aca="false">1+IF($G$7=$E$7,$F$7,IF(Q330&lt;($F$7-$E$7)/($G$7-$E$7),$E$7+SQRT(Q330*($G$7-$E$7)*($F$7-$E$7)),$G$7-SQRT((1-Q330)*($G$7-$E$7)*($G$7-$F$7))))</f>
        <v>1</v>
      </c>
      <c r="D330" s="37" t="n">
        <f aca="false">1+IF($G$8=$E$8,$F$8,IF(R330&lt;($F$8-$E$8)/($G$8-$E$8),$E$8+SQRT(R330*($G$8-$E$8)*($F$8-$E$8)),$G$8-SQRT((1-R330)*($G$8-$E$8)*($G$8-$F$8))))</f>
        <v>1</v>
      </c>
      <c r="E330" s="37" t="n">
        <f aca="false">1+IF($G$9=$E$9,$F$9,IF(S330&lt;($F$9-$E$9)/($G$9-$E$9),$E$9+SQRT(S330*($G$9-$E$9)*($F$9-$E$9)),$G$9-SQRT((1-S330)*($G$9-$E$9)*($G$9-$F$9))))</f>
        <v>1</v>
      </c>
      <c r="F330" s="37" t="n">
        <f aca="false">1+IF($G$10=$E$10,$F$10,IF(T330&lt;($F$10-$E$10)/($G$10-$E$10),$E$10+SQRT(T330*($G$10-$E$10)*($F$10-$E$10)),$G$10-SQRT((1-T330)*($G$10-$E$10)*($G$10-$F$10))))</f>
        <v>1</v>
      </c>
      <c r="G330" s="38" t="n">
        <f aca="false">IF($G$11=$E$11,$F$11,IF(U330&lt;($F$11-$E$11)/($G$11-$E$11),$E$11+SQRT(U330*($G$11-$E$11)*($F$11-$E$11)),$G$11-SQRT((1-U330)*($G$11-$E$11)*($G$11-$F$11))))</f>
        <v>0</v>
      </c>
      <c r="H330" s="39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0</v>
      </c>
      <c r="I330" s="39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0</v>
      </c>
      <c r="J330" s="39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0</v>
      </c>
      <c r="K330" s="39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0</v>
      </c>
      <c r="L330" s="39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0</v>
      </c>
      <c r="M330" s="39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0</v>
      </c>
      <c r="N330" s="39" t="str">
        <f aca="false">IF(COUNT('Business Case'!B11:G11)=0,"",H330+NPV(G330,I330:M330))</f>
        <v/>
      </c>
      <c r="P330" s="40" t="n">
        <f aca="true">RAND()</f>
        <v>0.494641091625482</v>
      </c>
      <c r="Q330" s="40" t="n">
        <f aca="true">RAND()</f>
        <v>0.879202046291146</v>
      </c>
      <c r="R330" s="40" t="n">
        <f aca="true">RAND()</f>
        <v>0.761420042166366</v>
      </c>
      <c r="S330" s="40" t="n">
        <f aca="true">RAND()</f>
        <v>0.537732990491016</v>
      </c>
      <c r="T330" s="40" t="n">
        <f aca="true">RAND()</f>
        <v>0.513915487364649</v>
      </c>
      <c r="U330" s="40" t="n">
        <f aca="true">RAND()</f>
        <v>0.586056544764344</v>
      </c>
    </row>
    <row r="331" customFormat="false" ht="15" hidden="false" customHeight="false" outlineLevel="0" collapsed="false">
      <c r="A331" s="36" t="n">
        <v>251</v>
      </c>
      <c r="B331" s="37" t="n">
        <f aca="false">1+IF($G$6=$E$6,$F$6,IF(P331&lt;($F$6-$E$6)/($G$6-$E$6),$E$6+SQRT(P331*($G$6-$E$6)*($F$6-$E$6)),$G$6-SQRT((1-P331)*($G$6-$E$6)*($G$6-$F$6))))</f>
        <v>1</v>
      </c>
      <c r="C331" s="37" t="n">
        <f aca="false">1+IF($G$7=$E$7,$F$7,IF(Q331&lt;($F$7-$E$7)/($G$7-$E$7),$E$7+SQRT(Q331*($G$7-$E$7)*($F$7-$E$7)),$G$7-SQRT((1-Q331)*($G$7-$E$7)*($G$7-$F$7))))</f>
        <v>1</v>
      </c>
      <c r="D331" s="37" t="n">
        <f aca="false">1+IF($G$8=$E$8,$F$8,IF(R331&lt;($F$8-$E$8)/($G$8-$E$8),$E$8+SQRT(R331*($G$8-$E$8)*($F$8-$E$8)),$G$8-SQRT((1-R331)*($G$8-$E$8)*($G$8-$F$8))))</f>
        <v>1</v>
      </c>
      <c r="E331" s="37" t="n">
        <f aca="false">1+IF($G$9=$E$9,$F$9,IF(S331&lt;($F$9-$E$9)/($G$9-$E$9),$E$9+SQRT(S331*($G$9-$E$9)*($F$9-$E$9)),$G$9-SQRT((1-S331)*($G$9-$E$9)*($G$9-$F$9))))</f>
        <v>1</v>
      </c>
      <c r="F331" s="37" t="n">
        <f aca="false">1+IF($G$10=$E$10,$F$10,IF(T331&lt;($F$10-$E$10)/($G$10-$E$10),$E$10+SQRT(T331*($G$10-$E$10)*($F$10-$E$10)),$G$10-SQRT((1-T331)*($G$10-$E$10)*($G$10-$F$10))))</f>
        <v>1</v>
      </c>
      <c r="G331" s="38" t="n">
        <f aca="false">IF($G$11=$E$11,$F$11,IF(U331&lt;($F$11-$E$11)/($G$11-$E$11),$E$11+SQRT(U331*($G$11-$E$11)*($F$11-$E$11)),$G$11-SQRT((1-U331)*($G$11-$E$11)*($G$11-$F$11))))</f>
        <v>0</v>
      </c>
      <c r="H331" s="39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0</v>
      </c>
      <c r="I331" s="39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0</v>
      </c>
      <c r="J331" s="39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0</v>
      </c>
      <c r="K331" s="39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0</v>
      </c>
      <c r="L331" s="39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0</v>
      </c>
      <c r="M331" s="39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0</v>
      </c>
      <c r="N331" s="39" t="str">
        <f aca="false">IF(COUNT('Business Case'!B11:G11)=0,"",H331+NPV(G331,I331:M331))</f>
        <v/>
      </c>
      <c r="P331" s="40" t="n">
        <f aca="true">RAND()</f>
        <v>0.280373038578221</v>
      </c>
      <c r="Q331" s="40" t="n">
        <f aca="true">RAND()</f>
        <v>0.270903613068643</v>
      </c>
      <c r="R331" s="40" t="n">
        <f aca="true">RAND()</f>
        <v>0.745803454755677</v>
      </c>
      <c r="S331" s="40" t="n">
        <f aca="true">RAND()</f>
        <v>0.905650619356801</v>
      </c>
      <c r="T331" s="40" t="n">
        <f aca="true">RAND()</f>
        <v>0.136567913067411</v>
      </c>
      <c r="U331" s="40" t="n">
        <f aca="true">RAND()</f>
        <v>0.780548146318589</v>
      </c>
    </row>
    <row r="332" customFormat="false" ht="15" hidden="false" customHeight="false" outlineLevel="0" collapsed="false">
      <c r="A332" s="36" t="n">
        <v>252</v>
      </c>
      <c r="B332" s="37" t="n">
        <f aca="false">1+IF($G$6=$E$6,$F$6,IF(P332&lt;($F$6-$E$6)/($G$6-$E$6),$E$6+SQRT(P332*($G$6-$E$6)*($F$6-$E$6)),$G$6-SQRT((1-P332)*($G$6-$E$6)*($G$6-$F$6))))</f>
        <v>1</v>
      </c>
      <c r="C332" s="37" t="n">
        <f aca="false">1+IF($G$7=$E$7,$F$7,IF(Q332&lt;($F$7-$E$7)/($G$7-$E$7),$E$7+SQRT(Q332*($G$7-$E$7)*($F$7-$E$7)),$G$7-SQRT((1-Q332)*($G$7-$E$7)*($G$7-$F$7))))</f>
        <v>1</v>
      </c>
      <c r="D332" s="37" t="n">
        <f aca="false">1+IF($G$8=$E$8,$F$8,IF(R332&lt;($F$8-$E$8)/($G$8-$E$8),$E$8+SQRT(R332*($G$8-$E$8)*($F$8-$E$8)),$G$8-SQRT((1-R332)*($G$8-$E$8)*($G$8-$F$8))))</f>
        <v>1</v>
      </c>
      <c r="E332" s="37" t="n">
        <f aca="false">1+IF($G$9=$E$9,$F$9,IF(S332&lt;($F$9-$E$9)/($G$9-$E$9),$E$9+SQRT(S332*($G$9-$E$9)*($F$9-$E$9)),$G$9-SQRT((1-S332)*($G$9-$E$9)*($G$9-$F$9))))</f>
        <v>1</v>
      </c>
      <c r="F332" s="37" t="n">
        <f aca="false">1+IF($G$10=$E$10,$F$10,IF(T332&lt;($F$10-$E$10)/($G$10-$E$10),$E$10+SQRT(T332*($G$10-$E$10)*($F$10-$E$10)),$G$10-SQRT((1-T332)*($G$10-$E$10)*($G$10-$F$10))))</f>
        <v>1</v>
      </c>
      <c r="G332" s="38" t="n">
        <f aca="false">IF($G$11=$E$11,$F$11,IF(U332&lt;($F$11-$E$11)/($G$11-$E$11),$E$11+SQRT(U332*($G$11-$E$11)*($F$11-$E$11)),$G$11-SQRT((1-U332)*($G$11-$E$11)*($G$11-$F$11))))</f>
        <v>0</v>
      </c>
      <c r="H332" s="39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0</v>
      </c>
      <c r="I332" s="39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0</v>
      </c>
      <c r="J332" s="39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0</v>
      </c>
      <c r="K332" s="39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0</v>
      </c>
      <c r="L332" s="39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0</v>
      </c>
      <c r="M332" s="39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0</v>
      </c>
      <c r="N332" s="39" t="str">
        <f aca="false">IF(COUNT('Business Case'!B11:G11)=0,"",H332+NPV(G332,I332:M332))</f>
        <v/>
      </c>
      <c r="P332" s="40" t="n">
        <f aca="true">RAND()</f>
        <v>0.139329114821816</v>
      </c>
      <c r="Q332" s="40" t="n">
        <f aca="true">RAND()</f>
        <v>0.684256249160046</v>
      </c>
      <c r="R332" s="40" t="n">
        <f aca="true">RAND()</f>
        <v>0.722062219787271</v>
      </c>
      <c r="S332" s="40" t="n">
        <f aca="true">RAND()</f>
        <v>0.700801824433675</v>
      </c>
      <c r="T332" s="40" t="n">
        <f aca="true">RAND()</f>
        <v>0.799868048278294</v>
      </c>
      <c r="U332" s="40" t="n">
        <f aca="true">RAND()</f>
        <v>0.118345915744035</v>
      </c>
    </row>
    <row r="333" customFormat="false" ht="15" hidden="false" customHeight="false" outlineLevel="0" collapsed="false">
      <c r="A333" s="36" t="n">
        <v>253</v>
      </c>
      <c r="B333" s="37" t="n">
        <f aca="false">1+IF($G$6=$E$6,$F$6,IF(P333&lt;($F$6-$E$6)/($G$6-$E$6),$E$6+SQRT(P333*($G$6-$E$6)*($F$6-$E$6)),$G$6-SQRT((1-P333)*($G$6-$E$6)*($G$6-$F$6))))</f>
        <v>1</v>
      </c>
      <c r="C333" s="37" t="n">
        <f aca="false">1+IF($G$7=$E$7,$F$7,IF(Q333&lt;($F$7-$E$7)/($G$7-$E$7),$E$7+SQRT(Q333*($G$7-$E$7)*($F$7-$E$7)),$G$7-SQRT((1-Q333)*($G$7-$E$7)*($G$7-$F$7))))</f>
        <v>1</v>
      </c>
      <c r="D333" s="37" t="n">
        <f aca="false">1+IF($G$8=$E$8,$F$8,IF(R333&lt;($F$8-$E$8)/($G$8-$E$8),$E$8+SQRT(R333*($G$8-$E$8)*($F$8-$E$8)),$G$8-SQRT((1-R333)*($G$8-$E$8)*($G$8-$F$8))))</f>
        <v>1</v>
      </c>
      <c r="E333" s="37" t="n">
        <f aca="false">1+IF($G$9=$E$9,$F$9,IF(S333&lt;($F$9-$E$9)/($G$9-$E$9),$E$9+SQRT(S333*($G$9-$E$9)*($F$9-$E$9)),$G$9-SQRT((1-S333)*($G$9-$E$9)*($G$9-$F$9))))</f>
        <v>1</v>
      </c>
      <c r="F333" s="37" t="n">
        <f aca="false">1+IF($G$10=$E$10,$F$10,IF(T333&lt;($F$10-$E$10)/($G$10-$E$10),$E$10+SQRT(T333*($G$10-$E$10)*($F$10-$E$10)),$G$10-SQRT((1-T333)*($G$10-$E$10)*($G$10-$F$10))))</f>
        <v>1</v>
      </c>
      <c r="G333" s="38" t="n">
        <f aca="false">IF($G$11=$E$11,$F$11,IF(U333&lt;($F$11-$E$11)/($G$11-$E$11),$E$11+SQRT(U333*($G$11-$E$11)*($F$11-$E$11)),$G$11-SQRT((1-U333)*($G$11-$E$11)*($G$11-$F$11))))</f>
        <v>0</v>
      </c>
      <c r="H333" s="39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0</v>
      </c>
      <c r="I333" s="39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0</v>
      </c>
      <c r="J333" s="39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0</v>
      </c>
      <c r="K333" s="39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0</v>
      </c>
      <c r="L333" s="39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0</v>
      </c>
      <c r="M333" s="39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0</v>
      </c>
      <c r="N333" s="39" t="str">
        <f aca="false">IF(COUNT('Business Case'!B11:G11)=0,"",H333+NPV(G333,I333:M333))</f>
        <v/>
      </c>
      <c r="P333" s="40" t="n">
        <f aca="true">RAND()</f>
        <v>0.235839286109295</v>
      </c>
      <c r="Q333" s="40" t="n">
        <f aca="true">RAND()</f>
        <v>0.269954142497802</v>
      </c>
      <c r="R333" s="40" t="n">
        <f aca="true">RAND()</f>
        <v>0.905047291864445</v>
      </c>
      <c r="S333" s="40" t="n">
        <f aca="true">RAND()</f>
        <v>0.563558293568591</v>
      </c>
      <c r="T333" s="40" t="n">
        <f aca="true">RAND()</f>
        <v>0.444314027655868</v>
      </c>
      <c r="U333" s="40" t="n">
        <f aca="true">RAND()</f>
        <v>0.506016379414054</v>
      </c>
    </row>
    <row r="334" customFormat="false" ht="15" hidden="false" customHeight="false" outlineLevel="0" collapsed="false">
      <c r="A334" s="36" t="n">
        <v>254</v>
      </c>
      <c r="B334" s="37" t="n">
        <f aca="false">1+IF($G$6=$E$6,$F$6,IF(P334&lt;($F$6-$E$6)/($G$6-$E$6),$E$6+SQRT(P334*($G$6-$E$6)*($F$6-$E$6)),$G$6-SQRT((1-P334)*($G$6-$E$6)*($G$6-$F$6))))</f>
        <v>1</v>
      </c>
      <c r="C334" s="37" t="n">
        <f aca="false">1+IF($G$7=$E$7,$F$7,IF(Q334&lt;($F$7-$E$7)/($G$7-$E$7),$E$7+SQRT(Q334*($G$7-$E$7)*($F$7-$E$7)),$G$7-SQRT((1-Q334)*($G$7-$E$7)*($G$7-$F$7))))</f>
        <v>1</v>
      </c>
      <c r="D334" s="37" t="n">
        <f aca="false">1+IF($G$8=$E$8,$F$8,IF(R334&lt;($F$8-$E$8)/($G$8-$E$8),$E$8+SQRT(R334*($G$8-$E$8)*($F$8-$E$8)),$G$8-SQRT((1-R334)*($G$8-$E$8)*($G$8-$F$8))))</f>
        <v>1</v>
      </c>
      <c r="E334" s="37" t="n">
        <f aca="false">1+IF($G$9=$E$9,$F$9,IF(S334&lt;($F$9-$E$9)/($G$9-$E$9),$E$9+SQRT(S334*($G$9-$E$9)*($F$9-$E$9)),$G$9-SQRT((1-S334)*($G$9-$E$9)*($G$9-$F$9))))</f>
        <v>1</v>
      </c>
      <c r="F334" s="37" t="n">
        <f aca="false">1+IF($G$10=$E$10,$F$10,IF(T334&lt;($F$10-$E$10)/($G$10-$E$10),$E$10+SQRT(T334*($G$10-$E$10)*($F$10-$E$10)),$G$10-SQRT((1-T334)*($G$10-$E$10)*($G$10-$F$10))))</f>
        <v>1</v>
      </c>
      <c r="G334" s="38" t="n">
        <f aca="false">IF($G$11=$E$11,$F$11,IF(U334&lt;($F$11-$E$11)/($G$11-$E$11),$E$11+SQRT(U334*($G$11-$E$11)*($F$11-$E$11)),$G$11-SQRT((1-U334)*($G$11-$E$11)*($G$11-$F$11))))</f>
        <v>0</v>
      </c>
      <c r="H334" s="39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0</v>
      </c>
      <c r="I334" s="39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0</v>
      </c>
      <c r="J334" s="39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0</v>
      </c>
      <c r="K334" s="39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0</v>
      </c>
      <c r="L334" s="39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0</v>
      </c>
      <c r="M334" s="39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0</v>
      </c>
      <c r="N334" s="39" t="str">
        <f aca="false">IF(COUNT('Business Case'!B11:G11)=0,"",H334+NPV(G334,I334:M334))</f>
        <v/>
      </c>
      <c r="P334" s="40" t="n">
        <f aca="true">RAND()</f>
        <v>0.653886685866671</v>
      </c>
      <c r="Q334" s="40" t="n">
        <f aca="true">RAND()</f>
        <v>0.383297216552355</v>
      </c>
      <c r="R334" s="40" t="n">
        <f aca="true">RAND()</f>
        <v>0.266590282792269</v>
      </c>
      <c r="S334" s="40" t="n">
        <f aca="true">RAND()</f>
        <v>0.246291829726338</v>
      </c>
      <c r="T334" s="40" t="n">
        <f aca="true">RAND()</f>
        <v>0.652246396364033</v>
      </c>
      <c r="U334" s="40" t="n">
        <f aca="true">RAND()</f>
        <v>0.604457782977937</v>
      </c>
    </row>
    <row r="335" customFormat="false" ht="15" hidden="false" customHeight="false" outlineLevel="0" collapsed="false">
      <c r="A335" s="36" t="n">
        <v>255</v>
      </c>
      <c r="B335" s="37" t="n">
        <f aca="false">1+IF($G$6=$E$6,$F$6,IF(P335&lt;($F$6-$E$6)/($G$6-$E$6),$E$6+SQRT(P335*($G$6-$E$6)*($F$6-$E$6)),$G$6-SQRT((1-P335)*($G$6-$E$6)*($G$6-$F$6))))</f>
        <v>1</v>
      </c>
      <c r="C335" s="37" t="n">
        <f aca="false">1+IF($G$7=$E$7,$F$7,IF(Q335&lt;($F$7-$E$7)/($G$7-$E$7),$E$7+SQRT(Q335*($G$7-$E$7)*($F$7-$E$7)),$G$7-SQRT((1-Q335)*($G$7-$E$7)*($G$7-$F$7))))</f>
        <v>1</v>
      </c>
      <c r="D335" s="37" t="n">
        <f aca="false">1+IF($G$8=$E$8,$F$8,IF(R335&lt;($F$8-$E$8)/($G$8-$E$8),$E$8+SQRT(R335*($G$8-$E$8)*($F$8-$E$8)),$G$8-SQRT((1-R335)*($G$8-$E$8)*($G$8-$F$8))))</f>
        <v>1</v>
      </c>
      <c r="E335" s="37" t="n">
        <f aca="false">1+IF($G$9=$E$9,$F$9,IF(S335&lt;($F$9-$E$9)/($G$9-$E$9),$E$9+SQRT(S335*($G$9-$E$9)*($F$9-$E$9)),$G$9-SQRT((1-S335)*($G$9-$E$9)*($G$9-$F$9))))</f>
        <v>1</v>
      </c>
      <c r="F335" s="37" t="n">
        <f aca="false">1+IF($G$10=$E$10,$F$10,IF(T335&lt;($F$10-$E$10)/($G$10-$E$10),$E$10+SQRT(T335*($G$10-$E$10)*($F$10-$E$10)),$G$10-SQRT((1-T335)*($G$10-$E$10)*($G$10-$F$10))))</f>
        <v>1</v>
      </c>
      <c r="G335" s="38" t="n">
        <f aca="false">IF($G$11=$E$11,$F$11,IF(U335&lt;($F$11-$E$11)/($G$11-$E$11),$E$11+SQRT(U335*($G$11-$E$11)*($F$11-$E$11)),$G$11-SQRT((1-U335)*($G$11-$E$11)*($G$11-$F$11))))</f>
        <v>0</v>
      </c>
      <c r="H335" s="39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0</v>
      </c>
      <c r="I335" s="39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0</v>
      </c>
      <c r="J335" s="39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0</v>
      </c>
      <c r="K335" s="39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0</v>
      </c>
      <c r="L335" s="39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0</v>
      </c>
      <c r="M335" s="39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0</v>
      </c>
      <c r="N335" s="39" t="str">
        <f aca="false">IF(COUNT('Business Case'!B11:G11)=0,"",H335+NPV(G335,I335:M335))</f>
        <v/>
      </c>
      <c r="P335" s="40" t="n">
        <f aca="true">RAND()</f>
        <v>0.449493992649444</v>
      </c>
      <c r="Q335" s="40" t="n">
        <f aca="true">RAND()</f>
        <v>0.400942885158688</v>
      </c>
      <c r="R335" s="40" t="n">
        <f aca="true">RAND()</f>
        <v>0.608264219047757</v>
      </c>
      <c r="S335" s="40" t="n">
        <f aca="true">RAND()</f>
        <v>0.872803068810998</v>
      </c>
      <c r="T335" s="40" t="n">
        <f aca="true">RAND()</f>
        <v>0.801453694676961</v>
      </c>
      <c r="U335" s="40" t="n">
        <f aca="true">RAND()</f>
        <v>0.927479544924621</v>
      </c>
    </row>
    <row r="336" customFormat="false" ht="15" hidden="false" customHeight="false" outlineLevel="0" collapsed="false">
      <c r="A336" s="36" t="n">
        <v>256</v>
      </c>
      <c r="B336" s="37" t="n">
        <f aca="false">1+IF($G$6=$E$6,$F$6,IF(P336&lt;($F$6-$E$6)/($G$6-$E$6),$E$6+SQRT(P336*($G$6-$E$6)*($F$6-$E$6)),$G$6-SQRT((1-P336)*($G$6-$E$6)*($G$6-$F$6))))</f>
        <v>1</v>
      </c>
      <c r="C336" s="37" t="n">
        <f aca="false">1+IF($G$7=$E$7,$F$7,IF(Q336&lt;($F$7-$E$7)/($G$7-$E$7),$E$7+SQRT(Q336*($G$7-$E$7)*($F$7-$E$7)),$G$7-SQRT((1-Q336)*($G$7-$E$7)*($G$7-$F$7))))</f>
        <v>1</v>
      </c>
      <c r="D336" s="37" t="n">
        <f aca="false">1+IF($G$8=$E$8,$F$8,IF(R336&lt;($F$8-$E$8)/($G$8-$E$8),$E$8+SQRT(R336*($G$8-$E$8)*($F$8-$E$8)),$G$8-SQRT((1-R336)*($G$8-$E$8)*($G$8-$F$8))))</f>
        <v>1</v>
      </c>
      <c r="E336" s="37" t="n">
        <f aca="false">1+IF($G$9=$E$9,$F$9,IF(S336&lt;($F$9-$E$9)/($G$9-$E$9),$E$9+SQRT(S336*($G$9-$E$9)*($F$9-$E$9)),$G$9-SQRT((1-S336)*($G$9-$E$9)*($G$9-$F$9))))</f>
        <v>1</v>
      </c>
      <c r="F336" s="37" t="n">
        <f aca="false">1+IF($G$10=$E$10,$F$10,IF(T336&lt;($F$10-$E$10)/($G$10-$E$10),$E$10+SQRT(T336*($G$10-$E$10)*($F$10-$E$10)),$G$10-SQRT((1-T336)*($G$10-$E$10)*($G$10-$F$10))))</f>
        <v>1</v>
      </c>
      <c r="G336" s="38" t="n">
        <f aca="false">IF($G$11=$E$11,$F$11,IF(U336&lt;($F$11-$E$11)/($G$11-$E$11),$E$11+SQRT(U336*($G$11-$E$11)*($F$11-$E$11)),$G$11-SQRT((1-U336)*($G$11-$E$11)*($G$11-$F$11))))</f>
        <v>0</v>
      </c>
      <c r="H336" s="39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0</v>
      </c>
      <c r="I336" s="39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0</v>
      </c>
      <c r="J336" s="39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0</v>
      </c>
      <c r="K336" s="39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0</v>
      </c>
      <c r="L336" s="39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0</v>
      </c>
      <c r="M336" s="39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0</v>
      </c>
      <c r="N336" s="39" t="str">
        <f aca="false">IF(COUNT('Business Case'!B11:G11)=0,"",H336+NPV(G336,I336:M336))</f>
        <v/>
      </c>
      <c r="P336" s="40" t="n">
        <f aca="true">RAND()</f>
        <v>0.699568534343867</v>
      </c>
      <c r="Q336" s="40" t="n">
        <f aca="true">RAND()</f>
        <v>0.977457543743362</v>
      </c>
      <c r="R336" s="40" t="n">
        <f aca="true">RAND()</f>
        <v>0.684052887163259</v>
      </c>
      <c r="S336" s="40" t="n">
        <f aca="true">RAND()</f>
        <v>0.819785520747957</v>
      </c>
      <c r="T336" s="40" t="n">
        <f aca="true">RAND()</f>
        <v>0.741947019898292</v>
      </c>
      <c r="U336" s="40" t="n">
        <f aca="true">RAND()</f>
        <v>0.0970920186174911</v>
      </c>
    </row>
    <row r="337" customFormat="false" ht="15" hidden="false" customHeight="false" outlineLevel="0" collapsed="false">
      <c r="A337" s="36" t="n">
        <v>257</v>
      </c>
      <c r="B337" s="37" t="n">
        <f aca="false">1+IF($G$6=$E$6,$F$6,IF(P337&lt;($F$6-$E$6)/($G$6-$E$6),$E$6+SQRT(P337*($G$6-$E$6)*($F$6-$E$6)),$G$6-SQRT((1-P337)*($G$6-$E$6)*($G$6-$F$6))))</f>
        <v>1</v>
      </c>
      <c r="C337" s="37" t="n">
        <f aca="false">1+IF($G$7=$E$7,$F$7,IF(Q337&lt;($F$7-$E$7)/($G$7-$E$7),$E$7+SQRT(Q337*($G$7-$E$7)*($F$7-$E$7)),$G$7-SQRT((1-Q337)*($G$7-$E$7)*($G$7-$F$7))))</f>
        <v>1</v>
      </c>
      <c r="D337" s="37" t="n">
        <f aca="false">1+IF($G$8=$E$8,$F$8,IF(R337&lt;($F$8-$E$8)/($G$8-$E$8),$E$8+SQRT(R337*($G$8-$E$8)*($F$8-$E$8)),$G$8-SQRT((1-R337)*($G$8-$E$8)*($G$8-$F$8))))</f>
        <v>1</v>
      </c>
      <c r="E337" s="37" t="n">
        <f aca="false">1+IF($G$9=$E$9,$F$9,IF(S337&lt;($F$9-$E$9)/($G$9-$E$9),$E$9+SQRT(S337*($G$9-$E$9)*($F$9-$E$9)),$G$9-SQRT((1-S337)*($G$9-$E$9)*($G$9-$F$9))))</f>
        <v>1</v>
      </c>
      <c r="F337" s="37" t="n">
        <f aca="false">1+IF($G$10=$E$10,$F$10,IF(T337&lt;($F$10-$E$10)/($G$10-$E$10),$E$10+SQRT(T337*($G$10-$E$10)*($F$10-$E$10)),$G$10-SQRT((1-T337)*($G$10-$E$10)*($G$10-$F$10))))</f>
        <v>1</v>
      </c>
      <c r="G337" s="38" t="n">
        <f aca="false">IF($G$11=$E$11,$F$11,IF(U337&lt;($F$11-$E$11)/($G$11-$E$11),$E$11+SQRT(U337*($G$11-$E$11)*($F$11-$E$11)),$G$11-SQRT((1-U337)*($G$11-$E$11)*($G$11-$F$11))))</f>
        <v>0</v>
      </c>
      <c r="H337" s="39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0</v>
      </c>
      <c r="I337" s="39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0</v>
      </c>
      <c r="J337" s="39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0</v>
      </c>
      <c r="K337" s="39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0</v>
      </c>
      <c r="L337" s="39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0</v>
      </c>
      <c r="M337" s="39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0</v>
      </c>
      <c r="N337" s="39" t="str">
        <f aca="false">IF(COUNT('Business Case'!B11:G11)=0,"",H337+NPV(G337,I337:M337))</f>
        <v/>
      </c>
      <c r="P337" s="40" t="n">
        <f aca="true">RAND()</f>
        <v>0.133850478531315</v>
      </c>
      <c r="Q337" s="40" t="n">
        <f aca="true">RAND()</f>
        <v>0.13145492268664</v>
      </c>
      <c r="R337" s="40" t="n">
        <f aca="true">RAND()</f>
        <v>0.662680031094129</v>
      </c>
      <c r="S337" s="40" t="n">
        <f aca="true">RAND()</f>
        <v>0.177660037267873</v>
      </c>
      <c r="T337" s="40" t="n">
        <f aca="true">RAND()</f>
        <v>0.700758221839913</v>
      </c>
      <c r="U337" s="40" t="n">
        <f aca="true">RAND()</f>
        <v>0.153519269369991</v>
      </c>
    </row>
    <row r="338" customFormat="false" ht="15" hidden="false" customHeight="false" outlineLevel="0" collapsed="false">
      <c r="A338" s="36" t="n">
        <v>258</v>
      </c>
      <c r="B338" s="37" t="n">
        <f aca="false">1+IF($G$6=$E$6,$F$6,IF(P338&lt;($F$6-$E$6)/($G$6-$E$6),$E$6+SQRT(P338*($G$6-$E$6)*($F$6-$E$6)),$G$6-SQRT((1-P338)*($G$6-$E$6)*($G$6-$F$6))))</f>
        <v>1</v>
      </c>
      <c r="C338" s="37" t="n">
        <f aca="false">1+IF($G$7=$E$7,$F$7,IF(Q338&lt;($F$7-$E$7)/($G$7-$E$7),$E$7+SQRT(Q338*($G$7-$E$7)*($F$7-$E$7)),$G$7-SQRT((1-Q338)*($G$7-$E$7)*($G$7-$F$7))))</f>
        <v>1</v>
      </c>
      <c r="D338" s="37" t="n">
        <f aca="false">1+IF($G$8=$E$8,$F$8,IF(R338&lt;($F$8-$E$8)/($G$8-$E$8),$E$8+SQRT(R338*($G$8-$E$8)*($F$8-$E$8)),$G$8-SQRT((1-R338)*($G$8-$E$8)*($G$8-$F$8))))</f>
        <v>1</v>
      </c>
      <c r="E338" s="37" t="n">
        <f aca="false">1+IF($G$9=$E$9,$F$9,IF(S338&lt;($F$9-$E$9)/($G$9-$E$9),$E$9+SQRT(S338*($G$9-$E$9)*($F$9-$E$9)),$G$9-SQRT((1-S338)*($G$9-$E$9)*($G$9-$F$9))))</f>
        <v>1</v>
      </c>
      <c r="F338" s="37" t="n">
        <f aca="false">1+IF($G$10=$E$10,$F$10,IF(T338&lt;($F$10-$E$10)/($G$10-$E$10),$E$10+SQRT(T338*($G$10-$E$10)*($F$10-$E$10)),$G$10-SQRT((1-T338)*($G$10-$E$10)*($G$10-$F$10))))</f>
        <v>1</v>
      </c>
      <c r="G338" s="38" t="n">
        <f aca="false">IF($G$11=$E$11,$F$11,IF(U338&lt;($F$11-$E$11)/($G$11-$E$11),$E$11+SQRT(U338*($G$11-$E$11)*($F$11-$E$11)),$G$11-SQRT((1-U338)*($G$11-$E$11)*($G$11-$F$11))))</f>
        <v>0</v>
      </c>
      <c r="H338" s="39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0</v>
      </c>
      <c r="I338" s="39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0</v>
      </c>
      <c r="J338" s="39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0</v>
      </c>
      <c r="K338" s="39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0</v>
      </c>
      <c r="L338" s="39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0</v>
      </c>
      <c r="M338" s="39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0</v>
      </c>
      <c r="N338" s="39" t="str">
        <f aca="false">IF(COUNT('Business Case'!B11:G11)=0,"",H338+NPV(G338,I338:M338))</f>
        <v/>
      </c>
      <c r="P338" s="40" t="n">
        <f aca="true">RAND()</f>
        <v>0.809493132905404</v>
      </c>
      <c r="Q338" s="40" t="n">
        <f aca="true">RAND()</f>
        <v>0.997673061206176</v>
      </c>
      <c r="R338" s="40" t="n">
        <f aca="true">RAND()</f>
        <v>0.577812585430519</v>
      </c>
      <c r="S338" s="40" t="n">
        <f aca="true">RAND()</f>
        <v>0.1358866717686</v>
      </c>
      <c r="T338" s="40" t="n">
        <f aca="true">RAND()</f>
        <v>0.401176263355931</v>
      </c>
      <c r="U338" s="40" t="n">
        <f aca="true">RAND()</f>
        <v>0.669804349027741</v>
      </c>
    </row>
    <row r="339" customFormat="false" ht="15" hidden="false" customHeight="false" outlineLevel="0" collapsed="false">
      <c r="A339" s="36" t="n">
        <v>259</v>
      </c>
      <c r="B339" s="37" t="n">
        <f aca="false">1+IF($G$6=$E$6,$F$6,IF(P339&lt;($F$6-$E$6)/($G$6-$E$6),$E$6+SQRT(P339*($G$6-$E$6)*($F$6-$E$6)),$G$6-SQRT((1-P339)*($G$6-$E$6)*($G$6-$F$6))))</f>
        <v>1</v>
      </c>
      <c r="C339" s="37" t="n">
        <f aca="false">1+IF($G$7=$E$7,$F$7,IF(Q339&lt;($F$7-$E$7)/($G$7-$E$7),$E$7+SQRT(Q339*($G$7-$E$7)*($F$7-$E$7)),$G$7-SQRT((1-Q339)*($G$7-$E$7)*($G$7-$F$7))))</f>
        <v>1</v>
      </c>
      <c r="D339" s="37" t="n">
        <f aca="false">1+IF($G$8=$E$8,$F$8,IF(R339&lt;($F$8-$E$8)/($G$8-$E$8),$E$8+SQRT(R339*($G$8-$E$8)*($F$8-$E$8)),$G$8-SQRT((1-R339)*($G$8-$E$8)*($G$8-$F$8))))</f>
        <v>1</v>
      </c>
      <c r="E339" s="37" t="n">
        <f aca="false">1+IF($G$9=$E$9,$F$9,IF(S339&lt;($F$9-$E$9)/($G$9-$E$9),$E$9+SQRT(S339*($G$9-$E$9)*($F$9-$E$9)),$G$9-SQRT((1-S339)*($G$9-$E$9)*($G$9-$F$9))))</f>
        <v>1</v>
      </c>
      <c r="F339" s="37" t="n">
        <f aca="false">1+IF($G$10=$E$10,$F$10,IF(T339&lt;($F$10-$E$10)/($G$10-$E$10),$E$10+SQRT(T339*($G$10-$E$10)*($F$10-$E$10)),$G$10-SQRT((1-T339)*($G$10-$E$10)*($G$10-$F$10))))</f>
        <v>1</v>
      </c>
      <c r="G339" s="38" t="n">
        <f aca="false">IF($G$11=$E$11,$F$11,IF(U339&lt;($F$11-$E$11)/($G$11-$E$11),$E$11+SQRT(U339*($G$11-$E$11)*($F$11-$E$11)),$G$11-SQRT((1-U339)*($G$11-$E$11)*($G$11-$F$11))))</f>
        <v>0</v>
      </c>
      <c r="H339" s="39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0</v>
      </c>
      <c r="I339" s="39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0</v>
      </c>
      <c r="J339" s="39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0</v>
      </c>
      <c r="K339" s="39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0</v>
      </c>
      <c r="L339" s="39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0</v>
      </c>
      <c r="M339" s="39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0</v>
      </c>
      <c r="N339" s="39" t="str">
        <f aca="false">IF(COUNT('Business Case'!B11:G11)=0,"",H339+NPV(G339,I339:M339))</f>
        <v/>
      </c>
      <c r="P339" s="40" t="n">
        <f aca="true">RAND()</f>
        <v>0.408982618482317</v>
      </c>
      <c r="Q339" s="40" t="n">
        <f aca="true">RAND()</f>
        <v>0.631814523755403</v>
      </c>
      <c r="R339" s="40" t="n">
        <f aca="true">RAND()</f>
        <v>0.898584142825397</v>
      </c>
      <c r="S339" s="40" t="n">
        <f aca="true">RAND()</f>
        <v>0.217918083938682</v>
      </c>
      <c r="T339" s="40" t="n">
        <f aca="true">RAND()</f>
        <v>0.11138555385486</v>
      </c>
      <c r="U339" s="40" t="n">
        <f aca="true">RAND()</f>
        <v>0.297944614224125</v>
      </c>
    </row>
    <row r="340" customFormat="false" ht="15" hidden="false" customHeight="false" outlineLevel="0" collapsed="false">
      <c r="A340" s="36" t="n">
        <v>260</v>
      </c>
      <c r="B340" s="37" t="n">
        <f aca="false">1+IF($G$6=$E$6,$F$6,IF(P340&lt;($F$6-$E$6)/($G$6-$E$6),$E$6+SQRT(P340*($G$6-$E$6)*($F$6-$E$6)),$G$6-SQRT((1-P340)*($G$6-$E$6)*($G$6-$F$6))))</f>
        <v>1</v>
      </c>
      <c r="C340" s="37" t="n">
        <f aca="false">1+IF($G$7=$E$7,$F$7,IF(Q340&lt;($F$7-$E$7)/($G$7-$E$7),$E$7+SQRT(Q340*($G$7-$E$7)*($F$7-$E$7)),$G$7-SQRT((1-Q340)*($G$7-$E$7)*($G$7-$F$7))))</f>
        <v>1</v>
      </c>
      <c r="D340" s="37" t="n">
        <f aca="false">1+IF($G$8=$E$8,$F$8,IF(R340&lt;($F$8-$E$8)/($G$8-$E$8),$E$8+SQRT(R340*($G$8-$E$8)*($F$8-$E$8)),$G$8-SQRT((1-R340)*($G$8-$E$8)*($G$8-$F$8))))</f>
        <v>1</v>
      </c>
      <c r="E340" s="37" t="n">
        <f aca="false">1+IF($G$9=$E$9,$F$9,IF(S340&lt;($F$9-$E$9)/($G$9-$E$9),$E$9+SQRT(S340*($G$9-$E$9)*($F$9-$E$9)),$G$9-SQRT((1-S340)*($G$9-$E$9)*($G$9-$F$9))))</f>
        <v>1</v>
      </c>
      <c r="F340" s="37" t="n">
        <f aca="false">1+IF($G$10=$E$10,$F$10,IF(T340&lt;($F$10-$E$10)/($G$10-$E$10),$E$10+SQRT(T340*($G$10-$E$10)*($F$10-$E$10)),$G$10-SQRT((1-T340)*($G$10-$E$10)*($G$10-$F$10))))</f>
        <v>1</v>
      </c>
      <c r="G340" s="38" t="n">
        <f aca="false">IF($G$11=$E$11,$F$11,IF(U340&lt;($F$11-$E$11)/($G$11-$E$11),$E$11+SQRT(U340*($G$11-$E$11)*($F$11-$E$11)),$G$11-SQRT((1-U340)*($G$11-$E$11)*($G$11-$F$11))))</f>
        <v>0</v>
      </c>
      <c r="H340" s="39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0</v>
      </c>
      <c r="I340" s="39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0</v>
      </c>
      <c r="J340" s="39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0</v>
      </c>
      <c r="K340" s="39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0</v>
      </c>
      <c r="L340" s="39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0</v>
      </c>
      <c r="M340" s="39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0</v>
      </c>
      <c r="N340" s="39" t="str">
        <f aca="false">IF(COUNT('Business Case'!B11:G11)=0,"",H340+NPV(G340,I340:M340))</f>
        <v/>
      </c>
      <c r="P340" s="40" t="n">
        <f aca="true">RAND()</f>
        <v>0.528654602059986</v>
      </c>
      <c r="Q340" s="40" t="n">
        <f aca="true">RAND()</f>
        <v>0.284603990313504</v>
      </c>
      <c r="R340" s="40" t="n">
        <f aca="true">RAND()</f>
        <v>0.225546026370808</v>
      </c>
      <c r="S340" s="40" t="n">
        <f aca="true">RAND()</f>
        <v>0.00332536224521049</v>
      </c>
      <c r="T340" s="40" t="n">
        <f aca="true">RAND()</f>
        <v>0.964169850015098</v>
      </c>
      <c r="U340" s="40" t="n">
        <f aca="true">RAND()</f>
        <v>0.523527741102192</v>
      </c>
    </row>
    <row r="341" customFormat="false" ht="15" hidden="false" customHeight="false" outlineLevel="0" collapsed="false">
      <c r="A341" s="36" t="n">
        <v>261</v>
      </c>
      <c r="B341" s="37" t="n">
        <f aca="false">1+IF($G$6=$E$6,$F$6,IF(P341&lt;($F$6-$E$6)/($G$6-$E$6),$E$6+SQRT(P341*($G$6-$E$6)*($F$6-$E$6)),$G$6-SQRT((1-P341)*($G$6-$E$6)*($G$6-$F$6))))</f>
        <v>1</v>
      </c>
      <c r="C341" s="37" t="n">
        <f aca="false">1+IF($G$7=$E$7,$F$7,IF(Q341&lt;($F$7-$E$7)/($G$7-$E$7),$E$7+SQRT(Q341*($G$7-$E$7)*($F$7-$E$7)),$G$7-SQRT((1-Q341)*($G$7-$E$7)*($G$7-$F$7))))</f>
        <v>1</v>
      </c>
      <c r="D341" s="37" t="n">
        <f aca="false">1+IF($G$8=$E$8,$F$8,IF(R341&lt;($F$8-$E$8)/($G$8-$E$8),$E$8+SQRT(R341*($G$8-$E$8)*($F$8-$E$8)),$G$8-SQRT((1-R341)*($G$8-$E$8)*($G$8-$F$8))))</f>
        <v>1</v>
      </c>
      <c r="E341" s="37" t="n">
        <f aca="false">1+IF($G$9=$E$9,$F$9,IF(S341&lt;($F$9-$E$9)/($G$9-$E$9),$E$9+SQRT(S341*($G$9-$E$9)*($F$9-$E$9)),$G$9-SQRT((1-S341)*($G$9-$E$9)*($G$9-$F$9))))</f>
        <v>1</v>
      </c>
      <c r="F341" s="37" t="n">
        <f aca="false">1+IF($G$10=$E$10,$F$10,IF(T341&lt;($F$10-$E$10)/($G$10-$E$10),$E$10+SQRT(T341*($G$10-$E$10)*($F$10-$E$10)),$G$10-SQRT((1-T341)*($G$10-$E$10)*($G$10-$F$10))))</f>
        <v>1</v>
      </c>
      <c r="G341" s="38" t="n">
        <f aca="false">IF($G$11=$E$11,$F$11,IF(U341&lt;($F$11-$E$11)/($G$11-$E$11),$E$11+SQRT(U341*($G$11-$E$11)*($F$11-$E$11)),$G$11-SQRT((1-U341)*($G$11-$E$11)*($G$11-$F$11))))</f>
        <v>0</v>
      </c>
      <c r="H341" s="39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0</v>
      </c>
      <c r="I341" s="39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0</v>
      </c>
      <c r="J341" s="39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0</v>
      </c>
      <c r="K341" s="39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0</v>
      </c>
      <c r="L341" s="39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0</v>
      </c>
      <c r="M341" s="39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0</v>
      </c>
      <c r="N341" s="39" t="str">
        <f aca="false">IF(COUNT('Business Case'!B11:G11)=0,"",H341+NPV(G341,I341:M341))</f>
        <v/>
      </c>
      <c r="P341" s="40" t="n">
        <f aca="true">RAND()</f>
        <v>0.354591738159113</v>
      </c>
      <c r="Q341" s="40" t="n">
        <f aca="true">RAND()</f>
        <v>0.84278628128903</v>
      </c>
      <c r="R341" s="40" t="n">
        <f aca="true">RAND()</f>
        <v>0.497970334909737</v>
      </c>
      <c r="S341" s="40" t="n">
        <f aca="true">RAND()</f>
        <v>0.357821925759327</v>
      </c>
      <c r="T341" s="40" t="n">
        <f aca="true">RAND()</f>
        <v>0.512969308677647</v>
      </c>
      <c r="U341" s="40" t="n">
        <f aca="true">RAND()</f>
        <v>0.0392465197248981</v>
      </c>
    </row>
    <row r="342" customFormat="false" ht="15" hidden="false" customHeight="false" outlineLevel="0" collapsed="false">
      <c r="A342" s="36" t="n">
        <v>262</v>
      </c>
      <c r="B342" s="37" t="n">
        <f aca="false">1+IF($G$6=$E$6,$F$6,IF(P342&lt;($F$6-$E$6)/($G$6-$E$6),$E$6+SQRT(P342*($G$6-$E$6)*($F$6-$E$6)),$G$6-SQRT((1-P342)*($G$6-$E$6)*($G$6-$F$6))))</f>
        <v>1</v>
      </c>
      <c r="C342" s="37" t="n">
        <f aca="false">1+IF($G$7=$E$7,$F$7,IF(Q342&lt;($F$7-$E$7)/($G$7-$E$7),$E$7+SQRT(Q342*($G$7-$E$7)*($F$7-$E$7)),$G$7-SQRT((1-Q342)*($G$7-$E$7)*($G$7-$F$7))))</f>
        <v>1</v>
      </c>
      <c r="D342" s="37" t="n">
        <f aca="false">1+IF($G$8=$E$8,$F$8,IF(R342&lt;($F$8-$E$8)/($G$8-$E$8),$E$8+SQRT(R342*($G$8-$E$8)*($F$8-$E$8)),$G$8-SQRT((1-R342)*($G$8-$E$8)*($G$8-$F$8))))</f>
        <v>1</v>
      </c>
      <c r="E342" s="37" t="n">
        <f aca="false">1+IF($G$9=$E$9,$F$9,IF(S342&lt;($F$9-$E$9)/($G$9-$E$9),$E$9+SQRT(S342*($G$9-$E$9)*($F$9-$E$9)),$G$9-SQRT((1-S342)*($G$9-$E$9)*($G$9-$F$9))))</f>
        <v>1</v>
      </c>
      <c r="F342" s="37" t="n">
        <f aca="false">1+IF($G$10=$E$10,$F$10,IF(T342&lt;($F$10-$E$10)/($G$10-$E$10),$E$10+SQRT(T342*($G$10-$E$10)*($F$10-$E$10)),$G$10-SQRT((1-T342)*($G$10-$E$10)*($G$10-$F$10))))</f>
        <v>1</v>
      </c>
      <c r="G342" s="38" t="n">
        <f aca="false">IF($G$11=$E$11,$F$11,IF(U342&lt;($F$11-$E$11)/($G$11-$E$11),$E$11+SQRT(U342*($G$11-$E$11)*($F$11-$E$11)),$G$11-SQRT((1-U342)*($G$11-$E$11)*($G$11-$F$11))))</f>
        <v>0</v>
      </c>
      <c r="H342" s="39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0</v>
      </c>
      <c r="I342" s="39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0</v>
      </c>
      <c r="J342" s="39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0</v>
      </c>
      <c r="K342" s="39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0</v>
      </c>
      <c r="L342" s="39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0</v>
      </c>
      <c r="M342" s="39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0</v>
      </c>
      <c r="N342" s="39" t="str">
        <f aca="false">IF(COUNT('Business Case'!B11:G11)=0,"",H342+NPV(G342,I342:M342))</f>
        <v/>
      </c>
      <c r="P342" s="40" t="n">
        <f aca="true">RAND()</f>
        <v>0.249034257453318</v>
      </c>
      <c r="Q342" s="40" t="n">
        <f aca="true">RAND()</f>
        <v>0.342854113262916</v>
      </c>
      <c r="R342" s="40" t="n">
        <f aca="true">RAND()</f>
        <v>0.580384768215974</v>
      </c>
      <c r="S342" s="40" t="n">
        <f aca="true">RAND()</f>
        <v>0.1924924315804</v>
      </c>
      <c r="T342" s="40" t="n">
        <f aca="true">RAND()</f>
        <v>0.589926059145115</v>
      </c>
      <c r="U342" s="40" t="n">
        <f aca="true">RAND()</f>
        <v>0.399143592678319</v>
      </c>
    </row>
    <row r="343" customFormat="false" ht="15" hidden="false" customHeight="false" outlineLevel="0" collapsed="false">
      <c r="A343" s="36" t="n">
        <v>263</v>
      </c>
      <c r="B343" s="37" t="n">
        <f aca="false">1+IF($G$6=$E$6,$F$6,IF(P343&lt;($F$6-$E$6)/($G$6-$E$6),$E$6+SQRT(P343*($G$6-$E$6)*($F$6-$E$6)),$G$6-SQRT((1-P343)*($G$6-$E$6)*($G$6-$F$6))))</f>
        <v>1</v>
      </c>
      <c r="C343" s="37" t="n">
        <f aca="false">1+IF($G$7=$E$7,$F$7,IF(Q343&lt;($F$7-$E$7)/($G$7-$E$7),$E$7+SQRT(Q343*($G$7-$E$7)*($F$7-$E$7)),$G$7-SQRT((1-Q343)*($G$7-$E$7)*($G$7-$F$7))))</f>
        <v>1</v>
      </c>
      <c r="D343" s="37" t="n">
        <f aca="false">1+IF($G$8=$E$8,$F$8,IF(R343&lt;($F$8-$E$8)/($G$8-$E$8),$E$8+SQRT(R343*($G$8-$E$8)*($F$8-$E$8)),$G$8-SQRT((1-R343)*($G$8-$E$8)*($G$8-$F$8))))</f>
        <v>1</v>
      </c>
      <c r="E343" s="37" t="n">
        <f aca="false">1+IF($G$9=$E$9,$F$9,IF(S343&lt;($F$9-$E$9)/($G$9-$E$9),$E$9+SQRT(S343*($G$9-$E$9)*($F$9-$E$9)),$G$9-SQRT((1-S343)*($G$9-$E$9)*($G$9-$F$9))))</f>
        <v>1</v>
      </c>
      <c r="F343" s="37" t="n">
        <f aca="false">1+IF($G$10=$E$10,$F$10,IF(T343&lt;($F$10-$E$10)/($G$10-$E$10),$E$10+SQRT(T343*($G$10-$E$10)*($F$10-$E$10)),$G$10-SQRT((1-T343)*($G$10-$E$10)*($G$10-$F$10))))</f>
        <v>1</v>
      </c>
      <c r="G343" s="38" t="n">
        <f aca="false">IF($G$11=$E$11,$F$11,IF(U343&lt;($F$11-$E$11)/($G$11-$E$11),$E$11+SQRT(U343*($G$11-$E$11)*($F$11-$E$11)),$G$11-SQRT((1-U343)*($G$11-$E$11)*($G$11-$F$11))))</f>
        <v>0</v>
      </c>
      <c r="H343" s="39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0</v>
      </c>
      <c r="I343" s="39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0</v>
      </c>
      <c r="J343" s="39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0</v>
      </c>
      <c r="K343" s="39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0</v>
      </c>
      <c r="L343" s="39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0</v>
      </c>
      <c r="M343" s="39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0</v>
      </c>
      <c r="N343" s="39" t="str">
        <f aca="false">IF(COUNT('Business Case'!B11:G11)=0,"",H343+NPV(G343,I343:M343))</f>
        <v/>
      </c>
      <c r="P343" s="40" t="n">
        <f aca="true">RAND()</f>
        <v>0.933477867075314</v>
      </c>
      <c r="Q343" s="40" t="n">
        <f aca="true">RAND()</f>
        <v>0.945812082139498</v>
      </c>
      <c r="R343" s="40" t="n">
        <f aca="true">RAND()</f>
        <v>0.837615570636062</v>
      </c>
      <c r="S343" s="40" t="n">
        <f aca="true">RAND()</f>
        <v>0.418783494853989</v>
      </c>
      <c r="T343" s="40" t="n">
        <f aca="true">RAND()</f>
        <v>0.350583844780637</v>
      </c>
      <c r="U343" s="40" t="n">
        <f aca="true">RAND()</f>
        <v>0.708095945018765</v>
      </c>
    </row>
    <row r="344" customFormat="false" ht="15" hidden="false" customHeight="false" outlineLevel="0" collapsed="false">
      <c r="A344" s="36" t="n">
        <v>264</v>
      </c>
      <c r="B344" s="37" t="n">
        <f aca="false">1+IF($G$6=$E$6,$F$6,IF(P344&lt;($F$6-$E$6)/($G$6-$E$6),$E$6+SQRT(P344*($G$6-$E$6)*($F$6-$E$6)),$G$6-SQRT((1-P344)*($G$6-$E$6)*($G$6-$F$6))))</f>
        <v>1</v>
      </c>
      <c r="C344" s="37" t="n">
        <f aca="false">1+IF($G$7=$E$7,$F$7,IF(Q344&lt;($F$7-$E$7)/($G$7-$E$7),$E$7+SQRT(Q344*($G$7-$E$7)*($F$7-$E$7)),$G$7-SQRT((1-Q344)*($G$7-$E$7)*($G$7-$F$7))))</f>
        <v>1</v>
      </c>
      <c r="D344" s="37" t="n">
        <f aca="false">1+IF($G$8=$E$8,$F$8,IF(R344&lt;($F$8-$E$8)/($G$8-$E$8),$E$8+SQRT(R344*($G$8-$E$8)*($F$8-$E$8)),$G$8-SQRT((1-R344)*($G$8-$E$8)*($G$8-$F$8))))</f>
        <v>1</v>
      </c>
      <c r="E344" s="37" t="n">
        <f aca="false">1+IF($G$9=$E$9,$F$9,IF(S344&lt;($F$9-$E$9)/($G$9-$E$9),$E$9+SQRT(S344*($G$9-$E$9)*($F$9-$E$9)),$G$9-SQRT((1-S344)*($G$9-$E$9)*($G$9-$F$9))))</f>
        <v>1</v>
      </c>
      <c r="F344" s="37" t="n">
        <f aca="false">1+IF($G$10=$E$10,$F$10,IF(T344&lt;($F$10-$E$10)/($G$10-$E$10),$E$10+SQRT(T344*($G$10-$E$10)*($F$10-$E$10)),$G$10-SQRT((1-T344)*($G$10-$E$10)*($G$10-$F$10))))</f>
        <v>1</v>
      </c>
      <c r="G344" s="38" t="n">
        <f aca="false">IF($G$11=$E$11,$F$11,IF(U344&lt;($F$11-$E$11)/($G$11-$E$11),$E$11+SQRT(U344*($G$11-$E$11)*($F$11-$E$11)),$G$11-SQRT((1-U344)*($G$11-$E$11)*($G$11-$F$11))))</f>
        <v>0</v>
      </c>
      <c r="H344" s="39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0</v>
      </c>
      <c r="I344" s="39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0</v>
      </c>
      <c r="J344" s="39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0</v>
      </c>
      <c r="K344" s="39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0</v>
      </c>
      <c r="L344" s="39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0</v>
      </c>
      <c r="M344" s="39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0</v>
      </c>
      <c r="N344" s="39" t="str">
        <f aca="false">IF(COUNT('Business Case'!B11:G11)=0,"",H344+NPV(G344,I344:M344))</f>
        <v/>
      </c>
      <c r="P344" s="40" t="n">
        <f aca="true">RAND()</f>
        <v>0.702943380225854</v>
      </c>
      <c r="Q344" s="40" t="n">
        <f aca="true">RAND()</f>
        <v>0.21369971288588</v>
      </c>
      <c r="R344" s="40" t="n">
        <f aca="true">RAND()</f>
        <v>0.0265550182995654</v>
      </c>
      <c r="S344" s="40" t="n">
        <f aca="true">RAND()</f>
        <v>0.843151369740747</v>
      </c>
      <c r="T344" s="40" t="n">
        <f aca="true">RAND()</f>
        <v>0.655893775046173</v>
      </c>
      <c r="U344" s="40" t="n">
        <f aca="true">RAND()</f>
        <v>0.952055013841583</v>
      </c>
    </row>
    <row r="345" customFormat="false" ht="15" hidden="false" customHeight="false" outlineLevel="0" collapsed="false">
      <c r="A345" s="36" t="n">
        <v>265</v>
      </c>
      <c r="B345" s="37" t="n">
        <f aca="false">1+IF($G$6=$E$6,$F$6,IF(P345&lt;($F$6-$E$6)/($G$6-$E$6),$E$6+SQRT(P345*($G$6-$E$6)*($F$6-$E$6)),$G$6-SQRT((1-P345)*($G$6-$E$6)*($G$6-$F$6))))</f>
        <v>1</v>
      </c>
      <c r="C345" s="37" t="n">
        <f aca="false">1+IF($G$7=$E$7,$F$7,IF(Q345&lt;($F$7-$E$7)/($G$7-$E$7),$E$7+SQRT(Q345*($G$7-$E$7)*($F$7-$E$7)),$G$7-SQRT((1-Q345)*($G$7-$E$7)*($G$7-$F$7))))</f>
        <v>1</v>
      </c>
      <c r="D345" s="37" t="n">
        <f aca="false">1+IF($G$8=$E$8,$F$8,IF(R345&lt;($F$8-$E$8)/($G$8-$E$8),$E$8+SQRT(R345*($G$8-$E$8)*($F$8-$E$8)),$G$8-SQRT((1-R345)*($G$8-$E$8)*($G$8-$F$8))))</f>
        <v>1</v>
      </c>
      <c r="E345" s="37" t="n">
        <f aca="false">1+IF($G$9=$E$9,$F$9,IF(S345&lt;($F$9-$E$9)/($G$9-$E$9),$E$9+SQRT(S345*($G$9-$E$9)*($F$9-$E$9)),$G$9-SQRT((1-S345)*($G$9-$E$9)*($G$9-$F$9))))</f>
        <v>1</v>
      </c>
      <c r="F345" s="37" t="n">
        <f aca="false">1+IF($G$10=$E$10,$F$10,IF(T345&lt;($F$10-$E$10)/($G$10-$E$10),$E$10+SQRT(T345*($G$10-$E$10)*($F$10-$E$10)),$G$10-SQRT((1-T345)*($G$10-$E$10)*($G$10-$F$10))))</f>
        <v>1</v>
      </c>
      <c r="G345" s="38" t="n">
        <f aca="false">IF($G$11=$E$11,$F$11,IF(U345&lt;($F$11-$E$11)/($G$11-$E$11),$E$11+SQRT(U345*($G$11-$E$11)*($F$11-$E$11)),$G$11-SQRT((1-U345)*($G$11-$E$11)*($G$11-$F$11))))</f>
        <v>0</v>
      </c>
      <c r="H345" s="39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0</v>
      </c>
      <c r="I345" s="39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0</v>
      </c>
      <c r="J345" s="39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0</v>
      </c>
      <c r="K345" s="39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0</v>
      </c>
      <c r="L345" s="39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0</v>
      </c>
      <c r="M345" s="39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0</v>
      </c>
      <c r="N345" s="39" t="str">
        <f aca="false">IF(COUNT('Business Case'!B11:G11)=0,"",H345+NPV(G345,I345:M345))</f>
        <v/>
      </c>
      <c r="P345" s="40" t="n">
        <f aca="true">RAND()</f>
        <v>0.87776340919109</v>
      </c>
      <c r="Q345" s="40" t="n">
        <f aca="true">RAND()</f>
        <v>0.0791955858086526</v>
      </c>
      <c r="R345" s="40" t="n">
        <f aca="true">RAND()</f>
        <v>0.165765190435184</v>
      </c>
      <c r="S345" s="40" t="n">
        <f aca="true">RAND()</f>
        <v>0.956050337244485</v>
      </c>
      <c r="T345" s="40" t="n">
        <f aca="true">RAND()</f>
        <v>0.756967149269305</v>
      </c>
      <c r="U345" s="40" t="n">
        <f aca="true">RAND()</f>
        <v>0.301403128417185</v>
      </c>
    </row>
    <row r="346" customFormat="false" ht="15" hidden="false" customHeight="false" outlineLevel="0" collapsed="false">
      <c r="A346" s="36" t="n">
        <v>266</v>
      </c>
      <c r="B346" s="37" t="n">
        <f aca="false">1+IF($G$6=$E$6,$F$6,IF(P346&lt;($F$6-$E$6)/($G$6-$E$6),$E$6+SQRT(P346*($G$6-$E$6)*($F$6-$E$6)),$G$6-SQRT((1-P346)*($G$6-$E$6)*($G$6-$F$6))))</f>
        <v>1</v>
      </c>
      <c r="C346" s="37" t="n">
        <f aca="false">1+IF($G$7=$E$7,$F$7,IF(Q346&lt;($F$7-$E$7)/($G$7-$E$7),$E$7+SQRT(Q346*($G$7-$E$7)*($F$7-$E$7)),$G$7-SQRT((1-Q346)*($G$7-$E$7)*($G$7-$F$7))))</f>
        <v>1</v>
      </c>
      <c r="D346" s="37" t="n">
        <f aca="false">1+IF($G$8=$E$8,$F$8,IF(R346&lt;($F$8-$E$8)/($G$8-$E$8),$E$8+SQRT(R346*($G$8-$E$8)*($F$8-$E$8)),$G$8-SQRT((1-R346)*($G$8-$E$8)*($G$8-$F$8))))</f>
        <v>1</v>
      </c>
      <c r="E346" s="37" t="n">
        <f aca="false">1+IF($G$9=$E$9,$F$9,IF(S346&lt;($F$9-$E$9)/($G$9-$E$9),$E$9+SQRT(S346*($G$9-$E$9)*($F$9-$E$9)),$G$9-SQRT((1-S346)*($G$9-$E$9)*($G$9-$F$9))))</f>
        <v>1</v>
      </c>
      <c r="F346" s="37" t="n">
        <f aca="false">1+IF($G$10=$E$10,$F$10,IF(T346&lt;($F$10-$E$10)/($G$10-$E$10),$E$10+SQRT(T346*($G$10-$E$10)*($F$10-$E$10)),$G$10-SQRT((1-T346)*($G$10-$E$10)*($G$10-$F$10))))</f>
        <v>1</v>
      </c>
      <c r="G346" s="38" t="n">
        <f aca="false">IF($G$11=$E$11,$F$11,IF(U346&lt;($F$11-$E$11)/($G$11-$E$11),$E$11+SQRT(U346*($G$11-$E$11)*($F$11-$E$11)),$G$11-SQRT((1-U346)*($G$11-$E$11)*($G$11-$F$11))))</f>
        <v>0</v>
      </c>
      <c r="H346" s="39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0</v>
      </c>
      <c r="I346" s="39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0</v>
      </c>
      <c r="J346" s="39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0</v>
      </c>
      <c r="K346" s="39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0</v>
      </c>
      <c r="L346" s="39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0</v>
      </c>
      <c r="M346" s="39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0</v>
      </c>
      <c r="N346" s="39" t="str">
        <f aca="false">IF(COUNT('Business Case'!B11:G11)=0,"",H346+NPV(G346,I346:M346))</f>
        <v/>
      </c>
      <c r="P346" s="40" t="n">
        <f aca="true">RAND()</f>
        <v>0.143641619867092</v>
      </c>
      <c r="Q346" s="40" t="n">
        <f aca="true">RAND()</f>
        <v>0.914097500945034</v>
      </c>
      <c r="R346" s="40" t="n">
        <f aca="true">RAND()</f>
        <v>0.790581249628729</v>
      </c>
      <c r="S346" s="40" t="n">
        <f aca="true">RAND()</f>
        <v>0.856138068301006</v>
      </c>
      <c r="T346" s="40" t="n">
        <f aca="true">RAND()</f>
        <v>0.567361918044977</v>
      </c>
      <c r="U346" s="40" t="n">
        <f aca="true">RAND()</f>
        <v>0.88075073513492</v>
      </c>
    </row>
    <row r="347" customFormat="false" ht="15" hidden="false" customHeight="false" outlineLevel="0" collapsed="false">
      <c r="A347" s="36" t="n">
        <v>267</v>
      </c>
      <c r="B347" s="37" t="n">
        <f aca="false">1+IF($G$6=$E$6,$F$6,IF(P347&lt;($F$6-$E$6)/($G$6-$E$6),$E$6+SQRT(P347*($G$6-$E$6)*($F$6-$E$6)),$G$6-SQRT((1-P347)*($G$6-$E$6)*($G$6-$F$6))))</f>
        <v>1</v>
      </c>
      <c r="C347" s="37" t="n">
        <f aca="false">1+IF($G$7=$E$7,$F$7,IF(Q347&lt;($F$7-$E$7)/($G$7-$E$7),$E$7+SQRT(Q347*($G$7-$E$7)*($F$7-$E$7)),$G$7-SQRT((1-Q347)*($G$7-$E$7)*($G$7-$F$7))))</f>
        <v>1</v>
      </c>
      <c r="D347" s="37" t="n">
        <f aca="false">1+IF($G$8=$E$8,$F$8,IF(R347&lt;($F$8-$E$8)/($G$8-$E$8),$E$8+SQRT(R347*($G$8-$E$8)*($F$8-$E$8)),$G$8-SQRT((1-R347)*($G$8-$E$8)*($G$8-$F$8))))</f>
        <v>1</v>
      </c>
      <c r="E347" s="37" t="n">
        <f aca="false">1+IF($G$9=$E$9,$F$9,IF(S347&lt;($F$9-$E$9)/($G$9-$E$9),$E$9+SQRT(S347*($G$9-$E$9)*($F$9-$E$9)),$G$9-SQRT((1-S347)*($G$9-$E$9)*($G$9-$F$9))))</f>
        <v>1</v>
      </c>
      <c r="F347" s="37" t="n">
        <f aca="false">1+IF($G$10=$E$10,$F$10,IF(T347&lt;($F$10-$E$10)/($G$10-$E$10),$E$10+SQRT(T347*($G$10-$E$10)*($F$10-$E$10)),$G$10-SQRT((1-T347)*($G$10-$E$10)*($G$10-$F$10))))</f>
        <v>1</v>
      </c>
      <c r="G347" s="38" t="n">
        <f aca="false">IF($G$11=$E$11,$F$11,IF(U347&lt;($F$11-$E$11)/($G$11-$E$11),$E$11+SQRT(U347*($G$11-$E$11)*($F$11-$E$11)),$G$11-SQRT((1-U347)*($G$11-$E$11)*($G$11-$F$11))))</f>
        <v>0</v>
      </c>
      <c r="H347" s="39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0</v>
      </c>
      <c r="I347" s="39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0</v>
      </c>
      <c r="J347" s="39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0</v>
      </c>
      <c r="K347" s="39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0</v>
      </c>
      <c r="L347" s="39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0</v>
      </c>
      <c r="M347" s="39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0</v>
      </c>
      <c r="N347" s="39" t="str">
        <f aca="false">IF(COUNT('Business Case'!B11:G11)=0,"",H347+NPV(G347,I347:M347))</f>
        <v/>
      </c>
      <c r="P347" s="40" t="n">
        <f aca="true">RAND()</f>
        <v>0.228754461191747</v>
      </c>
      <c r="Q347" s="40" t="n">
        <f aca="true">RAND()</f>
        <v>0.091118496195835</v>
      </c>
      <c r="R347" s="40" t="n">
        <f aca="true">RAND()</f>
        <v>0.851419428314323</v>
      </c>
      <c r="S347" s="40" t="n">
        <f aca="true">RAND()</f>
        <v>0.0108670720482245</v>
      </c>
      <c r="T347" s="40" t="n">
        <f aca="true">RAND()</f>
        <v>0.916064958546169</v>
      </c>
      <c r="U347" s="40" t="n">
        <f aca="true">RAND()</f>
        <v>0.278234816466764</v>
      </c>
    </row>
    <row r="348" customFormat="false" ht="15" hidden="false" customHeight="false" outlineLevel="0" collapsed="false">
      <c r="A348" s="36" t="n">
        <v>268</v>
      </c>
      <c r="B348" s="37" t="n">
        <f aca="false">1+IF($G$6=$E$6,$F$6,IF(P348&lt;($F$6-$E$6)/($G$6-$E$6),$E$6+SQRT(P348*($G$6-$E$6)*($F$6-$E$6)),$G$6-SQRT((1-P348)*($G$6-$E$6)*($G$6-$F$6))))</f>
        <v>1</v>
      </c>
      <c r="C348" s="37" t="n">
        <f aca="false">1+IF($G$7=$E$7,$F$7,IF(Q348&lt;($F$7-$E$7)/($G$7-$E$7),$E$7+SQRT(Q348*($G$7-$E$7)*($F$7-$E$7)),$G$7-SQRT((1-Q348)*($G$7-$E$7)*($G$7-$F$7))))</f>
        <v>1</v>
      </c>
      <c r="D348" s="37" t="n">
        <f aca="false">1+IF($G$8=$E$8,$F$8,IF(R348&lt;($F$8-$E$8)/($G$8-$E$8),$E$8+SQRT(R348*($G$8-$E$8)*($F$8-$E$8)),$G$8-SQRT((1-R348)*($G$8-$E$8)*($G$8-$F$8))))</f>
        <v>1</v>
      </c>
      <c r="E348" s="37" t="n">
        <f aca="false">1+IF($G$9=$E$9,$F$9,IF(S348&lt;($F$9-$E$9)/($G$9-$E$9),$E$9+SQRT(S348*($G$9-$E$9)*($F$9-$E$9)),$G$9-SQRT((1-S348)*($G$9-$E$9)*($G$9-$F$9))))</f>
        <v>1</v>
      </c>
      <c r="F348" s="37" t="n">
        <f aca="false">1+IF($G$10=$E$10,$F$10,IF(T348&lt;($F$10-$E$10)/($G$10-$E$10),$E$10+SQRT(T348*($G$10-$E$10)*($F$10-$E$10)),$G$10-SQRT((1-T348)*($G$10-$E$10)*($G$10-$F$10))))</f>
        <v>1</v>
      </c>
      <c r="G348" s="38" t="n">
        <f aca="false">IF($G$11=$E$11,$F$11,IF(U348&lt;($F$11-$E$11)/($G$11-$E$11),$E$11+SQRT(U348*($G$11-$E$11)*($F$11-$E$11)),$G$11-SQRT((1-U348)*($G$11-$E$11)*($G$11-$F$11))))</f>
        <v>0</v>
      </c>
      <c r="H348" s="39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0</v>
      </c>
      <c r="I348" s="39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0</v>
      </c>
      <c r="J348" s="39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0</v>
      </c>
      <c r="K348" s="39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0</v>
      </c>
      <c r="L348" s="39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0</v>
      </c>
      <c r="M348" s="39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0</v>
      </c>
      <c r="N348" s="39" t="str">
        <f aca="false">IF(COUNT('Business Case'!B11:G11)=0,"",H348+NPV(G348,I348:M348))</f>
        <v/>
      </c>
      <c r="P348" s="40" t="n">
        <f aca="true">RAND()</f>
        <v>0.344842006773436</v>
      </c>
      <c r="Q348" s="40" t="n">
        <f aca="true">RAND()</f>
        <v>0.307615705079027</v>
      </c>
      <c r="R348" s="40" t="n">
        <f aca="true">RAND()</f>
        <v>0.31256296074549</v>
      </c>
      <c r="S348" s="40" t="n">
        <f aca="true">RAND()</f>
        <v>0.902733956111371</v>
      </c>
      <c r="T348" s="40" t="n">
        <f aca="true">RAND()</f>
        <v>0.339351413935582</v>
      </c>
      <c r="U348" s="40" t="n">
        <f aca="true">RAND()</f>
        <v>0.205934367507381</v>
      </c>
    </row>
    <row r="349" customFormat="false" ht="15" hidden="false" customHeight="false" outlineLevel="0" collapsed="false">
      <c r="A349" s="36" t="n">
        <v>269</v>
      </c>
      <c r="B349" s="37" t="n">
        <f aca="false">1+IF($G$6=$E$6,$F$6,IF(P349&lt;($F$6-$E$6)/($G$6-$E$6),$E$6+SQRT(P349*($G$6-$E$6)*($F$6-$E$6)),$G$6-SQRT((1-P349)*($G$6-$E$6)*($G$6-$F$6))))</f>
        <v>1</v>
      </c>
      <c r="C349" s="37" t="n">
        <f aca="false">1+IF($G$7=$E$7,$F$7,IF(Q349&lt;($F$7-$E$7)/($G$7-$E$7),$E$7+SQRT(Q349*($G$7-$E$7)*($F$7-$E$7)),$G$7-SQRT((1-Q349)*($G$7-$E$7)*($G$7-$F$7))))</f>
        <v>1</v>
      </c>
      <c r="D349" s="37" t="n">
        <f aca="false">1+IF($G$8=$E$8,$F$8,IF(R349&lt;($F$8-$E$8)/($G$8-$E$8),$E$8+SQRT(R349*($G$8-$E$8)*($F$8-$E$8)),$G$8-SQRT((1-R349)*($G$8-$E$8)*($G$8-$F$8))))</f>
        <v>1</v>
      </c>
      <c r="E349" s="37" t="n">
        <f aca="false">1+IF($G$9=$E$9,$F$9,IF(S349&lt;($F$9-$E$9)/($G$9-$E$9),$E$9+SQRT(S349*($G$9-$E$9)*($F$9-$E$9)),$G$9-SQRT((1-S349)*($G$9-$E$9)*($G$9-$F$9))))</f>
        <v>1</v>
      </c>
      <c r="F349" s="37" t="n">
        <f aca="false">1+IF($G$10=$E$10,$F$10,IF(T349&lt;($F$10-$E$10)/($G$10-$E$10),$E$10+SQRT(T349*($G$10-$E$10)*($F$10-$E$10)),$G$10-SQRT((1-T349)*($G$10-$E$10)*($G$10-$F$10))))</f>
        <v>1</v>
      </c>
      <c r="G349" s="38" t="n">
        <f aca="false">IF($G$11=$E$11,$F$11,IF(U349&lt;($F$11-$E$11)/($G$11-$E$11),$E$11+SQRT(U349*($G$11-$E$11)*($F$11-$E$11)),$G$11-SQRT((1-U349)*($G$11-$E$11)*($G$11-$F$11))))</f>
        <v>0</v>
      </c>
      <c r="H349" s="39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0</v>
      </c>
      <c r="I349" s="39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0</v>
      </c>
      <c r="J349" s="39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0</v>
      </c>
      <c r="K349" s="39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0</v>
      </c>
      <c r="L349" s="39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0</v>
      </c>
      <c r="M349" s="39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0</v>
      </c>
      <c r="N349" s="39" t="str">
        <f aca="false">IF(COUNT('Business Case'!B11:G11)=0,"",H349+NPV(G349,I349:M349))</f>
        <v/>
      </c>
      <c r="P349" s="40" t="n">
        <f aca="true">RAND()</f>
        <v>0.555976889380896</v>
      </c>
      <c r="Q349" s="40" t="n">
        <f aca="true">RAND()</f>
        <v>0.757063718757439</v>
      </c>
      <c r="R349" s="40" t="n">
        <f aca="true">RAND()</f>
        <v>0.548260826477499</v>
      </c>
      <c r="S349" s="40" t="n">
        <f aca="true">RAND()</f>
        <v>0.469210140316912</v>
      </c>
      <c r="T349" s="40" t="n">
        <f aca="true">RAND()</f>
        <v>0.76623591356868</v>
      </c>
      <c r="U349" s="40" t="n">
        <f aca="true">RAND()</f>
        <v>0.405696174818335</v>
      </c>
    </row>
    <row r="350" customFormat="false" ht="15" hidden="false" customHeight="false" outlineLevel="0" collapsed="false">
      <c r="A350" s="36" t="n">
        <v>270</v>
      </c>
      <c r="B350" s="37" t="n">
        <f aca="false">1+IF($G$6=$E$6,$F$6,IF(P350&lt;($F$6-$E$6)/($G$6-$E$6),$E$6+SQRT(P350*($G$6-$E$6)*($F$6-$E$6)),$G$6-SQRT((1-P350)*($G$6-$E$6)*($G$6-$F$6))))</f>
        <v>1</v>
      </c>
      <c r="C350" s="37" t="n">
        <f aca="false">1+IF($G$7=$E$7,$F$7,IF(Q350&lt;($F$7-$E$7)/($G$7-$E$7),$E$7+SQRT(Q350*($G$7-$E$7)*($F$7-$E$7)),$G$7-SQRT((1-Q350)*($G$7-$E$7)*($G$7-$F$7))))</f>
        <v>1</v>
      </c>
      <c r="D350" s="37" t="n">
        <f aca="false">1+IF($G$8=$E$8,$F$8,IF(R350&lt;($F$8-$E$8)/($G$8-$E$8),$E$8+SQRT(R350*($G$8-$E$8)*($F$8-$E$8)),$G$8-SQRT((1-R350)*($G$8-$E$8)*($G$8-$F$8))))</f>
        <v>1</v>
      </c>
      <c r="E350" s="37" t="n">
        <f aca="false">1+IF($G$9=$E$9,$F$9,IF(S350&lt;($F$9-$E$9)/($G$9-$E$9),$E$9+SQRT(S350*($G$9-$E$9)*($F$9-$E$9)),$G$9-SQRT((1-S350)*($G$9-$E$9)*($G$9-$F$9))))</f>
        <v>1</v>
      </c>
      <c r="F350" s="37" t="n">
        <f aca="false">1+IF($G$10=$E$10,$F$10,IF(T350&lt;($F$10-$E$10)/($G$10-$E$10),$E$10+SQRT(T350*($G$10-$E$10)*($F$10-$E$10)),$G$10-SQRT((1-T350)*($G$10-$E$10)*($G$10-$F$10))))</f>
        <v>1</v>
      </c>
      <c r="G350" s="38" t="n">
        <f aca="false">IF($G$11=$E$11,$F$11,IF(U350&lt;($F$11-$E$11)/($G$11-$E$11),$E$11+SQRT(U350*($G$11-$E$11)*($F$11-$E$11)),$G$11-SQRT((1-U350)*($G$11-$E$11)*($G$11-$F$11))))</f>
        <v>0</v>
      </c>
      <c r="H350" s="39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0</v>
      </c>
      <c r="I350" s="39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0</v>
      </c>
      <c r="J350" s="39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0</v>
      </c>
      <c r="K350" s="39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0</v>
      </c>
      <c r="L350" s="39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0</v>
      </c>
      <c r="M350" s="39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0</v>
      </c>
      <c r="N350" s="39" t="str">
        <f aca="false">IF(COUNT('Business Case'!B11:G11)=0,"",H350+NPV(G350,I350:M350))</f>
        <v/>
      </c>
      <c r="P350" s="40" t="n">
        <f aca="true">RAND()</f>
        <v>0.586750431866059</v>
      </c>
      <c r="Q350" s="40" t="n">
        <f aca="true">RAND()</f>
        <v>0.372795642693564</v>
      </c>
      <c r="R350" s="40" t="n">
        <f aca="true">RAND()</f>
        <v>0.116173489803837</v>
      </c>
      <c r="S350" s="40" t="n">
        <f aca="true">RAND()</f>
        <v>0.596978004439933</v>
      </c>
      <c r="T350" s="40" t="n">
        <f aca="true">RAND()</f>
        <v>0.519826613752604</v>
      </c>
      <c r="U350" s="40" t="n">
        <f aca="true">RAND()</f>
        <v>0.37674889311623</v>
      </c>
    </row>
    <row r="351" customFormat="false" ht="15" hidden="false" customHeight="false" outlineLevel="0" collapsed="false">
      <c r="A351" s="36" t="n">
        <v>271</v>
      </c>
      <c r="B351" s="37" t="n">
        <f aca="false">1+IF($G$6=$E$6,$F$6,IF(P351&lt;($F$6-$E$6)/($G$6-$E$6),$E$6+SQRT(P351*($G$6-$E$6)*($F$6-$E$6)),$G$6-SQRT((1-P351)*($G$6-$E$6)*($G$6-$F$6))))</f>
        <v>1</v>
      </c>
      <c r="C351" s="37" t="n">
        <f aca="false">1+IF($G$7=$E$7,$F$7,IF(Q351&lt;($F$7-$E$7)/($G$7-$E$7),$E$7+SQRT(Q351*($G$7-$E$7)*($F$7-$E$7)),$G$7-SQRT((1-Q351)*($G$7-$E$7)*($G$7-$F$7))))</f>
        <v>1</v>
      </c>
      <c r="D351" s="37" t="n">
        <f aca="false">1+IF($G$8=$E$8,$F$8,IF(R351&lt;($F$8-$E$8)/($G$8-$E$8),$E$8+SQRT(R351*($G$8-$E$8)*($F$8-$E$8)),$G$8-SQRT((1-R351)*($G$8-$E$8)*($G$8-$F$8))))</f>
        <v>1</v>
      </c>
      <c r="E351" s="37" t="n">
        <f aca="false">1+IF($G$9=$E$9,$F$9,IF(S351&lt;($F$9-$E$9)/($G$9-$E$9),$E$9+SQRT(S351*($G$9-$E$9)*($F$9-$E$9)),$G$9-SQRT((1-S351)*($G$9-$E$9)*($G$9-$F$9))))</f>
        <v>1</v>
      </c>
      <c r="F351" s="37" t="n">
        <f aca="false">1+IF($G$10=$E$10,$F$10,IF(T351&lt;($F$10-$E$10)/($G$10-$E$10),$E$10+SQRT(T351*($G$10-$E$10)*($F$10-$E$10)),$G$10-SQRT((1-T351)*($G$10-$E$10)*($G$10-$F$10))))</f>
        <v>1</v>
      </c>
      <c r="G351" s="38" t="n">
        <f aca="false">IF($G$11=$E$11,$F$11,IF(U351&lt;($F$11-$E$11)/($G$11-$E$11),$E$11+SQRT(U351*($G$11-$E$11)*($F$11-$E$11)),$G$11-SQRT((1-U351)*($G$11-$E$11)*($G$11-$F$11))))</f>
        <v>0</v>
      </c>
      <c r="H351" s="39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0</v>
      </c>
      <c r="I351" s="39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0</v>
      </c>
      <c r="J351" s="39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0</v>
      </c>
      <c r="K351" s="39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0</v>
      </c>
      <c r="L351" s="39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0</v>
      </c>
      <c r="M351" s="39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0</v>
      </c>
      <c r="N351" s="39" t="str">
        <f aca="false">IF(COUNT('Business Case'!B11:G11)=0,"",H351+NPV(G351,I351:M351))</f>
        <v/>
      </c>
      <c r="P351" s="40" t="n">
        <f aca="true">RAND()</f>
        <v>0.920754104144406</v>
      </c>
      <c r="Q351" s="40" t="n">
        <f aca="true">RAND()</f>
        <v>0.874400603167561</v>
      </c>
      <c r="R351" s="40" t="n">
        <f aca="true">RAND()</f>
        <v>0.670238019711153</v>
      </c>
      <c r="S351" s="40" t="n">
        <f aca="true">RAND()</f>
        <v>0.629390787892672</v>
      </c>
      <c r="T351" s="40" t="n">
        <f aca="true">RAND()</f>
        <v>0.617033333587083</v>
      </c>
      <c r="U351" s="40" t="n">
        <f aca="true">RAND()</f>
        <v>0.849288042622592</v>
      </c>
    </row>
    <row r="352" customFormat="false" ht="15" hidden="false" customHeight="false" outlineLevel="0" collapsed="false">
      <c r="A352" s="36" t="n">
        <v>272</v>
      </c>
      <c r="B352" s="37" t="n">
        <f aca="false">1+IF($G$6=$E$6,$F$6,IF(P352&lt;($F$6-$E$6)/($G$6-$E$6),$E$6+SQRT(P352*($G$6-$E$6)*($F$6-$E$6)),$G$6-SQRT((1-P352)*($G$6-$E$6)*($G$6-$F$6))))</f>
        <v>1</v>
      </c>
      <c r="C352" s="37" t="n">
        <f aca="false">1+IF($G$7=$E$7,$F$7,IF(Q352&lt;($F$7-$E$7)/($G$7-$E$7),$E$7+SQRT(Q352*($G$7-$E$7)*($F$7-$E$7)),$G$7-SQRT((1-Q352)*($G$7-$E$7)*($G$7-$F$7))))</f>
        <v>1</v>
      </c>
      <c r="D352" s="37" t="n">
        <f aca="false">1+IF($G$8=$E$8,$F$8,IF(R352&lt;($F$8-$E$8)/($G$8-$E$8),$E$8+SQRT(R352*($G$8-$E$8)*($F$8-$E$8)),$G$8-SQRT((1-R352)*($G$8-$E$8)*($G$8-$F$8))))</f>
        <v>1</v>
      </c>
      <c r="E352" s="37" t="n">
        <f aca="false">1+IF($G$9=$E$9,$F$9,IF(S352&lt;($F$9-$E$9)/($G$9-$E$9),$E$9+SQRT(S352*($G$9-$E$9)*($F$9-$E$9)),$G$9-SQRT((1-S352)*($G$9-$E$9)*($G$9-$F$9))))</f>
        <v>1</v>
      </c>
      <c r="F352" s="37" t="n">
        <f aca="false">1+IF($G$10=$E$10,$F$10,IF(T352&lt;($F$10-$E$10)/($G$10-$E$10),$E$10+SQRT(T352*($G$10-$E$10)*($F$10-$E$10)),$G$10-SQRT((1-T352)*($G$10-$E$10)*($G$10-$F$10))))</f>
        <v>1</v>
      </c>
      <c r="G352" s="38" t="n">
        <f aca="false">IF($G$11=$E$11,$F$11,IF(U352&lt;($F$11-$E$11)/($G$11-$E$11),$E$11+SQRT(U352*($G$11-$E$11)*($F$11-$E$11)),$G$11-SQRT((1-U352)*($G$11-$E$11)*($G$11-$F$11))))</f>
        <v>0</v>
      </c>
      <c r="H352" s="39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0</v>
      </c>
      <c r="I352" s="39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0</v>
      </c>
      <c r="J352" s="39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0</v>
      </c>
      <c r="K352" s="39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0</v>
      </c>
      <c r="L352" s="39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0</v>
      </c>
      <c r="M352" s="39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0</v>
      </c>
      <c r="N352" s="39" t="str">
        <f aca="false">IF(COUNT('Business Case'!B11:G11)=0,"",H352+NPV(G352,I352:M352))</f>
        <v/>
      </c>
      <c r="P352" s="40" t="n">
        <f aca="true">RAND()</f>
        <v>0.988792773219805</v>
      </c>
      <c r="Q352" s="40" t="n">
        <f aca="true">RAND()</f>
        <v>0.300722744150948</v>
      </c>
      <c r="R352" s="40" t="n">
        <f aca="true">RAND()</f>
        <v>0.722418781358884</v>
      </c>
      <c r="S352" s="40" t="n">
        <f aca="true">RAND()</f>
        <v>0.842642918750423</v>
      </c>
      <c r="T352" s="40" t="n">
        <f aca="true">RAND()</f>
        <v>0.440194984426511</v>
      </c>
      <c r="U352" s="40" t="n">
        <f aca="true">RAND()</f>
        <v>0.460676129419759</v>
      </c>
    </row>
    <row r="353" customFormat="false" ht="15" hidden="false" customHeight="false" outlineLevel="0" collapsed="false">
      <c r="A353" s="36" t="n">
        <v>273</v>
      </c>
      <c r="B353" s="37" t="n">
        <f aca="false">1+IF($G$6=$E$6,$F$6,IF(P353&lt;($F$6-$E$6)/($G$6-$E$6),$E$6+SQRT(P353*($G$6-$E$6)*($F$6-$E$6)),$G$6-SQRT((1-P353)*($G$6-$E$6)*($G$6-$F$6))))</f>
        <v>1</v>
      </c>
      <c r="C353" s="37" t="n">
        <f aca="false">1+IF($G$7=$E$7,$F$7,IF(Q353&lt;($F$7-$E$7)/($G$7-$E$7),$E$7+SQRT(Q353*($G$7-$E$7)*($F$7-$E$7)),$G$7-SQRT((1-Q353)*($G$7-$E$7)*($G$7-$F$7))))</f>
        <v>1</v>
      </c>
      <c r="D353" s="37" t="n">
        <f aca="false">1+IF($G$8=$E$8,$F$8,IF(R353&lt;($F$8-$E$8)/($G$8-$E$8),$E$8+SQRT(R353*($G$8-$E$8)*($F$8-$E$8)),$G$8-SQRT((1-R353)*($G$8-$E$8)*($G$8-$F$8))))</f>
        <v>1</v>
      </c>
      <c r="E353" s="37" t="n">
        <f aca="false">1+IF($G$9=$E$9,$F$9,IF(S353&lt;($F$9-$E$9)/($G$9-$E$9),$E$9+SQRT(S353*($G$9-$E$9)*($F$9-$E$9)),$G$9-SQRT((1-S353)*($G$9-$E$9)*($G$9-$F$9))))</f>
        <v>1</v>
      </c>
      <c r="F353" s="37" t="n">
        <f aca="false">1+IF($G$10=$E$10,$F$10,IF(T353&lt;($F$10-$E$10)/($G$10-$E$10),$E$10+SQRT(T353*($G$10-$E$10)*($F$10-$E$10)),$G$10-SQRT((1-T353)*($G$10-$E$10)*($G$10-$F$10))))</f>
        <v>1</v>
      </c>
      <c r="G353" s="38" t="n">
        <f aca="false">IF($G$11=$E$11,$F$11,IF(U353&lt;($F$11-$E$11)/($G$11-$E$11),$E$11+SQRT(U353*($G$11-$E$11)*($F$11-$E$11)),$G$11-SQRT((1-U353)*($G$11-$E$11)*($G$11-$F$11))))</f>
        <v>0</v>
      </c>
      <c r="H353" s="39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0</v>
      </c>
      <c r="I353" s="39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0</v>
      </c>
      <c r="J353" s="39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0</v>
      </c>
      <c r="K353" s="39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0</v>
      </c>
      <c r="L353" s="39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0</v>
      </c>
      <c r="M353" s="39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0</v>
      </c>
      <c r="N353" s="39" t="str">
        <f aca="false">IF(COUNT('Business Case'!B11:G11)=0,"",H353+NPV(G353,I353:M353))</f>
        <v/>
      </c>
      <c r="P353" s="40" t="n">
        <f aca="true">RAND()</f>
        <v>0.530562646941838</v>
      </c>
      <c r="Q353" s="40" t="n">
        <f aca="true">RAND()</f>
        <v>0.407238780817642</v>
      </c>
      <c r="R353" s="40" t="n">
        <f aca="true">RAND()</f>
        <v>0.192809102044588</v>
      </c>
      <c r="S353" s="40" t="n">
        <f aca="true">RAND()</f>
        <v>0.685409261128231</v>
      </c>
      <c r="T353" s="40" t="n">
        <f aca="true">RAND()</f>
        <v>0.354824494616631</v>
      </c>
      <c r="U353" s="40" t="n">
        <f aca="true">RAND()</f>
        <v>0.471336072392088</v>
      </c>
    </row>
    <row r="354" customFormat="false" ht="15" hidden="false" customHeight="false" outlineLevel="0" collapsed="false">
      <c r="A354" s="36" t="n">
        <v>274</v>
      </c>
      <c r="B354" s="37" t="n">
        <f aca="false">1+IF($G$6=$E$6,$F$6,IF(P354&lt;($F$6-$E$6)/($G$6-$E$6),$E$6+SQRT(P354*($G$6-$E$6)*($F$6-$E$6)),$G$6-SQRT((1-P354)*($G$6-$E$6)*($G$6-$F$6))))</f>
        <v>1</v>
      </c>
      <c r="C354" s="37" t="n">
        <f aca="false">1+IF($G$7=$E$7,$F$7,IF(Q354&lt;($F$7-$E$7)/($G$7-$E$7),$E$7+SQRT(Q354*($G$7-$E$7)*($F$7-$E$7)),$G$7-SQRT((1-Q354)*($G$7-$E$7)*($G$7-$F$7))))</f>
        <v>1</v>
      </c>
      <c r="D354" s="37" t="n">
        <f aca="false">1+IF($G$8=$E$8,$F$8,IF(R354&lt;($F$8-$E$8)/($G$8-$E$8),$E$8+SQRT(R354*($G$8-$E$8)*($F$8-$E$8)),$G$8-SQRT((1-R354)*($G$8-$E$8)*($G$8-$F$8))))</f>
        <v>1</v>
      </c>
      <c r="E354" s="37" t="n">
        <f aca="false">1+IF($G$9=$E$9,$F$9,IF(S354&lt;($F$9-$E$9)/($G$9-$E$9),$E$9+SQRT(S354*($G$9-$E$9)*($F$9-$E$9)),$G$9-SQRT((1-S354)*($G$9-$E$9)*($G$9-$F$9))))</f>
        <v>1</v>
      </c>
      <c r="F354" s="37" t="n">
        <f aca="false">1+IF($G$10=$E$10,$F$10,IF(T354&lt;($F$10-$E$10)/($G$10-$E$10),$E$10+SQRT(T354*($G$10-$E$10)*($F$10-$E$10)),$G$10-SQRT((1-T354)*($G$10-$E$10)*($G$10-$F$10))))</f>
        <v>1</v>
      </c>
      <c r="G354" s="38" t="n">
        <f aca="false">IF($G$11=$E$11,$F$11,IF(U354&lt;($F$11-$E$11)/($G$11-$E$11),$E$11+SQRT(U354*($G$11-$E$11)*($F$11-$E$11)),$G$11-SQRT((1-U354)*($G$11-$E$11)*($G$11-$F$11))))</f>
        <v>0</v>
      </c>
      <c r="H354" s="39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0</v>
      </c>
      <c r="I354" s="39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0</v>
      </c>
      <c r="J354" s="39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0</v>
      </c>
      <c r="K354" s="39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0</v>
      </c>
      <c r="L354" s="39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0</v>
      </c>
      <c r="M354" s="39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0</v>
      </c>
      <c r="N354" s="39" t="str">
        <f aca="false">IF(COUNT('Business Case'!B11:G11)=0,"",H354+NPV(G354,I354:M354))</f>
        <v/>
      </c>
      <c r="P354" s="40" t="n">
        <f aca="true">RAND()</f>
        <v>0.31862571964993</v>
      </c>
      <c r="Q354" s="40" t="n">
        <f aca="true">RAND()</f>
        <v>0.705227794938614</v>
      </c>
      <c r="R354" s="40" t="n">
        <f aca="true">RAND()</f>
        <v>0.146281751509358</v>
      </c>
      <c r="S354" s="40" t="n">
        <f aca="true">RAND()</f>
        <v>0.165914603088413</v>
      </c>
      <c r="T354" s="40" t="n">
        <f aca="true">RAND()</f>
        <v>0.0291899859856692</v>
      </c>
      <c r="U354" s="40" t="n">
        <f aca="true">RAND()</f>
        <v>0.827333032605574</v>
      </c>
    </row>
    <row r="355" customFormat="false" ht="15" hidden="false" customHeight="false" outlineLevel="0" collapsed="false">
      <c r="A355" s="36" t="n">
        <v>275</v>
      </c>
      <c r="B355" s="37" t="n">
        <f aca="false">1+IF($G$6=$E$6,$F$6,IF(P355&lt;($F$6-$E$6)/($G$6-$E$6),$E$6+SQRT(P355*($G$6-$E$6)*($F$6-$E$6)),$G$6-SQRT((1-P355)*($G$6-$E$6)*($G$6-$F$6))))</f>
        <v>1</v>
      </c>
      <c r="C355" s="37" t="n">
        <f aca="false">1+IF($G$7=$E$7,$F$7,IF(Q355&lt;($F$7-$E$7)/($G$7-$E$7),$E$7+SQRT(Q355*($G$7-$E$7)*($F$7-$E$7)),$G$7-SQRT((1-Q355)*($G$7-$E$7)*($G$7-$F$7))))</f>
        <v>1</v>
      </c>
      <c r="D355" s="37" t="n">
        <f aca="false">1+IF($G$8=$E$8,$F$8,IF(R355&lt;($F$8-$E$8)/($G$8-$E$8),$E$8+SQRT(R355*($G$8-$E$8)*($F$8-$E$8)),$G$8-SQRT((1-R355)*($G$8-$E$8)*($G$8-$F$8))))</f>
        <v>1</v>
      </c>
      <c r="E355" s="37" t="n">
        <f aca="false">1+IF($G$9=$E$9,$F$9,IF(S355&lt;($F$9-$E$9)/($G$9-$E$9),$E$9+SQRT(S355*($G$9-$E$9)*($F$9-$E$9)),$G$9-SQRT((1-S355)*($G$9-$E$9)*($G$9-$F$9))))</f>
        <v>1</v>
      </c>
      <c r="F355" s="37" t="n">
        <f aca="false">1+IF($G$10=$E$10,$F$10,IF(T355&lt;($F$10-$E$10)/($G$10-$E$10),$E$10+SQRT(T355*($G$10-$E$10)*($F$10-$E$10)),$G$10-SQRT((1-T355)*($G$10-$E$10)*($G$10-$F$10))))</f>
        <v>1</v>
      </c>
      <c r="G355" s="38" t="n">
        <f aca="false">IF($G$11=$E$11,$F$11,IF(U355&lt;($F$11-$E$11)/($G$11-$E$11),$E$11+SQRT(U355*($G$11-$E$11)*($F$11-$E$11)),$G$11-SQRT((1-U355)*($G$11-$E$11)*($G$11-$F$11))))</f>
        <v>0</v>
      </c>
      <c r="H355" s="39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0</v>
      </c>
      <c r="I355" s="39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0</v>
      </c>
      <c r="J355" s="39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0</v>
      </c>
      <c r="K355" s="39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0</v>
      </c>
      <c r="L355" s="39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0</v>
      </c>
      <c r="M355" s="39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0</v>
      </c>
      <c r="N355" s="39" t="str">
        <f aca="false">IF(COUNT('Business Case'!B11:G11)=0,"",H355+NPV(G355,I355:M355))</f>
        <v/>
      </c>
      <c r="P355" s="40" t="n">
        <f aca="true">RAND()</f>
        <v>0.301959656227822</v>
      </c>
      <c r="Q355" s="40" t="n">
        <f aca="true">RAND()</f>
        <v>0.481975514460509</v>
      </c>
      <c r="R355" s="40" t="n">
        <f aca="true">RAND()</f>
        <v>0.209690848004428</v>
      </c>
      <c r="S355" s="40" t="n">
        <f aca="true">RAND()</f>
        <v>0.297913166217336</v>
      </c>
      <c r="T355" s="40" t="n">
        <f aca="true">RAND()</f>
        <v>0.00752324574342241</v>
      </c>
      <c r="U355" s="40" t="n">
        <f aca="true">RAND()</f>
        <v>0.0281238051395265</v>
      </c>
    </row>
    <row r="356" customFormat="false" ht="15" hidden="false" customHeight="false" outlineLevel="0" collapsed="false">
      <c r="A356" s="36" t="n">
        <v>276</v>
      </c>
      <c r="B356" s="37" t="n">
        <f aca="false">1+IF($G$6=$E$6,$F$6,IF(P356&lt;($F$6-$E$6)/($G$6-$E$6),$E$6+SQRT(P356*($G$6-$E$6)*($F$6-$E$6)),$G$6-SQRT((1-P356)*($G$6-$E$6)*($G$6-$F$6))))</f>
        <v>1</v>
      </c>
      <c r="C356" s="37" t="n">
        <f aca="false">1+IF($G$7=$E$7,$F$7,IF(Q356&lt;($F$7-$E$7)/($G$7-$E$7),$E$7+SQRT(Q356*($G$7-$E$7)*($F$7-$E$7)),$G$7-SQRT((1-Q356)*($G$7-$E$7)*($G$7-$F$7))))</f>
        <v>1</v>
      </c>
      <c r="D356" s="37" t="n">
        <f aca="false">1+IF($G$8=$E$8,$F$8,IF(R356&lt;($F$8-$E$8)/($G$8-$E$8),$E$8+SQRT(R356*($G$8-$E$8)*($F$8-$E$8)),$G$8-SQRT((1-R356)*($G$8-$E$8)*($G$8-$F$8))))</f>
        <v>1</v>
      </c>
      <c r="E356" s="37" t="n">
        <f aca="false">1+IF($G$9=$E$9,$F$9,IF(S356&lt;($F$9-$E$9)/($G$9-$E$9),$E$9+SQRT(S356*($G$9-$E$9)*($F$9-$E$9)),$G$9-SQRT((1-S356)*($G$9-$E$9)*($G$9-$F$9))))</f>
        <v>1</v>
      </c>
      <c r="F356" s="37" t="n">
        <f aca="false">1+IF($G$10=$E$10,$F$10,IF(T356&lt;($F$10-$E$10)/($G$10-$E$10),$E$10+SQRT(T356*($G$10-$E$10)*($F$10-$E$10)),$G$10-SQRT((1-T356)*($G$10-$E$10)*($G$10-$F$10))))</f>
        <v>1</v>
      </c>
      <c r="G356" s="38" t="n">
        <f aca="false">IF($G$11=$E$11,$F$11,IF(U356&lt;($F$11-$E$11)/($G$11-$E$11),$E$11+SQRT(U356*($G$11-$E$11)*($F$11-$E$11)),$G$11-SQRT((1-U356)*($G$11-$E$11)*($G$11-$F$11))))</f>
        <v>0</v>
      </c>
      <c r="H356" s="39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0</v>
      </c>
      <c r="I356" s="39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0</v>
      </c>
      <c r="J356" s="39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0</v>
      </c>
      <c r="K356" s="39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0</v>
      </c>
      <c r="L356" s="39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0</v>
      </c>
      <c r="M356" s="39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0</v>
      </c>
      <c r="N356" s="39" t="str">
        <f aca="false">IF(COUNT('Business Case'!B11:G11)=0,"",H356+NPV(G356,I356:M356))</f>
        <v/>
      </c>
      <c r="P356" s="40" t="n">
        <f aca="true">RAND()</f>
        <v>0.986438296759182</v>
      </c>
      <c r="Q356" s="40" t="n">
        <f aca="true">RAND()</f>
        <v>0.733793056914479</v>
      </c>
      <c r="R356" s="40" t="n">
        <f aca="true">RAND()</f>
        <v>0.553723723413594</v>
      </c>
      <c r="S356" s="40" t="n">
        <f aca="true">RAND()</f>
        <v>0.542999805173332</v>
      </c>
      <c r="T356" s="40" t="n">
        <f aca="true">RAND()</f>
        <v>0.299647791971129</v>
      </c>
      <c r="U356" s="40" t="n">
        <f aca="true">RAND()</f>
        <v>0.650221323776635</v>
      </c>
    </row>
    <row r="357" customFormat="false" ht="15" hidden="false" customHeight="false" outlineLevel="0" collapsed="false">
      <c r="A357" s="36" t="n">
        <v>277</v>
      </c>
      <c r="B357" s="37" t="n">
        <f aca="false">1+IF($G$6=$E$6,$F$6,IF(P357&lt;($F$6-$E$6)/($G$6-$E$6),$E$6+SQRT(P357*($G$6-$E$6)*($F$6-$E$6)),$G$6-SQRT((1-P357)*($G$6-$E$6)*($G$6-$F$6))))</f>
        <v>1</v>
      </c>
      <c r="C357" s="37" t="n">
        <f aca="false">1+IF($G$7=$E$7,$F$7,IF(Q357&lt;($F$7-$E$7)/($G$7-$E$7),$E$7+SQRT(Q357*($G$7-$E$7)*($F$7-$E$7)),$G$7-SQRT((1-Q357)*($G$7-$E$7)*($G$7-$F$7))))</f>
        <v>1</v>
      </c>
      <c r="D357" s="37" t="n">
        <f aca="false">1+IF($G$8=$E$8,$F$8,IF(R357&lt;($F$8-$E$8)/($G$8-$E$8),$E$8+SQRT(R357*($G$8-$E$8)*($F$8-$E$8)),$G$8-SQRT((1-R357)*($G$8-$E$8)*($G$8-$F$8))))</f>
        <v>1</v>
      </c>
      <c r="E357" s="37" t="n">
        <f aca="false">1+IF($G$9=$E$9,$F$9,IF(S357&lt;($F$9-$E$9)/($G$9-$E$9),$E$9+SQRT(S357*($G$9-$E$9)*($F$9-$E$9)),$G$9-SQRT((1-S357)*($G$9-$E$9)*($G$9-$F$9))))</f>
        <v>1</v>
      </c>
      <c r="F357" s="37" t="n">
        <f aca="false">1+IF($G$10=$E$10,$F$10,IF(T357&lt;($F$10-$E$10)/($G$10-$E$10),$E$10+SQRT(T357*($G$10-$E$10)*($F$10-$E$10)),$G$10-SQRT((1-T357)*($G$10-$E$10)*($G$10-$F$10))))</f>
        <v>1</v>
      </c>
      <c r="G357" s="38" t="n">
        <f aca="false">IF($G$11=$E$11,$F$11,IF(U357&lt;($F$11-$E$11)/($G$11-$E$11),$E$11+SQRT(U357*($G$11-$E$11)*($F$11-$E$11)),$G$11-SQRT((1-U357)*($G$11-$E$11)*($G$11-$F$11))))</f>
        <v>0</v>
      </c>
      <c r="H357" s="39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0</v>
      </c>
      <c r="I357" s="39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0</v>
      </c>
      <c r="J357" s="39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0</v>
      </c>
      <c r="K357" s="39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0</v>
      </c>
      <c r="L357" s="39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0</v>
      </c>
      <c r="M357" s="39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0</v>
      </c>
      <c r="N357" s="39" t="str">
        <f aca="false">IF(COUNT('Business Case'!B11:G11)=0,"",H357+NPV(G357,I357:M357))</f>
        <v/>
      </c>
      <c r="P357" s="40" t="n">
        <f aca="true">RAND()</f>
        <v>0.335191174061223</v>
      </c>
      <c r="Q357" s="40" t="n">
        <f aca="true">RAND()</f>
        <v>0.593418513272878</v>
      </c>
      <c r="R357" s="40" t="n">
        <f aca="true">RAND()</f>
        <v>0.368426860183586</v>
      </c>
      <c r="S357" s="40" t="n">
        <f aca="true">RAND()</f>
        <v>0.682690001390918</v>
      </c>
      <c r="T357" s="40" t="n">
        <f aca="true">RAND()</f>
        <v>0.602063489239589</v>
      </c>
      <c r="U357" s="40" t="n">
        <f aca="true">RAND()</f>
        <v>0.243895186834518</v>
      </c>
    </row>
    <row r="358" customFormat="false" ht="15" hidden="false" customHeight="false" outlineLevel="0" collapsed="false">
      <c r="A358" s="36" t="n">
        <v>278</v>
      </c>
      <c r="B358" s="37" t="n">
        <f aca="false">1+IF($G$6=$E$6,$F$6,IF(P358&lt;($F$6-$E$6)/($G$6-$E$6),$E$6+SQRT(P358*($G$6-$E$6)*($F$6-$E$6)),$G$6-SQRT((1-P358)*($G$6-$E$6)*($G$6-$F$6))))</f>
        <v>1</v>
      </c>
      <c r="C358" s="37" t="n">
        <f aca="false">1+IF($G$7=$E$7,$F$7,IF(Q358&lt;($F$7-$E$7)/($G$7-$E$7),$E$7+SQRT(Q358*($G$7-$E$7)*($F$7-$E$7)),$G$7-SQRT((1-Q358)*($G$7-$E$7)*($G$7-$F$7))))</f>
        <v>1</v>
      </c>
      <c r="D358" s="37" t="n">
        <f aca="false">1+IF($G$8=$E$8,$F$8,IF(R358&lt;($F$8-$E$8)/($G$8-$E$8),$E$8+SQRT(R358*($G$8-$E$8)*($F$8-$E$8)),$G$8-SQRT((1-R358)*($G$8-$E$8)*($G$8-$F$8))))</f>
        <v>1</v>
      </c>
      <c r="E358" s="37" t="n">
        <f aca="false">1+IF($G$9=$E$9,$F$9,IF(S358&lt;($F$9-$E$9)/($G$9-$E$9),$E$9+SQRT(S358*($G$9-$E$9)*($F$9-$E$9)),$G$9-SQRT((1-S358)*($G$9-$E$9)*($G$9-$F$9))))</f>
        <v>1</v>
      </c>
      <c r="F358" s="37" t="n">
        <f aca="false">1+IF($G$10=$E$10,$F$10,IF(T358&lt;($F$10-$E$10)/($G$10-$E$10),$E$10+SQRT(T358*($G$10-$E$10)*($F$10-$E$10)),$G$10-SQRT((1-T358)*($G$10-$E$10)*($G$10-$F$10))))</f>
        <v>1</v>
      </c>
      <c r="G358" s="38" t="n">
        <f aca="false">IF($G$11=$E$11,$F$11,IF(U358&lt;($F$11-$E$11)/($G$11-$E$11),$E$11+SQRT(U358*($G$11-$E$11)*($F$11-$E$11)),$G$11-SQRT((1-U358)*($G$11-$E$11)*($G$11-$F$11))))</f>
        <v>0</v>
      </c>
      <c r="H358" s="39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0</v>
      </c>
      <c r="I358" s="39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0</v>
      </c>
      <c r="J358" s="39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0</v>
      </c>
      <c r="K358" s="39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0</v>
      </c>
      <c r="L358" s="39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0</v>
      </c>
      <c r="M358" s="39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0</v>
      </c>
      <c r="N358" s="39" t="str">
        <f aca="false">IF(COUNT('Business Case'!B11:G11)=0,"",H358+NPV(G358,I358:M358))</f>
        <v/>
      </c>
      <c r="P358" s="40" t="n">
        <f aca="true">RAND()</f>
        <v>0.0693874263500814</v>
      </c>
      <c r="Q358" s="40" t="n">
        <f aca="true">RAND()</f>
        <v>0.0920262508393176</v>
      </c>
      <c r="R358" s="40" t="n">
        <f aca="true">RAND()</f>
        <v>0.639647334667546</v>
      </c>
      <c r="S358" s="40" t="n">
        <f aca="true">RAND()</f>
        <v>0.842275694232493</v>
      </c>
      <c r="T358" s="40" t="n">
        <f aca="true">RAND()</f>
        <v>0.331053214572191</v>
      </c>
      <c r="U358" s="40" t="n">
        <f aca="true">RAND()</f>
        <v>0.158673350932868</v>
      </c>
    </row>
    <row r="359" customFormat="false" ht="15" hidden="false" customHeight="false" outlineLevel="0" collapsed="false">
      <c r="A359" s="36" t="n">
        <v>279</v>
      </c>
      <c r="B359" s="37" t="n">
        <f aca="false">1+IF($G$6=$E$6,$F$6,IF(P359&lt;($F$6-$E$6)/($G$6-$E$6),$E$6+SQRT(P359*($G$6-$E$6)*($F$6-$E$6)),$G$6-SQRT((1-P359)*($G$6-$E$6)*($G$6-$F$6))))</f>
        <v>1</v>
      </c>
      <c r="C359" s="37" t="n">
        <f aca="false">1+IF($G$7=$E$7,$F$7,IF(Q359&lt;($F$7-$E$7)/($G$7-$E$7),$E$7+SQRT(Q359*($G$7-$E$7)*($F$7-$E$7)),$G$7-SQRT((1-Q359)*($G$7-$E$7)*($G$7-$F$7))))</f>
        <v>1</v>
      </c>
      <c r="D359" s="37" t="n">
        <f aca="false">1+IF($G$8=$E$8,$F$8,IF(R359&lt;($F$8-$E$8)/($G$8-$E$8),$E$8+SQRT(R359*($G$8-$E$8)*($F$8-$E$8)),$G$8-SQRT((1-R359)*($G$8-$E$8)*($G$8-$F$8))))</f>
        <v>1</v>
      </c>
      <c r="E359" s="37" t="n">
        <f aca="false">1+IF($G$9=$E$9,$F$9,IF(S359&lt;($F$9-$E$9)/($G$9-$E$9),$E$9+SQRT(S359*($G$9-$E$9)*($F$9-$E$9)),$G$9-SQRT((1-S359)*($G$9-$E$9)*($G$9-$F$9))))</f>
        <v>1</v>
      </c>
      <c r="F359" s="37" t="n">
        <f aca="false">1+IF($G$10=$E$10,$F$10,IF(T359&lt;($F$10-$E$10)/($G$10-$E$10),$E$10+SQRT(T359*($G$10-$E$10)*($F$10-$E$10)),$G$10-SQRT((1-T359)*($G$10-$E$10)*($G$10-$F$10))))</f>
        <v>1</v>
      </c>
      <c r="G359" s="38" t="n">
        <f aca="false">IF($G$11=$E$11,$F$11,IF(U359&lt;($F$11-$E$11)/($G$11-$E$11),$E$11+SQRT(U359*($G$11-$E$11)*($F$11-$E$11)),$G$11-SQRT((1-U359)*($G$11-$E$11)*($G$11-$F$11))))</f>
        <v>0</v>
      </c>
      <c r="H359" s="39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0</v>
      </c>
      <c r="I359" s="39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0</v>
      </c>
      <c r="J359" s="39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0</v>
      </c>
      <c r="K359" s="39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0</v>
      </c>
      <c r="L359" s="39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0</v>
      </c>
      <c r="M359" s="39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0</v>
      </c>
      <c r="N359" s="39" t="str">
        <f aca="false">IF(COUNT('Business Case'!B11:G11)=0,"",H359+NPV(G359,I359:M359))</f>
        <v/>
      </c>
      <c r="P359" s="40" t="n">
        <f aca="true">RAND()</f>
        <v>0.163865040141757</v>
      </c>
      <c r="Q359" s="40" t="n">
        <f aca="true">RAND()</f>
        <v>0.0255378909281002</v>
      </c>
      <c r="R359" s="40" t="n">
        <f aca="true">RAND()</f>
        <v>0.859758250497241</v>
      </c>
      <c r="S359" s="40" t="n">
        <f aca="true">RAND()</f>
        <v>0.944069974341585</v>
      </c>
      <c r="T359" s="40" t="n">
        <f aca="true">RAND()</f>
        <v>0.202109753701796</v>
      </c>
      <c r="U359" s="40" t="n">
        <f aca="true">RAND()</f>
        <v>0.566731529462409</v>
      </c>
    </row>
    <row r="360" customFormat="false" ht="15" hidden="false" customHeight="false" outlineLevel="0" collapsed="false">
      <c r="A360" s="36" t="n">
        <v>280</v>
      </c>
      <c r="B360" s="37" t="n">
        <f aca="false">1+IF($G$6=$E$6,$F$6,IF(P360&lt;($F$6-$E$6)/($G$6-$E$6),$E$6+SQRT(P360*($G$6-$E$6)*($F$6-$E$6)),$G$6-SQRT((1-P360)*($G$6-$E$6)*($G$6-$F$6))))</f>
        <v>1</v>
      </c>
      <c r="C360" s="37" t="n">
        <f aca="false">1+IF($G$7=$E$7,$F$7,IF(Q360&lt;($F$7-$E$7)/($G$7-$E$7),$E$7+SQRT(Q360*($G$7-$E$7)*($F$7-$E$7)),$G$7-SQRT((1-Q360)*($G$7-$E$7)*($G$7-$F$7))))</f>
        <v>1</v>
      </c>
      <c r="D360" s="37" t="n">
        <f aca="false">1+IF($G$8=$E$8,$F$8,IF(R360&lt;($F$8-$E$8)/($G$8-$E$8),$E$8+SQRT(R360*($G$8-$E$8)*($F$8-$E$8)),$G$8-SQRT((1-R360)*($G$8-$E$8)*($G$8-$F$8))))</f>
        <v>1</v>
      </c>
      <c r="E360" s="37" t="n">
        <f aca="false">1+IF($G$9=$E$9,$F$9,IF(S360&lt;($F$9-$E$9)/($G$9-$E$9),$E$9+SQRT(S360*($G$9-$E$9)*($F$9-$E$9)),$G$9-SQRT((1-S360)*($G$9-$E$9)*($G$9-$F$9))))</f>
        <v>1</v>
      </c>
      <c r="F360" s="37" t="n">
        <f aca="false">1+IF($G$10=$E$10,$F$10,IF(T360&lt;($F$10-$E$10)/($G$10-$E$10),$E$10+SQRT(T360*($G$10-$E$10)*($F$10-$E$10)),$G$10-SQRT((1-T360)*($G$10-$E$10)*($G$10-$F$10))))</f>
        <v>1</v>
      </c>
      <c r="G360" s="38" t="n">
        <f aca="false">IF($G$11=$E$11,$F$11,IF(U360&lt;($F$11-$E$11)/($G$11-$E$11),$E$11+SQRT(U360*($G$11-$E$11)*($F$11-$E$11)),$G$11-SQRT((1-U360)*($G$11-$E$11)*($G$11-$F$11))))</f>
        <v>0</v>
      </c>
      <c r="H360" s="39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0</v>
      </c>
      <c r="I360" s="39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0</v>
      </c>
      <c r="J360" s="39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0</v>
      </c>
      <c r="K360" s="39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0</v>
      </c>
      <c r="L360" s="39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0</v>
      </c>
      <c r="M360" s="39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0</v>
      </c>
      <c r="N360" s="39" t="str">
        <f aca="false">IF(COUNT('Business Case'!B11:G11)=0,"",H360+NPV(G360,I360:M360))</f>
        <v/>
      </c>
      <c r="P360" s="40" t="n">
        <f aca="true">RAND()</f>
        <v>0.448522630354901</v>
      </c>
      <c r="Q360" s="40" t="n">
        <f aca="true">RAND()</f>
        <v>0.431503413368864</v>
      </c>
      <c r="R360" s="40" t="n">
        <f aca="true">RAND()</f>
        <v>0.682462575219088</v>
      </c>
      <c r="S360" s="40" t="n">
        <f aca="true">RAND()</f>
        <v>0.244527537337027</v>
      </c>
      <c r="T360" s="40" t="n">
        <f aca="true">RAND()</f>
        <v>0.756182189224247</v>
      </c>
      <c r="U360" s="40" t="n">
        <f aca="true">RAND()</f>
        <v>0.607540375197046</v>
      </c>
    </row>
    <row r="361" customFormat="false" ht="15" hidden="false" customHeight="false" outlineLevel="0" collapsed="false">
      <c r="A361" s="36" t="n">
        <v>281</v>
      </c>
      <c r="B361" s="37" t="n">
        <f aca="false">1+IF($G$6=$E$6,$F$6,IF(P361&lt;($F$6-$E$6)/($G$6-$E$6),$E$6+SQRT(P361*($G$6-$E$6)*($F$6-$E$6)),$G$6-SQRT((1-P361)*($G$6-$E$6)*($G$6-$F$6))))</f>
        <v>1</v>
      </c>
      <c r="C361" s="37" t="n">
        <f aca="false">1+IF($G$7=$E$7,$F$7,IF(Q361&lt;($F$7-$E$7)/($G$7-$E$7),$E$7+SQRT(Q361*($G$7-$E$7)*($F$7-$E$7)),$G$7-SQRT((1-Q361)*($G$7-$E$7)*($G$7-$F$7))))</f>
        <v>1</v>
      </c>
      <c r="D361" s="37" t="n">
        <f aca="false">1+IF($G$8=$E$8,$F$8,IF(R361&lt;($F$8-$E$8)/($G$8-$E$8),$E$8+SQRT(R361*($G$8-$E$8)*($F$8-$E$8)),$G$8-SQRT((1-R361)*($G$8-$E$8)*($G$8-$F$8))))</f>
        <v>1</v>
      </c>
      <c r="E361" s="37" t="n">
        <f aca="false">1+IF($G$9=$E$9,$F$9,IF(S361&lt;($F$9-$E$9)/($G$9-$E$9),$E$9+SQRT(S361*($G$9-$E$9)*($F$9-$E$9)),$G$9-SQRT((1-S361)*($G$9-$E$9)*($G$9-$F$9))))</f>
        <v>1</v>
      </c>
      <c r="F361" s="37" t="n">
        <f aca="false">1+IF($G$10=$E$10,$F$10,IF(T361&lt;($F$10-$E$10)/($G$10-$E$10),$E$10+SQRT(T361*($G$10-$E$10)*($F$10-$E$10)),$G$10-SQRT((1-T361)*($G$10-$E$10)*($G$10-$F$10))))</f>
        <v>1</v>
      </c>
      <c r="G361" s="38" t="n">
        <f aca="false">IF($G$11=$E$11,$F$11,IF(U361&lt;($F$11-$E$11)/($G$11-$E$11),$E$11+SQRT(U361*($G$11-$E$11)*($F$11-$E$11)),$G$11-SQRT((1-U361)*($G$11-$E$11)*($G$11-$F$11))))</f>
        <v>0</v>
      </c>
      <c r="H361" s="39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0</v>
      </c>
      <c r="I361" s="39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0</v>
      </c>
      <c r="J361" s="39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0</v>
      </c>
      <c r="K361" s="39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0</v>
      </c>
      <c r="L361" s="39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0</v>
      </c>
      <c r="M361" s="39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0</v>
      </c>
      <c r="N361" s="39" t="str">
        <f aca="false">IF(COUNT('Business Case'!B11:G11)=0,"",H361+NPV(G361,I361:M361))</f>
        <v/>
      </c>
      <c r="P361" s="40" t="n">
        <f aca="true">RAND()</f>
        <v>0.494378226158887</v>
      </c>
      <c r="Q361" s="40" t="n">
        <f aca="true">RAND()</f>
        <v>0.178623968400868</v>
      </c>
      <c r="R361" s="40" t="n">
        <f aca="true">RAND()</f>
        <v>0.574473771441046</v>
      </c>
      <c r="S361" s="40" t="n">
        <f aca="true">RAND()</f>
        <v>0.993666830066488</v>
      </c>
      <c r="T361" s="40" t="n">
        <f aca="true">RAND()</f>
        <v>0.823875306139931</v>
      </c>
      <c r="U361" s="40" t="n">
        <f aca="true">RAND()</f>
        <v>0.834146357030733</v>
      </c>
    </row>
    <row r="362" customFormat="false" ht="15" hidden="false" customHeight="false" outlineLevel="0" collapsed="false">
      <c r="A362" s="36" t="n">
        <v>282</v>
      </c>
      <c r="B362" s="37" t="n">
        <f aca="false">1+IF($G$6=$E$6,$F$6,IF(P362&lt;($F$6-$E$6)/($G$6-$E$6),$E$6+SQRT(P362*($G$6-$E$6)*($F$6-$E$6)),$G$6-SQRT((1-P362)*($G$6-$E$6)*($G$6-$F$6))))</f>
        <v>1</v>
      </c>
      <c r="C362" s="37" t="n">
        <f aca="false">1+IF($G$7=$E$7,$F$7,IF(Q362&lt;($F$7-$E$7)/($G$7-$E$7),$E$7+SQRT(Q362*($G$7-$E$7)*($F$7-$E$7)),$G$7-SQRT((1-Q362)*($G$7-$E$7)*($G$7-$F$7))))</f>
        <v>1</v>
      </c>
      <c r="D362" s="37" t="n">
        <f aca="false">1+IF($G$8=$E$8,$F$8,IF(R362&lt;($F$8-$E$8)/($G$8-$E$8),$E$8+SQRT(R362*($G$8-$E$8)*($F$8-$E$8)),$G$8-SQRT((1-R362)*($G$8-$E$8)*($G$8-$F$8))))</f>
        <v>1</v>
      </c>
      <c r="E362" s="37" t="n">
        <f aca="false">1+IF($G$9=$E$9,$F$9,IF(S362&lt;($F$9-$E$9)/($G$9-$E$9),$E$9+SQRT(S362*($G$9-$E$9)*($F$9-$E$9)),$G$9-SQRT((1-S362)*($G$9-$E$9)*($G$9-$F$9))))</f>
        <v>1</v>
      </c>
      <c r="F362" s="37" t="n">
        <f aca="false">1+IF($G$10=$E$10,$F$10,IF(T362&lt;($F$10-$E$10)/($G$10-$E$10),$E$10+SQRT(T362*($G$10-$E$10)*($F$10-$E$10)),$G$10-SQRT((1-T362)*($G$10-$E$10)*($G$10-$F$10))))</f>
        <v>1</v>
      </c>
      <c r="G362" s="38" t="n">
        <f aca="false">IF($G$11=$E$11,$F$11,IF(U362&lt;($F$11-$E$11)/($G$11-$E$11),$E$11+SQRT(U362*($G$11-$E$11)*($F$11-$E$11)),$G$11-SQRT((1-U362)*($G$11-$E$11)*($G$11-$F$11))))</f>
        <v>0</v>
      </c>
      <c r="H362" s="39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0</v>
      </c>
      <c r="I362" s="39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0</v>
      </c>
      <c r="J362" s="39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0</v>
      </c>
      <c r="K362" s="39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0</v>
      </c>
      <c r="L362" s="39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0</v>
      </c>
      <c r="M362" s="39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0</v>
      </c>
      <c r="N362" s="39" t="str">
        <f aca="false">IF(COUNT('Business Case'!B11:G11)=0,"",H362+NPV(G362,I362:M362))</f>
        <v/>
      </c>
      <c r="P362" s="40" t="n">
        <f aca="true">RAND()</f>
        <v>0.441725440359909</v>
      </c>
      <c r="Q362" s="40" t="n">
        <f aca="true">RAND()</f>
        <v>0.800410539858704</v>
      </c>
      <c r="R362" s="40" t="n">
        <f aca="true">RAND()</f>
        <v>0.313175284108875</v>
      </c>
      <c r="S362" s="40" t="n">
        <f aca="true">RAND()</f>
        <v>0.401269284716638</v>
      </c>
      <c r="T362" s="40" t="n">
        <f aca="true">RAND()</f>
        <v>0.690828642381495</v>
      </c>
      <c r="U362" s="40" t="n">
        <f aca="true">RAND()</f>
        <v>0.801311137995053</v>
      </c>
    </row>
    <row r="363" customFormat="false" ht="15" hidden="false" customHeight="false" outlineLevel="0" collapsed="false">
      <c r="A363" s="36" t="n">
        <v>283</v>
      </c>
      <c r="B363" s="37" t="n">
        <f aca="false">1+IF($G$6=$E$6,$F$6,IF(P363&lt;($F$6-$E$6)/($G$6-$E$6),$E$6+SQRT(P363*($G$6-$E$6)*($F$6-$E$6)),$G$6-SQRT((1-P363)*($G$6-$E$6)*($G$6-$F$6))))</f>
        <v>1</v>
      </c>
      <c r="C363" s="37" t="n">
        <f aca="false">1+IF($G$7=$E$7,$F$7,IF(Q363&lt;($F$7-$E$7)/($G$7-$E$7),$E$7+SQRT(Q363*($G$7-$E$7)*($F$7-$E$7)),$G$7-SQRT((1-Q363)*($G$7-$E$7)*($G$7-$F$7))))</f>
        <v>1</v>
      </c>
      <c r="D363" s="37" t="n">
        <f aca="false">1+IF($G$8=$E$8,$F$8,IF(R363&lt;($F$8-$E$8)/($G$8-$E$8),$E$8+SQRT(R363*($G$8-$E$8)*($F$8-$E$8)),$G$8-SQRT((1-R363)*($G$8-$E$8)*($G$8-$F$8))))</f>
        <v>1</v>
      </c>
      <c r="E363" s="37" t="n">
        <f aca="false">1+IF($G$9=$E$9,$F$9,IF(S363&lt;($F$9-$E$9)/($G$9-$E$9),$E$9+SQRT(S363*($G$9-$E$9)*($F$9-$E$9)),$G$9-SQRT((1-S363)*($G$9-$E$9)*($G$9-$F$9))))</f>
        <v>1</v>
      </c>
      <c r="F363" s="37" t="n">
        <f aca="false">1+IF($G$10=$E$10,$F$10,IF(T363&lt;($F$10-$E$10)/($G$10-$E$10),$E$10+SQRT(T363*($G$10-$E$10)*($F$10-$E$10)),$G$10-SQRT((1-T363)*($G$10-$E$10)*($G$10-$F$10))))</f>
        <v>1</v>
      </c>
      <c r="G363" s="38" t="n">
        <f aca="false">IF($G$11=$E$11,$F$11,IF(U363&lt;($F$11-$E$11)/($G$11-$E$11),$E$11+SQRT(U363*($G$11-$E$11)*($F$11-$E$11)),$G$11-SQRT((1-U363)*($G$11-$E$11)*($G$11-$F$11))))</f>
        <v>0</v>
      </c>
      <c r="H363" s="39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0</v>
      </c>
      <c r="I363" s="39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0</v>
      </c>
      <c r="J363" s="39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0</v>
      </c>
      <c r="K363" s="39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0</v>
      </c>
      <c r="L363" s="39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0</v>
      </c>
      <c r="M363" s="39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0</v>
      </c>
      <c r="N363" s="39" t="str">
        <f aca="false">IF(COUNT('Business Case'!B11:G11)=0,"",H363+NPV(G363,I363:M363))</f>
        <v/>
      </c>
      <c r="P363" s="40" t="n">
        <f aca="true">RAND()</f>
        <v>0.725082354847598</v>
      </c>
      <c r="Q363" s="40" t="n">
        <f aca="true">RAND()</f>
        <v>0.668216860259034</v>
      </c>
      <c r="R363" s="40" t="n">
        <f aca="true">RAND()</f>
        <v>0.229116887081748</v>
      </c>
      <c r="S363" s="40" t="n">
        <f aca="true">RAND()</f>
        <v>0.015577167051986</v>
      </c>
      <c r="T363" s="40" t="n">
        <f aca="true">RAND()</f>
        <v>0.370788058985748</v>
      </c>
      <c r="U363" s="40" t="n">
        <f aca="true">RAND()</f>
        <v>0.770778503210133</v>
      </c>
    </row>
    <row r="364" customFormat="false" ht="15" hidden="false" customHeight="false" outlineLevel="0" collapsed="false">
      <c r="A364" s="36" t="n">
        <v>284</v>
      </c>
      <c r="B364" s="37" t="n">
        <f aca="false">1+IF($G$6=$E$6,$F$6,IF(P364&lt;($F$6-$E$6)/($G$6-$E$6),$E$6+SQRT(P364*($G$6-$E$6)*($F$6-$E$6)),$G$6-SQRT((1-P364)*($G$6-$E$6)*($G$6-$F$6))))</f>
        <v>1</v>
      </c>
      <c r="C364" s="37" t="n">
        <f aca="false">1+IF($G$7=$E$7,$F$7,IF(Q364&lt;($F$7-$E$7)/($G$7-$E$7),$E$7+SQRT(Q364*($G$7-$E$7)*($F$7-$E$7)),$G$7-SQRT((1-Q364)*($G$7-$E$7)*($G$7-$F$7))))</f>
        <v>1</v>
      </c>
      <c r="D364" s="37" t="n">
        <f aca="false">1+IF($G$8=$E$8,$F$8,IF(R364&lt;($F$8-$E$8)/($G$8-$E$8),$E$8+SQRT(R364*($G$8-$E$8)*($F$8-$E$8)),$G$8-SQRT((1-R364)*($G$8-$E$8)*($G$8-$F$8))))</f>
        <v>1</v>
      </c>
      <c r="E364" s="37" t="n">
        <f aca="false">1+IF($G$9=$E$9,$F$9,IF(S364&lt;($F$9-$E$9)/($G$9-$E$9),$E$9+SQRT(S364*($G$9-$E$9)*($F$9-$E$9)),$G$9-SQRT((1-S364)*($G$9-$E$9)*($G$9-$F$9))))</f>
        <v>1</v>
      </c>
      <c r="F364" s="37" t="n">
        <f aca="false">1+IF($G$10=$E$10,$F$10,IF(T364&lt;($F$10-$E$10)/($G$10-$E$10),$E$10+SQRT(T364*($G$10-$E$10)*($F$10-$E$10)),$G$10-SQRT((1-T364)*($G$10-$E$10)*($G$10-$F$10))))</f>
        <v>1</v>
      </c>
      <c r="G364" s="38" t="n">
        <f aca="false">IF($G$11=$E$11,$F$11,IF(U364&lt;($F$11-$E$11)/($G$11-$E$11),$E$11+SQRT(U364*($G$11-$E$11)*($F$11-$E$11)),$G$11-SQRT((1-U364)*($G$11-$E$11)*($G$11-$F$11))))</f>
        <v>0</v>
      </c>
      <c r="H364" s="39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0</v>
      </c>
      <c r="I364" s="39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0</v>
      </c>
      <c r="J364" s="39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0</v>
      </c>
      <c r="K364" s="39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0</v>
      </c>
      <c r="L364" s="39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0</v>
      </c>
      <c r="M364" s="39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0</v>
      </c>
      <c r="N364" s="39" t="str">
        <f aca="false">IF(COUNT('Business Case'!B11:G11)=0,"",H364+NPV(G364,I364:M364))</f>
        <v/>
      </c>
      <c r="P364" s="40" t="n">
        <f aca="true">RAND()</f>
        <v>0.783482856065367</v>
      </c>
      <c r="Q364" s="40" t="n">
        <f aca="true">RAND()</f>
        <v>0.177893923459783</v>
      </c>
      <c r="R364" s="40" t="n">
        <f aca="true">RAND()</f>
        <v>0.291187563153661</v>
      </c>
      <c r="S364" s="40" t="n">
        <f aca="true">RAND()</f>
        <v>0.811422749452079</v>
      </c>
      <c r="T364" s="40" t="n">
        <f aca="true">RAND()</f>
        <v>0.495629243600226</v>
      </c>
      <c r="U364" s="40" t="n">
        <f aca="true">RAND()</f>
        <v>0.260874932235131</v>
      </c>
    </row>
    <row r="365" customFormat="false" ht="15" hidden="false" customHeight="false" outlineLevel="0" collapsed="false">
      <c r="A365" s="36" t="n">
        <v>285</v>
      </c>
      <c r="B365" s="37" t="n">
        <f aca="false">1+IF($G$6=$E$6,$F$6,IF(P365&lt;($F$6-$E$6)/($G$6-$E$6),$E$6+SQRT(P365*($G$6-$E$6)*($F$6-$E$6)),$G$6-SQRT((1-P365)*($G$6-$E$6)*($G$6-$F$6))))</f>
        <v>1</v>
      </c>
      <c r="C365" s="37" t="n">
        <f aca="false">1+IF($G$7=$E$7,$F$7,IF(Q365&lt;($F$7-$E$7)/($G$7-$E$7),$E$7+SQRT(Q365*($G$7-$E$7)*($F$7-$E$7)),$G$7-SQRT((1-Q365)*($G$7-$E$7)*($G$7-$F$7))))</f>
        <v>1</v>
      </c>
      <c r="D365" s="37" t="n">
        <f aca="false">1+IF($G$8=$E$8,$F$8,IF(R365&lt;($F$8-$E$8)/($G$8-$E$8),$E$8+SQRT(R365*($G$8-$E$8)*($F$8-$E$8)),$G$8-SQRT((1-R365)*($G$8-$E$8)*($G$8-$F$8))))</f>
        <v>1</v>
      </c>
      <c r="E365" s="37" t="n">
        <f aca="false">1+IF($G$9=$E$9,$F$9,IF(S365&lt;($F$9-$E$9)/($G$9-$E$9),$E$9+SQRT(S365*($G$9-$E$9)*($F$9-$E$9)),$G$9-SQRT((1-S365)*($G$9-$E$9)*($G$9-$F$9))))</f>
        <v>1</v>
      </c>
      <c r="F365" s="37" t="n">
        <f aca="false">1+IF($G$10=$E$10,$F$10,IF(T365&lt;($F$10-$E$10)/($G$10-$E$10),$E$10+SQRT(T365*($G$10-$E$10)*($F$10-$E$10)),$G$10-SQRT((1-T365)*($G$10-$E$10)*($G$10-$F$10))))</f>
        <v>1</v>
      </c>
      <c r="G365" s="38" t="n">
        <f aca="false">IF($G$11=$E$11,$F$11,IF(U365&lt;($F$11-$E$11)/($G$11-$E$11),$E$11+SQRT(U365*($G$11-$E$11)*($F$11-$E$11)),$G$11-SQRT((1-U365)*($G$11-$E$11)*($G$11-$F$11))))</f>
        <v>0</v>
      </c>
      <c r="H365" s="39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0</v>
      </c>
      <c r="I365" s="39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0</v>
      </c>
      <c r="J365" s="39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0</v>
      </c>
      <c r="K365" s="39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0</v>
      </c>
      <c r="L365" s="39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0</v>
      </c>
      <c r="M365" s="39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0</v>
      </c>
      <c r="N365" s="39" t="str">
        <f aca="false">IF(COUNT('Business Case'!B11:G11)=0,"",H365+NPV(G365,I365:M365))</f>
        <v/>
      </c>
      <c r="P365" s="40" t="n">
        <f aca="true">RAND()</f>
        <v>0.184924105845552</v>
      </c>
      <c r="Q365" s="40" t="n">
        <f aca="true">RAND()</f>
        <v>0.326330975214892</v>
      </c>
      <c r="R365" s="40" t="n">
        <f aca="true">RAND()</f>
        <v>0.111469108120936</v>
      </c>
      <c r="S365" s="40" t="n">
        <f aca="true">RAND()</f>
        <v>0.785642760482624</v>
      </c>
      <c r="T365" s="40" t="n">
        <f aca="true">RAND()</f>
        <v>0.40093615031029</v>
      </c>
      <c r="U365" s="40" t="n">
        <f aca="true">RAND()</f>
        <v>0.758186048765889</v>
      </c>
    </row>
    <row r="366" customFormat="false" ht="15" hidden="false" customHeight="false" outlineLevel="0" collapsed="false">
      <c r="A366" s="36" t="n">
        <v>286</v>
      </c>
      <c r="B366" s="37" t="n">
        <f aca="false">1+IF($G$6=$E$6,$F$6,IF(P366&lt;($F$6-$E$6)/($G$6-$E$6),$E$6+SQRT(P366*($G$6-$E$6)*($F$6-$E$6)),$G$6-SQRT((1-P366)*($G$6-$E$6)*($G$6-$F$6))))</f>
        <v>1</v>
      </c>
      <c r="C366" s="37" t="n">
        <f aca="false">1+IF($G$7=$E$7,$F$7,IF(Q366&lt;($F$7-$E$7)/($G$7-$E$7),$E$7+SQRT(Q366*($G$7-$E$7)*($F$7-$E$7)),$G$7-SQRT((1-Q366)*($G$7-$E$7)*($G$7-$F$7))))</f>
        <v>1</v>
      </c>
      <c r="D366" s="37" t="n">
        <f aca="false">1+IF($G$8=$E$8,$F$8,IF(R366&lt;($F$8-$E$8)/($G$8-$E$8),$E$8+SQRT(R366*($G$8-$E$8)*($F$8-$E$8)),$G$8-SQRT((1-R366)*($G$8-$E$8)*($G$8-$F$8))))</f>
        <v>1</v>
      </c>
      <c r="E366" s="37" t="n">
        <f aca="false">1+IF($G$9=$E$9,$F$9,IF(S366&lt;($F$9-$E$9)/($G$9-$E$9),$E$9+SQRT(S366*($G$9-$E$9)*($F$9-$E$9)),$G$9-SQRT((1-S366)*($G$9-$E$9)*($G$9-$F$9))))</f>
        <v>1</v>
      </c>
      <c r="F366" s="37" t="n">
        <f aca="false">1+IF($G$10=$E$10,$F$10,IF(T366&lt;($F$10-$E$10)/($G$10-$E$10),$E$10+SQRT(T366*($G$10-$E$10)*($F$10-$E$10)),$G$10-SQRT((1-T366)*($G$10-$E$10)*($G$10-$F$10))))</f>
        <v>1</v>
      </c>
      <c r="G366" s="38" t="n">
        <f aca="false">IF($G$11=$E$11,$F$11,IF(U366&lt;($F$11-$E$11)/($G$11-$E$11),$E$11+SQRT(U366*($G$11-$E$11)*($F$11-$E$11)),$G$11-SQRT((1-U366)*($G$11-$E$11)*($G$11-$F$11))))</f>
        <v>0</v>
      </c>
      <c r="H366" s="39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0</v>
      </c>
      <c r="I366" s="39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0</v>
      </c>
      <c r="J366" s="39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0</v>
      </c>
      <c r="K366" s="39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0</v>
      </c>
      <c r="L366" s="39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0</v>
      </c>
      <c r="M366" s="39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0</v>
      </c>
      <c r="N366" s="39" t="str">
        <f aca="false">IF(COUNT('Business Case'!B11:G11)=0,"",H366+NPV(G366,I366:M366))</f>
        <v/>
      </c>
      <c r="P366" s="40" t="n">
        <f aca="true">RAND()</f>
        <v>0.462236978531538</v>
      </c>
      <c r="Q366" s="40" t="n">
        <f aca="true">RAND()</f>
        <v>0.0546621869747274</v>
      </c>
      <c r="R366" s="40" t="n">
        <f aca="true">RAND()</f>
        <v>0.966672883763795</v>
      </c>
      <c r="S366" s="40" t="n">
        <f aca="true">RAND()</f>
        <v>0.382649973040378</v>
      </c>
      <c r="T366" s="40" t="n">
        <f aca="true">RAND()</f>
        <v>0.248967402939026</v>
      </c>
      <c r="U366" s="40" t="n">
        <f aca="true">RAND()</f>
        <v>0.671178129949069</v>
      </c>
    </row>
    <row r="367" customFormat="false" ht="15" hidden="false" customHeight="false" outlineLevel="0" collapsed="false">
      <c r="A367" s="36" t="n">
        <v>287</v>
      </c>
      <c r="B367" s="37" t="n">
        <f aca="false">1+IF($G$6=$E$6,$F$6,IF(P367&lt;($F$6-$E$6)/($G$6-$E$6),$E$6+SQRT(P367*($G$6-$E$6)*($F$6-$E$6)),$G$6-SQRT((1-P367)*($G$6-$E$6)*($G$6-$F$6))))</f>
        <v>1</v>
      </c>
      <c r="C367" s="37" t="n">
        <f aca="false">1+IF($G$7=$E$7,$F$7,IF(Q367&lt;($F$7-$E$7)/($G$7-$E$7),$E$7+SQRT(Q367*($G$7-$E$7)*($F$7-$E$7)),$G$7-SQRT((1-Q367)*($G$7-$E$7)*($G$7-$F$7))))</f>
        <v>1</v>
      </c>
      <c r="D367" s="37" t="n">
        <f aca="false">1+IF($G$8=$E$8,$F$8,IF(R367&lt;($F$8-$E$8)/($G$8-$E$8),$E$8+SQRT(R367*($G$8-$E$8)*($F$8-$E$8)),$G$8-SQRT((1-R367)*($G$8-$E$8)*($G$8-$F$8))))</f>
        <v>1</v>
      </c>
      <c r="E367" s="37" t="n">
        <f aca="false">1+IF($G$9=$E$9,$F$9,IF(S367&lt;($F$9-$E$9)/($G$9-$E$9),$E$9+SQRT(S367*($G$9-$E$9)*($F$9-$E$9)),$G$9-SQRT((1-S367)*($G$9-$E$9)*($G$9-$F$9))))</f>
        <v>1</v>
      </c>
      <c r="F367" s="37" t="n">
        <f aca="false">1+IF($G$10=$E$10,$F$10,IF(T367&lt;($F$10-$E$10)/($G$10-$E$10),$E$10+SQRT(T367*($G$10-$E$10)*($F$10-$E$10)),$G$10-SQRT((1-T367)*($G$10-$E$10)*($G$10-$F$10))))</f>
        <v>1</v>
      </c>
      <c r="G367" s="38" t="n">
        <f aca="false">IF($G$11=$E$11,$F$11,IF(U367&lt;($F$11-$E$11)/($G$11-$E$11),$E$11+SQRT(U367*($G$11-$E$11)*($F$11-$E$11)),$G$11-SQRT((1-U367)*($G$11-$E$11)*($G$11-$F$11))))</f>
        <v>0</v>
      </c>
      <c r="H367" s="39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0</v>
      </c>
      <c r="I367" s="39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0</v>
      </c>
      <c r="J367" s="39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0</v>
      </c>
      <c r="K367" s="39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0</v>
      </c>
      <c r="L367" s="39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0</v>
      </c>
      <c r="M367" s="39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0</v>
      </c>
      <c r="N367" s="39" t="str">
        <f aca="false">IF(COUNT('Business Case'!B11:G11)=0,"",H367+NPV(G367,I367:M367))</f>
        <v/>
      </c>
      <c r="P367" s="40" t="n">
        <f aca="true">RAND()</f>
        <v>0.592201527888958</v>
      </c>
      <c r="Q367" s="40" t="n">
        <f aca="true">RAND()</f>
        <v>0.867336950771709</v>
      </c>
      <c r="R367" s="40" t="n">
        <f aca="true">RAND()</f>
        <v>0.62140529177777</v>
      </c>
      <c r="S367" s="40" t="n">
        <f aca="true">RAND()</f>
        <v>0.359822342806107</v>
      </c>
      <c r="T367" s="40" t="n">
        <f aca="true">RAND()</f>
        <v>0.50161951555676</v>
      </c>
      <c r="U367" s="40" t="n">
        <f aca="true">RAND()</f>
        <v>0.383092362286208</v>
      </c>
    </row>
    <row r="368" customFormat="false" ht="15" hidden="false" customHeight="false" outlineLevel="0" collapsed="false">
      <c r="A368" s="36" t="n">
        <v>288</v>
      </c>
      <c r="B368" s="37" t="n">
        <f aca="false">1+IF($G$6=$E$6,$F$6,IF(P368&lt;($F$6-$E$6)/($G$6-$E$6),$E$6+SQRT(P368*($G$6-$E$6)*($F$6-$E$6)),$G$6-SQRT((1-P368)*($G$6-$E$6)*($G$6-$F$6))))</f>
        <v>1</v>
      </c>
      <c r="C368" s="37" t="n">
        <f aca="false">1+IF($G$7=$E$7,$F$7,IF(Q368&lt;($F$7-$E$7)/($G$7-$E$7),$E$7+SQRT(Q368*($G$7-$E$7)*($F$7-$E$7)),$G$7-SQRT((1-Q368)*($G$7-$E$7)*($G$7-$F$7))))</f>
        <v>1</v>
      </c>
      <c r="D368" s="37" t="n">
        <f aca="false">1+IF($G$8=$E$8,$F$8,IF(R368&lt;($F$8-$E$8)/($G$8-$E$8),$E$8+SQRT(R368*($G$8-$E$8)*($F$8-$E$8)),$G$8-SQRT((1-R368)*($G$8-$E$8)*($G$8-$F$8))))</f>
        <v>1</v>
      </c>
      <c r="E368" s="37" t="n">
        <f aca="false">1+IF($G$9=$E$9,$F$9,IF(S368&lt;($F$9-$E$9)/($G$9-$E$9),$E$9+SQRT(S368*($G$9-$E$9)*($F$9-$E$9)),$G$9-SQRT((1-S368)*($G$9-$E$9)*($G$9-$F$9))))</f>
        <v>1</v>
      </c>
      <c r="F368" s="37" t="n">
        <f aca="false">1+IF($G$10=$E$10,$F$10,IF(T368&lt;($F$10-$E$10)/($G$10-$E$10),$E$10+SQRT(T368*($G$10-$E$10)*($F$10-$E$10)),$G$10-SQRT((1-T368)*($G$10-$E$10)*($G$10-$F$10))))</f>
        <v>1</v>
      </c>
      <c r="G368" s="38" t="n">
        <f aca="false">IF($G$11=$E$11,$F$11,IF(U368&lt;($F$11-$E$11)/($G$11-$E$11),$E$11+SQRT(U368*($G$11-$E$11)*($F$11-$E$11)),$G$11-SQRT((1-U368)*($G$11-$E$11)*($G$11-$F$11))))</f>
        <v>0</v>
      </c>
      <c r="H368" s="39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0</v>
      </c>
      <c r="I368" s="39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0</v>
      </c>
      <c r="J368" s="39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0</v>
      </c>
      <c r="K368" s="39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0</v>
      </c>
      <c r="L368" s="39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0</v>
      </c>
      <c r="M368" s="39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0</v>
      </c>
      <c r="N368" s="39" t="str">
        <f aca="false">IF(COUNT('Business Case'!B11:G11)=0,"",H368+NPV(G368,I368:M368))</f>
        <v/>
      </c>
      <c r="P368" s="40" t="n">
        <f aca="true">RAND()</f>
        <v>0.112337312622752</v>
      </c>
      <c r="Q368" s="40" t="n">
        <f aca="true">RAND()</f>
        <v>0.255065476944422</v>
      </c>
      <c r="R368" s="40" t="n">
        <f aca="true">RAND()</f>
        <v>0.349430718913705</v>
      </c>
      <c r="S368" s="40" t="n">
        <f aca="true">RAND()</f>
        <v>0.157826210817381</v>
      </c>
      <c r="T368" s="40" t="n">
        <f aca="true">RAND()</f>
        <v>0.597409462333353</v>
      </c>
      <c r="U368" s="40" t="n">
        <f aca="true">RAND()</f>
        <v>0.198426654502962</v>
      </c>
    </row>
    <row r="369" customFormat="false" ht="15" hidden="false" customHeight="false" outlineLevel="0" collapsed="false">
      <c r="A369" s="36" t="n">
        <v>289</v>
      </c>
      <c r="B369" s="37" t="n">
        <f aca="false">1+IF($G$6=$E$6,$F$6,IF(P369&lt;($F$6-$E$6)/($G$6-$E$6),$E$6+SQRT(P369*($G$6-$E$6)*($F$6-$E$6)),$G$6-SQRT((1-P369)*($G$6-$E$6)*($G$6-$F$6))))</f>
        <v>1</v>
      </c>
      <c r="C369" s="37" t="n">
        <f aca="false">1+IF($G$7=$E$7,$F$7,IF(Q369&lt;($F$7-$E$7)/($G$7-$E$7),$E$7+SQRT(Q369*($G$7-$E$7)*($F$7-$E$7)),$G$7-SQRT((1-Q369)*($G$7-$E$7)*($G$7-$F$7))))</f>
        <v>1</v>
      </c>
      <c r="D369" s="37" t="n">
        <f aca="false">1+IF($G$8=$E$8,$F$8,IF(R369&lt;($F$8-$E$8)/($G$8-$E$8),$E$8+SQRT(R369*($G$8-$E$8)*($F$8-$E$8)),$G$8-SQRT((1-R369)*($G$8-$E$8)*($G$8-$F$8))))</f>
        <v>1</v>
      </c>
      <c r="E369" s="37" t="n">
        <f aca="false">1+IF($G$9=$E$9,$F$9,IF(S369&lt;($F$9-$E$9)/($G$9-$E$9),$E$9+SQRT(S369*($G$9-$E$9)*($F$9-$E$9)),$G$9-SQRT((1-S369)*($G$9-$E$9)*($G$9-$F$9))))</f>
        <v>1</v>
      </c>
      <c r="F369" s="37" t="n">
        <f aca="false">1+IF($G$10=$E$10,$F$10,IF(T369&lt;($F$10-$E$10)/($G$10-$E$10),$E$10+SQRT(T369*($G$10-$E$10)*($F$10-$E$10)),$G$10-SQRT((1-T369)*($G$10-$E$10)*($G$10-$F$10))))</f>
        <v>1</v>
      </c>
      <c r="G369" s="38" t="n">
        <f aca="false">IF($G$11=$E$11,$F$11,IF(U369&lt;($F$11-$E$11)/($G$11-$E$11),$E$11+SQRT(U369*($G$11-$E$11)*($F$11-$E$11)),$G$11-SQRT((1-U369)*($G$11-$E$11)*($G$11-$F$11))))</f>
        <v>0</v>
      </c>
      <c r="H369" s="39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0</v>
      </c>
      <c r="I369" s="39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0</v>
      </c>
      <c r="J369" s="39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0</v>
      </c>
      <c r="K369" s="39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0</v>
      </c>
      <c r="L369" s="39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0</v>
      </c>
      <c r="M369" s="39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0</v>
      </c>
      <c r="N369" s="39" t="str">
        <f aca="false">IF(COUNT('Business Case'!B11:G11)=0,"",H369+NPV(G369,I369:M369))</f>
        <v/>
      </c>
      <c r="P369" s="40" t="n">
        <f aca="true">RAND()</f>
        <v>0.870137028726403</v>
      </c>
      <c r="Q369" s="40" t="n">
        <f aca="true">RAND()</f>
        <v>0.597565693529679</v>
      </c>
      <c r="R369" s="40" t="n">
        <f aca="true">RAND()</f>
        <v>0.329900058971208</v>
      </c>
      <c r="S369" s="40" t="n">
        <f aca="true">RAND()</f>
        <v>0.616946454800789</v>
      </c>
      <c r="T369" s="40" t="n">
        <f aca="true">RAND()</f>
        <v>0.788563518975974</v>
      </c>
      <c r="U369" s="40" t="n">
        <f aca="true">RAND()</f>
        <v>0.944412641046665</v>
      </c>
    </row>
    <row r="370" customFormat="false" ht="15" hidden="false" customHeight="false" outlineLevel="0" collapsed="false">
      <c r="A370" s="36" t="n">
        <v>290</v>
      </c>
      <c r="B370" s="37" t="n">
        <f aca="false">1+IF($G$6=$E$6,$F$6,IF(P370&lt;($F$6-$E$6)/($G$6-$E$6),$E$6+SQRT(P370*($G$6-$E$6)*($F$6-$E$6)),$G$6-SQRT((1-P370)*($G$6-$E$6)*($G$6-$F$6))))</f>
        <v>1</v>
      </c>
      <c r="C370" s="37" t="n">
        <f aca="false">1+IF($G$7=$E$7,$F$7,IF(Q370&lt;($F$7-$E$7)/($G$7-$E$7),$E$7+SQRT(Q370*($G$7-$E$7)*($F$7-$E$7)),$G$7-SQRT((1-Q370)*($G$7-$E$7)*($G$7-$F$7))))</f>
        <v>1</v>
      </c>
      <c r="D370" s="37" t="n">
        <f aca="false">1+IF($G$8=$E$8,$F$8,IF(R370&lt;($F$8-$E$8)/($G$8-$E$8),$E$8+SQRT(R370*($G$8-$E$8)*($F$8-$E$8)),$G$8-SQRT((1-R370)*($G$8-$E$8)*($G$8-$F$8))))</f>
        <v>1</v>
      </c>
      <c r="E370" s="37" t="n">
        <f aca="false">1+IF($G$9=$E$9,$F$9,IF(S370&lt;($F$9-$E$9)/($G$9-$E$9),$E$9+SQRT(S370*($G$9-$E$9)*($F$9-$E$9)),$G$9-SQRT((1-S370)*($G$9-$E$9)*($G$9-$F$9))))</f>
        <v>1</v>
      </c>
      <c r="F370" s="37" t="n">
        <f aca="false">1+IF($G$10=$E$10,$F$10,IF(T370&lt;($F$10-$E$10)/($G$10-$E$10),$E$10+SQRT(T370*($G$10-$E$10)*($F$10-$E$10)),$G$10-SQRT((1-T370)*($G$10-$E$10)*($G$10-$F$10))))</f>
        <v>1</v>
      </c>
      <c r="G370" s="38" t="n">
        <f aca="false">IF($G$11=$E$11,$F$11,IF(U370&lt;($F$11-$E$11)/($G$11-$E$11),$E$11+SQRT(U370*($G$11-$E$11)*($F$11-$E$11)),$G$11-SQRT((1-U370)*($G$11-$E$11)*($G$11-$F$11))))</f>
        <v>0</v>
      </c>
      <c r="H370" s="39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0</v>
      </c>
      <c r="I370" s="39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0</v>
      </c>
      <c r="J370" s="39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0</v>
      </c>
      <c r="K370" s="39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0</v>
      </c>
      <c r="L370" s="39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0</v>
      </c>
      <c r="M370" s="39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0</v>
      </c>
      <c r="N370" s="39" t="str">
        <f aca="false">IF(COUNT('Business Case'!B11:G11)=0,"",H370+NPV(G370,I370:M370))</f>
        <v/>
      </c>
      <c r="P370" s="40" t="n">
        <f aca="true">RAND()</f>
        <v>0.747671092911585</v>
      </c>
      <c r="Q370" s="40" t="n">
        <f aca="true">RAND()</f>
        <v>0.49863083191729</v>
      </c>
      <c r="R370" s="40" t="n">
        <f aca="true">RAND()</f>
        <v>0.38107613327936</v>
      </c>
      <c r="S370" s="40" t="n">
        <f aca="true">RAND()</f>
        <v>0.307934806842498</v>
      </c>
      <c r="T370" s="40" t="n">
        <f aca="true">RAND()</f>
        <v>0.000214657435306933</v>
      </c>
      <c r="U370" s="40" t="n">
        <f aca="true">RAND()</f>
        <v>0.342599598998422</v>
      </c>
    </row>
    <row r="371" customFormat="false" ht="15" hidden="false" customHeight="false" outlineLevel="0" collapsed="false">
      <c r="A371" s="36" t="n">
        <v>291</v>
      </c>
      <c r="B371" s="37" t="n">
        <f aca="false">1+IF($G$6=$E$6,$F$6,IF(P371&lt;($F$6-$E$6)/($G$6-$E$6),$E$6+SQRT(P371*($G$6-$E$6)*($F$6-$E$6)),$G$6-SQRT((1-P371)*($G$6-$E$6)*($G$6-$F$6))))</f>
        <v>1</v>
      </c>
      <c r="C371" s="37" t="n">
        <f aca="false">1+IF($G$7=$E$7,$F$7,IF(Q371&lt;($F$7-$E$7)/($G$7-$E$7),$E$7+SQRT(Q371*($G$7-$E$7)*($F$7-$E$7)),$G$7-SQRT((1-Q371)*($G$7-$E$7)*($G$7-$F$7))))</f>
        <v>1</v>
      </c>
      <c r="D371" s="37" t="n">
        <f aca="false">1+IF($G$8=$E$8,$F$8,IF(R371&lt;($F$8-$E$8)/($G$8-$E$8),$E$8+SQRT(R371*($G$8-$E$8)*($F$8-$E$8)),$G$8-SQRT((1-R371)*($G$8-$E$8)*($G$8-$F$8))))</f>
        <v>1</v>
      </c>
      <c r="E371" s="37" t="n">
        <f aca="false">1+IF($G$9=$E$9,$F$9,IF(S371&lt;($F$9-$E$9)/($G$9-$E$9),$E$9+SQRT(S371*($G$9-$E$9)*($F$9-$E$9)),$G$9-SQRT((1-S371)*($G$9-$E$9)*($G$9-$F$9))))</f>
        <v>1</v>
      </c>
      <c r="F371" s="37" t="n">
        <f aca="false">1+IF($G$10=$E$10,$F$10,IF(T371&lt;($F$10-$E$10)/($G$10-$E$10),$E$10+SQRT(T371*($G$10-$E$10)*($F$10-$E$10)),$G$10-SQRT((1-T371)*($G$10-$E$10)*($G$10-$F$10))))</f>
        <v>1</v>
      </c>
      <c r="G371" s="38" t="n">
        <f aca="false">IF($G$11=$E$11,$F$11,IF(U371&lt;($F$11-$E$11)/($G$11-$E$11),$E$11+SQRT(U371*($G$11-$E$11)*($F$11-$E$11)),$G$11-SQRT((1-U371)*($G$11-$E$11)*($G$11-$F$11))))</f>
        <v>0</v>
      </c>
      <c r="H371" s="39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0</v>
      </c>
      <c r="I371" s="39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0</v>
      </c>
      <c r="J371" s="39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0</v>
      </c>
      <c r="K371" s="39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0</v>
      </c>
      <c r="L371" s="39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0</v>
      </c>
      <c r="M371" s="39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0</v>
      </c>
      <c r="N371" s="39" t="str">
        <f aca="false">IF(COUNT('Business Case'!B11:G11)=0,"",H371+NPV(G371,I371:M371))</f>
        <v/>
      </c>
      <c r="P371" s="40" t="n">
        <f aca="true">RAND()</f>
        <v>0.352097773740943</v>
      </c>
      <c r="Q371" s="40" t="n">
        <f aca="true">RAND()</f>
        <v>0.982755765282862</v>
      </c>
      <c r="R371" s="40" t="n">
        <f aca="true">RAND()</f>
        <v>0.283621592033404</v>
      </c>
      <c r="S371" s="40" t="n">
        <f aca="true">RAND()</f>
        <v>0.371946147236691</v>
      </c>
      <c r="T371" s="40" t="n">
        <f aca="true">RAND()</f>
        <v>0.550085307671864</v>
      </c>
      <c r="U371" s="40" t="n">
        <f aca="true">RAND()</f>
        <v>0.702715227736185</v>
      </c>
    </row>
    <row r="372" customFormat="false" ht="15" hidden="false" customHeight="false" outlineLevel="0" collapsed="false">
      <c r="A372" s="36" t="n">
        <v>292</v>
      </c>
      <c r="B372" s="37" t="n">
        <f aca="false">1+IF($G$6=$E$6,$F$6,IF(P372&lt;($F$6-$E$6)/($G$6-$E$6),$E$6+SQRT(P372*($G$6-$E$6)*($F$6-$E$6)),$G$6-SQRT((1-P372)*($G$6-$E$6)*($G$6-$F$6))))</f>
        <v>1</v>
      </c>
      <c r="C372" s="37" t="n">
        <f aca="false">1+IF($G$7=$E$7,$F$7,IF(Q372&lt;($F$7-$E$7)/($G$7-$E$7),$E$7+SQRT(Q372*($G$7-$E$7)*($F$7-$E$7)),$G$7-SQRT((1-Q372)*($G$7-$E$7)*($G$7-$F$7))))</f>
        <v>1</v>
      </c>
      <c r="D372" s="37" t="n">
        <f aca="false">1+IF($G$8=$E$8,$F$8,IF(R372&lt;($F$8-$E$8)/($G$8-$E$8),$E$8+SQRT(R372*($G$8-$E$8)*($F$8-$E$8)),$G$8-SQRT((1-R372)*($G$8-$E$8)*($G$8-$F$8))))</f>
        <v>1</v>
      </c>
      <c r="E372" s="37" t="n">
        <f aca="false">1+IF($G$9=$E$9,$F$9,IF(S372&lt;($F$9-$E$9)/($G$9-$E$9),$E$9+SQRT(S372*($G$9-$E$9)*($F$9-$E$9)),$G$9-SQRT((1-S372)*($G$9-$E$9)*($G$9-$F$9))))</f>
        <v>1</v>
      </c>
      <c r="F372" s="37" t="n">
        <f aca="false">1+IF($G$10=$E$10,$F$10,IF(T372&lt;($F$10-$E$10)/($G$10-$E$10),$E$10+SQRT(T372*($G$10-$E$10)*($F$10-$E$10)),$G$10-SQRT((1-T372)*($G$10-$E$10)*($G$10-$F$10))))</f>
        <v>1</v>
      </c>
      <c r="G372" s="38" t="n">
        <f aca="false">IF($G$11=$E$11,$F$11,IF(U372&lt;($F$11-$E$11)/($G$11-$E$11),$E$11+SQRT(U372*($G$11-$E$11)*($F$11-$E$11)),$G$11-SQRT((1-U372)*($G$11-$E$11)*($G$11-$F$11))))</f>
        <v>0</v>
      </c>
      <c r="H372" s="39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0</v>
      </c>
      <c r="I372" s="39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0</v>
      </c>
      <c r="J372" s="39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0</v>
      </c>
      <c r="K372" s="39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0</v>
      </c>
      <c r="L372" s="39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0</v>
      </c>
      <c r="M372" s="39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0</v>
      </c>
      <c r="N372" s="39" t="str">
        <f aca="false">IF(COUNT('Business Case'!B11:G11)=0,"",H372+NPV(G372,I372:M372))</f>
        <v/>
      </c>
      <c r="P372" s="40" t="n">
        <f aca="true">RAND()</f>
        <v>0.393463997161056</v>
      </c>
      <c r="Q372" s="40" t="n">
        <f aca="true">RAND()</f>
        <v>0.784346971370774</v>
      </c>
      <c r="R372" s="40" t="n">
        <f aca="true">RAND()</f>
        <v>0.959071148695413</v>
      </c>
      <c r="S372" s="40" t="n">
        <f aca="true">RAND()</f>
        <v>0.8286201226437</v>
      </c>
      <c r="T372" s="40" t="n">
        <f aca="true">RAND()</f>
        <v>0.746508443982893</v>
      </c>
      <c r="U372" s="40" t="n">
        <f aca="true">RAND()</f>
        <v>0.122050736931767</v>
      </c>
    </row>
    <row r="373" customFormat="false" ht="15" hidden="false" customHeight="false" outlineLevel="0" collapsed="false">
      <c r="A373" s="36" t="n">
        <v>293</v>
      </c>
      <c r="B373" s="37" t="n">
        <f aca="false">1+IF($G$6=$E$6,$F$6,IF(P373&lt;($F$6-$E$6)/($G$6-$E$6),$E$6+SQRT(P373*($G$6-$E$6)*($F$6-$E$6)),$G$6-SQRT((1-P373)*($G$6-$E$6)*($G$6-$F$6))))</f>
        <v>1</v>
      </c>
      <c r="C373" s="37" t="n">
        <f aca="false">1+IF($G$7=$E$7,$F$7,IF(Q373&lt;($F$7-$E$7)/($G$7-$E$7),$E$7+SQRT(Q373*($G$7-$E$7)*($F$7-$E$7)),$G$7-SQRT((1-Q373)*($G$7-$E$7)*($G$7-$F$7))))</f>
        <v>1</v>
      </c>
      <c r="D373" s="37" t="n">
        <f aca="false">1+IF($G$8=$E$8,$F$8,IF(R373&lt;($F$8-$E$8)/($G$8-$E$8),$E$8+SQRT(R373*($G$8-$E$8)*($F$8-$E$8)),$G$8-SQRT((1-R373)*($G$8-$E$8)*($G$8-$F$8))))</f>
        <v>1</v>
      </c>
      <c r="E373" s="37" t="n">
        <f aca="false">1+IF($G$9=$E$9,$F$9,IF(S373&lt;($F$9-$E$9)/($G$9-$E$9),$E$9+SQRT(S373*($G$9-$E$9)*($F$9-$E$9)),$G$9-SQRT((1-S373)*($G$9-$E$9)*($G$9-$F$9))))</f>
        <v>1</v>
      </c>
      <c r="F373" s="37" t="n">
        <f aca="false">1+IF($G$10=$E$10,$F$10,IF(T373&lt;($F$10-$E$10)/($G$10-$E$10),$E$10+SQRT(T373*($G$10-$E$10)*($F$10-$E$10)),$G$10-SQRT((1-T373)*($G$10-$E$10)*($G$10-$F$10))))</f>
        <v>1</v>
      </c>
      <c r="G373" s="38" t="n">
        <f aca="false">IF($G$11=$E$11,$F$11,IF(U373&lt;($F$11-$E$11)/($G$11-$E$11),$E$11+SQRT(U373*($G$11-$E$11)*($F$11-$E$11)),$G$11-SQRT((1-U373)*($G$11-$E$11)*($G$11-$F$11))))</f>
        <v>0</v>
      </c>
      <c r="H373" s="39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0</v>
      </c>
      <c r="I373" s="39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0</v>
      </c>
      <c r="J373" s="39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0</v>
      </c>
      <c r="K373" s="39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0</v>
      </c>
      <c r="L373" s="39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0</v>
      </c>
      <c r="M373" s="39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0</v>
      </c>
      <c r="N373" s="39" t="str">
        <f aca="false">IF(COUNT('Business Case'!B11:G11)=0,"",H373+NPV(G373,I373:M373))</f>
        <v/>
      </c>
      <c r="P373" s="40" t="n">
        <f aca="true">RAND()</f>
        <v>0.553247830343634</v>
      </c>
      <c r="Q373" s="40" t="n">
        <f aca="true">RAND()</f>
        <v>0.0417545524983893</v>
      </c>
      <c r="R373" s="40" t="n">
        <f aca="true">RAND()</f>
        <v>0.434610777379816</v>
      </c>
      <c r="S373" s="40" t="n">
        <f aca="true">RAND()</f>
        <v>0.130164665358819</v>
      </c>
      <c r="T373" s="40" t="n">
        <f aca="true">RAND()</f>
        <v>0.0230095515740235</v>
      </c>
      <c r="U373" s="40" t="n">
        <f aca="true">RAND()</f>
        <v>0.839971521683714</v>
      </c>
    </row>
    <row r="374" customFormat="false" ht="15" hidden="false" customHeight="false" outlineLevel="0" collapsed="false">
      <c r="A374" s="36" t="n">
        <v>294</v>
      </c>
      <c r="B374" s="37" t="n">
        <f aca="false">1+IF($G$6=$E$6,$F$6,IF(P374&lt;($F$6-$E$6)/($G$6-$E$6),$E$6+SQRT(P374*($G$6-$E$6)*($F$6-$E$6)),$G$6-SQRT((1-P374)*($G$6-$E$6)*($G$6-$F$6))))</f>
        <v>1</v>
      </c>
      <c r="C374" s="37" t="n">
        <f aca="false">1+IF($G$7=$E$7,$F$7,IF(Q374&lt;($F$7-$E$7)/($G$7-$E$7),$E$7+SQRT(Q374*($G$7-$E$7)*($F$7-$E$7)),$G$7-SQRT((1-Q374)*($G$7-$E$7)*($G$7-$F$7))))</f>
        <v>1</v>
      </c>
      <c r="D374" s="37" t="n">
        <f aca="false">1+IF($G$8=$E$8,$F$8,IF(R374&lt;($F$8-$E$8)/($G$8-$E$8),$E$8+SQRT(R374*($G$8-$E$8)*($F$8-$E$8)),$G$8-SQRT((1-R374)*($G$8-$E$8)*($G$8-$F$8))))</f>
        <v>1</v>
      </c>
      <c r="E374" s="37" t="n">
        <f aca="false">1+IF($G$9=$E$9,$F$9,IF(S374&lt;($F$9-$E$9)/($G$9-$E$9),$E$9+SQRT(S374*($G$9-$E$9)*($F$9-$E$9)),$G$9-SQRT((1-S374)*($G$9-$E$9)*($G$9-$F$9))))</f>
        <v>1</v>
      </c>
      <c r="F374" s="37" t="n">
        <f aca="false">1+IF($G$10=$E$10,$F$10,IF(T374&lt;($F$10-$E$10)/($G$10-$E$10),$E$10+SQRT(T374*($G$10-$E$10)*($F$10-$E$10)),$G$10-SQRT((1-T374)*($G$10-$E$10)*($G$10-$F$10))))</f>
        <v>1</v>
      </c>
      <c r="G374" s="38" t="n">
        <f aca="false">IF($G$11=$E$11,$F$11,IF(U374&lt;($F$11-$E$11)/($G$11-$E$11),$E$11+SQRT(U374*($G$11-$E$11)*($F$11-$E$11)),$G$11-SQRT((1-U374)*($G$11-$E$11)*($G$11-$F$11))))</f>
        <v>0</v>
      </c>
      <c r="H374" s="39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0</v>
      </c>
      <c r="I374" s="39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0</v>
      </c>
      <c r="J374" s="39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0</v>
      </c>
      <c r="K374" s="39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0</v>
      </c>
      <c r="L374" s="39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0</v>
      </c>
      <c r="M374" s="39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0</v>
      </c>
      <c r="N374" s="39" t="str">
        <f aca="false">IF(COUNT('Business Case'!B11:G11)=0,"",H374+NPV(G374,I374:M374))</f>
        <v/>
      </c>
      <c r="P374" s="40" t="n">
        <f aca="true">RAND()</f>
        <v>0.817538300759264</v>
      </c>
      <c r="Q374" s="40" t="n">
        <f aca="true">RAND()</f>
        <v>0.271088987364475</v>
      </c>
      <c r="R374" s="40" t="n">
        <f aca="true">RAND()</f>
        <v>0.212244061901793</v>
      </c>
      <c r="S374" s="40" t="n">
        <f aca="true">RAND()</f>
        <v>0.0660075472671821</v>
      </c>
      <c r="T374" s="40" t="n">
        <f aca="true">RAND()</f>
        <v>0.264133855583786</v>
      </c>
      <c r="U374" s="40" t="n">
        <f aca="true">RAND()</f>
        <v>0.91903729976687</v>
      </c>
    </row>
    <row r="375" customFormat="false" ht="15" hidden="false" customHeight="false" outlineLevel="0" collapsed="false">
      <c r="A375" s="36" t="n">
        <v>295</v>
      </c>
      <c r="B375" s="37" t="n">
        <f aca="false">1+IF($G$6=$E$6,$F$6,IF(P375&lt;($F$6-$E$6)/($G$6-$E$6),$E$6+SQRT(P375*($G$6-$E$6)*($F$6-$E$6)),$G$6-SQRT((1-P375)*($G$6-$E$6)*($G$6-$F$6))))</f>
        <v>1</v>
      </c>
      <c r="C375" s="37" t="n">
        <f aca="false">1+IF($G$7=$E$7,$F$7,IF(Q375&lt;($F$7-$E$7)/($G$7-$E$7),$E$7+SQRT(Q375*($G$7-$E$7)*($F$7-$E$7)),$G$7-SQRT((1-Q375)*($G$7-$E$7)*($G$7-$F$7))))</f>
        <v>1</v>
      </c>
      <c r="D375" s="37" t="n">
        <f aca="false">1+IF($G$8=$E$8,$F$8,IF(R375&lt;($F$8-$E$8)/($G$8-$E$8),$E$8+SQRT(R375*($G$8-$E$8)*($F$8-$E$8)),$G$8-SQRT((1-R375)*($G$8-$E$8)*($G$8-$F$8))))</f>
        <v>1</v>
      </c>
      <c r="E375" s="37" t="n">
        <f aca="false">1+IF($G$9=$E$9,$F$9,IF(S375&lt;($F$9-$E$9)/($G$9-$E$9),$E$9+SQRT(S375*($G$9-$E$9)*($F$9-$E$9)),$G$9-SQRT((1-S375)*($G$9-$E$9)*($G$9-$F$9))))</f>
        <v>1</v>
      </c>
      <c r="F375" s="37" t="n">
        <f aca="false">1+IF($G$10=$E$10,$F$10,IF(T375&lt;($F$10-$E$10)/($G$10-$E$10),$E$10+SQRT(T375*($G$10-$E$10)*($F$10-$E$10)),$G$10-SQRT((1-T375)*($G$10-$E$10)*($G$10-$F$10))))</f>
        <v>1</v>
      </c>
      <c r="G375" s="38" t="n">
        <f aca="false">IF($G$11=$E$11,$F$11,IF(U375&lt;($F$11-$E$11)/($G$11-$E$11),$E$11+SQRT(U375*($G$11-$E$11)*($F$11-$E$11)),$G$11-SQRT((1-U375)*($G$11-$E$11)*($G$11-$F$11))))</f>
        <v>0</v>
      </c>
      <c r="H375" s="39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0</v>
      </c>
      <c r="I375" s="39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0</v>
      </c>
      <c r="J375" s="39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0</v>
      </c>
      <c r="K375" s="39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0</v>
      </c>
      <c r="L375" s="39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0</v>
      </c>
      <c r="M375" s="39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0</v>
      </c>
      <c r="N375" s="39" t="str">
        <f aca="false">IF(COUNT('Business Case'!B11:G11)=0,"",H375+NPV(G375,I375:M375))</f>
        <v/>
      </c>
      <c r="P375" s="40" t="n">
        <f aca="true">RAND()</f>
        <v>0.356658545965897</v>
      </c>
      <c r="Q375" s="40" t="n">
        <f aca="true">RAND()</f>
        <v>0.0517614625224024</v>
      </c>
      <c r="R375" s="40" t="n">
        <f aca="true">RAND()</f>
        <v>0.0531074055931322</v>
      </c>
      <c r="S375" s="40" t="n">
        <f aca="true">RAND()</f>
        <v>0.860028650551996</v>
      </c>
      <c r="T375" s="40" t="n">
        <f aca="true">RAND()</f>
        <v>0.0705798811405006</v>
      </c>
      <c r="U375" s="40" t="n">
        <f aca="true">RAND()</f>
        <v>0.00752556951863109</v>
      </c>
    </row>
    <row r="376" customFormat="false" ht="15" hidden="false" customHeight="false" outlineLevel="0" collapsed="false">
      <c r="A376" s="36" t="n">
        <v>296</v>
      </c>
      <c r="B376" s="37" t="n">
        <f aca="false">1+IF($G$6=$E$6,$F$6,IF(P376&lt;($F$6-$E$6)/($G$6-$E$6),$E$6+SQRT(P376*($G$6-$E$6)*($F$6-$E$6)),$G$6-SQRT((1-P376)*($G$6-$E$6)*($G$6-$F$6))))</f>
        <v>1</v>
      </c>
      <c r="C376" s="37" t="n">
        <f aca="false">1+IF($G$7=$E$7,$F$7,IF(Q376&lt;($F$7-$E$7)/($G$7-$E$7),$E$7+SQRT(Q376*($G$7-$E$7)*($F$7-$E$7)),$G$7-SQRT((1-Q376)*($G$7-$E$7)*($G$7-$F$7))))</f>
        <v>1</v>
      </c>
      <c r="D376" s="37" t="n">
        <f aca="false">1+IF($G$8=$E$8,$F$8,IF(R376&lt;($F$8-$E$8)/($G$8-$E$8),$E$8+SQRT(R376*($G$8-$E$8)*($F$8-$E$8)),$G$8-SQRT((1-R376)*($G$8-$E$8)*($G$8-$F$8))))</f>
        <v>1</v>
      </c>
      <c r="E376" s="37" t="n">
        <f aca="false">1+IF($G$9=$E$9,$F$9,IF(S376&lt;($F$9-$E$9)/($G$9-$E$9),$E$9+SQRT(S376*($G$9-$E$9)*($F$9-$E$9)),$G$9-SQRT((1-S376)*($G$9-$E$9)*($G$9-$F$9))))</f>
        <v>1</v>
      </c>
      <c r="F376" s="37" t="n">
        <f aca="false">1+IF($G$10=$E$10,$F$10,IF(T376&lt;($F$10-$E$10)/($G$10-$E$10),$E$10+SQRT(T376*($G$10-$E$10)*($F$10-$E$10)),$G$10-SQRT((1-T376)*($G$10-$E$10)*($G$10-$F$10))))</f>
        <v>1</v>
      </c>
      <c r="G376" s="38" t="n">
        <f aca="false">IF($G$11=$E$11,$F$11,IF(U376&lt;($F$11-$E$11)/($G$11-$E$11),$E$11+SQRT(U376*($G$11-$E$11)*($F$11-$E$11)),$G$11-SQRT((1-U376)*($G$11-$E$11)*($G$11-$F$11))))</f>
        <v>0</v>
      </c>
      <c r="H376" s="39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0</v>
      </c>
      <c r="I376" s="39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0</v>
      </c>
      <c r="J376" s="39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0</v>
      </c>
      <c r="K376" s="39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0</v>
      </c>
      <c r="L376" s="39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0</v>
      </c>
      <c r="M376" s="39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0</v>
      </c>
      <c r="N376" s="39" t="str">
        <f aca="false">IF(COUNT('Business Case'!B11:G11)=0,"",H376+NPV(G376,I376:M376))</f>
        <v/>
      </c>
      <c r="P376" s="40" t="n">
        <f aca="true">RAND()</f>
        <v>0.524842562217627</v>
      </c>
      <c r="Q376" s="40" t="n">
        <f aca="true">RAND()</f>
        <v>0.953844811720364</v>
      </c>
      <c r="R376" s="40" t="n">
        <f aca="true">RAND()</f>
        <v>0.120677995236295</v>
      </c>
      <c r="S376" s="40" t="n">
        <f aca="true">RAND()</f>
        <v>0.871350633712541</v>
      </c>
      <c r="T376" s="40" t="n">
        <f aca="true">RAND()</f>
        <v>0.706622040469353</v>
      </c>
      <c r="U376" s="40" t="n">
        <f aca="true">RAND()</f>
        <v>0.575007060906907</v>
      </c>
    </row>
    <row r="377" customFormat="false" ht="15" hidden="false" customHeight="false" outlineLevel="0" collapsed="false">
      <c r="A377" s="36" t="n">
        <v>297</v>
      </c>
      <c r="B377" s="37" t="n">
        <f aca="false">1+IF($G$6=$E$6,$F$6,IF(P377&lt;($F$6-$E$6)/($G$6-$E$6),$E$6+SQRT(P377*($G$6-$E$6)*($F$6-$E$6)),$G$6-SQRT((1-P377)*($G$6-$E$6)*($G$6-$F$6))))</f>
        <v>1</v>
      </c>
      <c r="C377" s="37" t="n">
        <f aca="false">1+IF($G$7=$E$7,$F$7,IF(Q377&lt;($F$7-$E$7)/($G$7-$E$7),$E$7+SQRT(Q377*($G$7-$E$7)*($F$7-$E$7)),$G$7-SQRT((1-Q377)*($G$7-$E$7)*($G$7-$F$7))))</f>
        <v>1</v>
      </c>
      <c r="D377" s="37" t="n">
        <f aca="false">1+IF($G$8=$E$8,$F$8,IF(R377&lt;($F$8-$E$8)/($G$8-$E$8),$E$8+SQRT(R377*($G$8-$E$8)*($F$8-$E$8)),$G$8-SQRT((1-R377)*($G$8-$E$8)*($G$8-$F$8))))</f>
        <v>1</v>
      </c>
      <c r="E377" s="37" t="n">
        <f aca="false">1+IF($G$9=$E$9,$F$9,IF(S377&lt;($F$9-$E$9)/($G$9-$E$9),$E$9+SQRT(S377*($G$9-$E$9)*($F$9-$E$9)),$G$9-SQRT((1-S377)*($G$9-$E$9)*($G$9-$F$9))))</f>
        <v>1</v>
      </c>
      <c r="F377" s="37" t="n">
        <f aca="false">1+IF($G$10=$E$10,$F$10,IF(T377&lt;($F$10-$E$10)/($G$10-$E$10),$E$10+SQRT(T377*($G$10-$E$10)*($F$10-$E$10)),$G$10-SQRT((1-T377)*($G$10-$E$10)*($G$10-$F$10))))</f>
        <v>1</v>
      </c>
      <c r="G377" s="38" t="n">
        <f aca="false">IF($G$11=$E$11,$F$11,IF(U377&lt;($F$11-$E$11)/($G$11-$E$11),$E$11+SQRT(U377*($G$11-$E$11)*($F$11-$E$11)),$G$11-SQRT((1-U377)*($G$11-$E$11)*($G$11-$F$11))))</f>
        <v>0</v>
      </c>
      <c r="H377" s="39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0</v>
      </c>
      <c r="I377" s="39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0</v>
      </c>
      <c r="J377" s="39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0</v>
      </c>
      <c r="K377" s="39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0</v>
      </c>
      <c r="L377" s="39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0</v>
      </c>
      <c r="M377" s="39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0</v>
      </c>
      <c r="N377" s="39" t="str">
        <f aca="false">IF(COUNT('Business Case'!B11:G11)=0,"",H377+NPV(G377,I377:M377))</f>
        <v/>
      </c>
      <c r="P377" s="40" t="n">
        <f aca="true">RAND()</f>
        <v>0.893804016798338</v>
      </c>
      <c r="Q377" s="40" t="n">
        <f aca="true">RAND()</f>
        <v>0.276529323385724</v>
      </c>
      <c r="R377" s="40" t="n">
        <f aca="true">RAND()</f>
        <v>0.110799364044997</v>
      </c>
      <c r="S377" s="40" t="n">
        <f aca="true">RAND()</f>
        <v>0.668758009347181</v>
      </c>
      <c r="T377" s="40" t="n">
        <f aca="true">RAND()</f>
        <v>0.32488775988912</v>
      </c>
      <c r="U377" s="40" t="n">
        <f aca="true">RAND()</f>
        <v>0.723454119885375</v>
      </c>
    </row>
    <row r="378" customFormat="false" ht="15" hidden="false" customHeight="false" outlineLevel="0" collapsed="false">
      <c r="A378" s="36" t="n">
        <v>298</v>
      </c>
      <c r="B378" s="37" t="n">
        <f aca="false">1+IF($G$6=$E$6,$F$6,IF(P378&lt;($F$6-$E$6)/($G$6-$E$6),$E$6+SQRT(P378*($G$6-$E$6)*($F$6-$E$6)),$G$6-SQRT((1-P378)*($G$6-$E$6)*($G$6-$F$6))))</f>
        <v>1</v>
      </c>
      <c r="C378" s="37" t="n">
        <f aca="false">1+IF($G$7=$E$7,$F$7,IF(Q378&lt;($F$7-$E$7)/($G$7-$E$7),$E$7+SQRT(Q378*($G$7-$E$7)*($F$7-$E$7)),$G$7-SQRT((1-Q378)*($G$7-$E$7)*($G$7-$F$7))))</f>
        <v>1</v>
      </c>
      <c r="D378" s="37" t="n">
        <f aca="false">1+IF($G$8=$E$8,$F$8,IF(R378&lt;($F$8-$E$8)/($G$8-$E$8),$E$8+SQRT(R378*($G$8-$E$8)*($F$8-$E$8)),$G$8-SQRT((1-R378)*($G$8-$E$8)*($G$8-$F$8))))</f>
        <v>1</v>
      </c>
      <c r="E378" s="37" t="n">
        <f aca="false">1+IF($G$9=$E$9,$F$9,IF(S378&lt;($F$9-$E$9)/($G$9-$E$9),$E$9+SQRT(S378*($G$9-$E$9)*($F$9-$E$9)),$G$9-SQRT((1-S378)*($G$9-$E$9)*($G$9-$F$9))))</f>
        <v>1</v>
      </c>
      <c r="F378" s="37" t="n">
        <f aca="false">1+IF($G$10=$E$10,$F$10,IF(T378&lt;($F$10-$E$10)/($G$10-$E$10),$E$10+SQRT(T378*($G$10-$E$10)*($F$10-$E$10)),$G$10-SQRT((1-T378)*($G$10-$E$10)*($G$10-$F$10))))</f>
        <v>1</v>
      </c>
      <c r="G378" s="38" t="n">
        <f aca="false">IF($G$11=$E$11,$F$11,IF(U378&lt;($F$11-$E$11)/($G$11-$E$11),$E$11+SQRT(U378*($G$11-$E$11)*($F$11-$E$11)),$G$11-SQRT((1-U378)*($G$11-$E$11)*($G$11-$F$11))))</f>
        <v>0</v>
      </c>
      <c r="H378" s="39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0</v>
      </c>
      <c r="I378" s="39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0</v>
      </c>
      <c r="J378" s="39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0</v>
      </c>
      <c r="K378" s="39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0</v>
      </c>
      <c r="L378" s="39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0</v>
      </c>
      <c r="M378" s="39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0</v>
      </c>
      <c r="N378" s="39" t="str">
        <f aca="false">IF(COUNT('Business Case'!B11:G11)=0,"",H378+NPV(G378,I378:M378))</f>
        <v/>
      </c>
      <c r="P378" s="40" t="n">
        <f aca="true">RAND()</f>
        <v>0.882294923223805</v>
      </c>
      <c r="Q378" s="40" t="n">
        <f aca="true">RAND()</f>
        <v>0.106170024319984</v>
      </c>
      <c r="R378" s="40" t="n">
        <f aca="true">RAND()</f>
        <v>0.0621200055962521</v>
      </c>
      <c r="S378" s="40" t="n">
        <f aca="true">RAND()</f>
        <v>0.0181318636945776</v>
      </c>
      <c r="T378" s="40" t="n">
        <f aca="true">RAND()</f>
        <v>0.904372246187507</v>
      </c>
      <c r="U378" s="40" t="n">
        <f aca="true">RAND()</f>
        <v>0.51249569691598</v>
      </c>
    </row>
    <row r="379" customFormat="false" ht="15" hidden="false" customHeight="false" outlineLevel="0" collapsed="false">
      <c r="A379" s="36" t="n">
        <v>299</v>
      </c>
      <c r="B379" s="37" t="n">
        <f aca="false">1+IF($G$6=$E$6,$F$6,IF(P379&lt;($F$6-$E$6)/($G$6-$E$6),$E$6+SQRT(P379*($G$6-$E$6)*($F$6-$E$6)),$G$6-SQRT((1-P379)*($G$6-$E$6)*($G$6-$F$6))))</f>
        <v>1</v>
      </c>
      <c r="C379" s="37" t="n">
        <f aca="false">1+IF($G$7=$E$7,$F$7,IF(Q379&lt;($F$7-$E$7)/($G$7-$E$7),$E$7+SQRT(Q379*($G$7-$E$7)*($F$7-$E$7)),$G$7-SQRT((1-Q379)*($G$7-$E$7)*($G$7-$F$7))))</f>
        <v>1</v>
      </c>
      <c r="D379" s="37" t="n">
        <f aca="false">1+IF($G$8=$E$8,$F$8,IF(R379&lt;($F$8-$E$8)/($G$8-$E$8),$E$8+SQRT(R379*($G$8-$E$8)*($F$8-$E$8)),$G$8-SQRT((1-R379)*($G$8-$E$8)*($G$8-$F$8))))</f>
        <v>1</v>
      </c>
      <c r="E379" s="37" t="n">
        <f aca="false">1+IF($G$9=$E$9,$F$9,IF(S379&lt;($F$9-$E$9)/($G$9-$E$9),$E$9+SQRT(S379*($G$9-$E$9)*($F$9-$E$9)),$G$9-SQRT((1-S379)*($G$9-$E$9)*($G$9-$F$9))))</f>
        <v>1</v>
      </c>
      <c r="F379" s="37" t="n">
        <f aca="false">1+IF($G$10=$E$10,$F$10,IF(T379&lt;($F$10-$E$10)/($G$10-$E$10),$E$10+SQRT(T379*($G$10-$E$10)*($F$10-$E$10)),$G$10-SQRT((1-T379)*($G$10-$E$10)*($G$10-$F$10))))</f>
        <v>1</v>
      </c>
      <c r="G379" s="38" t="n">
        <f aca="false">IF($G$11=$E$11,$F$11,IF(U379&lt;($F$11-$E$11)/($G$11-$E$11),$E$11+SQRT(U379*($G$11-$E$11)*($F$11-$E$11)),$G$11-SQRT((1-U379)*($G$11-$E$11)*($G$11-$F$11))))</f>
        <v>0</v>
      </c>
      <c r="H379" s="39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0</v>
      </c>
      <c r="I379" s="39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0</v>
      </c>
      <c r="J379" s="39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0</v>
      </c>
      <c r="K379" s="39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0</v>
      </c>
      <c r="L379" s="39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0</v>
      </c>
      <c r="M379" s="39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0</v>
      </c>
      <c r="N379" s="39" t="str">
        <f aca="false">IF(COUNT('Business Case'!B11:G11)=0,"",H379+NPV(G379,I379:M379))</f>
        <v/>
      </c>
      <c r="P379" s="40" t="n">
        <f aca="true">RAND()</f>
        <v>0.216245197554611</v>
      </c>
      <c r="Q379" s="40" t="n">
        <f aca="true">RAND()</f>
        <v>0.655519823298739</v>
      </c>
      <c r="R379" s="40" t="n">
        <f aca="true">RAND()</f>
        <v>0.798614583553542</v>
      </c>
      <c r="S379" s="40" t="n">
        <f aca="true">RAND()</f>
        <v>0.327097868302449</v>
      </c>
      <c r="T379" s="40" t="n">
        <f aca="true">RAND()</f>
        <v>0.566212736493142</v>
      </c>
      <c r="U379" s="40" t="n">
        <f aca="true">RAND()</f>
        <v>0.612881060755308</v>
      </c>
    </row>
    <row r="380" customFormat="false" ht="15" hidden="false" customHeight="false" outlineLevel="0" collapsed="false">
      <c r="A380" s="36" t="n">
        <v>300</v>
      </c>
      <c r="B380" s="37" t="n">
        <f aca="false">1+IF($G$6=$E$6,$F$6,IF(P380&lt;($F$6-$E$6)/($G$6-$E$6),$E$6+SQRT(P380*($G$6-$E$6)*($F$6-$E$6)),$G$6-SQRT((1-P380)*($G$6-$E$6)*($G$6-$F$6))))</f>
        <v>1</v>
      </c>
      <c r="C380" s="37" t="n">
        <f aca="false">1+IF($G$7=$E$7,$F$7,IF(Q380&lt;($F$7-$E$7)/($G$7-$E$7),$E$7+SQRT(Q380*($G$7-$E$7)*($F$7-$E$7)),$G$7-SQRT((1-Q380)*($G$7-$E$7)*($G$7-$F$7))))</f>
        <v>1</v>
      </c>
      <c r="D380" s="37" t="n">
        <f aca="false">1+IF($G$8=$E$8,$F$8,IF(R380&lt;($F$8-$E$8)/($G$8-$E$8),$E$8+SQRT(R380*($G$8-$E$8)*($F$8-$E$8)),$G$8-SQRT((1-R380)*($G$8-$E$8)*($G$8-$F$8))))</f>
        <v>1</v>
      </c>
      <c r="E380" s="37" t="n">
        <f aca="false">1+IF($G$9=$E$9,$F$9,IF(S380&lt;($F$9-$E$9)/($G$9-$E$9),$E$9+SQRT(S380*($G$9-$E$9)*($F$9-$E$9)),$G$9-SQRT((1-S380)*($G$9-$E$9)*($G$9-$F$9))))</f>
        <v>1</v>
      </c>
      <c r="F380" s="37" t="n">
        <f aca="false">1+IF($G$10=$E$10,$F$10,IF(T380&lt;($F$10-$E$10)/($G$10-$E$10),$E$10+SQRT(T380*($G$10-$E$10)*($F$10-$E$10)),$G$10-SQRT((1-T380)*($G$10-$E$10)*($G$10-$F$10))))</f>
        <v>1</v>
      </c>
      <c r="G380" s="38" t="n">
        <f aca="false">IF($G$11=$E$11,$F$11,IF(U380&lt;($F$11-$E$11)/($G$11-$E$11),$E$11+SQRT(U380*($G$11-$E$11)*($F$11-$E$11)),$G$11-SQRT((1-U380)*($G$11-$E$11)*($G$11-$F$11))))</f>
        <v>0</v>
      </c>
      <c r="H380" s="39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0</v>
      </c>
      <c r="I380" s="39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0</v>
      </c>
      <c r="J380" s="39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0</v>
      </c>
      <c r="K380" s="39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0</v>
      </c>
      <c r="L380" s="39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0</v>
      </c>
      <c r="M380" s="39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0</v>
      </c>
      <c r="N380" s="39" t="str">
        <f aca="false">IF(COUNT('Business Case'!B11:G11)=0,"",H380+NPV(G380,I380:M380))</f>
        <v/>
      </c>
      <c r="P380" s="40" t="n">
        <f aca="true">RAND()</f>
        <v>0.914013269601757</v>
      </c>
      <c r="Q380" s="40" t="n">
        <f aca="true">RAND()</f>
        <v>0.841328759493934</v>
      </c>
      <c r="R380" s="40" t="n">
        <f aca="true">RAND()</f>
        <v>0.349372170065271</v>
      </c>
      <c r="S380" s="40" t="n">
        <f aca="true">RAND()</f>
        <v>0.84368263588172</v>
      </c>
      <c r="T380" s="40" t="n">
        <f aca="true">RAND()</f>
        <v>0.819189781919802</v>
      </c>
      <c r="U380" s="40" t="n">
        <f aca="true">RAND()</f>
        <v>0.155420083069819</v>
      </c>
    </row>
    <row r="381" customFormat="false" ht="15" hidden="false" customHeight="false" outlineLevel="0" collapsed="false">
      <c r="A381" s="36" t="n">
        <v>301</v>
      </c>
      <c r="B381" s="37" t="n">
        <f aca="false">1+IF($G$6=$E$6,$F$6,IF(P381&lt;($F$6-$E$6)/($G$6-$E$6),$E$6+SQRT(P381*($G$6-$E$6)*($F$6-$E$6)),$G$6-SQRT((1-P381)*($G$6-$E$6)*($G$6-$F$6))))</f>
        <v>1</v>
      </c>
      <c r="C381" s="37" t="n">
        <f aca="false">1+IF($G$7=$E$7,$F$7,IF(Q381&lt;($F$7-$E$7)/($G$7-$E$7),$E$7+SQRT(Q381*($G$7-$E$7)*($F$7-$E$7)),$G$7-SQRT((1-Q381)*($G$7-$E$7)*($G$7-$F$7))))</f>
        <v>1</v>
      </c>
      <c r="D381" s="37" t="n">
        <f aca="false">1+IF($G$8=$E$8,$F$8,IF(R381&lt;($F$8-$E$8)/($G$8-$E$8),$E$8+SQRT(R381*($G$8-$E$8)*($F$8-$E$8)),$G$8-SQRT((1-R381)*($G$8-$E$8)*($G$8-$F$8))))</f>
        <v>1</v>
      </c>
      <c r="E381" s="37" t="n">
        <f aca="false">1+IF($G$9=$E$9,$F$9,IF(S381&lt;($F$9-$E$9)/($G$9-$E$9),$E$9+SQRT(S381*($G$9-$E$9)*($F$9-$E$9)),$G$9-SQRT((1-S381)*($G$9-$E$9)*($G$9-$F$9))))</f>
        <v>1</v>
      </c>
      <c r="F381" s="37" t="n">
        <f aca="false">1+IF($G$10=$E$10,$F$10,IF(T381&lt;($F$10-$E$10)/($G$10-$E$10),$E$10+SQRT(T381*($G$10-$E$10)*($F$10-$E$10)),$G$10-SQRT((1-T381)*($G$10-$E$10)*($G$10-$F$10))))</f>
        <v>1</v>
      </c>
      <c r="G381" s="38" t="n">
        <f aca="false">IF($G$11=$E$11,$F$11,IF(U381&lt;($F$11-$E$11)/($G$11-$E$11),$E$11+SQRT(U381*($G$11-$E$11)*($F$11-$E$11)),$G$11-SQRT((1-U381)*($G$11-$E$11)*($G$11-$F$11))))</f>
        <v>0</v>
      </c>
      <c r="H381" s="39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0</v>
      </c>
      <c r="I381" s="39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0</v>
      </c>
      <c r="J381" s="39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0</v>
      </c>
      <c r="K381" s="39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0</v>
      </c>
      <c r="L381" s="39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0</v>
      </c>
      <c r="M381" s="39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0</v>
      </c>
      <c r="N381" s="39" t="str">
        <f aca="false">IF(COUNT('Business Case'!B11:G11)=0,"",H381+NPV(G381,I381:M381))</f>
        <v/>
      </c>
      <c r="P381" s="40" t="n">
        <f aca="true">RAND()</f>
        <v>0.980462148335256</v>
      </c>
      <c r="Q381" s="40" t="n">
        <f aca="true">RAND()</f>
        <v>0.799947876945555</v>
      </c>
      <c r="R381" s="40" t="n">
        <f aca="true">RAND()</f>
        <v>0.156391223650795</v>
      </c>
      <c r="S381" s="40" t="n">
        <f aca="true">RAND()</f>
        <v>0.647623193981649</v>
      </c>
      <c r="T381" s="40" t="n">
        <f aca="true">RAND()</f>
        <v>0.0030362474899421</v>
      </c>
      <c r="U381" s="40" t="n">
        <f aca="true">RAND()</f>
        <v>0.231448770737288</v>
      </c>
    </row>
    <row r="382" customFormat="false" ht="15" hidden="false" customHeight="false" outlineLevel="0" collapsed="false">
      <c r="A382" s="36" t="n">
        <v>302</v>
      </c>
      <c r="B382" s="37" t="n">
        <f aca="false">1+IF($G$6=$E$6,$F$6,IF(P382&lt;($F$6-$E$6)/($G$6-$E$6),$E$6+SQRT(P382*($G$6-$E$6)*($F$6-$E$6)),$G$6-SQRT((1-P382)*($G$6-$E$6)*($G$6-$F$6))))</f>
        <v>1</v>
      </c>
      <c r="C382" s="37" t="n">
        <f aca="false">1+IF($G$7=$E$7,$F$7,IF(Q382&lt;($F$7-$E$7)/($G$7-$E$7),$E$7+SQRT(Q382*($G$7-$E$7)*($F$7-$E$7)),$G$7-SQRT((1-Q382)*($G$7-$E$7)*($G$7-$F$7))))</f>
        <v>1</v>
      </c>
      <c r="D382" s="37" t="n">
        <f aca="false">1+IF($G$8=$E$8,$F$8,IF(R382&lt;($F$8-$E$8)/($G$8-$E$8),$E$8+SQRT(R382*($G$8-$E$8)*($F$8-$E$8)),$G$8-SQRT((1-R382)*($G$8-$E$8)*($G$8-$F$8))))</f>
        <v>1</v>
      </c>
      <c r="E382" s="37" t="n">
        <f aca="false">1+IF($G$9=$E$9,$F$9,IF(S382&lt;($F$9-$E$9)/($G$9-$E$9),$E$9+SQRT(S382*($G$9-$E$9)*($F$9-$E$9)),$G$9-SQRT((1-S382)*($G$9-$E$9)*($G$9-$F$9))))</f>
        <v>1</v>
      </c>
      <c r="F382" s="37" t="n">
        <f aca="false">1+IF($G$10=$E$10,$F$10,IF(T382&lt;($F$10-$E$10)/($G$10-$E$10),$E$10+SQRT(T382*($G$10-$E$10)*($F$10-$E$10)),$G$10-SQRT((1-T382)*($G$10-$E$10)*($G$10-$F$10))))</f>
        <v>1</v>
      </c>
      <c r="G382" s="38" t="n">
        <f aca="false">IF($G$11=$E$11,$F$11,IF(U382&lt;($F$11-$E$11)/($G$11-$E$11),$E$11+SQRT(U382*($G$11-$E$11)*($F$11-$E$11)),$G$11-SQRT((1-U382)*($G$11-$E$11)*($G$11-$F$11))))</f>
        <v>0</v>
      </c>
      <c r="H382" s="39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0</v>
      </c>
      <c r="I382" s="39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0</v>
      </c>
      <c r="J382" s="39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0</v>
      </c>
      <c r="K382" s="39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0</v>
      </c>
      <c r="L382" s="39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0</v>
      </c>
      <c r="M382" s="39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0</v>
      </c>
      <c r="N382" s="39" t="str">
        <f aca="false">IF(COUNT('Business Case'!B11:G11)=0,"",H382+NPV(G382,I382:M382))</f>
        <v/>
      </c>
      <c r="P382" s="40" t="n">
        <f aca="true">RAND()</f>
        <v>0.26734619838839</v>
      </c>
      <c r="Q382" s="40" t="n">
        <f aca="true">RAND()</f>
        <v>0.121631596066545</v>
      </c>
      <c r="R382" s="40" t="n">
        <f aca="true">RAND()</f>
        <v>0.619889983863722</v>
      </c>
      <c r="S382" s="40" t="n">
        <f aca="true">RAND()</f>
        <v>0.828872903232432</v>
      </c>
      <c r="T382" s="40" t="n">
        <f aca="true">RAND()</f>
        <v>0.736512398434995</v>
      </c>
      <c r="U382" s="40" t="n">
        <f aca="true">RAND()</f>
        <v>0.0170263640532309</v>
      </c>
    </row>
    <row r="383" customFormat="false" ht="15" hidden="false" customHeight="false" outlineLevel="0" collapsed="false">
      <c r="A383" s="36" t="n">
        <v>303</v>
      </c>
      <c r="B383" s="37" t="n">
        <f aca="false">1+IF($G$6=$E$6,$F$6,IF(P383&lt;($F$6-$E$6)/($G$6-$E$6),$E$6+SQRT(P383*($G$6-$E$6)*($F$6-$E$6)),$G$6-SQRT((1-P383)*($G$6-$E$6)*($G$6-$F$6))))</f>
        <v>1</v>
      </c>
      <c r="C383" s="37" t="n">
        <f aca="false">1+IF($G$7=$E$7,$F$7,IF(Q383&lt;($F$7-$E$7)/($G$7-$E$7),$E$7+SQRT(Q383*($G$7-$E$7)*($F$7-$E$7)),$G$7-SQRT((1-Q383)*($G$7-$E$7)*($G$7-$F$7))))</f>
        <v>1</v>
      </c>
      <c r="D383" s="37" t="n">
        <f aca="false">1+IF($G$8=$E$8,$F$8,IF(R383&lt;($F$8-$E$8)/($G$8-$E$8),$E$8+SQRT(R383*($G$8-$E$8)*($F$8-$E$8)),$G$8-SQRT((1-R383)*($G$8-$E$8)*($G$8-$F$8))))</f>
        <v>1</v>
      </c>
      <c r="E383" s="37" t="n">
        <f aca="false">1+IF($G$9=$E$9,$F$9,IF(S383&lt;($F$9-$E$9)/($G$9-$E$9),$E$9+SQRT(S383*($G$9-$E$9)*($F$9-$E$9)),$G$9-SQRT((1-S383)*($G$9-$E$9)*($G$9-$F$9))))</f>
        <v>1</v>
      </c>
      <c r="F383" s="37" t="n">
        <f aca="false">1+IF($G$10=$E$10,$F$10,IF(T383&lt;($F$10-$E$10)/($G$10-$E$10),$E$10+SQRT(T383*($G$10-$E$10)*($F$10-$E$10)),$G$10-SQRT((1-T383)*($G$10-$E$10)*($G$10-$F$10))))</f>
        <v>1</v>
      </c>
      <c r="G383" s="38" t="n">
        <f aca="false">IF($G$11=$E$11,$F$11,IF(U383&lt;($F$11-$E$11)/($G$11-$E$11),$E$11+SQRT(U383*($G$11-$E$11)*($F$11-$E$11)),$G$11-SQRT((1-U383)*($G$11-$E$11)*($G$11-$F$11))))</f>
        <v>0</v>
      </c>
      <c r="H383" s="39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0</v>
      </c>
      <c r="I383" s="39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0</v>
      </c>
      <c r="J383" s="39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0</v>
      </c>
      <c r="K383" s="39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0</v>
      </c>
      <c r="L383" s="39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0</v>
      </c>
      <c r="M383" s="39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0</v>
      </c>
      <c r="N383" s="39" t="str">
        <f aca="false">IF(COUNT('Business Case'!B11:G11)=0,"",H383+NPV(G383,I383:M383))</f>
        <v/>
      </c>
      <c r="P383" s="40" t="n">
        <f aca="true">RAND()</f>
        <v>0.0101327642905977</v>
      </c>
      <c r="Q383" s="40" t="n">
        <f aca="true">RAND()</f>
        <v>0.0884946103930886</v>
      </c>
      <c r="R383" s="40" t="n">
        <f aca="true">RAND()</f>
        <v>0.420176081330138</v>
      </c>
      <c r="S383" s="40" t="n">
        <f aca="true">RAND()</f>
        <v>0.22137260819043</v>
      </c>
      <c r="T383" s="40" t="n">
        <f aca="true">RAND()</f>
        <v>0.448360225831555</v>
      </c>
      <c r="U383" s="40" t="n">
        <f aca="true">RAND()</f>
        <v>0.148103874014378</v>
      </c>
    </row>
    <row r="384" customFormat="false" ht="15" hidden="false" customHeight="false" outlineLevel="0" collapsed="false">
      <c r="A384" s="36" t="n">
        <v>304</v>
      </c>
      <c r="B384" s="37" t="n">
        <f aca="false">1+IF($G$6=$E$6,$F$6,IF(P384&lt;($F$6-$E$6)/($G$6-$E$6),$E$6+SQRT(P384*($G$6-$E$6)*($F$6-$E$6)),$G$6-SQRT((1-P384)*($G$6-$E$6)*($G$6-$F$6))))</f>
        <v>1</v>
      </c>
      <c r="C384" s="37" t="n">
        <f aca="false">1+IF($G$7=$E$7,$F$7,IF(Q384&lt;($F$7-$E$7)/($G$7-$E$7),$E$7+SQRT(Q384*($G$7-$E$7)*($F$7-$E$7)),$G$7-SQRT((1-Q384)*($G$7-$E$7)*($G$7-$F$7))))</f>
        <v>1</v>
      </c>
      <c r="D384" s="37" t="n">
        <f aca="false">1+IF($G$8=$E$8,$F$8,IF(R384&lt;($F$8-$E$8)/($G$8-$E$8),$E$8+SQRT(R384*($G$8-$E$8)*($F$8-$E$8)),$G$8-SQRT((1-R384)*($G$8-$E$8)*($G$8-$F$8))))</f>
        <v>1</v>
      </c>
      <c r="E384" s="37" t="n">
        <f aca="false">1+IF($G$9=$E$9,$F$9,IF(S384&lt;($F$9-$E$9)/($G$9-$E$9),$E$9+SQRT(S384*($G$9-$E$9)*($F$9-$E$9)),$G$9-SQRT((1-S384)*($G$9-$E$9)*($G$9-$F$9))))</f>
        <v>1</v>
      </c>
      <c r="F384" s="37" t="n">
        <f aca="false">1+IF($G$10=$E$10,$F$10,IF(T384&lt;($F$10-$E$10)/($G$10-$E$10),$E$10+SQRT(T384*($G$10-$E$10)*($F$10-$E$10)),$G$10-SQRT((1-T384)*($G$10-$E$10)*($G$10-$F$10))))</f>
        <v>1</v>
      </c>
      <c r="G384" s="38" t="n">
        <f aca="false">IF($G$11=$E$11,$F$11,IF(U384&lt;($F$11-$E$11)/($G$11-$E$11),$E$11+SQRT(U384*($G$11-$E$11)*($F$11-$E$11)),$G$11-SQRT((1-U384)*($G$11-$E$11)*($G$11-$F$11))))</f>
        <v>0</v>
      </c>
      <c r="H384" s="39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0</v>
      </c>
      <c r="I384" s="39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0</v>
      </c>
      <c r="J384" s="39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0</v>
      </c>
      <c r="K384" s="39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0</v>
      </c>
      <c r="L384" s="39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0</v>
      </c>
      <c r="M384" s="39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0</v>
      </c>
      <c r="N384" s="39" t="str">
        <f aca="false">IF(COUNT('Business Case'!B11:G11)=0,"",H384+NPV(G384,I384:M384))</f>
        <v/>
      </c>
      <c r="P384" s="40" t="n">
        <f aca="true">RAND()</f>
        <v>0.93854740868103</v>
      </c>
      <c r="Q384" s="40" t="n">
        <f aca="true">RAND()</f>
        <v>0.718158202090651</v>
      </c>
      <c r="R384" s="40" t="n">
        <f aca="true">RAND()</f>
        <v>0.112754488337528</v>
      </c>
      <c r="S384" s="40" t="n">
        <f aca="true">RAND()</f>
        <v>0.126597404758931</v>
      </c>
      <c r="T384" s="40" t="n">
        <f aca="true">RAND()</f>
        <v>0.258065915271805</v>
      </c>
      <c r="U384" s="40" t="n">
        <f aca="true">RAND()</f>
        <v>0.70786742895415</v>
      </c>
    </row>
    <row r="385" customFormat="false" ht="15" hidden="false" customHeight="false" outlineLevel="0" collapsed="false">
      <c r="A385" s="36" t="n">
        <v>305</v>
      </c>
      <c r="B385" s="37" t="n">
        <f aca="false">1+IF($G$6=$E$6,$F$6,IF(P385&lt;($F$6-$E$6)/($G$6-$E$6),$E$6+SQRT(P385*($G$6-$E$6)*($F$6-$E$6)),$G$6-SQRT((1-P385)*($G$6-$E$6)*($G$6-$F$6))))</f>
        <v>1</v>
      </c>
      <c r="C385" s="37" t="n">
        <f aca="false">1+IF($G$7=$E$7,$F$7,IF(Q385&lt;($F$7-$E$7)/($G$7-$E$7),$E$7+SQRT(Q385*($G$7-$E$7)*($F$7-$E$7)),$G$7-SQRT((1-Q385)*($G$7-$E$7)*($G$7-$F$7))))</f>
        <v>1</v>
      </c>
      <c r="D385" s="37" t="n">
        <f aca="false">1+IF($G$8=$E$8,$F$8,IF(R385&lt;($F$8-$E$8)/($G$8-$E$8),$E$8+SQRT(R385*($G$8-$E$8)*($F$8-$E$8)),$G$8-SQRT((1-R385)*($G$8-$E$8)*($G$8-$F$8))))</f>
        <v>1</v>
      </c>
      <c r="E385" s="37" t="n">
        <f aca="false">1+IF($G$9=$E$9,$F$9,IF(S385&lt;($F$9-$E$9)/($G$9-$E$9),$E$9+SQRT(S385*($G$9-$E$9)*($F$9-$E$9)),$G$9-SQRT((1-S385)*($G$9-$E$9)*($G$9-$F$9))))</f>
        <v>1</v>
      </c>
      <c r="F385" s="37" t="n">
        <f aca="false">1+IF($G$10=$E$10,$F$10,IF(T385&lt;($F$10-$E$10)/($G$10-$E$10),$E$10+SQRT(T385*($G$10-$E$10)*($F$10-$E$10)),$G$10-SQRT((1-T385)*($G$10-$E$10)*($G$10-$F$10))))</f>
        <v>1</v>
      </c>
      <c r="G385" s="38" t="n">
        <f aca="false">IF($G$11=$E$11,$F$11,IF(U385&lt;($F$11-$E$11)/($G$11-$E$11),$E$11+SQRT(U385*($G$11-$E$11)*($F$11-$E$11)),$G$11-SQRT((1-U385)*($G$11-$E$11)*($G$11-$F$11))))</f>
        <v>0</v>
      </c>
      <c r="H385" s="39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0</v>
      </c>
      <c r="I385" s="39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0</v>
      </c>
      <c r="J385" s="39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0</v>
      </c>
      <c r="K385" s="39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0</v>
      </c>
      <c r="L385" s="39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0</v>
      </c>
      <c r="M385" s="39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0</v>
      </c>
      <c r="N385" s="39" t="str">
        <f aca="false">IF(COUNT('Business Case'!B11:G11)=0,"",H385+NPV(G385,I385:M385))</f>
        <v/>
      </c>
      <c r="P385" s="40" t="n">
        <f aca="true">RAND()</f>
        <v>0.846552865149345</v>
      </c>
      <c r="Q385" s="40" t="n">
        <f aca="true">RAND()</f>
        <v>0.886423404701495</v>
      </c>
      <c r="R385" s="40" t="n">
        <f aca="true">RAND()</f>
        <v>0.167482786453207</v>
      </c>
      <c r="S385" s="40" t="n">
        <f aca="true">RAND()</f>
        <v>0.257111393563385</v>
      </c>
      <c r="T385" s="40" t="n">
        <f aca="true">RAND()</f>
        <v>0.785441227510684</v>
      </c>
      <c r="U385" s="40" t="n">
        <f aca="true">RAND()</f>
        <v>0.424382630269131</v>
      </c>
    </row>
    <row r="386" customFormat="false" ht="15" hidden="false" customHeight="false" outlineLevel="0" collapsed="false">
      <c r="A386" s="36" t="n">
        <v>306</v>
      </c>
      <c r="B386" s="37" t="n">
        <f aca="false">1+IF($G$6=$E$6,$F$6,IF(P386&lt;($F$6-$E$6)/($G$6-$E$6),$E$6+SQRT(P386*($G$6-$E$6)*($F$6-$E$6)),$G$6-SQRT((1-P386)*($G$6-$E$6)*($G$6-$F$6))))</f>
        <v>1</v>
      </c>
      <c r="C386" s="37" t="n">
        <f aca="false">1+IF($G$7=$E$7,$F$7,IF(Q386&lt;($F$7-$E$7)/($G$7-$E$7),$E$7+SQRT(Q386*($G$7-$E$7)*($F$7-$E$7)),$G$7-SQRT((1-Q386)*($G$7-$E$7)*($G$7-$F$7))))</f>
        <v>1</v>
      </c>
      <c r="D386" s="37" t="n">
        <f aca="false">1+IF($G$8=$E$8,$F$8,IF(R386&lt;($F$8-$E$8)/($G$8-$E$8),$E$8+SQRT(R386*($G$8-$E$8)*($F$8-$E$8)),$G$8-SQRT((1-R386)*($G$8-$E$8)*($G$8-$F$8))))</f>
        <v>1</v>
      </c>
      <c r="E386" s="37" t="n">
        <f aca="false">1+IF($G$9=$E$9,$F$9,IF(S386&lt;($F$9-$E$9)/($G$9-$E$9),$E$9+SQRT(S386*($G$9-$E$9)*($F$9-$E$9)),$G$9-SQRT((1-S386)*($G$9-$E$9)*($G$9-$F$9))))</f>
        <v>1</v>
      </c>
      <c r="F386" s="37" t="n">
        <f aca="false">1+IF($G$10=$E$10,$F$10,IF(T386&lt;($F$10-$E$10)/($G$10-$E$10),$E$10+SQRT(T386*($G$10-$E$10)*($F$10-$E$10)),$G$10-SQRT((1-T386)*($G$10-$E$10)*($G$10-$F$10))))</f>
        <v>1</v>
      </c>
      <c r="G386" s="38" t="n">
        <f aca="false">IF($G$11=$E$11,$F$11,IF(U386&lt;($F$11-$E$11)/($G$11-$E$11),$E$11+SQRT(U386*($G$11-$E$11)*($F$11-$E$11)),$G$11-SQRT((1-U386)*($G$11-$E$11)*($G$11-$F$11))))</f>
        <v>0</v>
      </c>
      <c r="H386" s="39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0</v>
      </c>
      <c r="I386" s="39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0</v>
      </c>
      <c r="J386" s="39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0</v>
      </c>
      <c r="K386" s="39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0</v>
      </c>
      <c r="L386" s="39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0</v>
      </c>
      <c r="M386" s="39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0</v>
      </c>
      <c r="N386" s="39" t="str">
        <f aca="false">IF(COUNT('Business Case'!B11:G11)=0,"",H386+NPV(G386,I386:M386))</f>
        <v/>
      </c>
      <c r="P386" s="40" t="n">
        <f aca="true">RAND()</f>
        <v>0.527495317319046</v>
      </c>
      <c r="Q386" s="40" t="n">
        <f aca="true">RAND()</f>
        <v>0.683395697432324</v>
      </c>
      <c r="R386" s="40" t="n">
        <f aca="true">RAND()</f>
        <v>0.0318076668354941</v>
      </c>
      <c r="S386" s="40" t="n">
        <f aca="true">RAND()</f>
        <v>0.764577376066414</v>
      </c>
      <c r="T386" s="40" t="n">
        <f aca="true">RAND()</f>
        <v>0.233473607496207</v>
      </c>
      <c r="U386" s="40" t="n">
        <f aca="true">RAND()</f>
        <v>0.304890846831777</v>
      </c>
    </row>
    <row r="387" customFormat="false" ht="15" hidden="false" customHeight="false" outlineLevel="0" collapsed="false">
      <c r="A387" s="36" t="n">
        <v>307</v>
      </c>
      <c r="B387" s="37" t="n">
        <f aca="false">1+IF($G$6=$E$6,$F$6,IF(P387&lt;($F$6-$E$6)/($G$6-$E$6),$E$6+SQRT(P387*($G$6-$E$6)*($F$6-$E$6)),$G$6-SQRT((1-P387)*($G$6-$E$6)*($G$6-$F$6))))</f>
        <v>1</v>
      </c>
      <c r="C387" s="37" t="n">
        <f aca="false">1+IF($G$7=$E$7,$F$7,IF(Q387&lt;($F$7-$E$7)/($G$7-$E$7),$E$7+SQRT(Q387*($G$7-$E$7)*($F$7-$E$7)),$G$7-SQRT((1-Q387)*($G$7-$E$7)*($G$7-$F$7))))</f>
        <v>1</v>
      </c>
      <c r="D387" s="37" t="n">
        <f aca="false">1+IF($G$8=$E$8,$F$8,IF(R387&lt;($F$8-$E$8)/($G$8-$E$8),$E$8+SQRT(R387*($G$8-$E$8)*($F$8-$E$8)),$G$8-SQRT((1-R387)*($G$8-$E$8)*($G$8-$F$8))))</f>
        <v>1</v>
      </c>
      <c r="E387" s="37" t="n">
        <f aca="false">1+IF($G$9=$E$9,$F$9,IF(S387&lt;($F$9-$E$9)/($G$9-$E$9),$E$9+SQRT(S387*($G$9-$E$9)*($F$9-$E$9)),$G$9-SQRT((1-S387)*($G$9-$E$9)*($G$9-$F$9))))</f>
        <v>1</v>
      </c>
      <c r="F387" s="37" t="n">
        <f aca="false">1+IF($G$10=$E$10,$F$10,IF(T387&lt;($F$10-$E$10)/($G$10-$E$10),$E$10+SQRT(T387*($G$10-$E$10)*($F$10-$E$10)),$G$10-SQRT((1-T387)*($G$10-$E$10)*($G$10-$F$10))))</f>
        <v>1</v>
      </c>
      <c r="G387" s="38" t="n">
        <f aca="false">IF($G$11=$E$11,$F$11,IF(U387&lt;($F$11-$E$11)/($G$11-$E$11),$E$11+SQRT(U387*($G$11-$E$11)*($F$11-$E$11)),$G$11-SQRT((1-U387)*($G$11-$E$11)*($G$11-$F$11))))</f>
        <v>0</v>
      </c>
      <c r="H387" s="39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0</v>
      </c>
      <c r="I387" s="39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0</v>
      </c>
      <c r="J387" s="39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0</v>
      </c>
      <c r="K387" s="39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0</v>
      </c>
      <c r="L387" s="39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0</v>
      </c>
      <c r="M387" s="39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0</v>
      </c>
      <c r="N387" s="39" t="str">
        <f aca="false">IF(COUNT('Business Case'!B11:G11)=0,"",H387+NPV(G387,I387:M387))</f>
        <v/>
      </c>
      <c r="P387" s="40" t="n">
        <f aca="true">RAND()</f>
        <v>0.868023577009081</v>
      </c>
      <c r="Q387" s="40" t="n">
        <f aca="true">RAND()</f>
        <v>0.435300370485086</v>
      </c>
      <c r="R387" s="40" t="n">
        <f aca="true">RAND()</f>
        <v>0.504319144782335</v>
      </c>
      <c r="S387" s="40" t="n">
        <f aca="true">RAND()</f>
        <v>0.626358253240663</v>
      </c>
      <c r="T387" s="40" t="n">
        <f aca="true">RAND()</f>
        <v>0.464062739543443</v>
      </c>
      <c r="U387" s="40" t="n">
        <f aca="true">RAND()</f>
        <v>0.447942856230683</v>
      </c>
    </row>
    <row r="388" customFormat="false" ht="15" hidden="false" customHeight="false" outlineLevel="0" collapsed="false">
      <c r="A388" s="36" t="n">
        <v>308</v>
      </c>
      <c r="B388" s="37" t="n">
        <f aca="false">1+IF($G$6=$E$6,$F$6,IF(P388&lt;($F$6-$E$6)/($G$6-$E$6),$E$6+SQRT(P388*($G$6-$E$6)*($F$6-$E$6)),$G$6-SQRT((1-P388)*($G$6-$E$6)*($G$6-$F$6))))</f>
        <v>1</v>
      </c>
      <c r="C388" s="37" t="n">
        <f aca="false">1+IF($G$7=$E$7,$F$7,IF(Q388&lt;($F$7-$E$7)/($G$7-$E$7),$E$7+SQRT(Q388*($G$7-$E$7)*($F$7-$E$7)),$G$7-SQRT((1-Q388)*($G$7-$E$7)*($G$7-$F$7))))</f>
        <v>1</v>
      </c>
      <c r="D388" s="37" t="n">
        <f aca="false">1+IF($G$8=$E$8,$F$8,IF(R388&lt;($F$8-$E$8)/($G$8-$E$8),$E$8+SQRT(R388*($G$8-$E$8)*($F$8-$E$8)),$G$8-SQRT((1-R388)*($G$8-$E$8)*($G$8-$F$8))))</f>
        <v>1</v>
      </c>
      <c r="E388" s="37" t="n">
        <f aca="false">1+IF($G$9=$E$9,$F$9,IF(S388&lt;($F$9-$E$9)/($G$9-$E$9),$E$9+SQRT(S388*($G$9-$E$9)*($F$9-$E$9)),$G$9-SQRT((1-S388)*($G$9-$E$9)*($G$9-$F$9))))</f>
        <v>1</v>
      </c>
      <c r="F388" s="37" t="n">
        <f aca="false">1+IF($G$10=$E$10,$F$10,IF(T388&lt;($F$10-$E$10)/($G$10-$E$10),$E$10+SQRT(T388*($G$10-$E$10)*($F$10-$E$10)),$G$10-SQRT((1-T388)*($G$10-$E$10)*($G$10-$F$10))))</f>
        <v>1</v>
      </c>
      <c r="G388" s="38" t="n">
        <f aca="false">IF($G$11=$E$11,$F$11,IF(U388&lt;($F$11-$E$11)/($G$11-$E$11),$E$11+SQRT(U388*($G$11-$E$11)*($F$11-$E$11)),$G$11-SQRT((1-U388)*($G$11-$E$11)*($G$11-$F$11))))</f>
        <v>0</v>
      </c>
      <c r="H388" s="39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0</v>
      </c>
      <c r="I388" s="39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0</v>
      </c>
      <c r="J388" s="39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0</v>
      </c>
      <c r="K388" s="39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0</v>
      </c>
      <c r="L388" s="39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0</v>
      </c>
      <c r="M388" s="39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0</v>
      </c>
      <c r="N388" s="39" t="str">
        <f aca="false">IF(COUNT('Business Case'!B11:G11)=0,"",H388+NPV(G388,I388:M388))</f>
        <v/>
      </c>
      <c r="P388" s="40" t="n">
        <f aca="true">RAND()</f>
        <v>0.377424508159729</v>
      </c>
      <c r="Q388" s="40" t="n">
        <f aca="true">RAND()</f>
        <v>0.623507111789233</v>
      </c>
      <c r="R388" s="40" t="n">
        <f aca="true">RAND()</f>
        <v>0.753161351721035</v>
      </c>
      <c r="S388" s="40" t="n">
        <f aca="true">RAND()</f>
        <v>0.0916089297424412</v>
      </c>
      <c r="T388" s="40" t="n">
        <f aca="true">RAND()</f>
        <v>0.239932197359889</v>
      </c>
      <c r="U388" s="40" t="n">
        <f aca="true">RAND()</f>
        <v>0.48675867433573</v>
      </c>
    </row>
    <row r="389" customFormat="false" ht="15" hidden="false" customHeight="false" outlineLevel="0" collapsed="false">
      <c r="A389" s="36" t="n">
        <v>309</v>
      </c>
      <c r="B389" s="37" t="n">
        <f aca="false">1+IF($G$6=$E$6,$F$6,IF(P389&lt;($F$6-$E$6)/($G$6-$E$6),$E$6+SQRT(P389*($G$6-$E$6)*($F$6-$E$6)),$G$6-SQRT((1-P389)*($G$6-$E$6)*($G$6-$F$6))))</f>
        <v>1</v>
      </c>
      <c r="C389" s="37" t="n">
        <f aca="false">1+IF($G$7=$E$7,$F$7,IF(Q389&lt;($F$7-$E$7)/($G$7-$E$7),$E$7+SQRT(Q389*($G$7-$E$7)*($F$7-$E$7)),$G$7-SQRT((1-Q389)*($G$7-$E$7)*($G$7-$F$7))))</f>
        <v>1</v>
      </c>
      <c r="D389" s="37" t="n">
        <f aca="false">1+IF($G$8=$E$8,$F$8,IF(R389&lt;($F$8-$E$8)/($G$8-$E$8),$E$8+SQRT(R389*($G$8-$E$8)*($F$8-$E$8)),$G$8-SQRT((1-R389)*($G$8-$E$8)*($G$8-$F$8))))</f>
        <v>1</v>
      </c>
      <c r="E389" s="37" t="n">
        <f aca="false">1+IF($G$9=$E$9,$F$9,IF(S389&lt;($F$9-$E$9)/($G$9-$E$9),$E$9+SQRT(S389*($G$9-$E$9)*($F$9-$E$9)),$G$9-SQRT((1-S389)*($G$9-$E$9)*($G$9-$F$9))))</f>
        <v>1</v>
      </c>
      <c r="F389" s="37" t="n">
        <f aca="false">1+IF($G$10=$E$10,$F$10,IF(T389&lt;($F$10-$E$10)/($G$10-$E$10),$E$10+SQRT(T389*($G$10-$E$10)*($F$10-$E$10)),$G$10-SQRT((1-T389)*($G$10-$E$10)*($G$10-$F$10))))</f>
        <v>1</v>
      </c>
      <c r="G389" s="38" t="n">
        <f aca="false">IF($G$11=$E$11,$F$11,IF(U389&lt;($F$11-$E$11)/($G$11-$E$11),$E$11+SQRT(U389*($G$11-$E$11)*($F$11-$E$11)),$G$11-SQRT((1-U389)*($G$11-$E$11)*($G$11-$F$11))))</f>
        <v>0</v>
      </c>
      <c r="H389" s="39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0</v>
      </c>
      <c r="I389" s="39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0</v>
      </c>
      <c r="J389" s="39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0</v>
      </c>
      <c r="K389" s="39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0</v>
      </c>
      <c r="L389" s="39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0</v>
      </c>
      <c r="M389" s="39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0</v>
      </c>
      <c r="N389" s="39" t="str">
        <f aca="false">IF(COUNT('Business Case'!B11:G11)=0,"",H389+NPV(G389,I389:M389))</f>
        <v/>
      </c>
      <c r="P389" s="40" t="n">
        <f aca="true">RAND()</f>
        <v>0.191778414799664</v>
      </c>
      <c r="Q389" s="40" t="n">
        <f aca="true">RAND()</f>
        <v>0.11239575658963</v>
      </c>
      <c r="R389" s="40" t="n">
        <f aca="true">RAND()</f>
        <v>0.4022497019303</v>
      </c>
      <c r="S389" s="40" t="n">
        <f aca="true">RAND()</f>
        <v>0.342179511619052</v>
      </c>
      <c r="T389" s="40" t="n">
        <f aca="true">RAND()</f>
        <v>0.57482228617334</v>
      </c>
      <c r="U389" s="40" t="n">
        <f aca="true">RAND()</f>
        <v>0.860865329214846</v>
      </c>
    </row>
    <row r="390" customFormat="false" ht="15" hidden="false" customHeight="false" outlineLevel="0" collapsed="false">
      <c r="A390" s="36" t="n">
        <v>310</v>
      </c>
      <c r="B390" s="37" t="n">
        <f aca="false">1+IF($G$6=$E$6,$F$6,IF(P390&lt;($F$6-$E$6)/($G$6-$E$6),$E$6+SQRT(P390*($G$6-$E$6)*($F$6-$E$6)),$G$6-SQRT((1-P390)*($G$6-$E$6)*($G$6-$F$6))))</f>
        <v>1</v>
      </c>
      <c r="C390" s="37" t="n">
        <f aca="false">1+IF($G$7=$E$7,$F$7,IF(Q390&lt;($F$7-$E$7)/($G$7-$E$7),$E$7+SQRT(Q390*($G$7-$E$7)*($F$7-$E$7)),$G$7-SQRT((1-Q390)*($G$7-$E$7)*($G$7-$F$7))))</f>
        <v>1</v>
      </c>
      <c r="D390" s="37" t="n">
        <f aca="false">1+IF($G$8=$E$8,$F$8,IF(R390&lt;($F$8-$E$8)/($G$8-$E$8),$E$8+SQRT(R390*($G$8-$E$8)*($F$8-$E$8)),$G$8-SQRT((1-R390)*($G$8-$E$8)*($G$8-$F$8))))</f>
        <v>1</v>
      </c>
      <c r="E390" s="37" t="n">
        <f aca="false">1+IF($G$9=$E$9,$F$9,IF(S390&lt;($F$9-$E$9)/($G$9-$E$9),$E$9+SQRT(S390*($G$9-$E$9)*($F$9-$E$9)),$G$9-SQRT((1-S390)*($G$9-$E$9)*($G$9-$F$9))))</f>
        <v>1</v>
      </c>
      <c r="F390" s="37" t="n">
        <f aca="false">1+IF($G$10=$E$10,$F$10,IF(T390&lt;($F$10-$E$10)/($G$10-$E$10),$E$10+SQRT(T390*($G$10-$E$10)*($F$10-$E$10)),$G$10-SQRT((1-T390)*($G$10-$E$10)*($G$10-$F$10))))</f>
        <v>1</v>
      </c>
      <c r="G390" s="38" t="n">
        <f aca="false">IF($G$11=$E$11,$F$11,IF(U390&lt;($F$11-$E$11)/($G$11-$E$11),$E$11+SQRT(U390*($G$11-$E$11)*($F$11-$E$11)),$G$11-SQRT((1-U390)*($G$11-$E$11)*($G$11-$F$11))))</f>
        <v>0</v>
      </c>
      <c r="H390" s="39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0</v>
      </c>
      <c r="I390" s="39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0</v>
      </c>
      <c r="J390" s="39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0</v>
      </c>
      <c r="K390" s="39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0</v>
      </c>
      <c r="L390" s="39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0</v>
      </c>
      <c r="M390" s="39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0</v>
      </c>
      <c r="N390" s="39" t="str">
        <f aca="false">IF(COUNT('Business Case'!B11:G11)=0,"",H390+NPV(G390,I390:M390))</f>
        <v/>
      </c>
      <c r="P390" s="40" t="n">
        <f aca="true">RAND()</f>
        <v>0.156924729500657</v>
      </c>
      <c r="Q390" s="40" t="n">
        <f aca="true">RAND()</f>
        <v>0.977237319568976</v>
      </c>
      <c r="R390" s="40" t="n">
        <f aca="true">RAND()</f>
        <v>0.471202820831099</v>
      </c>
      <c r="S390" s="40" t="n">
        <f aca="true">RAND()</f>
        <v>0.0685115527389488</v>
      </c>
      <c r="T390" s="40" t="n">
        <f aca="true">RAND()</f>
        <v>0.479248192324966</v>
      </c>
      <c r="U390" s="40" t="n">
        <f aca="true">RAND()</f>
        <v>0.81521233835231</v>
      </c>
    </row>
    <row r="391" customFormat="false" ht="15" hidden="false" customHeight="false" outlineLevel="0" collapsed="false">
      <c r="A391" s="36" t="n">
        <v>311</v>
      </c>
      <c r="B391" s="37" t="n">
        <f aca="false">1+IF($G$6=$E$6,$F$6,IF(P391&lt;($F$6-$E$6)/($G$6-$E$6),$E$6+SQRT(P391*($G$6-$E$6)*($F$6-$E$6)),$G$6-SQRT((1-P391)*($G$6-$E$6)*($G$6-$F$6))))</f>
        <v>1</v>
      </c>
      <c r="C391" s="37" t="n">
        <f aca="false">1+IF($G$7=$E$7,$F$7,IF(Q391&lt;($F$7-$E$7)/($G$7-$E$7),$E$7+SQRT(Q391*($G$7-$E$7)*($F$7-$E$7)),$G$7-SQRT((1-Q391)*($G$7-$E$7)*($G$7-$F$7))))</f>
        <v>1</v>
      </c>
      <c r="D391" s="37" t="n">
        <f aca="false">1+IF($G$8=$E$8,$F$8,IF(R391&lt;($F$8-$E$8)/($G$8-$E$8),$E$8+SQRT(R391*($G$8-$E$8)*($F$8-$E$8)),$G$8-SQRT((1-R391)*($G$8-$E$8)*($G$8-$F$8))))</f>
        <v>1</v>
      </c>
      <c r="E391" s="37" t="n">
        <f aca="false">1+IF($G$9=$E$9,$F$9,IF(S391&lt;($F$9-$E$9)/($G$9-$E$9),$E$9+SQRT(S391*($G$9-$E$9)*($F$9-$E$9)),$G$9-SQRT((1-S391)*($G$9-$E$9)*($G$9-$F$9))))</f>
        <v>1</v>
      </c>
      <c r="F391" s="37" t="n">
        <f aca="false">1+IF($G$10=$E$10,$F$10,IF(T391&lt;($F$10-$E$10)/($G$10-$E$10),$E$10+SQRT(T391*($G$10-$E$10)*($F$10-$E$10)),$G$10-SQRT((1-T391)*($G$10-$E$10)*($G$10-$F$10))))</f>
        <v>1</v>
      </c>
      <c r="G391" s="38" t="n">
        <f aca="false">IF($G$11=$E$11,$F$11,IF(U391&lt;($F$11-$E$11)/($G$11-$E$11),$E$11+SQRT(U391*($G$11-$E$11)*($F$11-$E$11)),$G$11-SQRT((1-U391)*($G$11-$E$11)*($G$11-$F$11))))</f>
        <v>0</v>
      </c>
      <c r="H391" s="39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0</v>
      </c>
      <c r="I391" s="39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0</v>
      </c>
      <c r="J391" s="39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0</v>
      </c>
      <c r="K391" s="39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0</v>
      </c>
      <c r="L391" s="39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0</v>
      </c>
      <c r="M391" s="39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0</v>
      </c>
      <c r="N391" s="39" t="str">
        <f aca="false">IF(COUNT('Business Case'!B11:G11)=0,"",H391+NPV(G391,I391:M391))</f>
        <v/>
      </c>
      <c r="P391" s="40" t="n">
        <f aca="true">RAND()</f>
        <v>0.194972439427038</v>
      </c>
      <c r="Q391" s="40" t="n">
        <f aca="true">RAND()</f>
        <v>0.915477519367447</v>
      </c>
      <c r="R391" s="40" t="n">
        <f aca="true">RAND()</f>
        <v>0.7175854683699</v>
      </c>
      <c r="S391" s="40" t="n">
        <f aca="true">RAND()</f>
        <v>0.299500220267776</v>
      </c>
      <c r="T391" s="40" t="n">
        <f aca="true">RAND()</f>
        <v>0.578767173709598</v>
      </c>
      <c r="U391" s="40" t="n">
        <f aca="true">RAND()</f>
        <v>0.564283248418796</v>
      </c>
    </row>
    <row r="392" customFormat="false" ht="15" hidden="false" customHeight="false" outlineLevel="0" collapsed="false">
      <c r="A392" s="36" t="n">
        <v>312</v>
      </c>
      <c r="B392" s="37" t="n">
        <f aca="false">1+IF($G$6=$E$6,$F$6,IF(P392&lt;($F$6-$E$6)/($G$6-$E$6),$E$6+SQRT(P392*($G$6-$E$6)*($F$6-$E$6)),$G$6-SQRT((1-P392)*($G$6-$E$6)*($G$6-$F$6))))</f>
        <v>1</v>
      </c>
      <c r="C392" s="37" t="n">
        <f aca="false">1+IF($G$7=$E$7,$F$7,IF(Q392&lt;($F$7-$E$7)/($G$7-$E$7),$E$7+SQRT(Q392*($G$7-$E$7)*($F$7-$E$7)),$G$7-SQRT((1-Q392)*($G$7-$E$7)*($G$7-$F$7))))</f>
        <v>1</v>
      </c>
      <c r="D392" s="37" t="n">
        <f aca="false">1+IF($G$8=$E$8,$F$8,IF(R392&lt;($F$8-$E$8)/($G$8-$E$8),$E$8+SQRT(R392*($G$8-$E$8)*($F$8-$E$8)),$G$8-SQRT((1-R392)*($G$8-$E$8)*($G$8-$F$8))))</f>
        <v>1</v>
      </c>
      <c r="E392" s="37" t="n">
        <f aca="false">1+IF($G$9=$E$9,$F$9,IF(S392&lt;($F$9-$E$9)/($G$9-$E$9),$E$9+SQRT(S392*($G$9-$E$9)*($F$9-$E$9)),$G$9-SQRT((1-S392)*($G$9-$E$9)*($G$9-$F$9))))</f>
        <v>1</v>
      </c>
      <c r="F392" s="37" t="n">
        <f aca="false">1+IF($G$10=$E$10,$F$10,IF(T392&lt;($F$10-$E$10)/($G$10-$E$10),$E$10+SQRT(T392*($G$10-$E$10)*($F$10-$E$10)),$G$10-SQRT((1-T392)*($G$10-$E$10)*($G$10-$F$10))))</f>
        <v>1</v>
      </c>
      <c r="G392" s="38" t="n">
        <f aca="false">IF($G$11=$E$11,$F$11,IF(U392&lt;($F$11-$E$11)/($G$11-$E$11),$E$11+SQRT(U392*($G$11-$E$11)*($F$11-$E$11)),$G$11-SQRT((1-U392)*($G$11-$E$11)*($G$11-$F$11))))</f>
        <v>0</v>
      </c>
      <c r="H392" s="39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0</v>
      </c>
      <c r="I392" s="39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0</v>
      </c>
      <c r="J392" s="39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0</v>
      </c>
      <c r="K392" s="39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0</v>
      </c>
      <c r="L392" s="39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0</v>
      </c>
      <c r="M392" s="39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0</v>
      </c>
      <c r="N392" s="39" t="str">
        <f aca="false">IF(COUNT('Business Case'!B11:G11)=0,"",H392+NPV(G392,I392:M392))</f>
        <v/>
      </c>
      <c r="P392" s="40" t="n">
        <f aca="true">RAND()</f>
        <v>0.541499033006544</v>
      </c>
      <c r="Q392" s="40" t="n">
        <f aca="true">RAND()</f>
        <v>0.968163740746551</v>
      </c>
      <c r="R392" s="40" t="n">
        <f aca="true">RAND()</f>
        <v>0.949676694948761</v>
      </c>
      <c r="S392" s="40" t="n">
        <f aca="true">RAND()</f>
        <v>0.957612282109052</v>
      </c>
      <c r="T392" s="40" t="n">
        <f aca="true">RAND()</f>
        <v>0.705182518170858</v>
      </c>
      <c r="U392" s="40" t="n">
        <f aca="true">RAND()</f>
        <v>0.650754820098407</v>
      </c>
    </row>
    <row r="393" customFormat="false" ht="15" hidden="false" customHeight="false" outlineLevel="0" collapsed="false">
      <c r="A393" s="36" t="n">
        <v>313</v>
      </c>
      <c r="B393" s="37" t="n">
        <f aca="false">1+IF($G$6=$E$6,$F$6,IF(P393&lt;($F$6-$E$6)/($G$6-$E$6),$E$6+SQRT(P393*($G$6-$E$6)*($F$6-$E$6)),$G$6-SQRT((1-P393)*($G$6-$E$6)*($G$6-$F$6))))</f>
        <v>1</v>
      </c>
      <c r="C393" s="37" t="n">
        <f aca="false">1+IF($G$7=$E$7,$F$7,IF(Q393&lt;($F$7-$E$7)/($G$7-$E$7),$E$7+SQRT(Q393*($G$7-$E$7)*($F$7-$E$7)),$G$7-SQRT((1-Q393)*($G$7-$E$7)*($G$7-$F$7))))</f>
        <v>1</v>
      </c>
      <c r="D393" s="37" t="n">
        <f aca="false">1+IF($G$8=$E$8,$F$8,IF(R393&lt;($F$8-$E$8)/($G$8-$E$8),$E$8+SQRT(R393*($G$8-$E$8)*($F$8-$E$8)),$G$8-SQRT((1-R393)*($G$8-$E$8)*($G$8-$F$8))))</f>
        <v>1</v>
      </c>
      <c r="E393" s="37" t="n">
        <f aca="false">1+IF($G$9=$E$9,$F$9,IF(S393&lt;($F$9-$E$9)/($G$9-$E$9),$E$9+SQRT(S393*($G$9-$E$9)*($F$9-$E$9)),$G$9-SQRT((1-S393)*($G$9-$E$9)*($G$9-$F$9))))</f>
        <v>1</v>
      </c>
      <c r="F393" s="37" t="n">
        <f aca="false">1+IF($G$10=$E$10,$F$10,IF(T393&lt;($F$10-$E$10)/($G$10-$E$10),$E$10+SQRT(T393*($G$10-$E$10)*($F$10-$E$10)),$G$10-SQRT((1-T393)*($G$10-$E$10)*($G$10-$F$10))))</f>
        <v>1</v>
      </c>
      <c r="G393" s="38" t="n">
        <f aca="false">IF($G$11=$E$11,$F$11,IF(U393&lt;($F$11-$E$11)/($G$11-$E$11),$E$11+SQRT(U393*($G$11-$E$11)*($F$11-$E$11)),$G$11-SQRT((1-U393)*($G$11-$E$11)*($G$11-$F$11))))</f>
        <v>0</v>
      </c>
      <c r="H393" s="39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0</v>
      </c>
      <c r="I393" s="39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0</v>
      </c>
      <c r="J393" s="39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0</v>
      </c>
      <c r="K393" s="39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0</v>
      </c>
      <c r="L393" s="39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0</v>
      </c>
      <c r="M393" s="39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0</v>
      </c>
      <c r="N393" s="39" t="str">
        <f aca="false">IF(COUNT('Business Case'!B11:G11)=0,"",H393+NPV(G393,I393:M393))</f>
        <v/>
      </c>
      <c r="P393" s="40" t="n">
        <f aca="true">RAND()</f>
        <v>0.42959205717599</v>
      </c>
      <c r="Q393" s="40" t="n">
        <f aca="true">RAND()</f>
        <v>0.75932112875475</v>
      </c>
      <c r="R393" s="40" t="n">
        <f aca="true">RAND()</f>
        <v>0.0320169335005745</v>
      </c>
      <c r="S393" s="40" t="n">
        <f aca="true">RAND()</f>
        <v>0.503331832063478</v>
      </c>
      <c r="T393" s="40" t="n">
        <f aca="true">RAND()</f>
        <v>0.190734076594358</v>
      </c>
      <c r="U393" s="40" t="n">
        <f aca="true">RAND()</f>
        <v>0.414559765116219</v>
      </c>
    </row>
    <row r="394" customFormat="false" ht="15" hidden="false" customHeight="false" outlineLevel="0" collapsed="false">
      <c r="A394" s="36" t="n">
        <v>314</v>
      </c>
      <c r="B394" s="37" t="n">
        <f aca="false">1+IF($G$6=$E$6,$F$6,IF(P394&lt;($F$6-$E$6)/($G$6-$E$6),$E$6+SQRT(P394*($G$6-$E$6)*($F$6-$E$6)),$G$6-SQRT((1-P394)*($G$6-$E$6)*($G$6-$F$6))))</f>
        <v>1</v>
      </c>
      <c r="C394" s="37" t="n">
        <f aca="false">1+IF($G$7=$E$7,$F$7,IF(Q394&lt;($F$7-$E$7)/($G$7-$E$7),$E$7+SQRT(Q394*($G$7-$E$7)*($F$7-$E$7)),$G$7-SQRT((1-Q394)*($G$7-$E$7)*($G$7-$F$7))))</f>
        <v>1</v>
      </c>
      <c r="D394" s="37" t="n">
        <f aca="false">1+IF($G$8=$E$8,$F$8,IF(R394&lt;($F$8-$E$8)/($G$8-$E$8),$E$8+SQRT(R394*($G$8-$E$8)*($F$8-$E$8)),$G$8-SQRT((1-R394)*($G$8-$E$8)*($G$8-$F$8))))</f>
        <v>1</v>
      </c>
      <c r="E394" s="37" t="n">
        <f aca="false">1+IF($G$9=$E$9,$F$9,IF(S394&lt;($F$9-$E$9)/($G$9-$E$9),$E$9+SQRT(S394*($G$9-$E$9)*($F$9-$E$9)),$G$9-SQRT((1-S394)*($G$9-$E$9)*($G$9-$F$9))))</f>
        <v>1</v>
      </c>
      <c r="F394" s="37" t="n">
        <f aca="false">1+IF($G$10=$E$10,$F$10,IF(T394&lt;($F$10-$E$10)/($G$10-$E$10),$E$10+SQRT(T394*($G$10-$E$10)*($F$10-$E$10)),$G$10-SQRT((1-T394)*($G$10-$E$10)*($G$10-$F$10))))</f>
        <v>1</v>
      </c>
      <c r="G394" s="38" t="n">
        <f aca="false">IF($G$11=$E$11,$F$11,IF(U394&lt;($F$11-$E$11)/($G$11-$E$11),$E$11+SQRT(U394*($G$11-$E$11)*($F$11-$E$11)),$G$11-SQRT((1-U394)*($G$11-$E$11)*($G$11-$F$11))))</f>
        <v>0</v>
      </c>
      <c r="H394" s="39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0</v>
      </c>
      <c r="I394" s="39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0</v>
      </c>
      <c r="J394" s="39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0</v>
      </c>
      <c r="K394" s="39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0</v>
      </c>
      <c r="L394" s="39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0</v>
      </c>
      <c r="M394" s="39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0</v>
      </c>
      <c r="N394" s="39" t="str">
        <f aca="false">IF(COUNT('Business Case'!B11:G11)=0,"",H394+NPV(G394,I394:M394))</f>
        <v/>
      </c>
      <c r="P394" s="40" t="n">
        <f aca="true">RAND()</f>
        <v>0.52553188041741</v>
      </c>
      <c r="Q394" s="40" t="n">
        <f aca="true">RAND()</f>
        <v>0.335161409977941</v>
      </c>
      <c r="R394" s="40" t="n">
        <f aca="true">RAND()</f>
        <v>0.398526624285114</v>
      </c>
      <c r="S394" s="40" t="n">
        <f aca="true">RAND()</f>
        <v>0.00387792039222531</v>
      </c>
      <c r="T394" s="40" t="n">
        <f aca="true">RAND()</f>
        <v>0.375646745730053</v>
      </c>
      <c r="U394" s="40" t="n">
        <f aca="true">RAND()</f>
        <v>0.00731779167963183</v>
      </c>
    </row>
    <row r="395" customFormat="false" ht="15" hidden="false" customHeight="false" outlineLevel="0" collapsed="false">
      <c r="A395" s="36" t="n">
        <v>315</v>
      </c>
      <c r="B395" s="37" t="n">
        <f aca="false">1+IF($G$6=$E$6,$F$6,IF(P395&lt;($F$6-$E$6)/($G$6-$E$6),$E$6+SQRT(P395*($G$6-$E$6)*($F$6-$E$6)),$G$6-SQRT((1-P395)*($G$6-$E$6)*($G$6-$F$6))))</f>
        <v>1</v>
      </c>
      <c r="C395" s="37" t="n">
        <f aca="false">1+IF($G$7=$E$7,$F$7,IF(Q395&lt;($F$7-$E$7)/($G$7-$E$7),$E$7+SQRT(Q395*($G$7-$E$7)*($F$7-$E$7)),$G$7-SQRT((1-Q395)*($G$7-$E$7)*($G$7-$F$7))))</f>
        <v>1</v>
      </c>
      <c r="D395" s="37" t="n">
        <f aca="false">1+IF($G$8=$E$8,$F$8,IF(R395&lt;($F$8-$E$8)/($G$8-$E$8),$E$8+SQRT(R395*($G$8-$E$8)*($F$8-$E$8)),$G$8-SQRT((1-R395)*($G$8-$E$8)*($G$8-$F$8))))</f>
        <v>1</v>
      </c>
      <c r="E395" s="37" t="n">
        <f aca="false">1+IF($G$9=$E$9,$F$9,IF(S395&lt;($F$9-$E$9)/($G$9-$E$9),$E$9+SQRT(S395*($G$9-$E$9)*($F$9-$E$9)),$G$9-SQRT((1-S395)*($G$9-$E$9)*($G$9-$F$9))))</f>
        <v>1</v>
      </c>
      <c r="F395" s="37" t="n">
        <f aca="false">1+IF($G$10=$E$10,$F$10,IF(T395&lt;($F$10-$E$10)/($G$10-$E$10),$E$10+SQRT(T395*($G$10-$E$10)*($F$10-$E$10)),$G$10-SQRT((1-T395)*($G$10-$E$10)*($G$10-$F$10))))</f>
        <v>1</v>
      </c>
      <c r="G395" s="38" t="n">
        <f aca="false">IF($G$11=$E$11,$F$11,IF(U395&lt;($F$11-$E$11)/($G$11-$E$11),$E$11+SQRT(U395*($G$11-$E$11)*($F$11-$E$11)),$G$11-SQRT((1-U395)*($G$11-$E$11)*($G$11-$F$11))))</f>
        <v>0</v>
      </c>
      <c r="H395" s="39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0</v>
      </c>
      <c r="I395" s="39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0</v>
      </c>
      <c r="J395" s="39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0</v>
      </c>
      <c r="K395" s="39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0</v>
      </c>
      <c r="L395" s="39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0</v>
      </c>
      <c r="M395" s="39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0</v>
      </c>
      <c r="N395" s="39" t="str">
        <f aca="false">IF(COUNT('Business Case'!B11:G11)=0,"",H395+NPV(G395,I395:M395))</f>
        <v/>
      </c>
      <c r="P395" s="40" t="n">
        <f aca="true">RAND()</f>
        <v>0.113580675753227</v>
      </c>
      <c r="Q395" s="40" t="n">
        <f aca="true">RAND()</f>
        <v>0.80569641726191</v>
      </c>
      <c r="R395" s="40" t="n">
        <f aca="true">RAND()</f>
        <v>0.269574014464936</v>
      </c>
      <c r="S395" s="40" t="n">
        <f aca="true">RAND()</f>
        <v>0.409337516048905</v>
      </c>
      <c r="T395" s="40" t="n">
        <f aca="true">RAND()</f>
        <v>0.759855298118478</v>
      </c>
      <c r="U395" s="40" t="n">
        <f aca="true">RAND()</f>
        <v>0.188725324099204</v>
      </c>
    </row>
    <row r="396" customFormat="false" ht="15" hidden="false" customHeight="false" outlineLevel="0" collapsed="false">
      <c r="A396" s="36" t="n">
        <v>316</v>
      </c>
      <c r="B396" s="37" t="n">
        <f aca="false">1+IF($G$6=$E$6,$F$6,IF(P396&lt;($F$6-$E$6)/($G$6-$E$6),$E$6+SQRT(P396*($G$6-$E$6)*($F$6-$E$6)),$G$6-SQRT((1-P396)*($G$6-$E$6)*($G$6-$F$6))))</f>
        <v>1</v>
      </c>
      <c r="C396" s="37" t="n">
        <f aca="false">1+IF($G$7=$E$7,$F$7,IF(Q396&lt;($F$7-$E$7)/($G$7-$E$7),$E$7+SQRT(Q396*($G$7-$E$7)*($F$7-$E$7)),$G$7-SQRT((1-Q396)*($G$7-$E$7)*($G$7-$F$7))))</f>
        <v>1</v>
      </c>
      <c r="D396" s="37" t="n">
        <f aca="false">1+IF($G$8=$E$8,$F$8,IF(R396&lt;($F$8-$E$8)/($G$8-$E$8),$E$8+SQRT(R396*($G$8-$E$8)*($F$8-$E$8)),$G$8-SQRT((1-R396)*($G$8-$E$8)*($G$8-$F$8))))</f>
        <v>1</v>
      </c>
      <c r="E396" s="37" t="n">
        <f aca="false">1+IF($G$9=$E$9,$F$9,IF(S396&lt;($F$9-$E$9)/($G$9-$E$9),$E$9+SQRT(S396*($G$9-$E$9)*($F$9-$E$9)),$G$9-SQRT((1-S396)*($G$9-$E$9)*($G$9-$F$9))))</f>
        <v>1</v>
      </c>
      <c r="F396" s="37" t="n">
        <f aca="false">1+IF($G$10=$E$10,$F$10,IF(T396&lt;($F$10-$E$10)/($G$10-$E$10),$E$10+SQRT(T396*($G$10-$E$10)*($F$10-$E$10)),$G$10-SQRT((1-T396)*($G$10-$E$10)*($G$10-$F$10))))</f>
        <v>1</v>
      </c>
      <c r="G396" s="38" t="n">
        <f aca="false">IF($G$11=$E$11,$F$11,IF(U396&lt;($F$11-$E$11)/($G$11-$E$11),$E$11+SQRT(U396*($G$11-$E$11)*($F$11-$E$11)),$G$11-SQRT((1-U396)*($G$11-$E$11)*($G$11-$F$11))))</f>
        <v>0</v>
      </c>
      <c r="H396" s="39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0</v>
      </c>
      <c r="I396" s="39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0</v>
      </c>
      <c r="J396" s="39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0</v>
      </c>
      <c r="K396" s="39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0</v>
      </c>
      <c r="L396" s="39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0</v>
      </c>
      <c r="M396" s="39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0</v>
      </c>
      <c r="N396" s="39" t="str">
        <f aca="false">IF(COUNT('Business Case'!B11:G11)=0,"",H396+NPV(G396,I396:M396))</f>
        <v/>
      </c>
      <c r="P396" s="40" t="n">
        <f aca="true">RAND()</f>
        <v>0.878371644924948</v>
      </c>
      <c r="Q396" s="40" t="n">
        <f aca="true">RAND()</f>
        <v>0.43770276567618</v>
      </c>
      <c r="R396" s="40" t="n">
        <f aca="true">RAND()</f>
        <v>0.106059842144949</v>
      </c>
      <c r="S396" s="40" t="n">
        <f aca="true">RAND()</f>
        <v>0.680007001675149</v>
      </c>
      <c r="T396" s="40" t="n">
        <f aca="true">RAND()</f>
        <v>0.567566806710566</v>
      </c>
      <c r="U396" s="40" t="n">
        <f aca="true">RAND()</f>
        <v>0.100448687275834</v>
      </c>
    </row>
    <row r="397" customFormat="false" ht="15" hidden="false" customHeight="false" outlineLevel="0" collapsed="false">
      <c r="A397" s="36" t="n">
        <v>317</v>
      </c>
      <c r="B397" s="37" t="n">
        <f aca="false">1+IF($G$6=$E$6,$F$6,IF(P397&lt;($F$6-$E$6)/($G$6-$E$6),$E$6+SQRT(P397*($G$6-$E$6)*($F$6-$E$6)),$G$6-SQRT((1-P397)*($G$6-$E$6)*($G$6-$F$6))))</f>
        <v>1</v>
      </c>
      <c r="C397" s="37" t="n">
        <f aca="false">1+IF($G$7=$E$7,$F$7,IF(Q397&lt;($F$7-$E$7)/($G$7-$E$7),$E$7+SQRT(Q397*($G$7-$E$7)*($F$7-$E$7)),$G$7-SQRT((1-Q397)*($G$7-$E$7)*($G$7-$F$7))))</f>
        <v>1</v>
      </c>
      <c r="D397" s="37" t="n">
        <f aca="false">1+IF($G$8=$E$8,$F$8,IF(R397&lt;($F$8-$E$8)/($G$8-$E$8),$E$8+SQRT(R397*($G$8-$E$8)*($F$8-$E$8)),$G$8-SQRT((1-R397)*($G$8-$E$8)*($G$8-$F$8))))</f>
        <v>1</v>
      </c>
      <c r="E397" s="37" t="n">
        <f aca="false">1+IF($G$9=$E$9,$F$9,IF(S397&lt;($F$9-$E$9)/($G$9-$E$9),$E$9+SQRT(S397*($G$9-$E$9)*($F$9-$E$9)),$G$9-SQRT((1-S397)*($G$9-$E$9)*($G$9-$F$9))))</f>
        <v>1</v>
      </c>
      <c r="F397" s="37" t="n">
        <f aca="false">1+IF($G$10=$E$10,$F$10,IF(T397&lt;($F$10-$E$10)/($G$10-$E$10),$E$10+SQRT(T397*($G$10-$E$10)*($F$10-$E$10)),$G$10-SQRT((1-T397)*($G$10-$E$10)*($G$10-$F$10))))</f>
        <v>1</v>
      </c>
      <c r="G397" s="38" t="n">
        <f aca="false">IF($G$11=$E$11,$F$11,IF(U397&lt;($F$11-$E$11)/($G$11-$E$11),$E$11+SQRT(U397*($G$11-$E$11)*($F$11-$E$11)),$G$11-SQRT((1-U397)*($G$11-$E$11)*($G$11-$F$11))))</f>
        <v>0</v>
      </c>
      <c r="H397" s="39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0</v>
      </c>
      <c r="I397" s="39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0</v>
      </c>
      <c r="J397" s="39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0</v>
      </c>
      <c r="K397" s="39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0</v>
      </c>
      <c r="L397" s="39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0</v>
      </c>
      <c r="M397" s="39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0</v>
      </c>
      <c r="N397" s="39" t="str">
        <f aca="false">IF(COUNT('Business Case'!B11:G11)=0,"",H397+NPV(G397,I397:M397))</f>
        <v/>
      </c>
      <c r="P397" s="40" t="n">
        <f aca="true">RAND()</f>
        <v>0.731308236758878</v>
      </c>
      <c r="Q397" s="40" t="n">
        <f aca="true">RAND()</f>
        <v>0.289908137832798</v>
      </c>
      <c r="R397" s="40" t="n">
        <f aca="true">RAND()</f>
        <v>0.936695867004926</v>
      </c>
      <c r="S397" s="40" t="n">
        <f aca="true">RAND()</f>
        <v>0.0666204503023694</v>
      </c>
      <c r="T397" s="40" t="n">
        <f aca="true">RAND()</f>
        <v>0.956784833823858</v>
      </c>
      <c r="U397" s="40" t="n">
        <f aca="true">RAND()</f>
        <v>0.782779993331052</v>
      </c>
    </row>
    <row r="398" customFormat="false" ht="15" hidden="false" customHeight="false" outlineLevel="0" collapsed="false">
      <c r="A398" s="36" t="n">
        <v>318</v>
      </c>
      <c r="B398" s="37" t="n">
        <f aca="false">1+IF($G$6=$E$6,$F$6,IF(P398&lt;($F$6-$E$6)/($G$6-$E$6),$E$6+SQRT(P398*($G$6-$E$6)*($F$6-$E$6)),$G$6-SQRT((1-P398)*($G$6-$E$6)*($G$6-$F$6))))</f>
        <v>1</v>
      </c>
      <c r="C398" s="37" t="n">
        <f aca="false">1+IF($G$7=$E$7,$F$7,IF(Q398&lt;($F$7-$E$7)/($G$7-$E$7),$E$7+SQRT(Q398*($G$7-$E$7)*($F$7-$E$7)),$G$7-SQRT((1-Q398)*($G$7-$E$7)*($G$7-$F$7))))</f>
        <v>1</v>
      </c>
      <c r="D398" s="37" t="n">
        <f aca="false">1+IF($G$8=$E$8,$F$8,IF(R398&lt;($F$8-$E$8)/($G$8-$E$8),$E$8+SQRT(R398*($G$8-$E$8)*($F$8-$E$8)),$G$8-SQRT((1-R398)*($G$8-$E$8)*($G$8-$F$8))))</f>
        <v>1</v>
      </c>
      <c r="E398" s="37" t="n">
        <f aca="false">1+IF($G$9=$E$9,$F$9,IF(S398&lt;($F$9-$E$9)/($G$9-$E$9),$E$9+SQRT(S398*($G$9-$E$9)*($F$9-$E$9)),$G$9-SQRT((1-S398)*($G$9-$E$9)*($G$9-$F$9))))</f>
        <v>1</v>
      </c>
      <c r="F398" s="37" t="n">
        <f aca="false">1+IF($G$10=$E$10,$F$10,IF(T398&lt;($F$10-$E$10)/($G$10-$E$10),$E$10+SQRT(T398*($G$10-$E$10)*($F$10-$E$10)),$G$10-SQRT((1-T398)*($G$10-$E$10)*($G$10-$F$10))))</f>
        <v>1</v>
      </c>
      <c r="G398" s="38" t="n">
        <f aca="false">IF($G$11=$E$11,$F$11,IF(U398&lt;($F$11-$E$11)/($G$11-$E$11),$E$11+SQRT(U398*($G$11-$E$11)*($F$11-$E$11)),$G$11-SQRT((1-U398)*($G$11-$E$11)*($G$11-$F$11))))</f>
        <v>0</v>
      </c>
      <c r="H398" s="39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0</v>
      </c>
      <c r="I398" s="39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0</v>
      </c>
      <c r="J398" s="39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0</v>
      </c>
      <c r="K398" s="39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0</v>
      </c>
      <c r="L398" s="39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0</v>
      </c>
      <c r="M398" s="39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0</v>
      </c>
      <c r="N398" s="39" t="str">
        <f aca="false">IF(COUNT('Business Case'!B11:G11)=0,"",H398+NPV(G398,I398:M398))</f>
        <v/>
      </c>
      <c r="P398" s="40" t="n">
        <f aca="true">RAND()</f>
        <v>0.865480123589362</v>
      </c>
      <c r="Q398" s="40" t="n">
        <f aca="true">RAND()</f>
        <v>0.305290065769887</v>
      </c>
      <c r="R398" s="40" t="n">
        <f aca="true">RAND()</f>
        <v>0.273084011326509</v>
      </c>
      <c r="S398" s="40" t="n">
        <f aca="true">RAND()</f>
        <v>0.278836946485247</v>
      </c>
      <c r="T398" s="40" t="n">
        <f aca="true">RAND()</f>
        <v>0.599868188669723</v>
      </c>
      <c r="U398" s="40" t="n">
        <f aca="true">RAND()</f>
        <v>0.911044088946774</v>
      </c>
    </row>
    <row r="399" customFormat="false" ht="15" hidden="false" customHeight="false" outlineLevel="0" collapsed="false">
      <c r="A399" s="36" t="n">
        <v>319</v>
      </c>
      <c r="B399" s="37" t="n">
        <f aca="false">1+IF($G$6=$E$6,$F$6,IF(P399&lt;($F$6-$E$6)/($G$6-$E$6),$E$6+SQRT(P399*($G$6-$E$6)*($F$6-$E$6)),$G$6-SQRT((1-P399)*($G$6-$E$6)*($G$6-$F$6))))</f>
        <v>1</v>
      </c>
      <c r="C399" s="37" t="n">
        <f aca="false">1+IF($G$7=$E$7,$F$7,IF(Q399&lt;($F$7-$E$7)/($G$7-$E$7),$E$7+SQRT(Q399*($G$7-$E$7)*($F$7-$E$7)),$G$7-SQRT((1-Q399)*($G$7-$E$7)*($G$7-$F$7))))</f>
        <v>1</v>
      </c>
      <c r="D399" s="37" t="n">
        <f aca="false">1+IF($G$8=$E$8,$F$8,IF(R399&lt;($F$8-$E$8)/($G$8-$E$8),$E$8+SQRT(R399*($G$8-$E$8)*($F$8-$E$8)),$G$8-SQRT((1-R399)*($G$8-$E$8)*($G$8-$F$8))))</f>
        <v>1</v>
      </c>
      <c r="E399" s="37" t="n">
        <f aca="false">1+IF($G$9=$E$9,$F$9,IF(S399&lt;($F$9-$E$9)/($G$9-$E$9),$E$9+SQRT(S399*($G$9-$E$9)*($F$9-$E$9)),$G$9-SQRT((1-S399)*($G$9-$E$9)*($G$9-$F$9))))</f>
        <v>1</v>
      </c>
      <c r="F399" s="37" t="n">
        <f aca="false">1+IF($G$10=$E$10,$F$10,IF(T399&lt;($F$10-$E$10)/($G$10-$E$10),$E$10+SQRT(T399*($G$10-$E$10)*($F$10-$E$10)),$G$10-SQRT((1-T399)*($G$10-$E$10)*($G$10-$F$10))))</f>
        <v>1</v>
      </c>
      <c r="G399" s="38" t="n">
        <f aca="false">IF($G$11=$E$11,$F$11,IF(U399&lt;($F$11-$E$11)/($G$11-$E$11),$E$11+SQRT(U399*($G$11-$E$11)*($F$11-$E$11)),$G$11-SQRT((1-U399)*($G$11-$E$11)*($G$11-$F$11))))</f>
        <v>0</v>
      </c>
      <c r="H399" s="39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0</v>
      </c>
      <c r="I399" s="39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0</v>
      </c>
      <c r="J399" s="39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0</v>
      </c>
      <c r="K399" s="39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0</v>
      </c>
      <c r="L399" s="39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0</v>
      </c>
      <c r="M399" s="39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0</v>
      </c>
      <c r="N399" s="39" t="str">
        <f aca="false">IF(COUNT('Business Case'!B11:G11)=0,"",H399+NPV(G399,I399:M399))</f>
        <v/>
      </c>
      <c r="P399" s="40" t="n">
        <f aca="true">RAND()</f>
        <v>0.305418218988378</v>
      </c>
      <c r="Q399" s="40" t="n">
        <f aca="true">RAND()</f>
        <v>0.586659278440133</v>
      </c>
      <c r="R399" s="40" t="n">
        <f aca="true">RAND()</f>
        <v>0.245728099188246</v>
      </c>
      <c r="S399" s="40" t="n">
        <f aca="true">RAND()</f>
        <v>0.403063315609575</v>
      </c>
      <c r="T399" s="40" t="n">
        <f aca="true">RAND()</f>
        <v>0.303635014243813</v>
      </c>
      <c r="U399" s="40" t="n">
        <f aca="true">RAND()</f>
        <v>0.488478716997957</v>
      </c>
    </row>
    <row r="400" customFormat="false" ht="15" hidden="false" customHeight="false" outlineLevel="0" collapsed="false">
      <c r="A400" s="36" t="n">
        <v>320</v>
      </c>
      <c r="B400" s="37" t="n">
        <f aca="false">1+IF($G$6=$E$6,$F$6,IF(P400&lt;($F$6-$E$6)/($G$6-$E$6),$E$6+SQRT(P400*($G$6-$E$6)*($F$6-$E$6)),$G$6-SQRT((1-P400)*($G$6-$E$6)*($G$6-$F$6))))</f>
        <v>1</v>
      </c>
      <c r="C400" s="37" t="n">
        <f aca="false">1+IF($G$7=$E$7,$F$7,IF(Q400&lt;($F$7-$E$7)/($G$7-$E$7),$E$7+SQRT(Q400*($G$7-$E$7)*($F$7-$E$7)),$G$7-SQRT((1-Q400)*($G$7-$E$7)*($G$7-$F$7))))</f>
        <v>1</v>
      </c>
      <c r="D400" s="37" t="n">
        <f aca="false">1+IF($G$8=$E$8,$F$8,IF(R400&lt;($F$8-$E$8)/($G$8-$E$8),$E$8+SQRT(R400*($G$8-$E$8)*($F$8-$E$8)),$G$8-SQRT((1-R400)*($G$8-$E$8)*($G$8-$F$8))))</f>
        <v>1</v>
      </c>
      <c r="E400" s="37" t="n">
        <f aca="false">1+IF($G$9=$E$9,$F$9,IF(S400&lt;($F$9-$E$9)/($G$9-$E$9),$E$9+SQRT(S400*($G$9-$E$9)*($F$9-$E$9)),$G$9-SQRT((1-S400)*($G$9-$E$9)*($G$9-$F$9))))</f>
        <v>1</v>
      </c>
      <c r="F400" s="37" t="n">
        <f aca="false">1+IF($G$10=$E$10,$F$10,IF(T400&lt;($F$10-$E$10)/($G$10-$E$10),$E$10+SQRT(T400*($G$10-$E$10)*($F$10-$E$10)),$G$10-SQRT((1-T400)*($G$10-$E$10)*($G$10-$F$10))))</f>
        <v>1</v>
      </c>
      <c r="G400" s="38" t="n">
        <f aca="false">IF($G$11=$E$11,$F$11,IF(U400&lt;($F$11-$E$11)/($G$11-$E$11),$E$11+SQRT(U400*($G$11-$E$11)*($F$11-$E$11)),$G$11-SQRT((1-U400)*($G$11-$E$11)*($G$11-$F$11))))</f>
        <v>0</v>
      </c>
      <c r="H400" s="39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0</v>
      </c>
      <c r="I400" s="39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0</v>
      </c>
      <c r="J400" s="39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0</v>
      </c>
      <c r="K400" s="39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0</v>
      </c>
      <c r="L400" s="39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0</v>
      </c>
      <c r="M400" s="39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0</v>
      </c>
      <c r="N400" s="39" t="str">
        <f aca="false">IF(COUNT('Business Case'!B11:G11)=0,"",H400+NPV(G400,I400:M400))</f>
        <v/>
      </c>
      <c r="P400" s="40" t="n">
        <f aca="true">RAND()</f>
        <v>0.795432554193156</v>
      </c>
      <c r="Q400" s="40" t="n">
        <f aca="true">RAND()</f>
        <v>0.92802477066655</v>
      </c>
      <c r="R400" s="40" t="n">
        <f aca="true">RAND()</f>
        <v>0.97168034175562</v>
      </c>
      <c r="S400" s="40" t="n">
        <f aca="true">RAND()</f>
        <v>0.626227079964295</v>
      </c>
      <c r="T400" s="40" t="n">
        <f aca="true">RAND()</f>
        <v>0.948572089569454</v>
      </c>
      <c r="U400" s="40" t="n">
        <f aca="true">RAND()</f>
        <v>0.390423261527841</v>
      </c>
    </row>
    <row r="401" customFormat="false" ht="15" hidden="false" customHeight="false" outlineLevel="0" collapsed="false">
      <c r="A401" s="36" t="n">
        <v>321</v>
      </c>
      <c r="B401" s="37" t="n">
        <f aca="false">1+IF($G$6=$E$6,$F$6,IF(P401&lt;($F$6-$E$6)/($G$6-$E$6),$E$6+SQRT(P401*($G$6-$E$6)*($F$6-$E$6)),$G$6-SQRT((1-P401)*($G$6-$E$6)*($G$6-$F$6))))</f>
        <v>1</v>
      </c>
      <c r="C401" s="37" t="n">
        <f aca="false">1+IF($G$7=$E$7,$F$7,IF(Q401&lt;($F$7-$E$7)/($G$7-$E$7),$E$7+SQRT(Q401*($G$7-$E$7)*($F$7-$E$7)),$G$7-SQRT((1-Q401)*($G$7-$E$7)*($G$7-$F$7))))</f>
        <v>1</v>
      </c>
      <c r="D401" s="37" t="n">
        <f aca="false">1+IF($G$8=$E$8,$F$8,IF(R401&lt;($F$8-$E$8)/($G$8-$E$8),$E$8+SQRT(R401*($G$8-$E$8)*($F$8-$E$8)),$G$8-SQRT((1-R401)*($G$8-$E$8)*($G$8-$F$8))))</f>
        <v>1</v>
      </c>
      <c r="E401" s="37" t="n">
        <f aca="false">1+IF($G$9=$E$9,$F$9,IF(S401&lt;($F$9-$E$9)/($G$9-$E$9),$E$9+SQRT(S401*($G$9-$E$9)*($F$9-$E$9)),$G$9-SQRT((1-S401)*($G$9-$E$9)*($G$9-$F$9))))</f>
        <v>1</v>
      </c>
      <c r="F401" s="37" t="n">
        <f aca="false">1+IF($G$10=$E$10,$F$10,IF(T401&lt;($F$10-$E$10)/($G$10-$E$10),$E$10+SQRT(T401*($G$10-$E$10)*($F$10-$E$10)),$G$10-SQRT((1-T401)*($G$10-$E$10)*($G$10-$F$10))))</f>
        <v>1</v>
      </c>
      <c r="G401" s="38" t="n">
        <f aca="false">IF($G$11=$E$11,$F$11,IF(U401&lt;($F$11-$E$11)/($G$11-$E$11),$E$11+SQRT(U401*($G$11-$E$11)*($F$11-$E$11)),$G$11-SQRT((1-U401)*($G$11-$E$11)*($G$11-$F$11))))</f>
        <v>0</v>
      </c>
      <c r="H401" s="39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0</v>
      </c>
      <c r="I401" s="39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0</v>
      </c>
      <c r="J401" s="39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0</v>
      </c>
      <c r="K401" s="39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0</v>
      </c>
      <c r="L401" s="39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0</v>
      </c>
      <c r="M401" s="39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0</v>
      </c>
      <c r="N401" s="39" t="str">
        <f aca="false">IF(COUNT('Business Case'!B11:G11)=0,"",H401+NPV(G401,I401:M401))</f>
        <v/>
      </c>
      <c r="P401" s="40" t="n">
        <f aca="true">RAND()</f>
        <v>0.288586832925861</v>
      </c>
      <c r="Q401" s="40" t="n">
        <f aca="true">RAND()</f>
        <v>0.725737855763161</v>
      </c>
      <c r="R401" s="40" t="n">
        <f aca="true">RAND()</f>
        <v>0.692311773506241</v>
      </c>
      <c r="S401" s="40" t="n">
        <f aca="true">RAND()</f>
        <v>0.795972940183585</v>
      </c>
      <c r="T401" s="40" t="n">
        <f aca="true">RAND()</f>
        <v>0.928232991542772</v>
      </c>
      <c r="U401" s="40" t="n">
        <f aca="true">RAND()</f>
        <v>0.961278704135456</v>
      </c>
    </row>
    <row r="402" customFormat="false" ht="15" hidden="false" customHeight="false" outlineLevel="0" collapsed="false">
      <c r="A402" s="36" t="n">
        <v>322</v>
      </c>
      <c r="B402" s="37" t="n">
        <f aca="false">1+IF($G$6=$E$6,$F$6,IF(P402&lt;($F$6-$E$6)/($G$6-$E$6),$E$6+SQRT(P402*($G$6-$E$6)*($F$6-$E$6)),$G$6-SQRT((1-P402)*($G$6-$E$6)*($G$6-$F$6))))</f>
        <v>1</v>
      </c>
      <c r="C402" s="37" t="n">
        <f aca="false">1+IF($G$7=$E$7,$F$7,IF(Q402&lt;($F$7-$E$7)/($G$7-$E$7),$E$7+SQRT(Q402*($G$7-$E$7)*($F$7-$E$7)),$G$7-SQRT((1-Q402)*($G$7-$E$7)*($G$7-$F$7))))</f>
        <v>1</v>
      </c>
      <c r="D402" s="37" t="n">
        <f aca="false">1+IF($G$8=$E$8,$F$8,IF(R402&lt;($F$8-$E$8)/($G$8-$E$8),$E$8+SQRT(R402*($G$8-$E$8)*($F$8-$E$8)),$G$8-SQRT((1-R402)*($G$8-$E$8)*($G$8-$F$8))))</f>
        <v>1</v>
      </c>
      <c r="E402" s="37" t="n">
        <f aca="false">1+IF($G$9=$E$9,$F$9,IF(S402&lt;($F$9-$E$9)/($G$9-$E$9),$E$9+SQRT(S402*($G$9-$E$9)*($F$9-$E$9)),$G$9-SQRT((1-S402)*($G$9-$E$9)*($G$9-$F$9))))</f>
        <v>1</v>
      </c>
      <c r="F402" s="37" t="n">
        <f aca="false">1+IF($G$10=$E$10,$F$10,IF(T402&lt;($F$10-$E$10)/($G$10-$E$10),$E$10+SQRT(T402*($G$10-$E$10)*($F$10-$E$10)),$G$10-SQRT((1-T402)*($G$10-$E$10)*($G$10-$F$10))))</f>
        <v>1</v>
      </c>
      <c r="G402" s="38" t="n">
        <f aca="false">IF($G$11=$E$11,$F$11,IF(U402&lt;($F$11-$E$11)/($G$11-$E$11),$E$11+SQRT(U402*($G$11-$E$11)*($F$11-$E$11)),$G$11-SQRT((1-U402)*($G$11-$E$11)*($G$11-$F$11))))</f>
        <v>0</v>
      </c>
      <c r="H402" s="39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0</v>
      </c>
      <c r="I402" s="39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0</v>
      </c>
      <c r="J402" s="39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0</v>
      </c>
      <c r="K402" s="39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0</v>
      </c>
      <c r="L402" s="39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0</v>
      </c>
      <c r="M402" s="39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0</v>
      </c>
      <c r="N402" s="39" t="str">
        <f aca="false">IF(COUNT('Business Case'!B11:G11)=0,"",H402+NPV(G402,I402:M402))</f>
        <v/>
      </c>
      <c r="P402" s="40" t="n">
        <f aca="true">RAND()</f>
        <v>0.136684019410046</v>
      </c>
      <c r="Q402" s="40" t="n">
        <f aca="true">RAND()</f>
        <v>0.982973871075805</v>
      </c>
      <c r="R402" s="40" t="n">
        <f aca="true">RAND()</f>
        <v>0.818164436458855</v>
      </c>
      <c r="S402" s="40" t="n">
        <f aca="true">RAND()</f>
        <v>0.809843962537265</v>
      </c>
      <c r="T402" s="40" t="n">
        <f aca="true">RAND()</f>
        <v>0.153628379929995</v>
      </c>
      <c r="U402" s="40" t="n">
        <f aca="true">RAND()</f>
        <v>0.496013980126187</v>
      </c>
    </row>
    <row r="403" customFormat="false" ht="15" hidden="false" customHeight="false" outlineLevel="0" collapsed="false">
      <c r="A403" s="36" t="n">
        <v>323</v>
      </c>
      <c r="B403" s="37" t="n">
        <f aca="false">1+IF($G$6=$E$6,$F$6,IF(P403&lt;($F$6-$E$6)/($G$6-$E$6),$E$6+SQRT(P403*($G$6-$E$6)*($F$6-$E$6)),$G$6-SQRT((1-P403)*($G$6-$E$6)*($G$6-$F$6))))</f>
        <v>1</v>
      </c>
      <c r="C403" s="37" t="n">
        <f aca="false">1+IF($G$7=$E$7,$F$7,IF(Q403&lt;($F$7-$E$7)/($G$7-$E$7),$E$7+SQRT(Q403*($G$7-$E$7)*($F$7-$E$7)),$G$7-SQRT((1-Q403)*($G$7-$E$7)*($G$7-$F$7))))</f>
        <v>1</v>
      </c>
      <c r="D403" s="37" t="n">
        <f aca="false">1+IF($G$8=$E$8,$F$8,IF(R403&lt;($F$8-$E$8)/($G$8-$E$8),$E$8+SQRT(R403*($G$8-$E$8)*($F$8-$E$8)),$G$8-SQRT((1-R403)*($G$8-$E$8)*($G$8-$F$8))))</f>
        <v>1</v>
      </c>
      <c r="E403" s="37" t="n">
        <f aca="false">1+IF($G$9=$E$9,$F$9,IF(S403&lt;($F$9-$E$9)/($G$9-$E$9),$E$9+SQRT(S403*($G$9-$E$9)*($F$9-$E$9)),$G$9-SQRT((1-S403)*($G$9-$E$9)*($G$9-$F$9))))</f>
        <v>1</v>
      </c>
      <c r="F403" s="37" t="n">
        <f aca="false">1+IF($G$10=$E$10,$F$10,IF(T403&lt;($F$10-$E$10)/($G$10-$E$10),$E$10+SQRT(T403*($G$10-$E$10)*($F$10-$E$10)),$G$10-SQRT((1-T403)*($G$10-$E$10)*($G$10-$F$10))))</f>
        <v>1</v>
      </c>
      <c r="G403" s="38" t="n">
        <f aca="false">IF($G$11=$E$11,$F$11,IF(U403&lt;($F$11-$E$11)/($G$11-$E$11),$E$11+SQRT(U403*($G$11-$E$11)*($F$11-$E$11)),$G$11-SQRT((1-U403)*($G$11-$E$11)*($G$11-$F$11))))</f>
        <v>0</v>
      </c>
      <c r="H403" s="39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0</v>
      </c>
      <c r="I403" s="39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0</v>
      </c>
      <c r="J403" s="39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0</v>
      </c>
      <c r="K403" s="39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0</v>
      </c>
      <c r="L403" s="39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0</v>
      </c>
      <c r="M403" s="39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0</v>
      </c>
      <c r="N403" s="39" t="str">
        <f aca="false">IF(COUNT('Business Case'!B11:G11)=0,"",H403+NPV(G403,I403:M403))</f>
        <v/>
      </c>
      <c r="P403" s="40" t="n">
        <f aca="true">RAND()</f>
        <v>0.459350969797751</v>
      </c>
      <c r="Q403" s="40" t="n">
        <f aca="true">RAND()</f>
        <v>0.957735393672979</v>
      </c>
      <c r="R403" s="40" t="n">
        <f aca="true">RAND()</f>
        <v>0.556670434247732</v>
      </c>
      <c r="S403" s="40" t="n">
        <f aca="true">RAND()</f>
        <v>0.744627574068896</v>
      </c>
      <c r="T403" s="40" t="n">
        <f aca="true">RAND()</f>
        <v>0.67424009540826</v>
      </c>
      <c r="U403" s="40" t="n">
        <f aca="true">RAND()</f>
        <v>0.865316056492495</v>
      </c>
    </row>
    <row r="404" customFormat="false" ht="15" hidden="false" customHeight="false" outlineLevel="0" collapsed="false">
      <c r="A404" s="36" t="n">
        <v>324</v>
      </c>
      <c r="B404" s="37" t="n">
        <f aca="false">1+IF($G$6=$E$6,$F$6,IF(P404&lt;($F$6-$E$6)/($G$6-$E$6),$E$6+SQRT(P404*($G$6-$E$6)*($F$6-$E$6)),$G$6-SQRT((1-P404)*($G$6-$E$6)*($G$6-$F$6))))</f>
        <v>1</v>
      </c>
      <c r="C404" s="37" t="n">
        <f aca="false">1+IF($G$7=$E$7,$F$7,IF(Q404&lt;($F$7-$E$7)/($G$7-$E$7),$E$7+SQRT(Q404*($G$7-$E$7)*($F$7-$E$7)),$G$7-SQRT((1-Q404)*($G$7-$E$7)*($G$7-$F$7))))</f>
        <v>1</v>
      </c>
      <c r="D404" s="37" t="n">
        <f aca="false">1+IF($G$8=$E$8,$F$8,IF(R404&lt;($F$8-$E$8)/($G$8-$E$8),$E$8+SQRT(R404*($G$8-$E$8)*($F$8-$E$8)),$G$8-SQRT((1-R404)*($G$8-$E$8)*($G$8-$F$8))))</f>
        <v>1</v>
      </c>
      <c r="E404" s="37" t="n">
        <f aca="false">1+IF($G$9=$E$9,$F$9,IF(S404&lt;($F$9-$E$9)/($G$9-$E$9),$E$9+SQRT(S404*($G$9-$E$9)*($F$9-$E$9)),$G$9-SQRT((1-S404)*($G$9-$E$9)*($G$9-$F$9))))</f>
        <v>1</v>
      </c>
      <c r="F404" s="37" t="n">
        <f aca="false">1+IF($G$10=$E$10,$F$10,IF(T404&lt;($F$10-$E$10)/($G$10-$E$10),$E$10+SQRT(T404*($G$10-$E$10)*($F$10-$E$10)),$G$10-SQRT((1-T404)*($G$10-$E$10)*($G$10-$F$10))))</f>
        <v>1</v>
      </c>
      <c r="G404" s="38" t="n">
        <f aca="false">IF($G$11=$E$11,$F$11,IF(U404&lt;($F$11-$E$11)/($G$11-$E$11),$E$11+SQRT(U404*($G$11-$E$11)*($F$11-$E$11)),$G$11-SQRT((1-U404)*($G$11-$E$11)*($G$11-$F$11))))</f>
        <v>0</v>
      </c>
      <c r="H404" s="39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0</v>
      </c>
      <c r="I404" s="39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0</v>
      </c>
      <c r="J404" s="39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0</v>
      </c>
      <c r="K404" s="39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0</v>
      </c>
      <c r="L404" s="39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0</v>
      </c>
      <c r="M404" s="39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0</v>
      </c>
      <c r="N404" s="39" t="str">
        <f aca="false">IF(COUNT('Business Case'!B11:G11)=0,"",H404+NPV(G404,I404:M404))</f>
        <v/>
      </c>
      <c r="P404" s="40" t="n">
        <f aca="true">RAND()</f>
        <v>0.873122522469349</v>
      </c>
      <c r="Q404" s="40" t="n">
        <f aca="true">RAND()</f>
        <v>0.702415493421428</v>
      </c>
      <c r="R404" s="40" t="n">
        <f aca="true">RAND()</f>
        <v>0.383457092214091</v>
      </c>
      <c r="S404" s="40" t="n">
        <f aca="true">RAND()</f>
        <v>0.658472107963838</v>
      </c>
      <c r="T404" s="40" t="n">
        <f aca="true">RAND()</f>
        <v>0.578878356067337</v>
      </c>
      <c r="U404" s="40" t="n">
        <f aca="true">RAND()</f>
        <v>0.0774779974252589</v>
      </c>
    </row>
    <row r="405" customFormat="false" ht="15" hidden="false" customHeight="false" outlineLevel="0" collapsed="false">
      <c r="A405" s="36" t="n">
        <v>325</v>
      </c>
      <c r="B405" s="37" t="n">
        <f aca="false">1+IF($G$6=$E$6,$F$6,IF(P405&lt;($F$6-$E$6)/($G$6-$E$6),$E$6+SQRT(P405*($G$6-$E$6)*($F$6-$E$6)),$G$6-SQRT((1-P405)*($G$6-$E$6)*($G$6-$F$6))))</f>
        <v>1</v>
      </c>
      <c r="C405" s="37" t="n">
        <f aca="false">1+IF($G$7=$E$7,$F$7,IF(Q405&lt;($F$7-$E$7)/($G$7-$E$7),$E$7+SQRT(Q405*($G$7-$E$7)*($F$7-$E$7)),$G$7-SQRT((1-Q405)*($G$7-$E$7)*($G$7-$F$7))))</f>
        <v>1</v>
      </c>
      <c r="D405" s="37" t="n">
        <f aca="false">1+IF($G$8=$E$8,$F$8,IF(R405&lt;($F$8-$E$8)/($G$8-$E$8),$E$8+SQRT(R405*($G$8-$E$8)*($F$8-$E$8)),$G$8-SQRT((1-R405)*($G$8-$E$8)*($G$8-$F$8))))</f>
        <v>1</v>
      </c>
      <c r="E405" s="37" t="n">
        <f aca="false">1+IF($G$9=$E$9,$F$9,IF(S405&lt;($F$9-$E$9)/($G$9-$E$9),$E$9+SQRT(S405*($G$9-$E$9)*($F$9-$E$9)),$G$9-SQRT((1-S405)*($G$9-$E$9)*($G$9-$F$9))))</f>
        <v>1</v>
      </c>
      <c r="F405" s="37" t="n">
        <f aca="false">1+IF($G$10=$E$10,$F$10,IF(T405&lt;($F$10-$E$10)/($G$10-$E$10),$E$10+SQRT(T405*($G$10-$E$10)*($F$10-$E$10)),$G$10-SQRT((1-T405)*($G$10-$E$10)*($G$10-$F$10))))</f>
        <v>1</v>
      </c>
      <c r="G405" s="38" t="n">
        <f aca="false">IF($G$11=$E$11,$F$11,IF(U405&lt;($F$11-$E$11)/($G$11-$E$11),$E$11+SQRT(U405*($G$11-$E$11)*($F$11-$E$11)),$G$11-SQRT((1-U405)*($G$11-$E$11)*($G$11-$F$11))))</f>
        <v>0</v>
      </c>
      <c r="H405" s="39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0</v>
      </c>
      <c r="I405" s="39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0</v>
      </c>
      <c r="J405" s="39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0</v>
      </c>
      <c r="K405" s="39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0</v>
      </c>
      <c r="L405" s="39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0</v>
      </c>
      <c r="M405" s="39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0</v>
      </c>
      <c r="N405" s="39" t="str">
        <f aca="false">IF(COUNT('Business Case'!B11:G11)=0,"",H405+NPV(G405,I405:M405))</f>
        <v/>
      </c>
      <c r="P405" s="40" t="n">
        <f aca="true">RAND()</f>
        <v>0.313132407093482</v>
      </c>
      <c r="Q405" s="40" t="n">
        <f aca="true">RAND()</f>
        <v>0.725430756512465</v>
      </c>
      <c r="R405" s="40" t="n">
        <f aca="true">RAND()</f>
        <v>0.557674044026541</v>
      </c>
      <c r="S405" s="40" t="n">
        <f aca="true">RAND()</f>
        <v>0.773166037722569</v>
      </c>
      <c r="T405" s="40" t="n">
        <f aca="true">RAND()</f>
        <v>0.010823220486735</v>
      </c>
      <c r="U405" s="40" t="n">
        <f aca="true">RAND()</f>
        <v>0.789208275371226</v>
      </c>
    </row>
    <row r="406" customFormat="false" ht="15" hidden="false" customHeight="false" outlineLevel="0" collapsed="false">
      <c r="A406" s="36" t="n">
        <v>326</v>
      </c>
      <c r="B406" s="37" t="n">
        <f aca="false">1+IF($G$6=$E$6,$F$6,IF(P406&lt;($F$6-$E$6)/($G$6-$E$6),$E$6+SQRT(P406*($G$6-$E$6)*($F$6-$E$6)),$G$6-SQRT((1-P406)*($G$6-$E$6)*($G$6-$F$6))))</f>
        <v>1</v>
      </c>
      <c r="C406" s="37" t="n">
        <f aca="false">1+IF($G$7=$E$7,$F$7,IF(Q406&lt;($F$7-$E$7)/($G$7-$E$7),$E$7+SQRT(Q406*($G$7-$E$7)*($F$7-$E$7)),$G$7-SQRT((1-Q406)*($G$7-$E$7)*($G$7-$F$7))))</f>
        <v>1</v>
      </c>
      <c r="D406" s="37" t="n">
        <f aca="false">1+IF($G$8=$E$8,$F$8,IF(R406&lt;($F$8-$E$8)/($G$8-$E$8),$E$8+SQRT(R406*($G$8-$E$8)*($F$8-$E$8)),$G$8-SQRT((1-R406)*($G$8-$E$8)*($G$8-$F$8))))</f>
        <v>1</v>
      </c>
      <c r="E406" s="37" t="n">
        <f aca="false">1+IF($G$9=$E$9,$F$9,IF(S406&lt;($F$9-$E$9)/($G$9-$E$9),$E$9+SQRT(S406*($G$9-$E$9)*($F$9-$E$9)),$G$9-SQRT((1-S406)*($G$9-$E$9)*($G$9-$F$9))))</f>
        <v>1</v>
      </c>
      <c r="F406" s="37" t="n">
        <f aca="false">1+IF($G$10=$E$10,$F$10,IF(T406&lt;($F$10-$E$10)/($G$10-$E$10),$E$10+SQRT(T406*($G$10-$E$10)*($F$10-$E$10)),$G$10-SQRT((1-T406)*($G$10-$E$10)*($G$10-$F$10))))</f>
        <v>1</v>
      </c>
      <c r="G406" s="38" t="n">
        <f aca="false">IF($G$11=$E$11,$F$11,IF(U406&lt;($F$11-$E$11)/($G$11-$E$11),$E$11+SQRT(U406*($G$11-$E$11)*($F$11-$E$11)),$G$11-SQRT((1-U406)*($G$11-$E$11)*($G$11-$F$11))))</f>
        <v>0</v>
      </c>
      <c r="H406" s="39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0</v>
      </c>
      <c r="I406" s="39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0</v>
      </c>
      <c r="J406" s="39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0</v>
      </c>
      <c r="K406" s="39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0</v>
      </c>
      <c r="L406" s="39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0</v>
      </c>
      <c r="M406" s="39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0</v>
      </c>
      <c r="N406" s="39" t="str">
        <f aca="false">IF(COUNT('Business Case'!B11:G11)=0,"",H406+NPV(G406,I406:M406))</f>
        <v/>
      </c>
      <c r="P406" s="40" t="n">
        <f aca="true">RAND()</f>
        <v>0.313924930490021</v>
      </c>
      <c r="Q406" s="40" t="n">
        <f aca="true">RAND()</f>
        <v>0.279209791345987</v>
      </c>
      <c r="R406" s="40" t="n">
        <f aca="true">RAND()</f>
        <v>0.968419089503581</v>
      </c>
      <c r="S406" s="40" t="n">
        <f aca="true">RAND()</f>
        <v>0.343781297969238</v>
      </c>
      <c r="T406" s="40" t="n">
        <f aca="true">RAND()</f>
        <v>0.297177613917671</v>
      </c>
      <c r="U406" s="40" t="n">
        <f aca="true">RAND()</f>
        <v>0.507542512973308</v>
      </c>
    </row>
    <row r="407" customFormat="false" ht="15" hidden="false" customHeight="false" outlineLevel="0" collapsed="false">
      <c r="A407" s="36" t="n">
        <v>327</v>
      </c>
      <c r="B407" s="37" t="n">
        <f aca="false">1+IF($G$6=$E$6,$F$6,IF(P407&lt;($F$6-$E$6)/($G$6-$E$6),$E$6+SQRT(P407*($G$6-$E$6)*($F$6-$E$6)),$G$6-SQRT((1-P407)*($G$6-$E$6)*($G$6-$F$6))))</f>
        <v>1</v>
      </c>
      <c r="C407" s="37" t="n">
        <f aca="false">1+IF($G$7=$E$7,$F$7,IF(Q407&lt;($F$7-$E$7)/($G$7-$E$7),$E$7+SQRT(Q407*($G$7-$E$7)*($F$7-$E$7)),$G$7-SQRT((1-Q407)*($G$7-$E$7)*($G$7-$F$7))))</f>
        <v>1</v>
      </c>
      <c r="D407" s="37" t="n">
        <f aca="false">1+IF($G$8=$E$8,$F$8,IF(R407&lt;($F$8-$E$8)/($G$8-$E$8),$E$8+SQRT(R407*($G$8-$E$8)*($F$8-$E$8)),$G$8-SQRT((1-R407)*($G$8-$E$8)*($G$8-$F$8))))</f>
        <v>1</v>
      </c>
      <c r="E407" s="37" t="n">
        <f aca="false">1+IF($G$9=$E$9,$F$9,IF(S407&lt;($F$9-$E$9)/($G$9-$E$9),$E$9+SQRT(S407*($G$9-$E$9)*($F$9-$E$9)),$G$9-SQRT((1-S407)*($G$9-$E$9)*($G$9-$F$9))))</f>
        <v>1</v>
      </c>
      <c r="F407" s="37" t="n">
        <f aca="false">1+IF($G$10=$E$10,$F$10,IF(T407&lt;($F$10-$E$10)/($G$10-$E$10),$E$10+SQRT(T407*($G$10-$E$10)*($F$10-$E$10)),$G$10-SQRT((1-T407)*($G$10-$E$10)*($G$10-$F$10))))</f>
        <v>1</v>
      </c>
      <c r="G407" s="38" t="n">
        <f aca="false">IF($G$11=$E$11,$F$11,IF(U407&lt;($F$11-$E$11)/($G$11-$E$11),$E$11+SQRT(U407*($G$11-$E$11)*($F$11-$E$11)),$G$11-SQRT((1-U407)*($G$11-$E$11)*($G$11-$F$11))))</f>
        <v>0</v>
      </c>
      <c r="H407" s="39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0</v>
      </c>
      <c r="I407" s="39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0</v>
      </c>
      <c r="J407" s="39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0</v>
      </c>
      <c r="K407" s="39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0</v>
      </c>
      <c r="L407" s="39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0</v>
      </c>
      <c r="M407" s="39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0</v>
      </c>
      <c r="N407" s="39" t="str">
        <f aca="false">IF(COUNT('Business Case'!B11:G11)=0,"",H407+NPV(G407,I407:M407))</f>
        <v/>
      </c>
      <c r="P407" s="40" t="n">
        <f aca="true">RAND()</f>
        <v>0.917966857066961</v>
      </c>
      <c r="Q407" s="40" t="n">
        <f aca="true">RAND()</f>
        <v>0.22765626912645</v>
      </c>
      <c r="R407" s="40" t="n">
        <f aca="true">RAND()</f>
        <v>0.402115579638847</v>
      </c>
      <c r="S407" s="40" t="n">
        <f aca="true">RAND()</f>
        <v>0.701488477858254</v>
      </c>
      <c r="T407" s="40" t="n">
        <f aca="true">RAND()</f>
        <v>0.291443724778786</v>
      </c>
      <c r="U407" s="40" t="n">
        <f aca="true">RAND()</f>
        <v>0.042457263692099</v>
      </c>
    </row>
    <row r="408" customFormat="false" ht="15" hidden="false" customHeight="false" outlineLevel="0" collapsed="false">
      <c r="A408" s="36" t="n">
        <v>328</v>
      </c>
      <c r="B408" s="37" t="n">
        <f aca="false">1+IF($G$6=$E$6,$F$6,IF(P408&lt;($F$6-$E$6)/($G$6-$E$6),$E$6+SQRT(P408*($G$6-$E$6)*($F$6-$E$6)),$G$6-SQRT((1-P408)*($G$6-$E$6)*($G$6-$F$6))))</f>
        <v>1</v>
      </c>
      <c r="C408" s="37" t="n">
        <f aca="false">1+IF($G$7=$E$7,$F$7,IF(Q408&lt;($F$7-$E$7)/($G$7-$E$7),$E$7+SQRT(Q408*($G$7-$E$7)*($F$7-$E$7)),$G$7-SQRT((1-Q408)*($G$7-$E$7)*($G$7-$F$7))))</f>
        <v>1</v>
      </c>
      <c r="D408" s="37" t="n">
        <f aca="false">1+IF($G$8=$E$8,$F$8,IF(R408&lt;($F$8-$E$8)/($G$8-$E$8),$E$8+SQRT(R408*($G$8-$E$8)*($F$8-$E$8)),$G$8-SQRT((1-R408)*($G$8-$E$8)*($G$8-$F$8))))</f>
        <v>1</v>
      </c>
      <c r="E408" s="37" t="n">
        <f aca="false">1+IF($G$9=$E$9,$F$9,IF(S408&lt;($F$9-$E$9)/($G$9-$E$9),$E$9+SQRT(S408*($G$9-$E$9)*($F$9-$E$9)),$G$9-SQRT((1-S408)*($G$9-$E$9)*($G$9-$F$9))))</f>
        <v>1</v>
      </c>
      <c r="F408" s="37" t="n">
        <f aca="false">1+IF($G$10=$E$10,$F$10,IF(T408&lt;($F$10-$E$10)/($G$10-$E$10),$E$10+SQRT(T408*($G$10-$E$10)*($F$10-$E$10)),$G$10-SQRT((1-T408)*($G$10-$E$10)*($G$10-$F$10))))</f>
        <v>1</v>
      </c>
      <c r="G408" s="38" t="n">
        <f aca="false">IF($G$11=$E$11,$F$11,IF(U408&lt;($F$11-$E$11)/($G$11-$E$11),$E$11+SQRT(U408*($G$11-$E$11)*($F$11-$E$11)),$G$11-SQRT((1-U408)*($G$11-$E$11)*($G$11-$F$11))))</f>
        <v>0</v>
      </c>
      <c r="H408" s="39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0</v>
      </c>
      <c r="I408" s="39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0</v>
      </c>
      <c r="J408" s="39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0</v>
      </c>
      <c r="K408" s="39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0</v>
      </c>
      <c r="L408" s="39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0</v>
      </c>
      <c r="M408" s="39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0</v>
      </c>
      <c r="N408" s="39" t="str">
        <f aca="false">IF(COUNT('Business Case'!B11:G11)=0,"",H408+NPV(G408,I408:M408))</f>
        <v/>
      </c>
      <c r="P408" s="40" t="n">
        <f aca="true">RAND()</f>
        <v>0.507725763980827</v>
      </c>
      <c r="Q408" s="40" t="n">
        <f aca="true">RAND()</f>
        <v>0.28523435937</v>
      </c>
      <c r="R408" s="40" t="n">
        <f aca="true">RAND()</f>
        <v>0.767856512462954</v>
      </c>
      <c r="S408" s="40" t="n">
        <f aca="true">RAND()</f>
        <v>0.644117875997047</v>
      </c>
      <c r="T408" s="40" t="n">
        <f aca="true">RAND()</f>
        <v>0.269277878426175</v>
      </c>
      <c r="U408" s="40" t="n">
        <f aca="true">RAND()</f>
        <v>0.22875103665469</v>
      </c>
    </row>
    <row r="409" customFormat="false" ht="15" hidden="false" customHeight="false" outlineLevel="0" collapsed="false">
      <c r="A409" s="36" t="n">
        <v>329</v>
      </c>
      <c r="B409" s="37" t="n">
        <f aca="false">1+IF($G$6=$E$6,$F$6,IF(P409&lt;($F$6-$E$6)/($G$6-$E$6),$E$6+SQRT(P409*($G$6-$E$6)*($F$6-$E$6)),$G$6-SQRT((1-P409)*($G$6-$E$6)*($G$6-$F$6))))</f>
        <v>1</v>
      </c>
      <c r="C409" s="37" t="n">
        <f aca="false">1+IF($G$7=$E$7,$F$7,IF(Q409&lt;($F$7-$E$7)/($G$7-$E$7),$E$7+SQRT(Q409*($G$7-$E$7)*($F$7-$E$7)),$G$7-SQRT((1-Q409)*($G$7-$E$7)*($G$7-$F$7))))</f>
        <v>1</v>
      </c>
      <c r="D409" s="37" t="n">
        <f aca="false">1+IF($G$8=$E$8,$F$8,IF(R409&lt;($F$8-$E$8)/($G$8-$E$8),$E$8+SQRT(R409*($G$8-$E$8)*($F$8-$E$8)),$G$8-SQRT((1-R409)*($G$8-$E$8)*($G$8-$F$8))))</f>
        <v>1</v>
      </c>
      <c r="E409" s="37" t="n">
        <f aca="false">1+IF($G$9=$E$9,$F$9,IF(S409&lt;($F$9-$E$9)/($G$9-$E$9),$E$9+SQRT(S409*($G$9-$E$9)*($F$9-$E$9)),$G$9-SQRT((1-S409)*($G$9-$E$9)*($G$9-$F$9))))</f>
        <v>1</v>
      </c>
      <c r="F409" s="37" t="n">
        <f aca="false">1+IF($G$10=$E$10,$F$10,IF(T409&lt;($F$10-$E$10)/($G$10-$E$10),$E$10+SQRT(T409*($G$10-$E$10)*($F$10-$E$10)),$G$10-SQRT((1-T409)*($G$10-$E$10)*($G$10-$F$10))))</f>
        <v>1</v>
      </c>
      <c r="G409" s="38" t="n">
        <f aca="false">IF($G$11=$E$11,$F$11,IF(U409&lt;($F$11-$E$11)/($G$11-$E$11),$E$11+SQRT(U409*($G$11-$E$11)*($F$11-$E$11)),$G$11-SQRT((1-U409)*($G$11-$E$11)*($G$11-$F$11))))</f>
        <v>0</v>
      </c>
      <c r="H409" s="39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0</v>
      </c>
      <c r="I409" s="39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0</v>
      </c>
      <c r="J409" s="39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0</v>
      </c>
      <c r="K409" s="39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0</v>
      </c>
      <c r="L409" s="39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0</v>
      </c>
      <c r="M409" s="39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0</v>
      </c>
      <c r="N409" s="39" t="str">
        <f aca="false">IF(COUNT('Business Case'!B11:G11)=0,"",H409+NPV(G409,I409:M409))</f>
        <v/>
      </c>
      <c r="P409" s="40" t="n">
        <f aca="true">RAND()</f>
        <v>0.526386556972922</v>
      </c>
      <c r="Q409" s="40" t="n">
        <f aca="true">RAND()</f>
        <v>0.0135968662877174</v>
      </c>
      <c r="R409" s="40" t="n">
        <f aca="true">RAND()</f>
        <v>0.625887246771631</v>
      </c>
      <c r="S409" s="40" t="n">
        <f aca="true">RAND()</f>
        <v>0.439154091857773</v>
      </c>
      <c r="T409" s="40" t="n">
        <f aca="true">RAND()</f>
        <v>0.0974753928496154</v>
      </c>
      <c r="U409" s="40" t="n">
        <f aca="true">RAND()</f>
        <v>0.58446127420219</v>
      </c>
    </row>
    <row r="410" customFormat="false" ht="15" hidden="false" customHeight="false" outlineLevel="0" collapsed="false">
      <c r="A410" s="36" t="n">
        <v>330</v>
      </c>
      <c r="B410" s="37" t="n">
        <f aca="false">1+IF($G$6=$E$6,$F$6,IF(P410&lt;($F$6-$E$6)/($G$6-$E$6),$E$6+SQRT(P410*($G$6-$E$6)*($F$6-$E$6)),$G$6-SQRT((1-P410)*($G$6-$E$6)*($G$6-$F$6))))</f>
        <v>1</v>
      </c>
      <c r="C410" s="37" t="n">
        <f aca="false">1+IF($G$7=$E$7,$F$7,IF(Q410&lt;($F$7-$E$7)/($G$7-$E$7),$E$7+SQRT(Q410*($G$7-$E$7)*($F$7-$E$7)),$G$7-SQRT((1-Q410)*($G$7-$E$7)*($G$7-$F$7))))</f>
        <v>1</v>
      </c>
      <c r="D410" s="37" t="n">
        <f aca="false">1+IF($G$8=$E$8,$F$8,IF(R410&lt;($F$8-$E$8)/($G$8-$E$8),$E$8+SQRT(R410*($G$8-$E$8)*($F$8-$E$8)),$G$8-SQRT((1-R410)*($G$8-$E$8)*($G$8-$F$8))))</f>
        <v>1</v>
      </c>
      <c r="E410" s="37" t="n">
        <f aca="false">1+IF($G$9=$E$9,$F$9,IF(S410&lt;($F$9-$E$9)/($G$9-$E$9),$E$9+SQRT(S410*($G$9-$E$9)*($F$9-$E$9)),$G$9-SQRT((1-S410)*($G$9-$E$9)*($G$9-$F$9))))</f>
        <v>1</v>
      </c>
      <c r="F410" s="37" t="n">
        <f aca="false">1+IF($G$10=$E$10,$F$10,IF(T410&lt;($F$10-$E$10)/($G$10-$E$10),$E$10+SQRT(T410*($G$10-$E$10)*($F$10-$E$10)),$G$10-SQRT((1-T410)*($G$10-$E$10)*($G$10-$F$10))))</f>
        <v>1</v>
      </c>
      <c r="G410" s="38" t="n">
        <f aca="false">IF($G$11=$E$11,$F$11,IF(U410&lt;($F$11-$E$11)/($G$11-$E$11),$E$11+SQRT(U410*($G$11-$E$11)*($F$11-$E$11)),$G$11-SQRT((1-U410)*($G$11-$E$11)*($G$11-$F$11))))</f>
        <v>0</v>
      </c>
      <c r="H410" s="39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0</v>
      </c>
      <c r="I410" s="39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0</v>
      </c>
      <c r="J410" s="39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0</v>
      </c>
      <c r="K410" s="39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0</v>
      </c>
      <c r="L410" s="39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0</v>
      </c>
      <c r="M410" s="39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0</v>
      </c>
      <c r="N410" s="39" t="str">
        <f aca="false">IF(COUNT('Business Case'!B11:G11)=0,"",H410+NPV(G410,I410:M410))</f>
        <v/>
      </c>
      <c r="P410" s="40" t="n">
        <f aca="true">RAND()</f>
        <v>0.854155248885127</v>
      </c>
      <c r="Q410" s="40" t="n">
        <f aca="true">RAND()</f>
        <v>0.724183933914277</v>
      </c>
      <c r="R410" s="40" t="n">
        <f aca="true">RAND()</f>
        <v>0.389206816452352</v>
      </c>
      <c r="S410" s="40" t="n">
        <f aca="true">RAND()</f>
        <v>0.929606852075813</v>
      </c>
      <c r="T410" s="40" t="n">
        <f aca="true">RAND()</f>
        <v>0.350637846995052</v>
      </c>
      <c r="U410" s="40" t="n">
        <f aca="true">RAND()</f>
        <v>0.17256547012584</v>
      </c>
    </row>
    <row r="411" customFormat="false" ht="15" hidden="false" customHeight="false" outlineLevel="0" collapsed="false">
      <c r="A411" s="36" t="n">
        <v>331</v>
      </c>
      <c r="B411" s="37" t="n">
        <f aca="false">1+IF($G$6=$E$6,$F$6,IF(P411&lt;($F$6-$E$6)/($G$6-$E$6),$E$6+SQRT(P411*($G$6-$E$6)*($F$6-$E$6)),$G$6-SQRT((1-P411)*($G$6-$E$6)*($G$6-$F$6))))</f>
        <v>1</v>
      </c>
      <c r="C411" s="37" t="n">
        <f aca="false">1+IF($G$7=$E$7,$F$7,IF(Q411&lt;($F$7-$E$7)/($G$7-$E$7),$E$7+SQRT(Q411*($G$7-$E$7)*($F$7-$E$7)),$G$7-SQRT((1-Q411)*($G$7-$E$7)*($G$7-$F$7))))</f>
        <v>1</v>
      </c>
      <c r="D411" s="37" t="n">
        <f aca="false">1+IF($G$8=$E$8,$F$8,IF(R411&lt;($F$8-$E$8)/($G$8-$E$8),$E$8+SQRT(R411*($G$8-$E$8)*($F$8-$E$8)),$G$8-SQRT((1-R411)*($G$8-$E$8)*($G$8-$F$8))))</f>
        <v>1</v>
      </c>
      <c r="E411" s="37" t="n">
        <f aca="false">1+IF($G$9=$E$9,$F$9,IF(S411&lt;($F$9-$E$9)/($G$9-$E$9),$E$9+SQRT(S411*($G$9-$E$9)*($F$9-$E$9)),$G$9-SQRT((1-S411)*($G$9-$E$9)*($G$9-$F$9))))</f>
        <v>1</v>
      </c>
      <c r="F411" s="37" t="n">
        <f aca="false">1+IF($G$10=$E$10,$F$10,IF(T411&lt;($F$10-$E$10)/($G$10-$E$10),$E$10+SQRT(T411*($G$10-$E$10)*($F$10-$E$10)),$G$10-SQRT((1-T411)*($G$10-$E$10)*($G$10-$F$10))))</f>
        <v>1</v>
      </c>
      <c r="G411" s="38" t="n">
        <f aca="false">IF($G$11=$E$11,$F$11,IF(U411&lt;($F$11-$E$11)/($G$11-$E$11),$E$11+SQRT(U411*($G$11-$E$11)*($F$11-$E$11)),$G$11-SQRT((1-U411)*($G$11-$E$11)*($G$11-$F$11))))</f>
        <v>0</v>
      </c>
      <c r="H411" s="39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0</v>
      </c>
      <c r="I411" s="39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0</v>
      </c>
      <c r="J411" s="39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0</v>
      </c>
      <c r="K411" s="39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0</v>
      </c>
      <c r="L411" s="39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0</v>
      </c>
      <c r="M411" s="39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0</v>
      </c>
      <c r="N411" s="39" t="str">
        <f aca="false">IF(COUNT('Business Case'!B11:G11)=0,"",H411+NPV(G411,I411:M411))</f>
        <v/>
      </c>
      <c r="P411" s="40" t="n">
        <f aca="true">RAND()</f>
        <v>0.687876407741474</v>
      </c>
      <c r="Q411" s="40" t="n">
        <f aca="true">RAND()</f>
        <v>0.141947378845523</v>
      </c>
      <c r="R411" s="40" t="n">
        <f aca="true">RAND()</f>
        <v>0.675334186571996</v>
      </c>
      <c r="S411" s="40" t="n">
        <f aca="true">RAND()</f>
        <v>0.992206304526525</v>
      </c>
      <c r="T411" s="40" t="n">
        <f aca="true">RAND()</f>
        <v>0.0305607724932193</v>
      </c>
      <c r="U411" s="40" t="n">
        <f aca="true">RAND()</f>
        <v>0.587771416546518</v>
      </c>
    </row>
    <row r="412" customFormat="false" ht="15" hidden="false" customHeight="false" outlineLevel="0" collapsed="false">
      <c r="A412" s="36" t="n">
        <v>332</v>
      </c>
      <c r="B412" s="37" t="n">
        <f aca="false">1+IF($G$6=$E$6,$F$6,IF(P412&lt;($F$6-$E$6)/($G$6-$E$6),$E$6+SQRT(P412*($G$6-$E$6)*($F$6-$E$6)),$G$6-SQRT((1-P412)*($G$6-$E$6)*($G$6-$F$6))))</f>
        <v>1</v>
      </c>
      <c r="C412" s="37" t="n">
        <f aca="false">1+IF($G$7=$E$7,$F$7,IF(Q412&lt;($F$7-$E$7)/($G$7-$E$7),$E$7+SQRT(Q412*($G$7-$E$7)*($F$7-$E$7)),$G$7-SQRT((1-Q412)*($G$7-$E$7)*($G$7-$F$7))))</f>
        <v>1</v>
      </c>
      <c r="D412" s="37" t="n">
        <f aca="false">1+IF($G$8=$E$8,$F$8,IF(R412&lt;($F$8-$E$8)/($G$8-$E$8),$E$8+SQRT(R412*($G$8-$E$8)*($F$8-$E$8)),$G$8-SQRT((1-R412)*($G$8-$E$8)*($G$8-$F$8))))</f>
        <v>1</v>
      </c>
      <c r="E412" s="37" t="n">
        <f aca="false">1+IF($G$9=$E$9,$F$9,IF(S412&lt;($F$9-$E$9)/($G$9-$E$9),$E$9+SQRT(S412*($G$9-$E$9)*($F$9-$E$9)),$G$9-SQRT((1-S412)*($G$9-$E$9)*($G$9-$F$9))))</f>
        <v>1</v>
      </c>
      <c r="F412" s="37" t="n">
        <f aca="false">1+IF($G$10=$E$10,$F$10,IF(T412&lt;($F$10-$E$10)/($G$10-$E$10),$E$10+SQRT(T412*($G$10-$E$10)*($F$10-$E$10)),$G$10-SQRT((1-T412)*($G$10-$E$10)*($G$10-$F$10))))</f>
        <v>1</v>
      </c>
      <c r="G412" s="38" t="n">
        <f aca="false">IF($G$11=$E$11,$F$11,IF(U412&lt;($F$11-$E$11)/($G$11-$E$11),$E$11+SQRT(U412*($G$11-$E$11)*($F$11-$E$11)),$G$11-SQRT((1-U412)*($G$11-$E$11)*($G$11-$F$11))))</f>
        <v>0</v>
      </c>
      <c r="H412" s="39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0</v>
      </c>
      <c r="I412" s="39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0</v>
      </c>
      <c r="J412" s="39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0</v>
      </c>
      <c r="K412" s="39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0</v>
      </c>
      <c r="L412" s="39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0</v>
      </c>
      <c r="M412" s="39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0</v>
      </c>
      <c r="N412" s="39" t="str">
        <f aca="false">IF(COUNT('Business Case'!B11:G11)=0,"",H412+NPV(G412,I412:M412))</f>
        <v/>
      </c>
      <c r="P412" s="40" t="n">
        <f aca="true">RAND()</f>
        <v>0.856649934796138</v>
      </c>
      <c r="Q412" s="40" t="n">
        <f aca="true">RAND()</f>
        <v>0.38334086215445</v>
      </c>
      <c r="R412" s="40" t="n">
        <f aca="true">RAND()</f>
        <v>0.482224964817215</v>
      </c>
      <c r="S412" s="40" t="n">
        <f aca="true">RAND()</f>
        <v>0.815652776187741</v>
      </c>
      <c r="T412" s="40" t="n">
        <f aca="true">RAND()</f>
        <v>0.509160616302348</v>
      </c>
      <c r="U412" s="40" t="n">
        <f aca="true">RAND()</f>
        <v>0.0363387969147753</v>
      </c>
    </row>
    <row r="413" customFormat="false" ht="15" hidden="false" customHeight="false" outlineLevel="0" collapsed="false">
      <c r="A413" s="36" t="n">
        <v>333</v>
      </c>
      <c r="B413" s="37" t="n">
        <f aca="false">1+IF($G$6=$E$6,$F$6,IF(P413&lt;($F$6-$E$6)/($G$6-$E$6),$E$6+SQRT(P413*($G$6-$E$6)*($F$6-$E$6)),$G$6-SQRT((1-P413)*($G$6-$E$6)*($G$6-$F$6))))</f>
        <v>1</v>
      </c>
      <c r="C413" s="37" t="n">
        <f aca="false">1+IF($G$7=$E$7,$F$7,IF(Q413&lt;($F$7-$E$7)/($G$7-$E$7),$E$7+SQRT(Q413*($G$7-$E$7)*($F$7-$E$7)),$G$7-SQRT((1-Q413)*($G$7-$E$7)*($G$7-$F$7))))</f>
        <v>1</v>
      </c>
      <c r="D413" s="37" t="n">
        <f aca="false">1+IF($G$8=$E$8,$F$8,IF(R413&lt;($F$8-$E$8)/($G$8-$E$8),$E$8+SQRT(R413*($G$8-$E$8)*($F$8-$E$8)),$G$8-SQRT((1-R413)*($G$8-$E$8)*($G$8-$F$8))))</f>
        <v>1</v>
      </c>
      <c r="E413" s="37" t="n">
        <f aca="false">1+IF($G$9=$E$9,$F$9,IF(S413&lt;($F$9-$E$9)/($G$9-$E$9),$E$9+SQRT(S413*($G$9-$E$9)*($F$9-$E$9)),$G$9-SQRT((1-S413)*($G$9-$E$9)*($G$9-$F$9))))</f>
        <v>1</v>
      </c>
      <c r="F413" s="37" t="n">
        <f aca="false">1+IF($G$10=$E$10,$F$10,IF(T413&lt;($F$10-$E$10)/($G$10-$E$10),$E$10+SQRT(T413*($G$10-$E$10)*($F$10-$E$10)),$G$10-SQRT((1-T413)*($G$10-$E$10)*($G$10-$F$10))))</f>
        <v>1</v>
      </c>
      <c r="G413" s="38" t="n">
        <f aca="false">IF($G$11=$E$11,$F$11,IF(U413&lt;($F$11-$E$11)/($G$11-$E$11),$E$11+SQRT(U413*($G$11-$E$11)*($F$11-$E$11)),$G$11-SQRT((1-U413)*($G$11-$E$11)*($G$11-$F$11))))</f>
        <v>0</v>
      </c>
      <c r="H413" s="39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0</v>
      </c>
      <c r="I413" s="39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0</v>
      </c>
      <c r="J413" s="39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0</v>
      </c>
      <c r="K413" s="39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0</v>
      </c>
      <c r="L413" s="39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0</v>
      </c>
      <c r="M413" s="39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0</v>
      </c>
      <c r="N413" s="39" t="str">
        <f aca="false">IF(COUNT('Business Case'!B11:G11)=0,"",H413+NPV(G413,I413:M413))</f>
        <v/>
      </c>
      <c r="P413" s="40" t="n">
        <f aca="true">RAND()</f>
        <v>0.238937537670106</v>
      </c>
      <c r="Q413" s="40" t="n">
        <f aca="true">RAND()</f>
        <v>0.537243572205519</v>
      </c>
      <c r="R413" s="40" t="n">
        <f aca="true">RAND()</f>
        <v>0.982201243558307</v>
      </c>
      <c r="S413" s="40" t="n">
        <f aca="true">RAND()</f>
        <v>0.730142076032681</v>
      </c>
      <c r="T413" s="40" t="n">
        <f aca="true">RAND()</f>
        <v>0.36608112273473</v>
      </c>
      <c r="U413" s="40" t="n">
        <f aca="true">RAND()</f>
        <v>0.760140759390989</v>
      </c>
    </row>
    <row r="414" customFormat="false" ht="15" hidden="false" customHeight="false" outlineLevel="0" collapsed="false">
      <c r="A414" s="36" t="n">
        <v>334</v>
      </c>
      <c r="B414" s="37" t="n">
        <f aca="false">1+IF($G$6=$E$6,$F$6,IF(P414&lt;($F$6-$E$6)/($G$6-$E$6),$E$6+SQRT(P414*($G$6-$E$6)*($F$6-$E$6)),$G$6-SQRT((1-P414)*($G$6-$E$6)*($G$6-$F$6))))</f>
        <v>1</v>
      </c>
      <c r="C414" s="37" t="n">
        <f aca="false">1+IF($G$7=$E$7,$F$7,IF(Q414&lt;($F$7-$E$7)/($G$7-$E$7),$E$7+SQRT(Q414*($G$7-$E$7)*($F$7-$E$7)),$G$7-SQRT((1-Q414)*($G$7-$E$7)*($G$7-$F$7))))</f>
        <v>1</v>
      </c>
      <c r="D414" s="37" t="n">
        <f aca="false">1+IF($G$8=$E$8,$F$8,IF(R414&lt;($F$8-$E$8)/($G$8-$E$8),$E$8+SQRT(R414*($G$8-$E$8)*($F$8-$E$8)),$G$8-SQRT((1-R414)*($G$8-$E$8)*($G$8-$F$8))))</f>
        <v>1</v>
      </c>
      <c r="E414" s="37" t="n">
        <f aca="false">1+IF($G$9=$E$9,$F$9,IF(S414&lt;($F$9-$E$9)/($G$9-$E$9),$E$9+SQRT(S414*($G$9-$E$9)*($F$9-$E$9)),$G$9-SQRT((1-S414)*($G$9-$E$9)*($G$9-$F$9))))</f>
        <v>1</v>
      </c>
      <c r="F414" s="37" t="n">
        <f aca="false">1+IF($G$10=$E$10,$F$10,IF(T414&lt;($F$10-$E$10)/($G$10-$E$10),$E$10+SQRT(T414*($G$10-$E$10)*($F$10-$E$10)),$G$10-SQRT((1-T414)*($G$10-$E$10)*($G$10-$F$10))))</f>
        <v>1</v>
      </c>
      <c r="G414" s="38" t="n">
        <f aca="false">IF($G$11=$E$11,$F$11,IF(U414&lt;($F$11-$E$11)/($G$11-$E$11),$E$11+SQRT(U414*($G$11-$E$11)*($F$11-$E$11)),$G$11-SQRT((1-U414)*($G$11-$E$11)*($G$11-$F$11))))</f>
        <v>0</v>
      </c>
      <c r="H414" s="39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0</v>
      </c>
      <c r="I414" s="39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0</v>
      </c>
      <c r="J414" s="39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0</v>
      </c>
      <c r="K414" s="39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0</v>
      </c>
      <c r="L414" s="39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0</v>
      </c>
      <c r="M414" s="39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0</v>
      </c>
      <c r="N414" s="39" t="str">
        <f aca="false">IF(COUNT('Business Case'!B11:G11)=0,"",H414+NPV(G414,I414:M414))</f>
        <v/>
      </c>
      <c r="P414" s="40" t="n">
        <f aca="true">RAND()</f>
        <v>0.416942491840793</v>
      </c>
      <c r="Q414" s="40" t="n">
        <f aca="true">RAND()</f>
        <v>0.325623421114316</v>
      </c>
      <c r="R414" s="40" t="n">
        <f aca="true">RAND()</f>
        <v>0.453611153248166</v>
      </c>
      <c r="S414" s="40" t="n">
        <f aca="true">RAND()</f>
        <v>0.990032120445373</v>
      </c>
      <c r="T414" s="40" t="n">
        <f aca="true">RAND()</f>
        <v>0.399154634585514</v>
      </c>
      <c r="U414" s="40" t="n">
        <f aca="true">RAND()</f>
        <v>0.54101582625068</v>
      </c>
    </row>
    <row r="415" customFormat="false" ht="15" hidden="false" customHeight="false" outlineLevel="0" collapsed="false">
      <c r="A415" s="36" t="n">
        <v>335</v>
      </c>
      <c r="B415" s="37" t="n">
        <f aca="false">1+IF($G$6=$E$6,$F$6,IF(P415&lt;($F$6-$E$6)/($G$6-$E$6),$E$6+SQRT(P415*($G$6-$E$6)*($F$6-$E$6)),$G$6-SQRT((1-P415)*($G$6-$E$6)*($G$6-$F$6))))</f>
        <v>1</v>
      </c>
      <c r="C415" s="37" t="n">
        <f aca="false">1+IF($G$7=$E$7,$F$7,IF(Q415&lt;($F$7-$E$7)/($G$7-$E$7),$E$7+SQRT(Q415*($G$7-$E$7)*($F$7-$E$7)),$G$7-SQRT((1-Q415)*($G$7-$E$7)*($G$7-$F$7))))</f>
        <v>1</v>
      </c>
      <c r="D415" s="37" t="n">
        <f aca="false">1+IF($G$8=$E$8,$F$8,IF(R415&lt;($F$8-$E$8)/($G$8-$E$8),$E$8+SQRT(R415*($G$8-$E$8)*($F$8-$E$8)),$G$8-SQRT((1-R415)*($G$8-$E$8)*($G$8-$F$8))))</f>
        <v>1</v>
      </c>
      <c r="E415" s="37" t="n">
        <f aca="false">1+IF($G$9=$E$9,$F$9,IF(S415&lt;($F$9-$E$9)/($G$9-$E$9),$E$9+SQRT(S415*($G$9-$E$9)*($F$9-$E$9)),$G$9-SQRT((1-S415)*($G$9-$E$9)*($G$9-$F$9))))</f>
        <v>1</v>
      </c>
      <c r="F415" s="37" t="n">
        <f aca="false">1+IF($G$10=$E$10,$F$10,IF(T415&lt;($F$10-$E$10)/($G$10-$E$10),$E$10+SQRT(T415*($G$10-$E$10)*($F$10-$E$10)),$G$10-SQRT((1-T415)*($G$10-$E$10)*($G$10-$F$10))))</f>
        <v>1</v>
      </c>
      <c r="G415" s="38" t="n">
        <f aca="false">IF($G$11=$E$11,$F$11,IF(U415&lt;($F$11-$E$11)/($G$11-$E$11),$E$11+SQRT(U415*($G$11-$E$11)*($F$11-$E$11)),$G$11-SQRT((1-U415)*($G$11-$E$11)*($G$11-$F$11))))</f>
        <v>0</v>
      </c>
      <c r="H415" s="39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0</v>
      </c>
      <c r="I415" s="39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0</v>
      </c>
      <c r="J415" s="39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0</v>
      </c>
      <c r="K415" s="39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0</v>
      </c>
      <c r="L415" s="39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0</v>
      </c>
      <c r="M415" s="39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0</v>
      </c>
      <c r="N415" s="39" t="str">
        <f aca="false">IF(COUNT('Business Case'!B11:G11)=0,"",H415+NPV(G415,I415:M415))</f>
        <v/>
      </c>
      <c r="P415" s="40" t="n">
        <f aca="true">RAND()</f>
        <v>0.0431764329384745</v>
      </c>
      <c r="Q415" s="40" t="n">
        <f aca="true">RAND()</f>
        <v>0.121916961629057</v>
      </c>
      <c r="R415" s="40" t="n">
        <f aca="true">RAND()</f>
        <v>0.158186536712415</v>
      </c>
      <c r="S415" s="40" t="n">
        <f aca="true">RAND()</f>
        <v>0.552758667787786</v>
      </c>
      <c r="T415" s="40" t="n">
        <f aca="true">RAND()</f>
        <v>0.805997369402844</v>
      </c>
      <c r="U415" s="40" t="n">
        <f aca="true">RAND()</f>
        <v>0.245239901477496</v>
      </c>
    </row>
    <row r="416" customFormat="false" ht="15" hidden="false" customHeight="false" outlineLevel="0" collapsed="false">
      <c r="A416" s="36" t="n">
        <v>336</v>
      </c>
      <c r="B416" s="37" t="n">
        <f aca="false">1+IF($G$6=$E$6,$F$6,IF(P416&lt;($F$6-$E$6)/($G$6-$E$6),$E$6+SQRT(P416*($G$6-$E$6)*($F$6-$E$6)),$G$6-SQRT((1-P416)*($G$6-$E$6)*($G$6-$F$6))))</f>
        <v>1</v>
      </c>
      <c r="C416" s="37" t="n">
        <f aca="false">1+IF($G$7=$E$7,$F$7,IF(Q416&lt;($F$7-$E$7)/($G$7-$E$7),$E$7+SQRT(Q416*($G$7-$E$7)*($F$7-$E$7)),$G$7-SQRT((1-Q416)*($G$7-$E$7)*($G$7-$F$7))))</f>
        <v>1</v>
      </c>
      <c r="D416" s="37" t="n">
        <f aca="false">1+IF($G$8=$E$8,$F$8,IF(R416&lt;($F$8-$E$8)/($G$8-$E$8),$E$8+SQRT(R416*($G$8-$E$8)*($F$8-$E$8)),$G$8-SQRT((1-R416)*($G$8-$E$8)*($G$8-$F$8))))</f>
        <v>1</v>
      </c>
      <c r="E416" s="37" t="n">
        <f aca="false">1+IF($G$9=$E$9,$F$9,IF(S416&lt;($F$9-$E$9)/($G$9-$E$9),$E$9+SQRT(S416*($G$9-$E$9)*($F$9-$E$9)),$G$9-SQRT((1-S416)*($G$9-$E$9)*($G$9-$F$9))))</f>
        <v>1</v>
      </c>
      <c r="F416" s="37" t="n">
        <f aca="false">1+IF($G$10=$E$10,$F$10,IF(T416&lt;($F$10-$E$10)/($G$10-$E$10),$E$10+SQRT(T416*($G$10-$E$10)*($F$10-$E$10)),$G$10-SQRT((1-T416)*($G$10-$E$10)*($G$10-$F$10))))</f>
        <v>1</v>
      </c>
      <c r="G416" s="38" t="n">
        <f aca="false">IF($G$11=$E$11,$F$11,IF(U416&lt;($F$11-$E$11)/($G$11-$E$11),$E$11+SQRT(U416*($G$11-$E$11)*($F$11-$E$11)),$G$11-SQRT((1-U416)*($G$11-$E$11)*($G$11-$F$11))))</f>
        <v>0</v>
      </c>
      <c r="H416" s="39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0</v>
      </c>
      <c r="I416" s="39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0</v>
      </c>
      <c r="J416" s="39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0</v>
      </c>
      <c r="K416" s="39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0</v>
      </c>
      <c r="L416" s="39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0</v>
      </c>
      <c r="M416" s="39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0</v>
      </c>
      <c r="N416" s="39" t="str">
        <f aca="false">IF(COUNT('Business Case'!B11:G11)=0,"",H416+NPV(G416,I416:M416))</f>
        <v/>
      </c>
      <c r="P416" s="40" t="n">
        <f aca="true">RAND()</f>
        <v>0.0235842952394044</v>
      </c>
      <c r="Q416" s="40" t="n">
        <f aca="true">RAND()</f>
        <v>0.953740738423936</v>
      </c>
      <c r="R416" s="40" t="n">
        <f aca="true">RAND()</f>
        <v>0.209050621349097</v>
      </c>
      <c r="S416" s="40" t="n">
        <f aca="true">RAND()</f>
        <v>0.931976752647828</v>
      </c>
      <c r="T416" s="40" t="n">
        <f aca="true">RAND()</f>
        <v>0.698381173557839</v>
      </c>
      <c r="U416" s="40" t="n">
        <f aca="true">RAND()</f>
        <v>0.233469096673528</v>
      </c>
    </row>
    <row r="417" customFormat="false" ht="15" hidden="false" customHeight="false" outlineLevel="0" collapsed="false">
      <c r="A417" s="36" t="n">
        <v>337</v>
      </c>
      <c r="B417" s="37" t="n">
        <f aca="false">1+IF($G$6=$E$6,$F$6,IF(P417&lt;($F$6-$E$6)/($G$6-$E$6),$E$6+SQRT(P417*($G$6-$E$6)*($F$6-$E$6)),$G$6-SQRT((1-P417)*($G$6-$E$6)*($G$6-$F$6))))</f>
        <v>1</v>
      </c>
      <c r="C417" s="37" t="n">
        <f aca="false">1+IF($G$7=$E$7,$F$7,IF(Q417&lt;($F$7-$E$7)/($G$7-$E$7),$E$7+SQRT(Q417*($G$7-$E$7)*($F$7-$E$7)),$G$7-SQRT((1-Q417)*($G$7-$E$7)*($G$7-$F$7))))</f>
        <v>1</v>
      </c>
      <c r="D417" s="37" t="n">
        <f aca="false">1+IF($G$8=$E$8,$F$8,IF(R417&lt;($F$8-$E$8)/($G$8-$E$8),$E$8+SQRT(R417*($G$8-$E$8)*($F$8-$E$8)),$G$8-SQRT((1-R417)*($G$8-$E$8)*($G$8-$F$8))))</f>
        <v>1</v>
      </c>
      <c r="E417" s="37" t="n">
        <f aca="false">1+IF($G$9=$E$9,$F$9,IF(S417&lt;($F$9-$E$9)/($G$9-$E$9),$E$9+SQRT(S417*($G$9-$E$9)*($F$9-$E$9)),$G$9-SQRT((1-S417)*($G$9-$E$9)*($G$9-$F$9))))</f>
        <v>1</v>
      </c>
      <c r="F417" s="37" t="n">
        <f aca="false">1+IF($G$10=$E$10,$F$10,IF(T417&lt;($F$10-$E$10)/($G$10-$E$10),$E$10+SQRT(T417*($G$10-$E$10)*($F$10-$E$10)),$G$10-SQRT((1-T417)*($G$10-$E$10)*($G$10-$F$10))))</f>
        <v>1</v>
      </c>
      <c r="G417" s="38" t="n">
        <f aca="false">IF($G$11=$E$11,$F$11,IF(U417&lt;($F$11-$E$11)/($G$11-$E$11),$E$11+SQRT(U417*($G$11-$E$11)*($F$11-$E$11)),$G$11-SQRT((1-U417)*($G$11-$E$11)*($G$11-$F$11))))</f>
        <v>0</v>
      </c>
      <c r="H417" s="39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0</v>
      </c>
      <c r="I417" s="39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0</v>
      </c>
      <c r="J417" s="39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0</v>
      </c>
      <c r="K417" s="39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0</v>
      </c>
      <c r="L417" s="39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0</v>
      </c>
      <c r="M417" s="39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0</v>
      </c>
      <c r="N417" s="39" t="str">
        <f aca="false">IF(COUNT('Business Case'!B11:G11)=0,"",H417+NPV(G417,I417:M417))</f>
        <v/>
      </c>
      <c r="P417" s="40" t="n">
        <f aca="true">RAND()</f>
        <v>0.515669650262556</v>
      </c>
      <c r="Q417" s="40" t="n">
        <f aca="true">RAND()</f>
        <v>0.372834117301743</v>
      </c>
      <c r="R417" s="40" t="n">
        <f aca="true">RAND()</f>
        <v>0.185361545983848</v>
      </c>
      <c r="S417" s="40" t="n">
        <f aca="true">RAND()</f>
        <v>0.907035948269492</v>
      </c>
      <c r="T417" s="40" t="n">
        <f aca="true">RAND()</f>
        <v>0.813835487840841</v>
      </c>
      <c r="U417" s="40" t="n">
        <f aca="true">RAND()</f>
        <v>0.0503722540447386</v>
      </c>
    </row>
    <row r="418" customFormat="false" ht="15" hidden="false" customHeight="false" outlineLevel="0" collapsed="false">
      <c r="A418" s="36" t="n">
        <v>338</v>
      </c>
      <c r="B418" s="37" t="n">
        <f aca="false">1+IF($G$6=$E$6,$F$6,IF(P418&lt;($F$6-$E$6)/($G$6-$E$6),$E$6+SQRT(P418*($G$6-$E$6)*($F$6-$E$6)),$G$6-SQRT((1-P418)*($G$6-$E$6)*($G$6-$F$6))))</f>
        <v>1</v>
      </c>
      <c r="C418" s="37" t="n">
        <f aca="false">1+IF($G$7=$E$7,$F$7,IF(Q418&lt;($F$7-$E$7)/($G$7-$E$7),$E$7+SQRT(Q418*($G$7-$E$7)*($F$7-$E$7)),$G$7-SQRT((1-Q418)*($G$7-$E$7)*($G$7-$F$7))))</f>
        <v>1</v>
      </c>
      <c r="D418" s="37" t="n">
        <f aca="false">1+IF($G$8=$E$8,$F$8,IF(R418&lt;($F$8-$E$8)/($G$8-$E$8),$E$8+SQRT(R418*($G$8-$E$8)*($F$8-$E$8)),$G$8-SQRT((1-R418)*($G$8-$E$8)*($G$8-$F$8))))</f>
        <v>1</v>
      </c>
      <c r="E418" s="37" t="n">
        <f aca="false">1+IF($G$9=$E$9,$F$9,IF(S418&lt;($F$9-$E$9)/($G$9-$E$9),$E$9+SQRT(S418*($G$9-$E$9)*($F$9-$E$9)),$G$9-SQRT((1-S418)*($G$9-$E$9)*($G$9-$F$9))))</f>
        <v>1</v>
      </c>
      <c r="F418" s="37" t="n">
        <f aca="false">1+IF($G$10=$E$10,$F$10,IF(T418&lt;($F$10-$E$10)/($G$10-$E$10),$E$10+SQRT(T418*($G$10-$E$10)*($F$10-$E$10)),$G$10-SQRT((1-T418)*($G$10-$E$10)*($G$10-$F$10))))</f>
        <v>1</v>
      </c>
      <c r="G418" s="38" t="n">
        <f aca="false">IF($G$11=$E$11,$F$11,IF(U418&lt;($F$11-$E$11)/($G$11-$E$11),$E$11+SQRT(U418*($G$11-$E$11)*($F$11-$E$11)),$G$11-SQRT((1-U418)*($G$11-$E$11)*($G$11-$F$11))))</f>
        <v>0</v>
      </c>
      <c r="H418" s="39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0</v>
      </c>
      <c r="I418" s="39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0</v>
      </c>
      <c r="J418" s="39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0</v>
      </c>
      <c r="K418" s="39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0</v>
      </c>
      <c r="L418" s="39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0</v>
      </c>
      <c r="M418" s="39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0</v>
      </c>
      <c r="N418" s="39" t="str">
        <f aca="false">IF(COUNT('Business Case'!B11:G11)=0,"",H418+NPV(G418,I418:M418))</f>
        <v/>
      </c>
      <c r="P418" s="40" t="n">
        <f aca="true">RAND()</f>
        <v>0.788707315183939</v>
      </c>
      <c r="Q418" s="40" t="n">
        <f aca="true">RAND()</f>
        <v>0.996616385076576</v>
      </c>
      <c r="R418" s="40" t="n">
        <f aca="true">RAND()</f>
        <v>0.936702221104821</v>
      </c>
      <c r="S418" s="40" t="n">
        <f aca="true">RAND()</f>
        <v>0.425324780140584</v>
      </c>
      <c r="T418" s="40" t="n">
        <f aca="true">RAND()</f>
        <v>0.515818338413545</v>
      </c>
      <c r="U418" s="40" t="n">
        <f aca="true">RAND()</f>
        <v>0.761212857632371</v>
      </c>
    </row>
    <row r="419" customFormat="false" ht="15" hidden="false" customHeight="false" outlineLevel="0" collapsed="false">
      <c r="A419" s="36" t="n">
        <v>339</v>
      </c>
      <c r="B419" s="37" t="n">
        <f aca="false">1+IF($G$6=$E$6,$F$6,IF(P419&lt;($F$6-$E$6)/($G$6-$E$6),$E$6+SQRT(P419*($G$6-$E$6)*($F$6-$E$6)),$G$6-SQRT((1-P419)*($G$6-$E$6)*($G$6-$F$6))))</f>
        <v>1</v>
      </c>
      <c r="C419" s="37" t="n">
        <f aca="false">1+IF($G$7=$E$7,$F$7,IF(Q419&lt;($F$7-$E$7)/($G$7-$E$7),$E$7+SQRT(Q419*($G$7-$E$7)*($F$7-$E$7)),$G$7-SQRT((1-Q419)*($G$7-$E$7)*($G$7-$F$7))))</f>
        <v>1</v>
      </c>
      <c r="D419" s="37" t="n">
        <f aca="false">1+IF($G$8=$E$8,$F$8,IF(R419&lt;($F$8-$E$8)/($G$8-$E$8),$E$8+SQRT(R419*($G$8-$E$8)*($F$8-$E$8)),$G$8-SQRT((1-R419)*($G$8-$E$8)*($G$8-$F$8))))</f>
        <v>1</v>
      </c>
      <c r="E419" s="37" t="n">
        <f aca="false">1+IF($G$9=$E$9,$F$9,IF(S419&lt;($F$9-$E$9)/($G$9-$E$9),$E$9+SQRT(S419*($G$9-$E$9)*($F$9-$E$9)),$G$9-SQRT((1-S419)*($G$9-$E$9)*($G$9-$F$9))))</f>
        <v>1</v>
      </c>
      <c r="F419" s="37" t="n">
        <f aca="false">1+IF($G$10=$E$10,$F$10,IF(T419&lt;($F$10-$E$10)/($G$10-$E$10),$E$10+SQRT(T419*($G$10-$E$10)*($F$10-$E$10)),$G$10-SQRT((1-T419)*($G$10-$E$10)*($G$10-$F$10))))</f>
        <v>1</v>
      </c>
      <c r="G419" s="38" t="n">
        <f aca="false">IF($G$11=$E$11,$F$11,IF(U419&lt;($F$11-$E$11)/($G$11-$E$11),$E$11+SQRT(U419*($G$11-$E$11)*($F$11-$E$11)),$G$11-SQRT((1-U419)*($G$11-$E$11)*($G$11-$F$11))))</f>
        <v>0</v>
      </c>
      <c r="H419" s="39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0</v>
      </c>
      <c r="I419" s="39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0</v>
      </c>
      <c r="J419" s="39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0</v>
      </c>
      <c r="K419" s="39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0</v>
      </c>
      <c r="L419" s="39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0</v>
      </c>
      <c r="M419" s="39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0</v>
      </c>
      <c r="N419" s="39" t="str">
        <f aca="false">IF(COUNT('Business Case'!B11:G11)=0,"",H419+NPV(G419,I419:M419))</f>
        <v/>
      </c>
      <c r="P419" s="40" t="n">
        <f aca="true">RAND()</f>
        <v>0.229724370548066</v>
      </c>
      <c r="Q419" s="40" t="n">
        <f aca="true">RAND()</f>
        <v>0.339621540318832</v>
      </c>
      <c r="R419" s="40" t="n">
        <f aca="true">RAND()</f>
        <v>0.722513837326237</v>
      </c>
      <c r="S419" s="40" t="n">
        <f aca="true">RAND()</f>
        <v>0.596475461828092</v>
      </c>
      <c r="T419" s="40" t="n">
        <f aca="true">RAND()</f>
        <v>0.392016682979865</v>
      </c>
      <c r="U419" s="40" t="n">
        <f aca="true">RAND()</f>
        <v>0.871921545692753</v>
      </c>
    </row>
    <row r="420" customFormat="false" ht="15" hidden="false" customHeight="false" outlineLevel="0" collapsed="false">
      <c r="A420" s="36" t="n">
        <v>340</v>
      </c>
      <c r="B420" s="37" t="n">
        <f aca="false">1+IF($G$6=$E$6,$F$6,IF(P420&lt;($F$6-$E$6)/($G$6-$E$6),$E$6+SQRT(P420*($G$6-$E$6)*($F$6-$E$6)),$G$6-SQRT((1-P420)*($G$6-$E$6)*($G$6-$F$6))))</f>
        <v>1</v>
      </c>
      <c r="C420" s="37" t="n">
        <f aca="false">1+IF($G$7=$E$7,$F$7,IF(Q420&lt;($F$7-$E$7)/($G$7-$E$7),$E$7+SQRT(Q420*($G$7-$E$7)*($F$7-$E$7)),$G$7-SQRT((1-Q420)*($G$7-$E$7)*($G$7-$F$7))))</f>
        <v>1</v>
      </c>
      <c r="D420" s="37" t="n">
        <f aca="false">1+IF($G$8=$E$8,$F$8,IF(R420&lt;($F$8-$E$8)/($G$8-$E$8),$E$8+SQRT(R420*($G$8-$E$8)*($F$8-$E$8)),$G$8-SQRT((1-R420)*($G$8-$E$8)*($G$8-$F$8))))</f>
        <v>1</v>
      </c>
      <c r="E420" s="37" t="n">
        <f aca="false">1+IF($G$9=$E$9,$F$9,IF(S420&lt;($F$9-$E$9)/($G$9-$E$9),$E$9+SQRT(S420*($G$9-$E$9)*($F$9-$E$9)),$G$9-SQRT((1-S420)*($G$9-$E$9)*($G$9-$F$9))))</f>
        <v>1</v>
      </c>
      <c r="F420" s="37" t="n">
        <f aca="false">1+IF($G$10=$E$10,$F$10,IF(T420&lt;($F$10-$E$10)/($G$10-$E$10),$E$10+SQRT(T420*($G$10-$E$10)*($F$10-$E$10)),$G$10-SQRT((1-T420)*($G$10-$E$10)*($G$10-$F$10))))</f>
        <v>1</v>
      </c>
      <c r="G420" s="38" t="n">
        <f aca="false">IF($G$11=$E$11,$F$11,IF(U420&lt;($F$11-$E$11)/($G$11-$E$11),$E$11+SQRT(U420*($G$11-$E$11)*($F$11-$E$11)),$G$11-SQRT((1-U420)*($G$11-$E$11)*($G$11-$F$11))))</f>
        <v>0</v>
      </c>
      <c r="H420" s="39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0</v>
      </c>
      <c r="I420" s="39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0</v>
      </c>
      <c r="J420" s="39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0</v>
      </c>
      <c r="K420" s="39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0</v>
      </c>
      <c r="L420" s="39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0</v>
      </c>
      <c r="M420" s="39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0</v>
      </c>
      <c r="N420" s="39" t="str">
        <f aca="false">IF(COUNT('Business Case'!B11:G11)=0,"",H420+NPV(G420,I420:M420))</f>
        <v/>
      </c>
      <c r="P420" s="40" t="n">
        <f aca="true">RAND()</f>
        <v>0.913530348611385</v>
      </c>
      <c r="Q420" s="40" t="n">
        <f aca="true">RAND()</f>
        <v>0.603153346127954</v>
      </c>
      <c r="R420" s="40" t="n">
        <f aca="true">RAND()</f>
        <v>0.0345801554093856</v>
      </c>
      <c r="S420" s="40" t="n">
        <f aca="true">RAND()</f>
        <v>0.41363694479988</v>
      </c>
      <c r="T420" s="40" t="n">
        <f aca="true">RAND()</f>
        <v>0.918818964296255</v>
      </c>
      <c r="U420" s="40" t="n">
        <f aca="true">RAND()</f>
        <v>0.246891732076355</v>
      </c>
    </row>
    <row r="421" customFormat="false" ht="15" hidden="false" customHeight="false" outlineLevel="0" collapsed="false">
      <c r="A421" s="36" t="n">
        <v>341</v>
      </c>
      <c r="B421" s="37" t="n">
        <f aca="false">1+IF($G$6=$E$6,$F$6,IF(P421&lt;($F$6-$E$6)/($G$6-$E$6),$E$6+SQRT(P421*($G$6-$E$6)*($F$6-$E$6)),$G$6-SQRT((1-P421)*($G$6-$E$6)*($G$6-$F$6))))</f>
        <v>1</v>
      </c>
      <c r="C421" s="37" t="n">
        <f aca="false">1+IF($G$7=$E$7,$F$7,IF(Q421&lt;($F$7-$E$7)/($G$7-$E$7),$E$7+SQRT(Q421*($G$7-$E$7)*($F$7-$E$7)),$G$7-SQRT((1-Q421)*($G$7-$E$7)*($G$7-$F$7))))</f>
        <v>1</v>
      </c>
      <c r="D421" s="37" t="n">
        <f aca="false">1+IF($G$8=$E$8,$F$8,IF(R421&lt;($F$8-$E$8)/($G$8-$E$8),$E$8+SQRT(R421*($G$8-$E$8)*($F$8-$E$8)),$G$8-SQRT((1-R421)*($G$8-$E$8)*($G$8-$F$8))))</f>
        <v>1</v>
      </c>
      <c r="E421" s="37" t="n">
        <f aca="false">1+IF($G$9=$E$9,$F$9,IF(S421&lt;($F$9-$E$9)/($G$9-$E$9),$E$9+SQRT(S421*($G$9-$E$9)*($F$9-$E$9)),$G$9-SQRT((1-S421)*($G$9-$E$9)*($G$9-$F$9))))</f>
        <v>1</v>
      </c>
      <c r="F421" s="37" t="n">
        <f aca="false">1+IF($G$10=$E$10,$F$10,IF(T421&lt;($F$10-$E$10)/($G$10-$E$10),$E$10+SQRT(T421*($G$10-$E$10)*($F$10-$E$10)),$G$10-SQRT((1-T421)*($G$10-$E$10)*($G$10-$F$10))))</f>
        <v>1</v>
      </c>
      <c r="G421" s="38" t="n">
        <f aca="false">IF($G$11=$E$11,$F$11,IF(U421&lt;($F$11-$E$11)/($G$11-$E$11),$E$11+SQRT(U421*($G$11-$E$11)*($F$11-$E$11)),$G$11-SQRT((1-U421)*($G$11-$E$11)*($G$11-$F$11))))</f>
        <v>0</v>
      </c>
      <c r="H421" s="39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0</v>
      </c>
      <c r="I421" s="39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0</v>
      </c>
      <c r="J421" s="39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0</v>
      </c>
      <c r="K421" s="39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0</v>
      </c>
      <c r="L421" s="39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0</v>
      </c>
      <c r="M421" s="39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0</v>
      </c>
      <c r="N421" s="39" t="str">
        <f aca="false">IF(COUNT('Business Case'!B11:G11)=0,"",H421+NPV(G421,I421:M421))</f>
        <v/>
      </c>
      <c r="P421" s="40" t="n">
        <f aca="true">RAND()</f>
        <v>0.842181693887415</v>
      </c>
      <c r="Q421" s="40" t="n">
        <f aca="true">RAND()</f>
        <v>0.299760472203503</v>
      </c>
      <c r="R421" s="40" t="n">
        <f aca="true">RAND()</f>
        <v>0.102201061109936</v>
      </c>
      <c r="S421" s="40" t="n">
        <f aca="true">RAND()</f>
        <v>0.881931517789162</v>
      </c>
      <c r="T421" s="40" t="n">
        <f aca="true">RAND()</f>
        <v>0.152191544625007</v>
      </c>
      <c r="U421" s="40" t="n">
        <f aca="true">RAND()</f>
        <v>0.638100612316715</v>
      </c>
    </row>
    <row r="422" customFormat="false" ht="15" hidden="false" customHeight="false" outlineLevel="0" collapsed="false">
      <c r="A422" s="36" t="n">
        <v>342</v>
      </c>
      <c r="B422" s="37" t="n">
        <f aca="false">1+IF($G$6=$E$6,$F$6,IF(P422&lt;($F$6-$E$6)/($G$6-$E$6),$E$6+SQRT(P422*($G$6-$E$6)*($F$6-$E$6)),$G$6-SQRT((1-P422)*($G$6-$E$6)*($G$6-$F$6))))</f>
        <v>1</v>
      </c>
      <c r="C422" s="37" t="n">
        <f aca="false">1+IF($G$7=$E$7,$F$7,IF(Q422&lt;($F$7-$E$7)/($G$7-$E$7),$E$7+SQRT(Q422*($G$7-$E$7)*($F$7-$E$7)),$G$7-SQRT((1-Q422)*($G$7-$E$7)*($G$7-$F$7))))</f>
        <v>1</v>
      </c>
      <c r="D422" s="37" t="n">
        <f aca="false">1+IF($G$8=$E$8,$F$8,IF(R422&lt;($F$8-$E$8)/($G$8-$E$8),$E$8+SQRT(R422*($G$8-$E$8)*($F$8-$E$8)),$G$8-SQRT((1-R422)*($G$8-$E$8)*($G$8-$F$8))))</f>
        <v>1</v>
      </c>
      <c r="E422" s="37" t="n">
        <f aca="false">1+IF($G$9=$E$9,$F$9,IF(S422&lt;($F$9-$E$9)/($G$9-$E$9),$E$9+SQRT(S422*($G$9-$E$9)*($F$9-$E$9)),$G$9-SQRT((1-S422)*($G$9-$E$9)*($G$9-$F$9))))</f>
        <v>1</v>
      </c>
      <c r="F422" s="37" t="n">
        <f aca="false">1+IF($G$10=$E$10,$F$10,IF(T422&lt;($F$10-$E$10)/($G$10-$E$10),$E$10+SQRT(T422*($G$10-$E$10)*($F$10-$E$10)),$G$10-SQRT((1-T422)*($G$10-$E$10)*($G$10-$F$10))))</f>
        <v>1</v>
      </c>
      <c r="G422" s="38" t="n">
        <f aca="false">IF($G$11=$E$11,$F$11,IF(U422&lt;($F$11-$E$11)/($G$11-$E$11),$E$11+SQRT(U422*($G$11-$E$11)*($F$11-$E$11)),$G$11-SQRT((1-U422)*($G$11-$E$11)*($G$11-$F$11))))</f>
        <v>0</v>
      </c>
      <c r="H422" s="39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0</v>
      </c>
      <c r="I422" s="39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0</v>
      </c>
      <c r="J422" s="39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0</v>
      </c>
      <c r="K422" s="39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0</v>
      </c>
      <c r="L422" s="39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0</v>
      </c>
      <c r="M422" s="39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0</v>
      </c>
      <c r="N422" s="39" t="str">
        <f aca="false">IF(COUNT('Business Case'!B11:G11)=0,"",H422+NPV(G422,I422:M422))</f>
        <v/>
      </c>
      <c r="P422" s="40" t="n">
        <f aca="true">RAND()</f>
        <v>0.506268282918328</v>
      </c>
      <c r="Q422" s="40" t="n">
        <f aca="true">RAND()</f>
        <v>0.240107065672683</v>
      </c>
      <c r="R422" s="40" t="n">
        <f aca="true">RAND()</f>
        <v>0.766623373027366</v>
      </c>
      <c r="S422" s="40" t="n">
        <f aca="true">RAND()</f>
        <v>0.311055636943709</v>
      </c>
      <c r="T422" s="40" t="n">
        <f aca="true">RAND()</f>
        <v>0.00935168081553206</v>
      </c>
      <c r="U422" s="40" t="n">
        <f aca="true">RAND()</f>
        <v>0.655537224770422</v>
      </c>
    </row>
    <row r="423" customFormat="false" ht="15" hidden="false" customHeight="false" outlineLevel="0" collapsed="false">
      <c r="A423" s="36" t="n">
        <v>343</v>
      </c>
      <c r="B423" s="37" t="n">
        <f aca="false">1+IF($G$6=$E$6,$F$6,IF(P423&lt;($F$6-$E$6)/($G$6-$E$6),$E$6+SQRT(P423*($G$6-$E$6)*($F$6-$E$6)),$G$6-SQRT((1-P423)*($G$6-$E$6)*($G$6-$F$6))))</f>
        <v>1</v>
      </c>
      <c r="C423" s="37" t="n">
        <f aca="false">1+IF($G$7=$E$7,$F$7,IF(Q423&lt;($F$7-$E$7)/($G$7-$E$7),$E$7+SQRT(Q423*($G$7-$E$7)*($F$7-$E$7)),$G$7-SQRT((1-Q423)*($G$7-$E$7)*($G$7-$F$7))))</f>
        <v>1</v>
      </c>
      <c r="D423" s="37" t="n">
        <f aca="false">1+IF($G$8=$E$8,$F$8,IF(R423&lt;($F$8-$E$8)/($G$8-$E$8),$E$8+SQRT(R423*($G$8-$E$8)*($F$8-$E$8)),$G$8-SQRT((1-R423)*($G$8-$E$8)*($G$8-$F$8))))</f>
        <v>1</v>
      </c>
      <c r="E423" s="37" t="n">
        <f aca="false">1+IF($G$9=$E$9,$F$9,IF(S423&lt;($F$9-$E$9)/($G$9-$E$9),$E$9+SQRT(S423*($G$9-$E$9)*($F$9-$E$9)),$G$9-SQRT((1-S423)*($G$9-$E$9)*($G$9-$F$9))))</f>
        <v>1</v>
      </c>
      <c r="F423" s="37" t="n">
        <f aca="false">1+IF($G$10=$E$10,$F$10,IF(T423&lt;($F$10-$E$10)/($G$10-$E$10),$E$10+SQRT(T423*($G$10-$E$10)*($F$10-$E$10)),$G$10-SQRT((1-T423)*($G$10-$E$10)*($G$10-$F$10))))</f>
        <v>1</v>
      </c>
      <c r="G423" s="38" t="n">
        <f aca="false">IF($G$11=$E$11,$F$11,IF(U423&lt;($F$11-$E$11)/($G$11-$E$11),$E$11+SQRT(U423*($G$11-$E$11)*($F$11-$E$11)),$G$11-SQRT((1-U423)*($G$11-$E$11)*($G$11-$F$11))))</f>
        <v>0</v>
      </c>
      <c r="H423" s="39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0</v>
      </c>
      <c r="I423" s="39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0</v>
      </c>
      <c r="J423" s="39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0</v>
      </c>
      <c r="K423" s="39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0</v>
      </c>
      <c r="L423" s="39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0</v>
      </c>
      <c r="M423" s="39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0</v>
      </c>
      <c r="N423" s="39" t="str">
        <f aca="false">IF(COUNT('Business Case'!B11:G11)=0,"",H423+NPV(G423,I423:M423))</f>
        <v/>
      </c>
      <c r="P423" s="40" t="n">
        <f aca="true">RAND()</f>
        <v>0.0021544707581398</v>
      </c>
      <c r="Q423" s="40" t="n">
        <f aca="true">RAND()</f>
        <v>0.576695257052172</v>
      </c>
      <c r="R423" s="40" t="n">
        <f aca="true">RAND()</f>
        <v>0.95322312522738</v>
      </c>
      <c r="S423" s="40" t="n">
        <f aca="true">RAND()</f>
        <v>0.361091597202397</v>
      </c>
      <c r="T423" s="40" t="n">
        <f aca="true">RAND()</f>
        <v>0.946393367287941</v>
      </c>
      <c r="U423" s="40" t="n">
        <f aca="true">RAND()</f>
        <v>0.744282055026883</v>
      </c>
    </row>
    <row r="424" customFormat="false" ht="15" hidden="false" customHeight="false" outlineLevel="0" collapsed="false">
      <c r="A424" s="36" t="n">
        <v>344</v>
      </c>
      <c r="B424" s="37" t="n">
        <f aca="false">1+IF($G$6=$E$6,$F$6,IF(P424&lt;($F$6-$E$6)/($G$6-$E$6),$E$6+SQRT(P424*($G$6-$E$6)*($F$6-$E$6)),$G$6-SQRT((1-P424)*($G$6-$E$6)*($G$6-$F$6))))</f>
        <v>1</v>
      </c>
      <c r="C424" s="37" t="n">
        <f aca="false">1+IF($G$7=$E$7,$F$7,IF(Q424&lt;($F$7-$E$7)/($G$7-$E$7),$E$7+SQRT(Q424*($G$7-$E$7)*($F$7-$E$7)),$G$7-SQRT((1-Q424)*($G$7-$E$7)*($G$7-$F$7))))</f>
        <v>1</v>
      </c>
      <c r="D424" s="37" t="n">
        <f aca="false">1+IF($G$8=$E$8,$F$8,IF(R424&lt;($F$8-$E$8)/($G$8-$E$8),$E$8+SQRT(R424*($G$8-$E$8)*($F$8-$E$8)),$G$8-SQRT((1-R424)*($G$8-$E$8)*($G$8-$F$8))))</f>
        <v>1</v>
      </c>
      <c r="E424" s="37" t="n">
        <f aca="false">1+IF($G$9=$E$9,$F$9,IF(S424&lt;($F$9-$E$9)/($G$9-$E$9),$E$9+SQRT(S424*($G$9-$E$9)*($F$9-$E$9)),$G$9-SQRT((1-S424)*($G$9-$E$9)*($G$9-$F$9))))</f>
        <v>1</v>
      </c>
      <c r="F424" s="37" t="n">
        <f aca="false">1+IF($G$10=$E$10,$F$10,IF(T424&lt;($F$10-$E$10)/($G$10-$E$10),$E$10+SQRT(T424*($G$10-$E$10)*($F$10-$E$10)),$G$10-SQRT((1-T424)*($G$10-$E$10)*($G$10-$F$10))))</f>
        <v>1</v>
      </c>
      <c r="G424" s="38" t="n">
        <f aca="false">IF($G$11=$E$11,$F$11,IF(U424&lt;($F$11-$E$11)/($G$11-$E$11),$E$11+SQRT(U424*($G$11-$E$11)*($F$11-$E$11)),$G$11-SQRT((1-U424)*($G$11-$E$11)*($G$11-$F$11))))</f>
        <v>0</v>
      </c>
      <c r="H424" s="39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0</v>
      </c>
      <c r="I424" s="39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0</v>
      </c>
      <c r="J424" s="39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0</v>
      </c>
      <c r="K424" s="39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0</v>
      </c>
      <c r="L424" s="39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0</v>
      </c>
      <c r="M424" s="39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0</v>
      </c>
      <c r="N424" s="39" t="str">
        <f aca="false">IF(COUNT('Business Case'!B11:G11)=0,"",H424+NPV(G424,I424:M424))</f>
        <v/>
      </c>
      <c r="P424" s="40" t="n">
        <f aca="true">RAND()</f>
        <v>0.950410173736985</v>
      </c>
      <c r="Q424" s="40" t="n">
        <f aca="true">RAND()</f>
        <v>0.660440157634775</v>
      </c>
      <c r="R424" s="40" t="n">
        <f aca="true">RAND()</f>
        <v>0.789656473340374</v>
      </c>
      <c r="S424" s="40" t="n">
        <f aca="true">RAND()</f>
        <v>0.776373708481925</v>
      </c>
      <c r="T424" s="40" t="n">
        <f aca="true">RAND()</f>
        <v>0.0774446518951666</v>
      </c>
      <c r="U424" s="40" t="n">
        <f aca="true">RAND()</f>
        <v>0.257320701283124</v>
      </c>
    </row>
    <row r="425" customFormat="false" ht="15" hidden="false" customHeight="false" outlineLevel="0" collapsed="false">
      <c r="A425" s="36" t="n">
        <v>345</v>
      </c>
      <c r="B425" s="37" t="n">
        <f aca="false">1+IF($G$6=$E$6,$F$6,IF(P425&lt;($F$6-$E$6)/($G$6-$E$6),$E$6+SQRT(P425*($G$6-$E$6)*($F$6-$E$6)),$G$6-SQRT((1-P425)*($G$6-$E$6)*($G$6-$F$6))))</f>
        <v>1</v>
      </c>
      <c r="C425" s="37" t="n">
        <f aca="false">1+IF($G$7=$E$7,$F$7,IF(Q425&lt;($F$7-$E$7)/($G$7-$E$7),$E$7+SQRT(Q425*($G$7-$E$7)*($F$7-$E$7)),$G$7-SQRT((1-Q425)*($G$7-$E$7)*($G$7-$F$7))))</f>
        <v>1</v>
      </c>
      <c r="D425" s="37" t="n">
        <f aca="false">1+IF($G$8=$E$8,$F$8,IF(R425&lt;($F$8-$E$8)/($G$8-$E$8),$E$8+SQRT(R425*($G$8-$E$8)*($F$8-$E$8)),$G$8-SQRT((1-R425)*($G$8-$E$8)*($G$8-$F$8))))</f>
        <v>1</v>
      </c>
      <c r="E425" s="37" t="n">
        <f aca="false">1+IF($G$9=$E$9,$F$9,IF(S425&lt;($F$9-$E$9)/($G$9-$E$9),$E$9+SQRT(S425*($G$9-$E$9)*($F$9-$E$9)),$G$9-SQRT((1-S425)*($G$9-$E$9)*($G$9-$F$9))))</f>
        <v>1</v>
      </c>
      <c r="F425" s="37" t="n">
        <f aca="false">1+IF($G$10=$E$10,$F$10,IF(T425&lt;($F$10-$E$10)/($G$10-$E$10),$E$10+SQRT(T425*($G$10-$E$10)*($F$10-$E$10)),$G$10-SQRT((1-T425)*($G$10-$E$10)*($G$10-$F$10))))</f>
        <v>1</v>
      </c>
      <c r="G425" s="38" t="n">
        <f aca="false">IF($G$11=$E$11,$F$11,IF(U425&lt;($F$11-$E$11)/($G$11-$E$11),$E$11+SQRT(U425*($G$11-$E$11)*($F$11-$E$11)),$G$11-SQRT((1-U425)*($G$11-$E$11)*($G$11-$F$11))))</f>
        <v>0</v>
      </c>
      <c r="H425" s="39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0</v>
      </c>
      <c r="I425" s="39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0</v>
      </c>
      <c r="J425" s="39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0</v>
      </c>
      <c r="K425" s="39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0</v>
      </c>
      <c r="L425" s="39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0</v>
      </c>
      <c r="M425" s="39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0</v>
      </c>
      <c r="N425" s="39" t="str">
        <f aca="false">IF(COUNT('Business Case'!B11:G11)=0,"",H425+NPV(G425,I425:M425))</f>
        <v/>
      </c>
      <c r="P425" s="40" t="n">
        <f aca="true">RAND()</f>
        <v>0.762113642120537</v>
      </c>
      <c r="Q425" s="40" t="n">
        <f aca="true">RAND()</f>
        <v>0.246685301237075</v>
      </c>
      <c r="R425" s="40" t="n">
        <f aca="true">RAND()</f>
        <v>0.894841508109604</v>
      </c>
      <c r="S425" s="40" t="n">
        <f aca="true">RAND()</f>
        <v>0.0704232332364142</v>
      </c>
      <c r="T425" s="40" t="n">
        <f aca="true">RAND()</f>
        <v>0.0717214652700547</v>
      </c>
      <c r="U425" s="40" t="n">
        <f aca="true">RAND()</f>
        <v>0.805685096056375</v>
      </c>
    </row>
    <row r="426" customFormat="false" ht="15" hidden="false" customHeight="false" outlineLevel="0" collapsed="false">
      <c r="A426" s="36" t="n">
        <v>346</v>
      </c>
      <c r="B426" s="37" t="n">
        <f aca="false">1+IF($G$6=$E$6,$F$6,IF(P426&lt;($F$6-$E$6)/($G$6-$E$6),$E$6+SQRT(P426*($G$6-$E$6)*($F$6-$E$6)),$G$6-SQRT((1-P426)*($G$6-$E$6)*($G$6-$F$6))))</f>
        <v>1</v>
      </c>
      <c r="C426" s="37" t="n">
        <f aca="false">1+IF($G$7=$E$7,$F$7,IF(Q426&lt;($F$7-$E$7)/($G$7-$E$7),$E$7+SQRT(Q426*($G$7-$E$7)*($F$7-$E$7)),$G$7-SQRT((1-Q426)*($G$7-$E$7)*($G$7-$F$7))))</f>
        <v>1</v>
      </c>
      <c r="D426" s="37" t="n">
        <f aca="false">1+IF($G$8=$E$8,$F$8,IF(R426&lt;($F$8-$E$8)/($G$8-$E$8),$E$8+SQRT(R426*($G$8-$E$8)*($F$8-$E$8)),$G$8-SQRT((1-R426)*($G$8-$E$8)*($G$8-$F$8))))</f>
        <v>1</v>
      </c>
      <c r="E426" s="37" t="n">
        <f aca="false">1+IF($G$9=$E$9,$F$9,IF(S426&lt;($F$9-$E$9)/($G$9-$E$9),$E$9+SQRT(S426*($G$9-$E$9)*($F$9-$E$9)),$G$9-SQRT((1-S426)*($G$9-$E$9)*($G$9-$F$9))))</f>
        <v>1</v>
      </c>
      <c r="F426" s="37" t="n">
        <f aca="false">1+IF($G$10=$E$10,$F$10,IF(T426&lt;($F$10-$E$10)/($G$10-$E$10),$E$10+SQRT(T426*($G$10-$E$10)*($F$10-$E$10)),$G$10-SQRT((1-T426)*($G$10-$E$10)*($G$10-$F$10))))</f>
        <v>1</v>
      </c>
      <c r="G426" s="38" t="n">
        <f aca="false">IF($G$11=$E$11,$F$11,IF(U426&lt;($F$11-$E$11)/($G$11-$E$11),$E$11+SQRT(U426*($G$11-$E$11)*($F$11-$E$11)),$G$11-SQRT((1-U426)*($G$11-$E$11)*($G$11-$F$11))))</f>
        <v>0</v>
      </c>
      <c r="H426" s="39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0</v>
      </c>
      <c r="I426" s="39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0</v>
      </c>
      <c r="J426" s="39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0</v>
      </c>
      <c r="K426" s="39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0</v>
      </c>
      <c r="L426" s="39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0</v>
      </c>
      <c r="M426" s="39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0</v>
      </c>
      <c r="N426" s="39" t="str">
        <f aca="false">IF(COUNT('Business Case'!B11:G11)=0,"",H426+NPV(G426,I426:M426))</f>
        <v/>
      </c>
      <c r="P426" s="40" t="n">
        <f aca="true">RAND()</f>
        <v>0.377973276364008</v>
      </c>
      <c r="Q426" s="40" t="n">
        <f aca="true">RAND()</f>
        <v>0.285007604900157</v>
      </c>
      <c r="R426" s="40" t="n">
        <f aca="true">RAND()</f>
        <v>0.847451732711548</v>
      </c>
      <c r="S426" s="40" t="n">
        <f aca="true">RAND()</f>
        <v>0.650990080783467</v>
      </c>
      <c r="T426" s="40" t="n">
        <f aca="true">RAND()</f>
        <v>0.995141650556947</v>
      </c>
      <c r="U426" s="40" t="n">
        <f aca="true">RAND()</f>
        <v>0.38097202909671</v>
      </c>
    </row>
    <row r="427" customFormat="false" ht="15" hidden="false" customHeight="false" outlineLevel="0" collapsed="false">
      <c r="A427" s="36" t="n">
        <v>347</v>
      </c>
      <c r="B427" s="37" t="n">
        <f aca="false">1+IF($G$6=$E$6,$F$6,IF(P427&lt;($F$6-$E$6)/($G$6-$E$6),$E$6+SQRT(P427*($G$6-$E$6)*($F$6-$E$6)),$G$6-SQRT((1-P427)*($G$6-$E$6)*($G$6-$F$6))))</f>
        <v>1</v>
      </c>
      <c r="C427" s="37" t="n">
        <f aca="false">1+IF($G$7=$E$7,$F$7,IF(Q427&lt;($F$7-$E$7)/($G$7-$E$7),$E$7+SQRT(Q427*($G$7-$E$7)*($F$7-$E$7)),$G$7-SQRT((1-Q427)*($G$7-$E$7)*($G$7-$F$7))))</f>
        <v>1</v>
      </c>
      <c r="D427" s="37" t="n">
        <f aca="false">1+IF($G$8=$E$8,$F$8,IF(R427&lt;($F$8-$E$8)/($G$8-$E$8),$E$8+SQRT(R427*($G$8-$E$8)*($F$8-$E$8)),$G$8-SQRT((1-R427)*($G$8-$E$8)*($G$8-$F$8))))</f>
        <v>1</v>
      </c>
      <c r="E427" s="37" t="n">
        <f aca="false">1+IF($G$9=$E$9,$F$9,IF(S427&lt;($F$9-$E$9)/($G$9-$E$9),$E$9+SQRT(S427*($G$9-$E$9)*($F$9-$E$9)),$G$9-SQRT((1-S427)*($G$9-$E$9)*($G$9-$F$9))))</f>
        <v>1</v>
      </c>
      <c r="F427" s="37" t="n">
        <f aca="false">1+IF($G$10=$E$10,$F$10,IF(T427&lt;($F$10-$E$10)/($G$10-$E$10),$E$10+SQRT(T427*($G$10-$E$10)*($F$10-$E$10)),$G$10-SQRT((1-T427)*($G$10-$E$10)*($G$10-$F$10))))</f>
        <v>1</v>
      </c>
      <c r="G427" s="38" t="n">
        <f aca="false">IF($G$11=$E$11,$F$11,IF(U427&lt;($F$11-$E$11)/($G$11-$E$11),$E$11+SQRT(U427*($G$11-$E$11)*($F$11-$E$11)),$G$11-SQRT((1-U427)*($G$11-$E$11)*($G$11-$F$11))))</f>
        <v>0</v>
      </c>
      <c r="H427" s="39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0</v>
      </c>
      <c r="I427" s="39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0</v>
      </c>
      <c r="J427" s="39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0</v>
      </c>
      <c r="K427" s="39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0</v>
      </c>
      <c r="L427" s="39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0</v>
      </c>
      <c r="M427" s="39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0</v>
      </c>
      <c r="N427" s="39" t="str">
        <f aca="false">IF(COUNT('Business Case'!B11:G11)=0,"",H427+NPV(G427,I427:M427))</f>
        <v/>
      </c>
      <c r="P427" s="40" t="n">
        <f aca="true">RAND()</f>
        <v>0.413603522668957</v>
      </c>
      <c r="Q427" s="40" t="n">
        <f aca="true">RAND()</f>
        <v>0.799819514401447</v>
      </c>
      <c r="R427" s="40" t="n">
        <f aca="true">RAND()</f>
        <v>0.665617019744196</v>
      </c>
      <c r="S427" s="40" t="n">
        <f aca="true">RAND()</f>
        <v>0.256214453095822</v>
      </c>
      <c r="T427" s="40" t="n">
        <f aca="true">RAND()</f>
        <v>0.374057405596807</v>
      </c>
      <c r="U427" s="40" t="n">
        <f aca="true">RAND()</f>
        <v>0.545585428780687</v>
      </c>
    </row>
    <row r="428" customFormat="false" ht="15" hidden="false" customHeight="false" outlineLevel="0" collapsed="false">
      <c r="A428" s="36" t="n">
        <v>348</v>
      </c>
      <c r="B428" s="37" t="n">
        <f aca="false">1+IF($G$6=$E$6,$F$6,IF(P428&lt;($F$6-$E$6)/($G$6-$E$6),$E$6+SQRT(P428*($G$6-$E$6)*($F$6-$E$6)),$G$6-SQRT((1-P428)*($G$6-$E$6)*($G$6-$F$6))))</f>
        <v>1</v>
      </c>
      <c r="C428" s="37" t="n">
        <f aca="false">1+IF($G$7=$E$7,$F$7,IF(Q428&lt;($F$7-$E$7)/($G$7-$E$7),$E$7+SQRT(Q428*($G$7-$E$7)*($F$7-$E$7)),$G$7-SQRT((1-Q428)*($G$7-$E$7)*($G$7-$F$7))))</f>
        <v>1</v>
      </c>
      <c r="D428" s="37" t="n">
        <f aca="false">1+IF($G$8=$E$8,$F$8,IF(R428&lt;($F$8-$E$8)/($G$8-$E$8),$E$8+SQRT(R428*($G$8-$E$8)*($F$8-$E$8)),$G$8-SQRT((1-R428)*($G$8-$E$8)*($G$8-$F$8))))</f>
        <v>1</v>
      </c>
      <c r="E428" s="37" t="n">
        <f aca="false">1+IF($G$9=$E$9,$F$9,IF(S428&lt;($F$9-$E$9)/($G$9-$E$9),$E$9+SQRT(S428*($G$9-$E$9)*($F$9-$E$9)),$G$9-SQRT((1-S428)*($G$9-$E$9)*($G$9-$F$9))))</f>
        <v>1</v>
      </c>
      <c r="F428" s="37" t="n">
        <f aca="false">1+IF($G$10=$E$10,$F$10,IF(T428&lt;($F$10-$E$10)/($G$10-$E$10),$E$10+SQRT(T428*($G$10-$E$10)*($F$10-$E$10)),$G$10-SQRT((1-T428)*($G$10-$E$10)*($G$10-$F$10))))</f>
        <v>1</v>
      </c>
      <c r="G428" s="38" t="n">
        <f aca="false">IF($G$11=$E$11,$F$11,IF(U428&lt;($F$11-$E$11)/($G$11-$E$11),$E$11+SQRT(U428*($G$11-$E$11)*($F$11-$E$11)),$G$11-SQRT((1-U428)*($G$11-$E$11)*($G$11-$F$11))))</f>
        <v>0</v>
      </c>
      <c r="H428" s="39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0</v>
      </c>
      <c r="I428" s="39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0</v>
      </c>
      <c r="J428" s="39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0</v>
      </c>
      <c r="K428" s="39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0</v>
      </c>
      <c r="L428" s="39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0</v>
      </c>
      <c r="M428" s="39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0</v>
      </c>
      <c r="N428" s="39" t="str">
        <f aca="false">IF(COUNT('Business Case'!B11:G11)=0,"",H428+NPV(G428,I428:M428))</f>
        <v/>
      </c>
      <c r="P428" s="40" t="n">
        <f aca="true">RAND()</f>
        <v>0.477645421351921</v>
      </c>
      <c r="Q428" s="40" t="n">
        <f aca="true">RAND()</f>
        <v>0.899440115876918</v>
      </c>
      <c r="R428" s="40" t="n">
        <f aca="true">RAND()</f>
        <v>0.0502841656153652</v>
      </c>
      <c r="S428" s="40" t="n">
        <f aca="true">RAND()</f>
        <v>0.668606352443388</v>
      </c>
      <c r="T428" s="40" t="n">
        <f aca="true">RAND()</f>
        <v>0.314273112386559</v>
      </c>
      <c r="U428" s="40" t="n">
        <f aca="true">RAND()</f>
        <v>0.795634880499717</v>
      </c>
    </row>
    <row r="429" customFormat="false" ht="15" hidden="false" customHeight="false" outlineLevel="0" collapsed="false">
      <c r="A429" s="36" t="n">
        <v>349</v>
      </c>
      <c r="B429" s="37" t="n">
        <f aca="false">1+IF($G$6=$E$6,$F$6,IF(P429&lt;($F$6-$E$6)/($G$6-$E$6),$E$6+SQRT(P429*($G$6-$E$6)*($F$6-$E$6)),$G$6-SQRT((1-P429)*($G$6-$E$6)*($G$6-$F$6))))</f>
        <v>1</v>
      </c>
      <c r="C429" s="37" t="n">
        <f aca="false">1+IF($G$7=$E$7,$F$7,IF(Q429&lt;($F$7-$E$7)/($G$7-$E$7),$E$7+SQRT(Q429*($G$7-$E$7)*($F$7-$E$7)),$G$7-SQRT((1-Q429)*($G$7-$E$7)*($G$7-$F$7))))</f>
        <v>1</v>
      </c>
      <c r="D429" s="37" t="n">
        <f aca="false">1+IF($G$8=$E$8,$F$8,IF(R429&lt;($F$8-$E$8)/($G$8-$E$8),$E$8+SQRT(R429*($G$8-$E$8)*($F$8-$E$8)),$G$8-SQRT((1-R429)*($G$8-$E$8)*($G$8-$F$8))))</f>
        <v>1</v>
      </c>
      <c r="E429" s="37" t="n">
        <f aca="false">1+IF($G$9=$E$9,$F$9,IF(S429&lt;($F$9-$E$9)/($G$9-$E$9),$E$9+SQRT(S429*($G$9-$E$9)*($F$9-$E$9)),$G$9-SQRT((1-S429)*($G$9-$E$9)*($G$9-$F$9))))</f>
        <v>1</v>
      </c>
      <c r="F429" s="37" t="n">
        <f aca="false">1+IF($G$10=$E$10,$F$10,IF(T429&lt;($F$10-$E$10)/($G$10-$E$10),$E$10+SQRT(T429*($G$10-$E$10)*($F$10-$E$10)),$G$10-SQRT((1-T429)*($G$10-$E$10)*($G$10-$F$10))))</f>
        <v>1</v>
      </c>
      <c r="G429" s="38" t="n">
        <f aca="false">IF($G$11=$E$11,$F$11,IF(U429&lt;($F$11-$E$11)/($G$11-$E$11),$E$11+SQRT(U429*($G$11-$E$11)*($F$11-$E$11)),$G$11-SQRT((1-U429)*($G$11-$E$11)*($G$11-$F$11))))</f>
        <v>0</v>
      </c>
      <c r="H429" s="39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0</v>
      </c>
      <c r="I429" s="39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0</v>
      </c>
      <c r="J429" s="39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0</v>
      </c>
      <c r="K429" s="39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0</v>
      </c>
      <c r="L429" s="39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0</v>
      </c>
      <c r="M429" s="39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0</v>
      </c>
      <c r="N429" s="39" t="str">
        <f aca="false">IF(COUNT('Business Case'!B11:G11)=0,"",H429+NPV(G429,I429:M429))</f>
        <v/>
      </c>
      <c r="P429" s="40" t="n">
        <f aca="true">RAND()</f>
        <v>0.310713026835205</v>
      </c>
      <c r="Q429" s="40" t="n">
        <f aca="true">RAND()</f>
        <v>0.98038946589677</v>
      </c>
      <c r="R429" s="40" t="n">
        <f aca="true">RAND()</f>
        <v>0.658870191905648</v>
      </c>
      <c r="S429" s="40" t="n">
        <f aca="true">RAND()</f>
        <v>0.749752291221269</v>
      </c>
      <c r="T429" s="40" t="n">
        <f aca="true">RAND()</f>
        <v>0.223888233294855</v>
      </c>
      <c r="U429" s="40" t="n">
        <f aca="true">RAND()</f>
        <v>0.405528226684915</v>
      </c>
    </row>
    <row r="430" customFormat="false" ht="15" hidden="false" customHeight="false" outlineLevel="0" collapsed="false">
      <c r="A430" s="36" t="n">
        <v>350</v>
      </c>
      <c r="B430" s="37" t="n">
        <f aca="false">1+IF($G$6=$E$6,$F$6,IF(P430&lt;($F$6-$E$6)/($G$6-$E$6),$E$6+SQRT(P430*($G$6-$E$6)*($F$6-$E$6)),$G$6-SQRT((1-P430)*($G$6-$E$6)*($G$6-$F$6))))</f>
        <v>1</v>
      </c>
      <c r="C430" s="37" t="n">
        <f aca="false">1+IF($G$7=$E$7,$F$7,IF(Q430&lt;($F$7-$E$7)/($G$7-$E$7),$E$7+SQRT(Q430*($G$7-$E$7)*($F$7-$E$7)),$G$7-SQRT((1-Q430)*($G$7-$E$7)*($G$7-$F$7))))</f>
        <v>1</v>
      </c>
      <c r="D430" s="37" t="n">
        <f aca="false">1+IF($G$8=$E$8,$F$8,IF(R430&lt;($F$8-$E$8)/($G$8-$E$8),$E$8+SQRT(R430*($G$8-$E$8)*($F$8-$E$8)),$G$8-SQRT((1-R430)*($G$8-$E$8)*($G$8-$F$8))))</f>
        <v>1</v>
      </c>
      <c r="E430" s="37" t="n">
        <f aca="false">1+IF($G$9=$E$9,$F$9,IF(S430&lt;($F$9-$E$9)/($G$9-$E$9),$E$9+SQRT(S430*($G$9-$E$9)*($F$9-$E$9)),$G$9-SQRT((1-S430)*($G$9-$E$9)*($G$9-$F$9))))</f>
        <v>1</v>
      </c>
      <c r="F430" s="37" t="n">
        <f aca="false">1+IF($G$10=$E$10,$F$10,IF(T430&lt;($F$10-$E$10)/($G$10-$E$10),$E$10+SQRT(T430*($G$10-$E$10)*($F$10-$E$10)),$G$10-SQRT((1-T430)*($G$10-$E$10)*($G$10-$F$10))))</f>
        <v>1</v>
      </c>
      <c r="G430" s="38" t="n">
        <f aca="false">IF($G$11=$E$11,$F$11,IF(U430&lt;($F$11-$E$11)/($G$11-$E$11),$E$11+SQRT(U430*($G$11-$E$11)*($F$11-$E$11)),$G$11-SQRT((1-U430)*($G$11-$E$11)*($G$11-$F$11))))</f>
        <v>0</v>
      </c>
      <c r="H430" s="39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0</v>
      </c>
      <c r="I430" s="39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0</v>
      </c>
      <c r="J430" s="39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0</v>
      </c>
      <c r="K430" s="39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0</v>
      </c>
      <c r="L430" s="39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0</v>
      </c>
      <c r="M430" s="39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0</v>
      </c>
      <c r="N430" s="39" t="str">
        <f aca="false">IF(COUNT('Business Case'!B11:G11)=0,"",H430+NPV(G430,I430:M430))</f>
        <v/>
      </c>
      <c r="P430" s="40" t="n">
        <f aca="true">RAND()</f>
        <v>0.68462318785823</v>
      </c>
      <c r="Q430" s="40" t="n">
        <f aca="true">RAND()</f>
        <v>0.99193759076519</v>
      </c>
      <c r="R430" s="40" t="n">
        <f aca="true">RAND()</f>
        <v>0.48277315863621</v>
      </c>
      <c r="S430" s="40" t="n">
        <f aca="true">RAND()</f>
        <v>0.605151851982153</v>
      </c>
      <c r="T430" s="40" t="n">
        <f aca="true">RAND()</f>
        <v>0.0874133351314442</v>
      </c>
      <c r="U430" s="40" t="n">
        <f aca="true">RAND()</f>
        <v>0.272483318236115</v>
      </c>
    </row>
    <row r="431" customFormat="false" ht="15" hidden="false" customHeight="false" outlineLevel="0" collapsed="false">
      <c r="A431" s="36" t="n">
        <v>351</v>
      </c>
      <c r="B431" s="37" t="n">
        <f aca="false">1+IF($G$6=$E$6,$F$6,IF(P431&lt;($F$6-$E$6)/($G$6-$E$6),$E$6+SQRT(P431*($G$6-$E$6)*($F$6-$E$6)),$G$6-SQRT((1-P431)*($G$6-$E$6)*($G$6-$F$6))))</f>
        <v>1</v>
      </c>
      <c r="C431" s="37" t="n">
        <f aca="false">1+IF($G$7=$E$7,$F$7,IF(Q431&lt;($F$7-$E$7)/($G$7-$E$7),$E$7+SQRT(Q431*($G$7-$E$7)*($F$7-$E$7)),$G$7-SQRT((1-Q431)*($G$7-$E$7)*($G$7-$F$7))))</f>
        <v>1</v>
      </c>
      <c r="D431" s="37" t="n">
        <f aca="false">1+IF($G$8=$E$8,$F$8,IF(R431&lt;($F$8-$E$8)/($G$8-$E$8),$E$8+SQRT(R431*($G$8-$E$8)*($F$8-$E$8)),$G$8-SQRT((1-R431)*($G$8-$E$8)*($G$8-$F$8))))</f>
        <v>1</v>
      </c>
      <c r="E431" s="37" t="n">
        <f aca="false">1+IF($G$9=$E$9,$F$9,IF(S431&lt;($F$9-$E$9)/($G$9-$E$9),$E$9+SQRT(S431*($G$9-$E$9)*($F$9-$E$9)),$G$9-SQRT((1-S431)*($G$9-$E$9)*($G$9-$F$9))))</f>
        <v>1</v>
      </c>
      <c r="F431" s="37" t="n">
        <f aca="false">1+IF($G$10=$E$10,$F$10,IF(T431&lt;($F$10-$E$10)/($G$10-$E$10),$E$10+SQRT(T431*($G$10-$E$10)*($F$10-$E$10)),$G$10-SQRT((1-T431)*($G$10-$E$10)*($G$10-$F$10))))</f>
        <v>1</v>
      </c>
      <c r="G431" s="38" t="n">
        <f aca="false">IF($G$11=$E$11,$F$11,IF(U431&lt;($F$11-$E$11)/($G$11-$E$11),$E$11+SQRT(U431*($G$11-$E$11)*($F$11-$E$11)),$G$11-SQRT((1-U431)*($G$11-$E$11)*($G$11-$F$11))))</f>
        <v>0</v>
      </c>
      <c r="H431" s="39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0</v>
      </c>
      <c r="I431" s="39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0</v>
      </c>
      <c r="J431" s="39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0</v>
      </c>
      <c r="K431" s="39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0</v>
      </c>
      <c r="L431" s="39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0</v>
      </c>
      <c r="M431" s="39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0</v>
      </c>
      <c r="N431" s="39" t="str">
        <f aca="false">IF(COUNT('Business Case'!B11:G11)=0,"",H431+NPV(G431,I431:M431))</f>
        <v/>
      </c>
      <c r="P431" s="40" t="n">
        <f aca="true">RAND()</f>
        <v>0.634665823273149</v>
      </c>
      <c r="Q431" s="40" t="n">
        <f aca="true">RAND()</f>
        <v>0.997290463663503</v>
      </c>
      <c r="R431" s="40" t="n">
        <f aca="true">RAND()</f>
        <v>0.878757271710001</v>
      </c>
      <c r="S431" s="40" t="n">
        <f aca="true">RAND()</f>
        <v>0.552576902296992</v>
      </c>
      <c r="T431" s="40" t="n">
        <f aca="true">RAND()</f>
        <v>0.799748482669518</v>
      </c>
      <c r="U431" s="40" t="n">
        <f aca="true">RAND()</f>
        <v>0.171565716257096</v>
      </c>
    </row>
    <row r="432" customFormat="false" ht="15" hidden="false" customHeight="false" outlineLevel="0" collapsed="false">
      <c r="A432" s="36" t="n">
        <v>352</v>
      </c>
      <c r="B432" s="37" t="n">
        <f aca="false">1+IF($G$6=$E$6,$F$6,IF(P432&lt;($F$6-$E$6)/($G$6-$E$6),$E$6+SQRT(P432*($G$6-$E$6)*($F$6-$E$6)),$G$6-SQRT((1-P432)*($G$6-$E$6)*($G$6-$F$6))))</f>
        <v>1</v>
      </c>
      <c r="C432" s="37" t="n">
        <f aca="false">1+IF($G$7=$E$7,$F$7,IF(Q432&lt;($F$7-$E$7)/($G$7-$E$7),$E$7+SQRT(Q432*($G$7-$E$7)*($F$7-$E$7)),$G$7-SQRT((1-Q432)*($G$7-$E$7)*($G$7-$F$7))))</f>
        <v>1</v>
      </c>
      <c r="D432" s="37" t="n">
        <f aca="false">1+IF($G$8=$E$8,$F$8,IF(R432&lt;($F$8-$E$8)/($G$8-$E$8),$E$8+SQRT(R432*($G$8-$E$8)*($F$8-$E$8)),$G$8-SQRT((1-R432)*($G$8-$E$8)*($G$8-$F$8))))</f>
        <v>1</v>
      </c>
      <c r="E432" s="37" t="n">
        <f aca="false">1+IF($G$9=$E$9,$F$9,IF(S432&lt;($F$9-$E$9)/($G$9-$E$9),$E$9+SQRT(S432*($G$9-$E$9)*($F$9-$E$9)),$G$9-SQRT((1-S432)*($G$9-$E$9)*($G$9-$F$9))))</f>
        <v>1</v>
      </c>
      <c r="F432" s="37" t="n">
        <f aca="false">1+IF($G$10=$E$10,$F$10,IF(T432&lt;($F$10-$E$10)/($G$10-$E$10),$E$10+SQRT(T432*($G$10-$E$10)*($F$10-$E$10)),$G$10-SQRT((1-T432)*($G$10-$E$10)*($G$10-$F$10))))</f>
        <v>1</v>
      </c>
      <c r="G432" s="38" t="n">
        <f aca="false">IF($G$11=$E$11,$F$11,IF(U432&lt;($F$11-$E$11)/($G$11-$E$11),$E$11+SQRT(U432*($G$11-$E$11)*($F$11-$E$11)),$G$11-SQRT((1-U432)*($G$11-$E$11)*($G$11-$F$11))))</f>
        <v>0</v>
      </c>
      <c r="H432" s="39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0</v>
      </c>
      <c r="I432" s="39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0</v>
      </c>
      <c r="J432" s="39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0</v>
      </c>
      <c r="K432" s="39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0</v>
      </c>
      <c r="L432" s="39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0</v>
      </c>
      <c r="M432" s="39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0</v>
      </c>
      <c r="N432" s="39" t="str">
        <f aca="false">IF(COUNT('Business Case'!B11:G11)=0,"",H432+NPV(G432,I432:M432))</f>
        <v/>
      </c>
      <c r="P432" s="40" t="n">
        <f aca="true">RAND()</f>
        <v>0.514660211342115</v>
      </c>
      <c r="Q432" s="40" t="n">
        <f aca="true">RAND()</f>
        <v>0.0662216256760052</v>
      </c>
      <c r="R432" s="40" t="n">
        <f aca="true">RAND()</f>
        <v>0.095907626474053</v>
      </c>
      <c r="S432" s="40" t="n">
        <f aca="true">RAND()</f>
        <v>0.385471298832383</v>
      </c>
      <c r="T432" s="40" t="n">
        <f aca="true">RAND()</f>
        <v>0.171940646410244</v>
      </c>
      <c r="U432" s="40" t="n">
        <f aca="true">RAND()</f>
        <v>0.424656300115114</v>
      </c>
    </row>
    <row r="433" customFormat="false" ht="15" hidden="false" customHeight="false" outlineLevel="0" collapsed="false">
      <c r="A433" s="36" t="n">
        <v>353</v>
      </c>
      <c r="B433" s="37" t="n">
        <f aca="false">1+IF($G$6=$E$6,$F$6,IF(P433&lt;($F$6-$E$6)/($G$6-$E$6),$E$6+SQRT(P433*($G$6-$E$6)*($F$6-$E$6)),$G$6-SQRT((1-P433)*($G$6-$E$6)*($G$6-$F$6))))</f>
        <v>1</v>
      </c>
      <c r="C433" s="37" t="n">
        <f aca="false">1+IF($G$7=$E$7,$F$7,IF(Q433&lt;($F$7-$E$7)/($G$7-$E$7),$E$7+SQRT(Q433*($G$7-$E$7)*($F$7-$E$7)),$G$7-SQRT((1-Q433)*($G$7-$E$7)*($G$7-$F$7))))</f>
        <v>1</v>
      </c>
      <c r="D433" s="37" t="n">
        <f aca="false">1+IF($G$8=$E$8,$F$8,IF(R433&lt;($F$8-$E$8)/($G$8-$E$8),$E$8+SQRT(R433*($G$8-$E$8)*($F$8-$E$8)),$G$8-SQRT((1-R433)*($G$8-$E$8)*($G$8-$F$8))))</f>
        <v>1</v>
      </c>
      <c r="E433" s="37" t="n">
        <f aca="false">1+IF($G$9=$E$9,$F$9,IF(S433&lt;($F$9-$E$9)/($G$9-$E$9),$E$9+SQRT(S433*($G$9-$E$9)*($F$9-$E$9)),$G$9-SQRT((1-S433)*($G$9-$E$9)*($G$9-$F$9))))</f>
        <v>1</v>
      </c>
      <c r="F433" s="37" t="n">
        <f aca="false">1+IF($G$10=$E$10,$F$10,IF(T433&lt;($F$10-$E$10)/($G$10-$E$10),$E$10+SQRT(T433*($G$10-$E$10)*($F$10-$E$10)),$G$10-SQRT((1-T433)*($G$10-$E$10)*($G$10-$F$10))))</f>
        <v>1</v>
      </c>
      <c r="G433" s="38" t="n">
        <f aca="false">IF($G$11=$E$11,$F$11,IF(U433&lt;($F$11-$E$11)/($G$11-$E$11),$E$11+SQRT(U433*($G$11-$E$11)*($F$11-$E$11)),$G$11-SQRT((1-U433)*($G$11-$E$11)*($G$11-$F$11))))</f>
        <v>0</v>
      </c>
      <c r="H433" s="39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0</v>
      </c>
      <c r="I433" s="39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0</v>
      </c>
      <c r="J433" s="39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0</v>
      </c>
      <c r="K433" s="39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0</v>
      </c>
      <c r="L433" s="39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0</v>
      </c>
      <c r="M433" s="39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0</v>
      </c>
      <c r="N433" s="39" t="str">
        <f aca="false">IF(COUNT('Business Case'!B11:G11)=0,"",H433+NPV(G433,I433:M433))</f>
        <v/>
      </c>
      <c r="P433" s="40" t="n">
        <f aca="true">RAND()</f>
        <v>0.621729776830911</v>
      </c>
      <c r="Q433" s="40" t="n">
        <f aca="true">RAND()</f>
        <v>0.181313701886779</v>
      </c>
      <c r="R433" s="40" t="n">
        <f aca="true">RAND()</f>
        <v>0.275663145140664</v>
      </c>
      <c r="S433" s="40" t="n">
        <f aca="true">RAND()</f>
        <v>0.875289949696419</v>
      </c>
      <c r="T433" s="40" t="n">
        <f aca="true">RAND()</f>
        <v>0.467182562656939</v>
      </c>
      <c r="U433" s="40" t="n">
        <f aca="true">RAND()</f>
        <v>0.202565381204103</v>
      </c>
    </row>
    <row r="434" customFormat="false" ht="15" hidden="false" customHeight="false" outlineLevel="0" collapsed="false">
      <c r="A434" s="36" t="n">
        <v>354</v>
      </c>
      <c r="B434" s="37" t="n">
        <f aca="false">1+IF($G$6=$E$6,$F$6,IF(P434&lt;($F$6-$E$6)/($G$6-$E$6),$E$6+SQRT(P434*($G$6-$E$6)*($F$6-$E$6)),$G$6-SQRT((1-P434)*($G$6-$E$6)*($G$6-$F$6))))</f>
        <v>1</v>
      </c>
      <c r="C434" s="37" t="n">
        <f aca="false">1+IF($G$7=$E$7,$F$7,IF(Q434&lt;($F$7-$E$7)/($G$7-$E$7),$E$7+SQRT(Q434*($G$7-$E$7)*($F$7-$E$7)),$G$7-SQRT((1-Q434)*($G$7-$E$7)*($G$7-$F$7))))</f>
        <v>1</v>
      </c>
      <c r="D434" s="37" t="n">
        <f aca="false">1+IF($G$8=$E$8,$F$8,IF(R434&lt;($F$8-$E$8)/($G$8-$E$8),$E$8+SQRT(R434*($G$8-$E$8)*($F$8-$E$8)),$G$8-SQRT((1-R434)*($G$8-$E$8)*($G$8-$F$8))))</f>
        <v>1</v>
      </c>
      <c r="E434" s="37" t="n">
        <f aca="false">1+IF($G$9=$E$9,$F$9,IF(S434&lt;($F$9-$E$9)/($G$9-$E$9),$E$9+SQRT(S434*($G$9-$E$9)*($F$9-$E$9)),$G$9-SQRT((1-S434)*($G$9-$E$9)*($G$9-$F$9))))</f>
        <v>1</v>
      </c>
      <c r="F434" s="37" t="n">
        <f aca="false">1+IF($G$10=$E$10,$F$10,IF(T434&lt;($F$10-$E$10)/($G$10-$E$10),$E$10+SQRT(T434*($G$10-$E$10)*($F$10-$E$10)),$G$10-SQRT((1-T434)*($G$10-$E$10)*($G$10-$F$10))))</f>
        <v>1</v>
      </c>
      <c r="G434" s="38" t="n">
        <f aca="false">IF($G$11=$E$11,$F$11,IF(U434&lt;($F$11-$E$11)/($G$11-$E$11),$E$11+SQRT(U434*($G$11-$E$11)*($F$11-$E$11)),$G$11-SQRT((1-U434)*($G$11-$E$11)*($G$11-$F$11))))</f>
        <v>0</v>
      </c>
      <c r="H434" s="39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0</v>
      </c>
      <c r="I434" s="39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0</v>
      </c>
      <c r="J434" s="39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0</v>
      </c>
      <c r="K434" s="39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0</v>
      </c>
      <c r="L434" s="39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0</v>
      </c>
      <c r="M434" s="39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0</v>
      </c>
      <c r="N434" s="39" t="str">
        <f aca="false">IF(COUNT('Business Case'!B11:G11)=0,"",H434+NPV(G434,I434:M434))</f>
        <v/>
      </c>
      <c r="P434" s="40" t="n">
        <f aca="true">RAND()</f>
        <v>0.757951238995525</v>
      </c>
      <c r="Q434" s="40" t="n">
        <f aca="true">RAND()</f>
        <v>0.402423957603023</v>
      </c>
      <c r="R434" s="40" t="n">
        <f aca="true">RAND()</f>
        <v>0.877068553339238</v>
      </c>
      <c r="S434" s="40" t="n">
        <f aca="true">RAND()</f>
        <v>0.667513591002474</v>
      </c>
      <c r="T434" s="40" t="n">
        <f aca="true">RAND()</f>
        <v>0.540461021733295</v>
      </c>
      <c r="U434" s="40" t="n">
        <f aca="true">RAND()</f>
        <v>0.588675029505607</v>
      </c>
    </row>
    <row r="435" customFormat="false" ht="15" hidden="false" customHeight="false" outlineLevel="0" collapsed="false">
      <c r="A435" s="36" t="n">
        <v>355</v>
      </c>
      <c r="B435" s="37" t="n">
        <f aca="false">1+IF($G$6=$E$6,$F$6,IF(P435&lt;($F$6-$E$6)/($G$6-$E$6),$E$6+SQRT(P435*($G$6-$E$6)*($F$6-$E$6)),$G$6-SQRT((1-P435)*($G$6-$E$6)*($G$6-$F$6))))</f>
        <v>1</v>
      </c>
      <c r="C435" s="37" t="n">
        <f aca="false">1+IF($G$7=$E$7,$F$7,IF(Q435&lt;($F$7-$E$7)/($G$7-$E$7),$E$7+SQRT(Q435*($G$7-$E$7)*($F$7-$E$7)),$G$7-SQRT((1-Q435)*($G$7-$E$7)*($G$7-$F$7))))</f>
        <v>1</v>
      </c>
      <c r="D435" s="37" t="n">
        <f aca="false">1+IF($G$8=$E$8,$F$8,IF(R435&lt;($F$8-$E$8)/($G$8-$E$8),$E$8+SQRT(R435*($G$8-$E$8)*($F$8-$E$8)),$G$8-SQRT((1-R435)*($G$8-$E$8)*($G$8-$F$8))))</f>
        <v>1</v>
      </c>
      <c r="E435" s="37" t="n">
        <f aca="false">1+IF($G$9=$E$9,$F$9,IF(S435&lt;($F$9-$E$9)/($G$9-$E$9),$E$9+SQRT(S435*($G$9-$E$9)*($F$9-$E$9)),$G$9-SQRT((1-S435)*($G$9-$E$9)*($G$9-$F$9))))</f>
        <v>1</v>
      </c>
      <c r="F435" s="37" t="n">
        <f aca="false">1+IF($G$10=$E$10,$F$10,IF(T435&lt;($F$10-$E$10)/($G$10-$E$10),$E$10+SQRT(T435*($G$10-$E$10)*($F$10-$E$10)),$G$10-SQRT((1-T435)*($G$10-$E$10)*($G$10-$F$10))))</f>
        <v>1</v>
      </c>
      <c r="G435" s="38" t="n">
        <f aca="false">IF($G$11=$E$11,$F$11,IF(U435&lt;($F$11-$E$11)/($G$11-$E$11),$E$11+SQRT(U435*($G$11-$E$11)*($F$11-$E$11)),$G$11-SQRT((1-U435)*($G$11-$E$11)*($G$11-$F$11))))</f>
        <v>0</v>
      </c>
      <c r="H435" s="39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0</v>
      </c>
      <c r="I435" s="39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0</v>
      </c>
      <c r="J435" s="39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0</v>
      </c>
      <c r="K435" s="39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0</v>
      </c>
      <c r="L435" s="39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0</v>
      </c>
      <c r="M435" s="39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0</v>
      </c>
      <c r="N435" s="39" t="str">
        <f aca="false">IF(COUNT('Business Case'!B11:G11)=0,"",H435+NPV(G435,I435:M435))</f>
        <v/>
      </c>
      <c r="P435" s="40" t="n">
        <f aca="true">RAND()</f>
        <v>0.620951416614597</v>
      </c>
      <c r="Q435" s="40" t="n">
        <f aca="true">RAND()</f>
        <v>0.629936022896616</v>
      </c>
      <c r="R435" s="40" t="n">
        <f aca="true">RAND()</f>
        <v>0.993549045628388</v>
      </c>
      <c r="S435" s="40" t="n">
        <f aca="true">RAND()</f>
        <v>0.232087045980683</v>
      </c>
      <c r="T435" s="40" t="n">
        <f aca="true">RAND()</f>
        <v>0.511113445764864</v>
      </c>
      <c r="U435" s="40" t="n">
        <f aca="true">RAND()</f>
        <v>0.070476257567479</v>
      </c>
    </row>
    <row r="436" customFormat="false" ht="15" hidden="false" customHeight="false" outlineLevel="0" collapsed="false">
      <c r="A436" s="36" t="n">
        <v>356</v>
      </c>
      <c r="B436" s="37" t="n">
        <f aca="false">1+IF($G$6=$E$6,$F$6,IF(P436&lt;($F$6-$E$6)/($G$6-$E$6),$E$6+SQRT(P436*($G$6-$E$6)*($F$6-$E$6)),$G$6-SQRT((1-P436)*($G$6-$E$6)*($G$6-$F$6))))</f>
        <v>1</v>
      </c>
      <c r="C436" s="37" t="n">
        <f aca="false">1+IF($G$7=$E$7,$F$7,IF(Q436&lt;($F$7-$E$7)/($G$7-$E$7),$E$7+SQRT(Q436*($G$7-$E$7)*($F$7-$E$7)),$G$7-SQRT((1-Q436)*($G$7-$E$7)*($G$7-$F$7))))</f>
        <v>1</v>
      </c>
      <c r="D436" s="37" t="n">
        <f aca="false">1+IF($G$8=$E$8,$F$8,IF(R436&lt;($F$8-$E$8)/($G$8-$E$8),$E$8+SQRT(R436*($G$8-$E$8)*($F$8-$E$8)),$G$8-SQRT((1-R436)*($G$8-$E$8)*($G$8-$F$8))))</f>
        <v>1</v>
      </c>
      <c r="E436" s="37" t="n">
        <f aca="false">1+IF($G$9=$E$9,$F$9,IF(S436&lt;($F$9-$E$9)/($G$9-$E$9),$E$9+SQRT(S436*($G$9-$E$9)*($F$9-$E$9)),$G$9-SQRT((1-S436)*($G$9-$E$9)*($G$9-$F$9))))</f>
        <v>1</v>
      </c>
      <c r="F436" s="37" t="n">
        <f aca="false">1+IF($G$10=$E$10,$F$10,IF(T436&lt;($F$10-$E$10)/($G$10-$E$10),$E$10+SQRT(T436*($G$10-$E$10)*($F$10-$E$10)),$G$10-SQRT((1-T436)*($G$10-$E$10)*($G$10-$F$10))))</f>
        <v>1</v>
      </c>
      <c r="G436" s="38" t="n">
        <f aca="false">IF($G$11=$E$11,$F$11,IF(U436&lt;($F$11-$E$11)/($G$11-$E$11),$E$11+SQRT(U436*($G$11-$E$11)*($F$11-$E$11)),$G$11-SQRT((1-U436)*($G$11-$E$11)*($G$11-$F$11))))</f>
        <v>0</v>
      </c>
      <c r="H436" s="39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0</v>
      </c>
      <c r="I436" s="39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0</v>
      </c>
      <c r="J436" s="39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0</v>
      </c>
      <c r="K436" s="39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0</v>
      </c>
      <c r="L436" s="39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0</v>
      </c>
      <c r="M436" s="39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0</v>
      </c>
      <c r="N436" s="39" t="str">
        <f aca="false">IF(COUNT('Business Case'!B11:G11)=0,"",H436+NPV(G436,I436:M436))</f>
        <v/>
      </c>
      <c r="P436" s="40" t="n">
        <f aca="true">RAND()</f>
        <v>0.791550786347751</v>
      </c>
      <c r="Q436" s="40" t="n">
        <f aca="true">RAND()</f>
        <v>0.0641663812689151</v>
      </c>
      <c r="R436" s="40" t="n">
        <f aca="true">RAND()</f>
        <v>0.564377716434016</v>
      </c>
      <c r="S436" s="40" t="n">
        <f aca="true">RAND()</f>
        <v>0.651563166902262</v>
      </c>
      <c r="T436" s="40" t="n">
        <f aca="true">RAND()</f>
        <v>0.304087472217685</v>
      </c>
      <c r="U436" s="40" t="n">
        <f aca="true">RAND()</f>
        <v>0.940178257561005</v>
      </c>
    </row>
    <row r="437" customFormat="false" ht="15" hidden="false" customHeight="false" outlineLevel="0" collapsed="false">
      <c r="A437" s="36" t="n">
        <v>357</v>
      </c>
      <c r="B437" s="37" t="n">
        <f aca="false">1+IF($G$6=$E$6,$F$6,IF(P437&lt;($F$6-$E$6)/($G$6-$E$6),$E$6+SQRT(P437*($G$6-$E$6)*($F$6-$E$6)),$G$6-SQRT((1-P437)*($G$6-$E$6)*($G$6-$F$6))))</f>
        <v>1</v>
      </c>
      <c r="C437" s="37" t="n">
        <f aca="false">1+IF($G$7=$E$7,$F$7,IF(Q437&lt;($F$7-$E$7)/($G$7-$E$7),$E$7+SQRT(Q437*($G$7-$E$7)*($F$7-$E$7)),$G$7-SQRT((1-Q437)*($G$7-$E$7)*($G$7-$F$7))))</f>
        <v>1</v>
      </c>
      <c r="D437" s="37" t="n">
        <f aca="false">1+IF($G$8=$E$8,$F$8,IF(R437&lt;($F$8-$E$8)/($G$8-$E$8),$E$8+SQRT(R437*($G$8-$E$8)*($F$8-$E$8)),$G$8-SQRT((1-R437)*($G$8-$E$8)*($G$8-$F$8))))</f>
        <v>1</v>
      </c>
      <c r="E437" s="37" t="n">
        <f aca="false">1+IF($G$9=$E$9,$F$9,IF(S437&lt;($F$9-$E$9)/($G$9-$E$9),$E$9+SQRT(S437*($G$9-$E$9)*($F$9-$E$9)),$G$9-SQRT((1-S437)*($G$9-$E$9)*($G$9-$F$9))))</f>
        <v>1</v>
      </c>
      <c r="F437" s="37" t="n">
        <f aca="false">1+IF($G$10=$E$10,$F$10,IF(T437&lt;($F$10-$E$10)/($G$10-$E$10),$E$10+SQRT(T437*($G$10-$E$10)*($F$10-$E$10)),$G$10-SQRT((1-T437)*($G$10-$E$10)*($G$10-$F$10))))</f>
        <v>1</v>
      </c>
      <c r="G437" s="38" t="n">
        <f aca="false">IF($G$11=$E$11,$F$11,IF(U437&lt;($F$11-$E$11)/($G$11-$E$11),$E$11+SQRT(U437*($G$11-$E$11)*($F$11-$E$11)),$G$11-SQRT((1-U437)*($G$11-$E$11)*($G$11-$F$11))))</f>
        <v>0</v>
      </c>
      <c r="H437" s="39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0</v>
      </c>
      <c r="I437" s="39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0</v>
      </c>
      <c r="J437" s="39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0</v>
      </c>
      <c r="K437" s="39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0</v>
      </c>
      <c r="L437" s="39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0</v>
      </c>
      <c r="M437" s="39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0</v>
      </c>
      <c r="N437" s="39" t="str">
        <f aca="false">IF(COUNT('Business Case'!B11:G11)=0,"",H437+NPV(G437,I437:M437))</f>
        <v/>
      </c>
      <c r="P437" s="40" t="n">
        <f aca="true">RAND()</f>
        <v>0.65541386696778</v>
      </c>
      <c r="Q437" s="40" t="n">
        <f aca="true">RAND()</f>
        <v>0.552314215950766</v>
      </c>
      <c r="R437" s="40" t="n">
        <f aca="true">RAND()</f>
        <v>0.114785054958127</v>
      </c>
      <c r="S437" s="40" t="n">
        <f aca="true">RAND()</f>
        <v>0.529357792282941</v>
      </c>
      <c r="T437" s="40" t="n">
        <f aca="true">RAND()</f>
        <v>0.0714812452002483</v>
      </c>
      <c r="U437" s="40" t="n">
        <f aca="true">RAND()</f>
        <v>0.12093936353546</v>
      </c>
    </row>
    <row r="438" customFormat="false" ht="15" hidden="false" customHeight="false" outlineLevel="0" collapsed="false">
      <c r="A438" s="36" t="n">
        <v>358</v>
      </c>
      <c r="B438" s="37" t="n">
        <f aca="false">1+IF($G$6=$E$6,$F$6,IF(P438&lt;($F$6-$E$6)/($G$6-$E$6),$E$6+SQRT(P438*($G$6-$E$6)*($F$6-$E$6)),$G$6-SQRT((1-P438)*($G$6-$E$6)*($G$6-$F$6))))</f>
        <v>1</v>
      </c>
      <c r="C438" s="37" t="n">
        <f aca="false">1+IF($G$7=$E$7,$F$7,IF(Q438&lt;($F$7-$E$7)/($G$7-$E$7),$E$7+SQRT(Q438*($G$7-$E$7)*($F$7-$E$7)),$G$7-SQRT((1-Q438)*($G$7-$E$7)*($G$7-$F$7))))</f>
        <v>1</v>
      </c>
      <c r="D438" s="37" t="n">
        <f aca="false">1+IF($G$8=$E$8,$F$8,IF(R438&lt;($F$8-$E$8)/($G$8-$E$8),$E$8+SQRT(R438*($G$8-$E$8)*($F$8-$E$8)),$G$8-SQRT((1-R438)*($G$8-$E$8)*($G$8-$F$8))))</f>
        <v>1</v>
      </c>
      <c r="E438" s="37" t="n">
        <f aca="false">1+IF($G$9=$E$9,$F$9,IF(S438&lt;($F$9-$E$9)/($G$9-$E$9),$E$9+SQRT(S438*($G$9-$E$9)*($F$9-$E$9)),$G$9-SQRT((1-S438)*($G$9-$E$9)*($G$9-$F$9))))</f>
        <v>1</v>
      </c>
      <c r="F438" s="37" t="n">
        <f aca="false">1+IF($G$10=$E$10,$F$10,IF(T438&lt;($F$10-$E$10)/($G$10-$E$10),$E$10+SQRT(T438*($G$10-$E$10)*($F$10-$E$10)),$G$10-SQRT((1-T438)*($G$10-$E$10)*($G$10-$F$10))))</f>
        <v>1</v>
      </c>
      <c r="G438" s="38" t="n">
        <f aca="false">IF($G$11=$E$11,$F$11,IF(U438&lt;($F$11-$E$11)/($G$11-$E$11),$E$11+SQRT(U438*($G$11-$E$11)*($F$11-$E$11)),$G$11-SQRT((1-U438)*($G$11-$E$11)*($G$11-$F$11))))</f>
        <v>0</v>
      </c>
      <c r="H438" s="39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0</v>
      </c>
      <c r="I438" s="39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0</v>
      </c>
      <c r="J438" s="39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0</v>
      </c>
      <c r="K438" s="39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0</v>
      </c>
      <c r="L438" s="39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0</v>
      </c>
      <c r="M438" s="39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0</v>
      </c>
      <c r="N438" s="39" t="str">
        <f aca="false">IF(COUNT('Business Case'!B11:G11)=0,"",H438+NPV(G438,I438:M438))</f>
        <v/>
      </c>
      <c r="P438" s="40" t="n">
        <f aca="true">RAND()</f>
        <v>0.512557862898422</v>
      </c>
      <c r="Q438" s="40" t="n">
        <f aca="true">RAND()</f>
        <v>0.000534823223644857</v>
      </c>
      <c r="R438" s="40" t="n">
        <f aca="true">RAND()</f>
        <v>0.52274601349844</v>
      </c>
      <c r="S438" s="40" t="n">
        <f aca="true">RAND()</f>
        <v>0.273540993078478</v>
      </c>
      <c r="T438" s="40" t="n">
        <f aca="true">RAND()</f>
        <v>0.310414246355704</v>
      </c>
      <c r="U438" s="40" t="n">
        <f aca="true">RAND()</f>
        <v>0.711570773156641</v>
      </c>
    </row>
    <row r="439" customFormat="false" ht="15" hidden="false" customHeight="false" outlineLevel="0" collapsed="false">
      <c r="A439" s="36" t="n">
        <v>359</v>
      </c>
      <c r="B439" s="37" t="n">
        <f aca="false">1+IF($G$6=$E$6,$F$6,IF(P439&lt;($F$6-$E$6)/($G$6-$E$6),$E$6+SQRT(P439*($G$6-$E$6)*($F$6-$E$6)),$G$6-SQRT((1-P439)*($G$6-$E$6)*($G$6-$F$6))))</f>
        <v>1</v>
      </c>
      <c r="C439" s="37" t="n">
        <f aca="false">1+IF($G$7=$E$7,$F$7,IF(Q439&lt;($F$7-$E$7)/($G$7-$E$7),$E$7+SQRT(Q439*($G$7-$E$7)*($F$7-$E$7)),$G$7-SQRT((1-Q439)*($G$7-$E$7)*($G$7-$F$7))))</f>
        <v>1</v>
      </c>
      <c r="D439" s="37" t="n">
        <f aca="false">1+IF($G$8=$E$8,$F$8,IF(R439&lt;($F$8-$E$8)/($G$8-$E$8),$E$8+SQRT(R439*($G$8-$E$8)*($F$8-$E$8)),$G$8-SQRT((1-R439)*($G$8-$E$8)*($G$8-$F$8))))</f>
        <v>1</v>
      </c>
      <c r="E439" s="37" t="n">
        <f aca="false">1+IF($G$9=$E$9,$F$9,IF(S439&lt;($F$9-$E$9)/($G$9-$E$9),$E$9+SQRT(S439*($G$9-$E$9)*($F$9-$E$9)),$G$9-SQRT((1-S439)*($G$9-$E$9)*($G$9-$F$9))))</f>
        <v>1</v>
      </c>
      <c r="F439" s="37" t="n">
        <f aca="false">1+IF($G$10=$E$10,$F$10,IF(T439&lt;($F$10-$E$10)/($G$10-$E$10),$E$10+SQRT(T439*($G$10-$E$10)*($F$10-$E$10)),$G$10-SQRT((1-T439)*($G$10-$E$10)*($G$10-$F$10))))</f>
        <v>1</v>
      </c>
      <c r="G439" s="38" t="n">
        <f aca="false">IF($G$11=$E$11,$F$11,IF(U439&lt;($F$11-$E$11)/($G$11-$E$11),$E$11+SQRT(U439*($G$11-$E$11)*($F$11-$E$11)),$G$11-SQRT((1-U439)*($G$11-$E$11)*($G$11-$F$11))))</f>
        <v>0</v>
      </c>
      <c r="H439" s="39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0</v>
      </c>
      <c r="I439" s="39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0</v>
      </c>
      <c r="J439" s="39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0</v>
      </c>
      <c r="K439" s="39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0</v>
      </c>
      <c r="L439" s="39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0</v>
      </c>
      <c r="M439" s="39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0</v>
      </c>
      <c r="N439" s="39" t="str">
        <f aca="false">IF(COUNT('Business Case'!B11:G11)=0,"",H439+NPV(G439,I439:M439))</f>
        <v/>
      </c>
      <c r="P439" s="40" t="n">
        <f aca="true">RAND()</f>
        <v>0.519649837802946</v>
      </c>
      <c r="Q439" s="40" t="n">
        <f aca="true">RAND()</f>
        <v>0.39466888054056</v>
      </c>
      <c r="R439" s="40" t="n">
        <f aca="true">RAND()</f>
        <v>0.011243593940275</v>
      </c>
      <c r="S439" s="40" t="n">
        <f aca="true">RAND()</f>
        <v>0.552434859096662</v>
      </c>
      <c r="T439" s="40" t="n">
        <f aca="true">RAND()</f>
        <v>0.665545749182489</v>
      </c>
      <c r="U439" s="40" t="n">
        <f aca="true">RAND()</f>
        <v>0.146417743246604</v>
      </c>
    </row>
    <row r="440" customFormat="false" ht="15" hidden="false" customHeight="false" outlineLevel="0" collapsed="false">
      <c r="A440" s="36" t="n">
        <v>360</v>
      </c>
      <c r="B440" s="37" t="n">
        <f aca="false">1+IF($G$6=$E$6,$F$6,IF(P440&lt;($F$6-$E$6)/($G$6-$E$6),$E$6+SQRT(P440*($G$6-$E$6)*($F$6-$E$6)),$G$6-SQRT((1-P440)*($G$6-$E$6)*($G$6-$F$6))))</f>
        <v>1</v>
      </c>
      <c r="C440" s="37" t="n">
        <f aca="false">1+IF($G$7=$E$7,$F$7,IF(Q440&lt;($F$7-$E$7)/($G$7-$E$7),$E$7+SQRT(Q440*($G$7-$E$7)*($F$7-$E$7)),$G$7-SQRT((1-Q440)*($G$7-$E$7)*($G$7-$F$7))))</f>
        <v>1</v>
      </c>
      <c r="D440" s="37" t="n">
        <f aca="false">1+IF($G$8=$E$8,$F$8,IF(R440&lt;($F$8-$E$8)/($G$8-$E$8),$E$8+SQRT(R440*($G$8-$E$8)*($F$8-$E$8)),$G$8-SQRT((1-R440)*($G$8-$E$8)*($G$8-$F$8))))</f>
        <v>1</v>
      </c>
      <c r="E440" s="37" t="n">
        <f aca="false">1+IF($G$9=$E$9,$F$9,IF(S440&lt;($F$9-$E$9)/($G$9-$E$9),$E$9+SQRT(S440*($G$9-$E$9)*($F$9-$E$9)),$G$9-SQRT((1-S440)*($G$9-$E$9)*($G$9-$F$9))))</f>
        <v>1</v>
      </c>
      <c r="F440" s="37" t="n">
        <f aca="false">1+IF($G$10=$E$10,$F$10,IF(T440&lt;($F$10-$E$10)/($G$10-$E$10),$E$10+SQRT(T440*($G$10-$E$10)*($F$10-$E$10)),$G$10-SQRT((1-T440)*($G$10-$E$10)*($G$10-$F$10))))</f>
        <v>1</v>
      </c>
      <c r="G440" s="38" t="n">
        <f aca="false">IF($G$11=$E$11,$F$11,IF(U440&lt;($F$11-$E$11)/($G$11-$E$11),$E$11+SQRT(U440*($G$11-$E$11)*($F$11-$E$11)),$G$11-SQRT((1-U440)*($G$11-$E$11)*($G$11-$F$11))))</f>
        <v>0</v>
      </c>
      <c r="H440" s="39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0</v>
      </c>
      <c r="I440" s="39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0</v>
      </c>
      <c r="J440" s="39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0</v>
      </c>
      <c r="K440" s="39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0</v>
      </c>
      <c r="L440" s="39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0</v>
      </c>
      <c r="M440" s="39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0</v>
      </c>
      <c r="N440" s="39" t="str">
        <f aca="false">IF(COUNT('Business Case'!B11:G11)=0,"",H440+NPV(G440,I440:M440))</f>
        <v/>
      </c>
      <c r="P440" s="40" t="n">
        <f aca="true">RAND()</f>
        <v>0.0674682006311023</v>
      </c>
      <c r="Q440" s="40" t="n">
        <f aca="true">RAND()</f>
        <v>0.126884138312847</v>
      </c>
      <c r="R440" s="40" t="n">
        <f aca="true">RAND()</f>
        <v>0.596290310971835</v>
      </c>
      <c r="S440" s="40" t="n">
        <f aca="true">RAND()</f>
        <v>0.105806573259843</v>
      </c>
      <c r="T440" s="40" t="n">
        <f aca="true">RAND()</f>
        <v>0.428066384999333</v>
      </c>
      <c r="U440" s="40" t="n">
        <f aca="true">RAND()</f>
        <v>0.917404158835919</v>
      </c>
    </row>
    <row r="441" customFormat="false" ht="15" hidden="false" customHeight="false" outlineLevel="0" collapsed="false">
      <c r="A441" s="36" t="n">
        <v>361</v>
      </c>
      <c r="B441" s="37" t="n">
        <f aca="false">1+IF($G$6=$E$6,$F$6,IF(P441&lt;($F$6-$E$6)/($G$6-$E$6),$E$6+SQRT(P441*($G$6-$E$6)*($F$6-$E$6)),$G$6-SQRT((1-P441)*($G$6-$E$6)*($G$6-$F$6))))</f>
        <v>1</v>
      </c>
      <c r="C441" s="37" t="n">
        <f aca="false">1+IF($G$7=$E$7,$F$7,IF(Q441&lt;($F$7-$E$7)/($G$7-$E$7),$E$7+SQRT(Q441*($G$7-$E$7)*($F$7-$E$7)),$G$7-SQRT((1-Q441)*($G$7-$E$7)*($G$7-$F$7))))</f>
        <v>1</v>
      </c>
      <c r="D441" s="37" t="n">
        <f aca="false">1+IF($G$8=$E$8,$F$8,IF(R441&lt;($F$8-$E$8)/($G$8-$E$8),$E$8+SQRT(R441*($G$8-$E$8)*($F$8-$E$8)),$G$8-SQRT((1-R441)*($G$8-$E$8)*($G$8-$F$8))))</f>
        <v>1</v>
      </c>
      <c r="E441" s="37" t="n">
        <f aca="false">1+IF($G$9=$E$9,$F$9,IF(S441&lt;($F$9-$E$9)/($G$9-$E$9),$E$9+SQRT(S441*($G$9-$E$9)*($F$9-$E$9)),$G$9-SQRT((1-S441)*($G$9-$E$9)*($G$9-$F$9))))</f>
        <v>1</v>
      </c>
      <c r="F441" s="37" t="n">
        <f aca="false">1+IF($G$10=$E$10,$F$10,IF(T441&lt;($F$10-$E$10)/($G$10-$E$10),$E$10+SQRT(T441*($G$10-$E$10)*($F$10-$E$10)),$G$10-SQRT((1-T441)*($G$10-$E$10)*($G$10-$F$10))))</f>
        <v>1</v>
      </c>
      <c r="G441" s="38" t="n">
        <f aca="false">IF($G$11=$E$11,$F$11,IF(U441&lt;($F$11-$E$11)/($G$11-$E$11),$E$11+SQRT(U441*($G$11-$E$11)*($F$11-$E$11)),$G$11-SQRT((1-U441)*($G$11-$E$11)*($G$11-$F$11))))</f>
        <v>0</v>
      </c>
      <c r="H441" s="39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0</v>
      </c>
      <c r="I441" s="39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0</v>
      </c>
      <c r="J441" s="39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0</v>
      </c>
      <c r="K441" s="39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0</v>
      </c>
      <c r="L441" s="39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0</v>
      </c>
      <c r="M441" s="39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0</v>
      </c>
      <c r="N441" s="39" t="str">
        <f aca="false">IF(COUNT('Business Case'!B11:G11)=0,"",H441+NPV(G441,I441:M441))</f>
        <v/>
      </c>
      <c r="P441" s="40" t="n">
        <f aca="true">RAND()</f>
        <v>0.675610784145193</v>
      </c>
      <c r="Q441" s="40" t="n">
        <f aca="true">RAND()</f>
        <v>0.312799201098578</v>
      </c>
      <c r="R441" s="40" t="n">
        <f aca="true">RAND()</f>
        <v>0.0937056211127234</v>
      </c>
      <c r="S441" s="40" t="n">
        <f aca="true">RAND()</f>
        <v>0.85533493896746</v>
      </c>
      <c r="T441" s="40" t="n">
        <f aca="true">RAND()</f>
        <v>0.645938954582361</v>
      </c>
      <c r="U441" s="40" t="n">
        <f aca="true">RAND()</f>
        <v>0.374693068184774</v>
      </c>
    </row>
    <row r="442" customFormat="false" ht="15" hidden="false" customHeight="false" outlineLevel="0" collapsed="false">
      <c r="A442" s="36" t="n">
        <v>362</v>
      </c>
      <c r="B442" s="37" t="n">
        <f aca="false">1+IF($G$6=$E$6,$F$6,IF(P442&lt;($F$6-$E$6)/($G$6-$E$6),$E$6+SQRT(P442*($G$6-$E$6)*($F$6-$E$6)),$G$6-SQRT((1-P442)*($G$6-$E$6)*($G$6-$F$6))))</f>
        <v>1</v>
      </c>
      <c r="C442" s="37" t="n">
        <f aca="false">1+IF($G$7=$E$7,$F$7,IF(Q442&lt;($F$7-$E$7)/($G$7-$E$7),$E$7+SQRT(Q442*($G$7-$E$7)*($F$7-$E$7)),$G$7-SQRT((1-Q442)*($G$7-$E$7)*($G$7-$F$7))))</f>
        <v>1</v>
      </c>
      <c r="D442" s="37" t="n">
        <f aca="false">1+IF($G$8=$E$8,$F$8,IF(R442&lt;($F$8-$E$8)/($G$8-$E$8),$E$8+SQRT(R442*($G$8-$E$8)*($F$8-$E$8)),$G$8-SQRT((1-R442)*($G$8-$E$8)*($G$8-$F$8))))</f>
        <v>1</v>
      </c>
      <c r="E442" s="37" t="n">
        <f aca="false">1+IF($G$9=$E$9,$F$9,IF(S442&lt;($F$9-$E$9)/($G$9-$E$9),$E$9+SQRT(S442*($G$9-$E$9)*($F$9-$E$9)),$G$9-SQRT((1-S442)*($G$9-$E$9)*($G$9-$F$9))))</f>
        <v>1</v>
      </c>
      <c r="F442" s="37" t="n">
        <f aca="false">1+IF($G$10=$E$10,$F$10,IF(T442&lt;($F$10-$E$10)/($G$10-$E$10),$E$10+SQRT(T442*($G$10-$E$10)*($F$10-$E$10)),$G$10-SQRT((1-T442)*($G$10-$E$10)*($G$10-$F$10))))</f>
        <v>1</v>
      </c>
      <c r="G442" s="38" t="n">
        <f aca="false">IF($G$11=$E$11,$F$11,IF(U442&lt;($F$11-$E$11)/($G$11-$E$11),$E$11+SQRT(U442*($G$11-$E$11)*($F$11-$E$11)),$G$11-SQRT((1-U442)*($G$11-$E$11)*($G$11-$F$11))))</f>
        <v>0</v>
      </c>
      <c r="H442" s="39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0</v>
      </c>
      <c r="I442" s="39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0</v>
      </c>
      <c r="J442" s="39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0</v>
      </c>
      <c r="K442" s="39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0</v>
      </c>
      <c r="L442" s="39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0</v>
      </c>
      <c r="M442" s="39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0</v>
      </c>
      <c r="N442" s="39" t="str">
        <f aca="false">IF(COUNT('Business Case'!B11:G11)=0,"",H442+NPV(G442,I442:M442))</f>
        <v/>
      </c>
      <c r="P442" s="40" t="n">
        <f aca="true">RAND()</f>
        <v>0.0238146144092008</v>
      </c>
      <c r="Q442" s="40" t="n">
        <f aca="true">RAND()</f>
        <v>0.185045149621078</v>
      </c>
      <c r="R442" s="40" t="n">
        <f aca="true">RAND()</f>
        <v>0.693733944484345</v>
      </c>
      <c r="S442" s="40" t="n">
        <f aca="true">RAND()</f>
        <v>0.461721488883899</v>
      </c>
      <c r="T442" s="40" t="n">
        <f aca="true">RAND()</f>
        <v>0.357010908587572</v>
      </c>
      <c r="U442" s="40" t="n">
        <f aca="true">RAND()</f>
        <v>0.803433088618454</v>
      </c>
    </row>
    <row r="443" customFormat="false" ht="15" hidden="false" customHeight="false" outlineLevel="0" collapsed="false">
      <c r="A443" s="36" t="n">
        <v>363</v>
      </c>
      <c r="B443" s="37" t="n">
        <f aca="false">1+IF($G$6=$E$6,$F$6,IF(P443&lt;($F$6-$E$6)/($G$6-$E$6),$E$6+SQRT(P443*($G$6-$E$6)*($F$6-$E$6)),$G$6-SQRT((1-P443)*($G$6-$E$6)*($G$6-$F$6))))</f>
        <v>1</v>
      </c>
      <c r="C443" s="37" t="n">
        <f aca="false">1+IF($G$7=$E$7,$F$7,IF(Q443&lt;($F$7-$E$7)/($G$7-$E$7),$E$7+SQRT(Q443*($G$7-$E$7)*($F$7-$E$7)),$G$7-SQRT((1-Q443)*($G$7-$E$7)*($G$7-$F$7))))</f>
        <v>1</v>
      </c>
      <c r="D443" s="37" t="n">
        <f aca="false">1+IF($G$8=$E$8,$F$8,IF(R443&lt;($F$8-$E$8)/($G$8-$E$8),$E$8+SQRT(R443*($G$8-$E$8)*($F$8-$E$8)),$G$8-SQRT((1-R443)*($G$8-$E$8)*($G$8-$F$8))))</f>
        <v>1</v>
      </c>
      <c r="E443" s="37" t="n">
        <f aca="false">1+IF($G$9=$E$9,$F$9,IF(S443&lt;($F$9-$E$9)/($G$9-$E$9),$E$9+SQRT(S443*($G$9-$E$9)*($F$9-$E$9)),$G$9-SQRT((1-S443)*($G$9-$E$9)*($G$9-$F$9))))</f>
        <v>1</v>
      </c>
      <c r="F443" s="37" t="n">
        <f aca="false">1+IF($G$10=$E$10,$F$10,IF(T443&lt;($F$10-$E$10)/($G$10-$E$10),$E$10+SQRT(T443*($G$10-$E$10)*($F$10-$E$10)),$G$10-SQRT((1-T443)*($G$10-$E$10)*($G$10-$F$10))))</f>
        <v>1</v>
      </c>
      <c r="G443" s="38" t="n">
        <f aca="false">IF($G$11=$E$11,$F$11,IF(U443&lt;($F$11-$E$11)/($G$11-$E$11),$E$11+SQRT(U443*($G$11-$E$11)*($F$11-$E$11)),$G$11-SQRT((1-U443)*($G$11-$E$11)*($G$11-$F$11))))</f>
        <v>0</v>
      </c>
      <c r="H443" s="39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0</v>
      </c>
      <c r="I443" s="39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0</v>
      </c>
      <c r="J443" s="39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0</v>
      </c>
      <c r="K443" s="39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0</v>
      </c>
      <c r="L443" s="39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0</v>
      </c>
      <c r="M443" s="39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0</v>
      </c>
      <c r="N443" s="39" t="str">
        <f aca="false">IF(COUNT('Business Case'!B11:G11)=0,"",H443+NPV(G443,I443:M443))</f>
        <v/>
      </c>
      <c r="P443" s="40" t="n">
        <f aca="true">RAND()</f>
        <v>0.755119381823184</v>
      </c>
      <c r="Q443" s="40" t="n">
        <f aca="true">RAND()</f>
        <v>0.575528975875064</v>
      </c>
      <c r="R443" s="40" t="n">
        <f aca="true">RAND()</f>
        <v>0.200765231903589</v>
      </c>
      <c r="S443" s="40" t="n">
        <f aca="true">RAND()</f>
        <v>0.0865594461132298</v>
      </c>
      <c r="T443" s="40" t="n">
        <f aca="true">RAND()</f>
        <v>0.304802951355175</v>
      </c>
      <c r="U443" s="40" t="n">
        <f aca="true">RAND()</f>
        <v>0.848439375786994</v>
      </c>
    </row>
    <row r="444" customFormat="false" ht="15" hidden="false" customHeight="false" outlineLevel="0" collapsed="false">
      <c r="A444" s="36" t="n">
        <v>364</v>
      </c>
      <c r="B444" s="37" t="n">
        <f aca="false">1+IF($G$6=$E$6,$F$6,IF(P444&lt;($F$6-$E$6)/($G$6-$E$6),$E$6+SQRT(P444*($G$6-$E$6)*($F$6-$E$6)),$G$6-SQRT((1-P444)*($G$6-$E$6)*($G$6-$F$6))))</f>
        <v>1</v>
      </c>
      <c r="C444" s="37" t="n">
        <f aca="false">1+IF($G$7=$E$7,$F$7,IF(Q444&lt;($F$7-$E$7)/($G$7-$E$7),$E$7+SQRT(Q444*($G$7-$E$7)*($F$7-$E$7)),$G$7-SQRT((1-Q444)*($G$7-$E$7)*($G$7-$F$7))))</f>
        <v>1</v>
      </c>
      <c r="D444" s="37" t="n">
        <f aca="false">1+IF($G$8=$E$8,$F$8,IF(R444&lt;($F$8-$E$8)/($G$8-$E$8),$E$8+SQRT(R444*($G$8-$E$8)*($F$8-$E$8)),$G$8-SQRT((1-R444)*($G$8-$E$8)*($G$8-$F$8))))</f>
        <v>1</v>
      </c>
      <c r="E444" s="37" t="n">
        <f aca="false">1+IF($G$9=$E$9,$F$9,IF(S444&lt;($F$9-$E$9)/($G$9-$E$9),$E$9+SQRT(S444*($G$9-$E$9)*($F$9-$E$9)),$G$9-SQRT((1-S444)*($G$9-$E$9)*($G$9-$F$9))))</f>
        <v>1</v>
      </c>
      <c r="F444" s="37" t="n">
        <f aca="false">1+IF($G$10=$E$10,$F$10,IF(T444&lt;($F$10-$E$10)/($G$10-$E$10),$E$10+SQRT(T444*($G$10-$E$10)*($F$10-$E$10)),$G$10-SQRT((1-T444)*($G$10-$E$10)*($G$10-$F$10))))</f>
        <v>1</v>
      </c>
      <c r="G444" s="38" t="n">
        <f aca="false">IF($G$11=$E$11,$F$11,IF(U444&lt;($F$11-$E$11)/($G$11-$E$11),$E$11+SQRT(U444*($G$11-$E$11)*($F$11-$E$11)),$G$11-SQRT((1-U444)*($G$11-$E$11)*($G$11-$F$11))))</f>
        <v>0</v>
      </c>
      <c r="H444" s="39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0</v>
      </c>
      <c r="I444" s="39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0</v>
      </c>
      <c r="J444" s="39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0</v>
      </c>
      <c r="K444" s="39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0</v>
      </c>
      <c r="L444" s="39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0</v>
      </c>
      <c r="M444" s="39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0</v>
      </c>
      <c r="N444" s="39" t="str">
        <f aca="false">IF(COUNT('Business Case'!B11:G11)=0,"",H444+NPV(G444,I444:M444))</f>
        <v/>
      </c>
      <c r="P444" s="40" t="n">
        <f aca="true">RAND()</f>
        <v>0.0583937168875865</v>
      </c>
      <c r="Q444" s="40" t="n">
        <f aca="true">RAND()</f>
        <v>0.357356160367514</v>
      </c>
      <c r="R444" s="40" t="n">
        <f aca="true">RAND()</f>
        <v>0.0876940236721663</v>
      </c>
      <c r="S444" s="40" t="n">
        <f aca="true">RAND()</f>
        <v>0.135835408660552</v>
      </c>
      <c r="T444" s="40" t="n">
        <f aca="true">RAND()</f>
        <v>0.972359596933022</v>
      </c>
      <c r="U444" s="40" t="n">
        <f aca="true">RAND()</f>
        <v>0.737231249717806</v>
      </c>
    </row>
    <row r="445" customFormat="false" ht="15" hidden="false" customHeight="false" outlineLevel="0" collapsed="false">
      <c r="A445" s="36" t="n">
        <v>365</v>
      </c>
      <c r="B445" s="37" t="n">
        <f aca="false">1+IF($G$6=$E$6,$F$6,IF(P445&lt;($F$6-$E$6)/($G$6-$E$6),$E$6+SQRT(P445*($G$6-$E$6)*($F$6-$E$6)),$G$6-SQRT((1-P445)*($G$6-$E$6)*($G$6-$F$6))))</f>
        <v>1</v>
      </c>
      <c r="C445" s="37" t="n">
        <f aca="false">1+IF($G$7=$E$7,$F$7,IF(Q445&lt;($F$7-$E$7)/($G$7-$E$7),$E$7+SQRT(Q445*($G$7-$E$7)*($F$7-$E$7)),$G$7-SQRT((1-Q445)*($G$7-$E$7)*($G$7-$F$7))))</f>
        <v>1</v>
      </c>
      <c r="D445" s="37" t="n">
        <f aca="false">1+IF($G$8=$E$8,$F$8,IF(R445&lt;($F$8-$E$8)/($G$8-$E$8),$E$8+SQRT(R445*($G$8-$E$8)*($F$8-$E$8)),$G$8-SQRT((1-R445)*($G$8-$E$8)*($G$8-$F$8))))</f>
        <v>1</v>
      </c>
      <c r="E445" s="37" t="n">
        <f aca="false">1+IF($G$9=$E$9,$F$9,IF(S445&lt;($F$9-$E$9)/($G$9-$E$9),$E$9+SQRT(S445*($G$9-$E$9)*($F$9-$E$9)),$G$9-SQRT((1-S445)*($G$9-$E$9)*($G$9-$F$9))))</f>
        <v>1</v>
      </c>
      <c r="F445" s="37" t="n">
        <f aca="false">1+IF($G$10=$E$10,$F$10,IF(T445&lt;($F$10-$E$10)/($G$10-$E$10),$E$10+SQRT(T445*($G$10-$E$10)*($F$10-$E$10)),$G$10-SQRT((1-T445)*($G$10-$E$10)*($G$10-$F$10))))</f>
        <v>1</v>
      </c>
      <c r="G445" s="38" t="n">
        <f aca="false">IF($G$11=$E$11,$F$11,IF(U445&lt;($F$11-$E$11)/($G$11-$E$11),$E$11+SQRT(U445*($G$11-$E$11)*($F$11-$E$11)),$G$11-SQRT((1-U445)*($G$11-$E$11)*($G$11-$F$11))))</f>
        <v>0</v>
      </c>
      <c r="H445" s="39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0</v>
      </c>
      <c r="I445" s="39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0</v>
      </c>
      <c r="J445" s="39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0</v>
      </c>
      <c r="K445" s="39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0</v>
      </c>
      <c r="L445" s="39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0</v>
      </c>
      <c r="M445" s="39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0</v>
      </c>
      <c r="N445" s="39" t="str">
        <f aca="false">IF(COUNT('Business Case'!B11:G11)=0,"",H445+NPV(G445,I445:M445))</f>
        <v/>
      </c>
      <c r="P445" s="40" t="n">
        <f aca="true">RAND()</f>
        <v>0.526381400586242</v>
      </c>
      <c r="Q445" s="40" t="n">
        <f aca="true">RAND()</f>
        <v>0.989606894076434</v>
      </c>
      <c r="R445" s="40" t="n">
        <f aca="true">RAND()</f>
        <v>0.565078520122372</v>
      </c>
      <c r="S445" s="40" t="n">
        <f aca="true">RAND()</f>
        <v>0.619478261063517</v>
      </c>
      <c r="T445" s="40" t="n">
        <f aca="true">RAND()</f>
        <v>0.884746416317302</v>
      </c>
      <c r="U445" s="40" t="n">
        <f aca="true">RAND()</f>
        <v>0.791930446503255</v>
      </c>
    </row>
    <row r="446" customFormat="false" ht="15" hidden="false" customHeight="false" outlineLevel="0" collapsed="false">
      <c r="A446" s="36" t="n">
        <v>366</v>
      </c>
      <c r="B446" s="37" t="n">
        <f aca="false">1+IF($G$6=$E$6,$F$6,IF(P446&lt;($F$6-$E$6)/($G$6-$E$6),$E$6+SQRT(P446*($G$6-$E$6)*($F$6-$E$6)),$G$6-SQRT((1-P446)*($G$6-$E$6)*($G$6-$F$6))))</f>
        <v>1</v>
      </c>
      <c r="C446" s="37" t="n">
        <f aca="false">1+IF($G$7=$E$7,$F$7,IF(Q446&lt;($F$7-$E$7)/($G$7-$E$7),$E$7+SQRT(Q446*($G$7-$E$7)*($F$7-$E$7)),$G$7-SQRT((1-Q446)*($G$7-$E$7)*($G$7-$F$7))))</f>
        <v>1</v>
      </c>
      <c r="D446" s="37" t="n">
        <f aca="false">1+IF($G$8=$E$8,$F$8,IF(R446&lt;($F$8-$E$8)/($G$8-$E$8),$E$8+SQRT(R446*($G$8-$E$8)*($F$8-$E$8)),$G$8-SQRT((1-R446)*($G$8-$E$8)*($G$8-$F$8))))</f>
        <v>1</v>
      </c>
      <c r="E446" s="37" t="n">
        <f aca="false">1+IF($G$9=$E$9,$F$9,IF(S446&lt;($F$9-$E$9)/($G$9-$E$9),$E$9+SQRT(S446*($G$9-$E$9)*($F$9-$E$9)),$G$9-SQRT((1-S446)*($G$9-$E$9)*($G$9-$F$9))))</f>
        <v>1</v>
      </c>
      <c r="F446" s="37" t="n">
        <f aca="false">1+IF($G$10=$E$10,$F$10,IF(T446&lt;($F$10-$E$10)/($G$10-$E$10),$E$10+SQRT(T446*($G$10-$E$10)*($F$10-$E$10)),$G$10-SQRT((1-T446)*($G$10-$E$10)*($G$10-$F$10))))</f>
        <v>1</v>
      </c>
      <c r="G446" s="38" t="n">
        <f aca="false">IF($G$11=$E$11,$F$11,IF(U446&lt;($F$11-$E$11)/($G$11-$E$11),$E$11+SQRT(U446*($G$11-$E$11)*($F$11-$E$11)),$G$11-SQRT((1-U446)*($G$11-$E$11)*($G$11-$F$11))))</f>
        <v>0</v>
      </c>
      <c r="H446" s="39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0</v>
      </c>
      <c r="I446" s="39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0</v>
      </c>
      <c r="J446" s="39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0</v>
      </c>
      <c r="K446" s="39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0</v>
      </c>
      <c r="L446" s="39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0</v>
      </c>
      <c r="M446" s="39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0</v>
      </c>
      <c r="N446" s="39" t="str">
        <f aca="false">IF(COUNT('Business Case'!B11:G11)=0,"",H446+NPV(G446,I446:M446))</f>
        <v/>
      </c>
      <c r="P446" s="40" t="n">
        <f aca="true">RAND()</f>
        <v>0.0144216283528567</v>
      </c>
      <c r="Q446" s="40" t="n">
        <f aca="true">RAND()</f>
        <v>0.772913104316366</v>
      </c>
      <c r="R446" s="40" t="n">
        <f aca="true">RAND()</f>
        <v>0.647570861646452</v>
      </c>
      <c r="S446" s="40" t="n">
        <f aca="true">RAND()</f>
        <v>0.389022718704452</v>
      </c>
      <c r="T446" s="40" t="n">
        <f aca="true">RAND()</f>
        <v>0.517504031377461</v>
      </c>
      <c r="U446" s="40" t="n">
        <f aca="true">RAND()</f>
        <v>0.974358417332992</v>
      </c>
    </row>
    <row r="447" customFormat="false" ht="15" hidden="false" customHeight="false" outlineLevel="0" collapsed="false">
      <c r="A447" s="36" t="n">
        <v>367</v>
      </c>
      <c r="B447" s="37" t="n">
        <f aca="false">1+IF($G$6=$E$6,$F$6,IF(P447&lt;($F$6-$E$6)/($G$6-$E$6),$E$6+SQRT(P447*($G$6-$E$6)*($F$6-$E$6)),$G$6-SQRT((1-P447)*($G$6-$E$6)*($G$6-$F$6))))</f>
        <v>1</v>
      </c>
      <c r="C447" s="37" t="n">
        <f aca="false">1+IF($G$7=$E$7,$F$7,IF(Q447&lt;($F$7-$E$7)/($G$7-$E$7),$E$7+SQRT(Q447*($G$7-$E$7)*($F$7-$E$7)),$G$7-SQRT((1-Q447)*($G$7-$E$7)*($G$7-$F$7))))</f>
        <v>1</v>
      </c>
      <c r="D447" s="37" t="n">
        <f aca="false">1+IF($G$8=$E$8,$F$8,IF(R447&lt;($F$8-$E$8)/($G$8-$E$8),$E$8+SQRT(R447*($G$8-$E$8)*($F$8-$E$8)),$G$8-SQRT((1-R447)*($G$8-$E$8)*($G$8-$F$8))))</f>
        <v>1</v>
      </c>
      <c r="E447" s="37" t="n">
        <f aca="false">1+IF($G$9=$E$9,$F$9,IF(S447&lt;($F$9-$E$9)/($G$9-$E$9),$E$9+SQRT(S447*($G$9-$E$9)*($F$9-$E$9)),$G$9-SQRT((1-S447)*($G$9-$E$9)*($G$9-$F$9))))</f>
        <v>1</v>
      </c>
      <c r="F447" s="37" t="n">
        <f aca="false">1+IF($G$10=$E$10,$F$10,IF(T447&lt;($F$10-$E$10)/($G$10-$E$10),$E$10+SQRT(T447*($G$10-$E$10)*($F$10-$E$10)),$G$10-SQRT((1-T447)*($G$10-$E$10)*($G$10-$F$10))))</f>
        <v>1</v>
      </c>
      <c r="G447" s="38" t="n">
        <f aca="false">IF($G$11=$E$11,$F$11,IF(U447&lt;($F$11-$E$11)/($G$11-$E$11),$E$11+SQRT(U447*($G$11-$E$11)*($F$11-$E$11)),$G$11-SQRT((1-U447)*($G$11-$E$11)*($G$11-$F$11))))</f>
        <v>0</v>
      </c>
      <c r="H447" s="39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0</v>
      </c>
      <c r="I447" s="39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0</v>
      </c>
      <c r="J447" s="39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0</v>
      </c>
      <c r="K447" s="39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0</v>
      </c>
      <c r="L447" s="39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0</v>
      </c>
      <c r="M447" s="39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0</v>
      </c>
      <c r="N447" s="39" t="str">
        <f aca="false">IF(COUNT('Business Case'!B11:G11)=0,"",H447+NPV(G447,I447:M447))</f>
        <v/>
      </c>
      <c r="P447" s="40" t="n">
        <f aca="true">RAND()</f>
        <v>0.518726447221177</v>
      </c>
      <c r="Q447" s="40" t="n">
        <f aca="true">RAND()</f>
        <v>0.792512734201564</v>
      </c>
      <c r="R447" s="40" t="n">
        <f aca="true">RAND()</f>
        <v>0.510626143067845</v>
      </c>
      <c r="S447" s="40" t="n">
        <f aca="true">RAND()</f>
        <v>0.808494268657252</v>
      </c>
      <c r="T447" s="40" t="n">
        <f aca="true">RAND()</f>
        <v>0.364130091662193</v>
      </c>
      <c r="U447" s="40" t="n">
        <f aca="true">RAND()</f>
        <v>0.684167699445706</v>
      </c>
    </row>
    <row r="448" customFormat="false" ht="15" hidden="false" customHeight="false" outlineLevel="0" collapsed="false">
      <c r="A448" s="36" t="n">
        <v>368</v>
      </c>
      <c r="B448" s="37" t="n">
        <f aca="false">1+IF($G$6=$E$6,$F$6,IF(P448&lt;($F$6-$E$6)/($G$6-$E$6),$E$6+SQRT(P448*($G$6-$E$6)*($F$6-$E$6)),$G$6-SQRT((1-P448)*($G$6-$E$6)*($G$6-$F$6))))</f>
        <v>1</v>
      </c>
      <c r="C448" s="37" t="n">
        <f aca="false">1+IF($G$7=$E$7,$F$7,IF(Q448&lt;($F$7-$E$7)/($G$7-$E$7),$E$7+SQRT(Q448*($G$7-$E$7)*($F$7-$E$7)),$G$7-SQRT((1-Q448)*($G$7-$E$7)*($G$7-$F$7))))</f>
        <v>1</v>
      </c>
      <c r="D448" s="37" t="n">
        <f aca="false">1+IF($G$8=$E$8,$F$8,IF(R448&lt;($F$8-$E$8)/($G$8-$E$8),$E$8+SQRT(R448*($G$8-$E$8)*($F$8-$E$8)),$G$8-SQRT((1-R448)*($G$8-$E$8)*($G$8-$F$8))))</f>
        <v>1</v>
      </c>
      <c r="E448" s="37" t="n">
        <f aca="false">1+IF($G$9=$E$9,$F$9,IF(S448&lt;($F$9-$E$9)/($G$9-$E$9),$E$9+SQRT(S448*($G$9-$E$9)*($F$9-$E$9)),$G$9-SQRT((1-S448)*($G$9-$E$9)*($G$9-$F$9))))</f>
        <v>1</v>
      </c>
      <c r="F448" s="37" t="n">
        <f aca="false">1+IF($G$10=$E$10,$F$10,IF(T448&lt;($F$10-$E$10)/($G$10-$E$10),$E$10+SQRT(T448*($G$10-$E$10)*($F$10-$E$10)),$G$10-SQRT((1-T448)*($G$10-$E$10)*($G$10-$F$10))))</f>
        <v>1</v>
      </c>
      <c r="G448" s="38" t="n">
        <f aca="false">IF($G$11=$E$11,$F$11,IF(U448&lt;($F$11-$E$11)/($G$11-$E$11),$E$11+SQRT(U448*($G$11-$E$11)*($F$11-$E$11)),$G$11-SQRT((1-U448)*($G$11-$E$11)*($G$11-$F$11))))</f>
        <v>0</v>
      </c>
      <c r="H448" s="39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0</v>
      </c>
      <c r="I448" s="39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0</v>
      </c>
      <c r="J448" s="39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0</v>
      </c>
      <c r="K448" s="39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0</v>
      </c>
      <c r="L448" s="39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0</v>
      </c>
      <c r="M448" s="39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0</v>
      </c>
      <c r="N448" s="39" t="str">
        <f aca="false">IF(COUNT('Business Case'!B11:G11)=0,"",H448+NPV(G448,I448:M448))</f>
        <v/>
      </c>
      <c r="P448" s="40" t="n">
        <f aca="true">RAND()</f>
        <v>0.165880992354388</v>
      </c>
      <c r="Q448" s="40" t="n">
        <f aca="true">RAND()</f>
        <v>0.23305557291761</v>
      </c>
      <c r="R448" s="40" t="n">
        <f aca="true">RAND()</f>
        <v>0.586938709237926</v>
      </c>
      <c r="S448" s="40" t="n">
        <f aca="true">RAND()</f>
        <v>0.77960978316418</v>
      </c>
      <c r="T448" s="40" t="n">
        <f aca="true">RAND()</f>
        <v>0.288251725023948</v>
      </c>
      <c r="U448" s="40" t="n">
        <f aca="true">RAND()</f>
        <v>0.291152595183006</v>
      </c>
    </row>
    <row r="449" customFormat="false" ht="15" hidden="false" customHeight="false" outlineLevel="0" collapsed="false">
      <c r="A449" s="36" t="n">
        <v>369</v>
      </c>
      <c r="B449" s="37" t="n">
        <f aca="false">1+IF($G$6=$E$6,$F$6,IF(P449&lt;($F$6-$E$6)/($G$6-$E$6),$E$6+SQRT(P449*($G$6-$E$6)*($F$6-$E$6)),$G$6-SQRT((1-P449)*($G$6-$E$6)*($G$6-$F$6))))</f>
        <v>1</v>
      </c>
      <c r="C449" s="37" t="n">
        <f aca="false">1+IF($G$7=$E$7,$F$7,IF(Q449&lt;($F$7-$E$7)/($G$7-$E$7),$E$7+SQRT(Q449*($G$7-$E$7)*($F$7-$E$7)),$G$7-SQRT((1-Q449)*($G$7-$E$7)*($G$7-$F$7))))</f>
        <v>1</v>
      </c>
      <c r="D449" s="37" t="n">
        <f aca="false">1+IF($G$8=$E$8,$F$8,IF(R449&lt;($F$8-$E$8)/($G$8-$E$8),$E$8+SQRT(R449*($G$8-$E$8)*($F$8-$E$8)),$G$8-SQRT((1-R449)*($G$8-$E$8)*($G$8-$F$8))))</f>
        <v>1</v>
      </c>
      <c r="E449" s="37" t="n">
        <f aca="false">1+IF($G$9=$E$9,$F$9,IF(S449&lt;($F$9-$E$9)/($G$9-$E$9),$E$9+SQRT(S449*($G$9-$E$9)*($F$9-$E$9)),$G$9-SQRT((1-S449)*($G$9-$E$9)*($G$9-$F$9))))</f>
        <v>1</v>
      </c>
      <c r="F449" s="37" t="n">
        <f aca="false">1+IF($G$10=$E$10,$F$10,IF(T449&lt;($F$10-$E$10)/($G$10-$E$10),$E$10+SQRT(T449*($G$10-$E$10)*($F$10-$E$10)),$G$10-SQRT((1-T449)*($G$10-$E$10)*($G$10-$F$10))))</f>
        <v>1</v>
      </c>
      <c r="G449" s="38" t="n">
        <f aca="false">IF($G$11=$E$11,$F$11,IF(U449&lt;($F$11-$E$11)/($G$11-$E$11),$E$11+SQRT(U449*($G$11-$E$11)*($F$11-$E$11)),$G$11-SQRT((1-U449)*($G$11-$E$11)*($G$11-$F$11))))</f>
        <v>0</v>
      </c>
      <c r="H449" s="39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0</v>
      </c>
      <c r="I449" s="39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0</v>
      </c>
      <c r="J449" s="39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0</v>
      </c>
      <c r="K449" s="39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0</v>
      </c>
      <c r="L449" s="39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0</v>
      </c>
      <c r="M449" s="39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0</v>
      </c>
      <c r="N449" s="39" t="str">
        <f aca="false">IF(COUNT('Business Case'!B11:G11)=0,"",H449+NPV(G449,I449:M449))</f>
        <v/>
      </c>
      <c r="P449" s="40" t="n">
        <f aca="true">RAND()</f>
        <v>0.0278265421877707</v>
      </c>
      <c r="Q449" s="40" t="n">
        <f aca="true">RAND()</f>
        <v>0.929260613785013</v>
      </c>
      <c r="R449" s="40" t="n">
        <f aca="true">RAND()</f>
        <v>0.056665475075941</v>
      </c>
      <c r="S449" s="40" t="n">
        <f aca="true">RAND()</f>
        <v>0.334524608150652</v>
      </c>
      <c r="T449" s="40" t="n">
        <f aca="true">RAND()</f>
        <v>0.651443638201068</v>
      </c>
      <c r="U449" s="40" t="n">
        <f aca="true">RAND()</f>
        <v>0.79032209325185</v>
      </c>
    </row>
    <row r="450" customFormat="false" ht="15" hidden="false" customHeight="false" outlineLevel="0" collapsed="false">
      <c r="A450" s="36" t="n">
        <v>370</v>
      </c>
      <c r="B450" s="37" t="n">
        <f aca="false">1+IF($G$6=$E$6,$F$6,IF(P450&lt;($F$6-$E$6)/($G$6-$E$6),$E$6+SQRT(P450*($G$6-$E$6)*($F$6-$E$6)),$G$6-SQRT((1-P450)*($G$6-$E$6)*($G$6-$F$6))))</f>
        <v>1</v>
      </c>
      <c r="C450" s="37" t="n">
        <f aca="false">1+IF($G$7=$E$7,$F$7,IF(Q450&lt;($F$7-$E$7)/($G$7-$E$7),$E$7+SQRT(Q450*($G$7-$E$7)*($F$7-$E$7)),$G$7-SQRT((1-Q450)*($G$7-$E$7)*($G$7-$F$7))))</f>
        <v>1</v>
      </c>
      <c r="D450" s="37" t="n">
        <f aca="false">1+IF($G$8=$E$8,$F$8,IF(R450&lt;($F$8-$E$8)/($G$8-$E$8),$E$8+SQRT(R450*($G$8-$E$8)*($F$8-$E$8)),$G$8-SQRT((1-R450)*($G$8-$E$8)*($G$8-$F$8))))</f>
        <v>1</v>
      </c>
      <c r="E450" s="37" t="n">
        <f aca="false">1+IF($G$9=$E$9,$F$9,IF(S450&lt;($F$9-$E$9)/($G$9-$E$9),$E$9+SQRT(S450*($G$9-$E$9)*($F$9-$E$9)),$G$9-SQRT((1-S450)*($G$9-$E$9)*($G$9-$F$9))))</f>
        <v>1</v>
      </c>
      <c r="F450" s="37" t="n">
        <f aca="false">1+IF($G$10=$E$10,$F$10,IF(T450&lt;($F$10-$E$10)/($G$10-$E$10),$E$10+SQRT(T450*($G$10-$E$10)*($F$10-$E$10)),$G$10-SQRT((1-T450)*($G$10-$E$10)*($G$10-$F$10))))</f>
        <v>1</v>
      </c>
      <c r="G450" s="38" t="n">
        <f aca="false">IF($G$11=$E$11,$F$11,IF(U450&lt;($F$11-$E$11)/($G$11-$E$11),$E$11+SQRT(U450*($G$11-$E$11)*($F$11-$E$11)),$G$11-SQRT((1-U450)*($G$11-$E$11)*($G$11-$F$11))))</f>
        <v>0</v>
      </c>
      <c r="H450" s="39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0</v>
      </c>
      <c r="I450" s="39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0</v>
      </c>
      <c r="J450" s="39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0</v>
      </c>
      <c r="K450" s="39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0</v>
      </c>
      <c r="L450" s="39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0</v>
      </c>
      <c r="M450" s="39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0</v>
      </c>
      <c r="N450" s="39" t="str">
        <f aca="false">IF(COUNT('Business Case'!B11:G11)=0,"",H450+NPV(G450,I450:M450))</f>
        <v/>
      </c>
      <c r="P450" s="40" t="n">
        <f aca="true">RAND()</f>
        <v>0.239644164608645</v>
      </c>
      <c r="Q450" s="40" t="n">
        <f aca="true">RAND()</f>
        <v>0.712264782944576</v>
      </c>
      <c r="R450" s="40" t="n">
        <f aca="true">RAND()</f>
        <v>0.790617669555217</v>
      </c>
      <c r="S450" s="40" t="n">
        <f aca="true">RAND()</f>
        <v>0.993737212366605</v>
      </c>
      <c r="T450" s="40" t="n">
        <f aca="true">RAND()</f>
        <v>0.259055824413127</v>
      </c>
      <c r="U450" s="40" t="n">
        <f aca="true">RAND()</f>
        <v>0.22529300859193</v>
      </c>
    </row>
    <row r="451" customFormat="false" ht="15" hidden="false" customHeight="false" outlineLevel="0" collapsed="false">
      <c r="A451" s="36" t="n">
        <v>371</v>
      </c>
      <c r="B451" s="37" t="n">
        <f aca="false">1+IF($G$6=$E$6,$F$6,IF(P451&lt;($F$6-$E$6)/($G$6-$E$6),$E$6+SQRT(P451*($G$6-$E$6)*($F$6-$E$6)),$G$6-SQRT((1-P451)*($G$6-$E$6)*($G$6-$F$6))))</f>
        <v>1</v>
      </c>
      <c r="C451" s="37" t="n">
        <f aca="false">1+IF($G$7=$E$7,$F$7,IF(Q451&lt;($F$7-$E$7)/($G$7-$E$7),$E$7+SQRT(Q451*($G$7-$E$7)*($F$7-$E$7)),$G$7-SQRT((1-Q451)*($G$7-$E$7)*($G$7-$F$7))))</f>
        <v>1</v>
      </c>
      <c r="D451" s="37" t="n">
        <f aca="false">1+IF($G$8=$E$8,$F$8,IF(R451&lt;($F$8-$E$8)/($G$8-$E$8),$E$8+SQRT(R451*($G$8-$E$8)*($F$8-$E$8)),$G$8-SQRT((1-R451)*($G$8-$E$8)*($G$8-$F$8))))</f>
        <v>1</v>
      </c>
      <c r="E451" s="37" t="n">
        <f aca="false">1+IF($G$9=$E$9,$F$9,IF(S451&lt;($F$9-$E$9)/($G$9-$E$9),$E$9+SQRT(S451*($G$9-$E$9)*($F$9-$E$9)),$G$9-SQRT((1-S451)*($G$9-$E$9)*($G$9-$F$9))))</f>
        <v>1</v>
      </c>
      <c r="F451" s="37" t="n">
        <f aca="false">1+IF($G$10=$E$10,$F$10,IF(T451&lt;($F$10-$E$10)/($G$10-$E$10),$E$10+SQRT(T451*($G$10-$E$10)*($F$10-$E$10)),$G$10-SQRT((1-T451)*($G$10-$E$10)*($G$10-$F$10))))</f>
        <v>1</v>
      </c>
      <c r="G451" s="38" t="n">
        <f aca="false">IF($G$11=$E$11,$F$11,IF(U451&lt;($F$11-$E$11)/($G$11-$E$11),$E$11+SQRT(U451*($G$11-$E$11)*($F$11-$E$11)),$G$11-SQRT((1-U451)*($G$11-$E$11)*($G$11-$F$11))))</f>
        <v>0</v>
      </c>
      <c r="H451" s="39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0</v>
      </c>
      <c r="I451" s="39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0</v>
      </c>
      <c r="J451" s="39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0</v>
      </c>
      <c r="K451" s="39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0</v>
      </c>
      <c r="L451" s="39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0</v>
      </c>
      <c r="M451" s="39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0</v>
      </c>
      <c r="N451" s="39" t="str">
        <f aca="false">IF(COUNT('Business Case'!B11:G11)=0,"",H451+NPV(G451,I451:M451))</f>
        <v/>
      </c>
      <c r="P451" s="40" t="n">
        <f aca="true">RAND()</f>
        <v>0.284378548878709</v>
      </c>
      <c r="Q451" s="40" t="n">
        <f aca="true">RAND()</f>
        <v>0.417168907818632</v>
      </c>
      <c r="R451" s="40" t="n">
        <f aca="true">RAND()</f>
        <v>0.816689115671951</v>
      </c>
      <c r="S451" s="40" t="n">
        <f aca="true">RAND()</f>
        <v>0.150883163175431</v>
      </c>
      <c r="T451" s="40" t="n">
        <f aca="true">RAND()</f>
        <v>0.831369700494835</v>
      </c>
      <c r="U451" s="40" t="n">
        <f aca="true">RAND()</f>
        <v>0.140375559449546</v>
      </c>
    </row>
    <row r="452" customFormat="false" ht="15" hidden="false" customHeight="false" outlineLevel="0" collapsed="false">
      <c r="A452" s="36" t="n">
        <v>372</v>
      </c>
      <c r="B452" s="37" t="n">
        <f aca="false">1+IF($G$6=$E$6,$F$6,IF(P452&lt;($F$6-$E$6)/($G$6-$E$6),$E$6+SQRT(P452*($G$6-$E$6)*($F$6-$E$6)),$G$6-SQRT((1-P452)*($G$6-$E$6)*($G$6-$F$6))))</f>
        <v>1</v>
      </c>
      <c r="C452" s="37" t="n">
        <f aca="false">1+IF($G$7=$E$7,$F$7,IF(Q452&lt;($F$7-$E$7)/($G$7-$E$7),$E$7+SQRT(Q452*($G$7-$E$7)*($F$7-$E$7)),$G$7-SQRT((1-Q452)*($G$7-$E$7)*($G$7-$F$7))))</f>
        <v>1</v>
      </c>
      <c r="D452" s="37" t="n">
        <f aca="false">1+IF($G$8=$E$8,$F$8,IF(R452&lt;($F$8-$E$8)/($G$8-$E$8),$E$8+SQRT(R452*($G$8-$E$8)*($F$8-$E$8)),$G$8-SQRT((1-R452)*($G$8-$E$8)*($G$8-$F$8))))</f>
        <v>1</v>
      </c>
      <c r="E452" s="37" t="n">
        <f aca="false">1+IF($G$9=$E$9,$F$9,IF(S452&lt;($F$9-$E$9)/($G$9-$E$9),$E$9+SQRT(S452*($G$9-$E$9)*($F$9-$E$9)),$G$9-SQRT((1-S452)*($G$9-$E$9)*($G$9-$F$9))))</f>
        <v>1</v>
      </c>
      <c r="F452" s="37" t="n">
        <f aca="false">1+IF($G$10=$E$10,$F$10,IF(T452&lt;($F$10-$E$10)/($G$10-$E$10),$E$10+SQRT(T452*($G$10-$E$10)*($F$10-$E$10)),$G$10-SQRT((1-T452)*($G$10-$E$10)*($G$10-$F$10))))</f>
        <v>1</v>
      </c>
      <c r="G452" s="38" t="n">
        <f aca="false">IF($G$11=$E$11,$F$11,IF(U452&lt;($F$11-$E$11)/($G$11-$E$11),$E$11+SQRT(U452*($G$11-$E$11)*($F$11-$E$11)),$G$11-SQRT((1-U452)*($G$11-$E$11)*($G$11-$F$11))))</f>
        <v>0</v>
      </c>
      <c r="H452" s="39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0</v>
      </c>
      <c r="I452" s="39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0</v>
      </c>
      <c r="J452" s="39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0</v>
      </c>
      <c r="K452" s="39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0</v>
      </c>
      <c r="L452" s="39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0</v>
      </c>
      <c r="M452" s="39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0</v>
      </c>
      <c r="N452" s="39" t="str">
        <f aca="false">IF(COUNT('Business Case'!B11:G11)=0,"",H452+NPV(G452,I452:M452))</f>
        <v/>
      </c>
      <c r="P452" s="40" t="n">
        <f aca="true">RAND()</f>
        <v>0.825233348757124</v>
      </c>
      <c r="Q452" s="40" t="n">
        <f aca="true">RAND()</f>
        <v>0.42118912017914</v>
      </c>
      <c r="R452" s="40" t="n">
        <f aca="true">RAND()</f>
        <v>0.400683541695906</v>
      </c>
      <c r="S452" s="40" t="n">
        <f aca="true">RAND()</f>
        <v>0.586333133763191</v>
      </c>
      <c r="T452" s="40" t="n">
        <f aca="true">RAND()</f>
        <v>0.732259219119723</v>
      </c>
      <c r="U452" s="40" t="n">
        <f aca="true">RAND()</f>
        <v>0.0973726838307022</v>
      </c>
    </row>
    <row r="453" customFormat="false" ht="15" hidden="false" customHeight="false" outlineLevel="0" collapsed="false">
      <c r="A453" s="36" t="n">
        <v>373</v>
      </c>
      <c r="B453" s="37" t="n">
        <f aca="false">1+IF($G$6=$E$6,$F$6,IF(P453&lt;($F$6-$E$6)/($G$6-$E$6),$E$6+SQRT(P453*($G$6-$E$6)*($F$6-$E$6)),$G$6-SQRT((1-P453)*($G$6-$E$6)*($G$6-$F$6))))</f>
        <v>1</v>
      </c>
      <c r="C453" s="37" t="n">
        <f aca="false">1+IF($G$7=$E$7,$F$7,IF(Q453&lt;($F$7-$E$7)/($G$7-$E$7),$E$7+SQRT(Q453*($G$7-$E$7)*($F$7-$E$7)),$G$7-SQRT((1-Q453)*($G$7-$E$7)*($G$7-$F$7))))</f>
        <v>1</v>
      </c>
      <c r="D453" s="37" t="n">
        <f aca="false">1+IF($G$8=$E$8,$F$8,IF(R453&lt;($F$8-$E$8)/($G$8-$E$8),$E$8+SQRT(R453*($G$8-$E$8)*($F$8-$E$8)),$G$8-SQRT((1-R453)*($G$8-$E$8)*($G$8-$F$8))))</f>
        <v>1</v>
      </c>
      <c r="E453" s="37" t="n">
        <f aca="false">1+IF($G$9=$E$9,$F$9,IF(S453&lt;($F$9-$E$9)/($G$9-$E$9),$E$9+SQRT(S453*($G$9-$E$9)*($F$9-$E$9)),$G$9-SQRT((1-S453)*($G$9-$E$9)*($G$9-$F$9))))</f>
        <v>1</v>
      </c>
      <c r="F453" s="37" t="n">
        <f aca="false">1+IF($G$10=$E$10,$F$10,IF(T453&lt;($F$10-$E$10)/($G$10-$E$10),$E$10+SQRT(T453*($G$10-$E$10)*($F$10-$E$10)),$G$10-SQRT((1-T453)*($G$10-$E$10)*($G$10-$F$10))))</f>
        <v>1</v>
      </c>
      <c r="G453" s="38" t="n">
        <f aca="false">IF($G$11=$E$11,$F$11,IF(U453&lt;($F$11-$E$11)/($G$11-$E$11),$E$11+SQRT(U453*($G$11-$E$11)*($F$11-$E$11)),$G$11-SQRT((1-U453)*($G$11-$E$11)*($G$11-$F$11))))</f>
        <v>0</v>
      </c>
      <c r="H453" s="39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0</v>
      </c>
      <c r="I453" s="39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0</v>
      </c>
      <c r="J453" s="39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0</v>
      </c>
      <c r="K453" s="39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0</v>
      </c>
      <c r="L453" s="39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0</v>
      </c>
      <c r="M453" s="39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0</v>
      </c>
      <c r="N453" s="39" t="str">
        <f aca="false">IF(COUNT('Business Case'!B11:G11)=0,"",H453+NPV(G453,I453:M453))</f>
        <v/>
      </c>
      <c r="P453" s="40" t="n">
        <f aca="true">RAND()</f>
        <v>0.71263091957139</v>
      </c>
      <c r="Q453" s="40" t="n">
        <f aca="true">RAND()</f>
        <v>0.637105214707902</v>
      </c>
      <c r="R453" s="40" t="n">
        <f aca="true">RAND()</f>
        <v>0.380636525383267</v>
      </c>
      <c r="S453" s="40" t="n">
        <f aca="true">RAND()</f>
        <v>0.233323073300152</v>
      </c>
      <c r="T453" s="40" t="n">
        <f aca="true">RAND()</f>
        <v>0.975603288065024</v>
      </c>
      <c r="U453" s="40" t="n">
        <f aca="true">RAND()</f>
        <v>0.716354991189724</v>
      </c>
    </row>
    <row r="454" customFormat="false" ht="15" hidden="false" customHeight="false" outlineLevel="0" collapsed="false">
      <c r="A454" s="36" t="n">
        <v>374</v>
      </c>
      <c r="B454" s="37" t="n">
        <f aca="false">1+IF($G$6=$E$6,$F$6,IF(P454&lt;($F$6-$E$6)/($G$6-$E$6),$E$6+SQRT(P454*($G$6-$E$6)*($F$6-$E$6)),$G$6-SQRT((1-P454)*($G$6-$E$6)*($G$6-$F$6))))</f>
        <v>1</v>
      </c>
      <c r="C454" s="37" t="n">
        <f aca="false">1+IF($G$7=$E$7,$F$7,IF(Q454&lt;($F$7-$E$7)/($G$7-$E$7),$E$7+SQRT(Q454*($G$7-$E$7)*($F$7-$E$7)),$G$7-SQRT((1-Q454)*($G$7-$E$7)*($G$7-$F$7))))</f>
        <v>1</v>
      </c>
      <c r="D454" s="37" t="n">
        <f aca="false">1+IF($G$8=$E$8,$F$8,IF(R454&lt;($F$8-$E$8)/($G$8-$E$8),$E$8+SQRT(R454*($G$8-$E$8)*($F$8-$E$8)),$G$8-SQRT((1-R454)*($G$8-$E$8)*($G$8-$F$8))))</f>
        <v>1</v>
      </c>
      <c r="E454" s="37" t="n">
        <f aca="false">1+IF($G$9=$E$9,$F$9,IF(S454&lt;($F$9-$E$9)/($G$9-$E$9),$E$9+SQRT(S454*($G$9-$E$9)*($F$9-$E$9)),$G$9-SQRT((1-S454)*($G$9-$E$9)*($G$9-$F$9))))</f>
        <v>1</v>
      </c>
      <c r="F454" s="37" t="n">
        <f aca="false">1+IF($G$10=$E$10,$F$10,IF(T454&lt;($F$10-$E$10)/($G$10-$E$10),$E$10+SQRT(T454*($G$10-$E$10)*($F$10-$E$10)),$G$10-SQRT((1-T454)*($G$10-$E$10)*($G$10-$F$10))))</f>
        <v>1</v>
      </c>
      <c r="G454" s="38" t="n">
        <f aca="false">IF($G$11=$E$11,$F$11,IF(U454&lt;($F$11-$E$11)/($G$11-$E$11),$E$11+SQRT(U454*($G$11-$E$11)*($F$11-$E$11)),$G$11-SQRT((1-U454)*($G$11-$E$11)*($G$11-$F$11))))</f>
        <v>0</v>
      </c>
      <c r="H454" s="39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0</v>
      </c>
      <c r="I454" s="39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0</v>
      </c>
      <c r="J454" s="39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0</v>
      </c>
      <c r="K454" s="39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0</v>
      </c>
      <c r="L454" s="39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0</v>
      </c>
      <c r="M454" s="39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0</v>
      </c>
      <c r="N454" s="39" t="str">
        <f aca="false">IF(COUNT('Business Case'!B11:G11)=0,"",H454+NPV(G454,I454:M454))</f>
        <v/>
      </c>
      <c r="P454" s="40" t="n">
        <f aca="true">RAND()</f>
        <v>0.0117145602218981</v>
      </c>
      <c r="Q454" s="40" t="n">
        <f aca="true">RAND()</f>
        <v>0.10512366109599</v>
      </c>
      <c r="R454" s="40" t="n">
        <f aca="true">RAND()</f>
        <v>0.370913149715061</v>
      </c>
      <c r="S454" s="40" t="n">
        <f aca="true">RAND()</f>
        <v>0.301362567724336</v>
      </c>
      <c r="T454" s="40" t="n">
        <f aca="true">RAND()</f>
        <v>0.949576205446076</v>
      </c>
      <c r="U454" s="40" t="n">
        <f aca="true">RAND()</f>
        <v>0.921937402903633</v>
      </c>
    </row>
    <row r="455" customFormat="false" ht="15" hidden="false" customHeight="false" outlineLevel="0" collapsed="false">
      <c r="A455" s="36" t="n">
        <v>375</v>
      </c>
      <c r="B455" s="37" t="n">
        <f aca="false">1+IF($G$6=$E$6,$F$6,IF(P455&lt;($F$6-$E$6)/($G$6-$E$6),$E$6+SQRT(P455*($G$6-$E$6)*($F$6-$E$6)),$G$6-SQRT((1-P455)*($G$6-$E$6)*($G$6-$F$6))))</f>
        <v>1</v>
      </c>
      <c r="C455" s="37" t="n">
        <f aca="false">1+IF($G$7=$E$7,$F$7,IF(Q455&lt;($F$7-$E$7)/($G$7-$E$7),$E$7+SQRT(Q455*($G$7-$E$7)*($F$7-$E$7)),$G$7-SQRT((1-Q455)*($G$7-$E$7)*($G$7-$F$7))))</f>
        <v>1</v>
      </c>
      <c r="D455" s="37" t="n">
        <f aca="false">1+IF($G$8=$E$8,$F$8,IF(R455&lt;($F$8-$E$8)/($G$8-$E$8),$E$8+SQRT(R455*($G$8-$E$8)*($F$8-$E$8)),$G$8-SQRT((1-R455)*($G$8-$E$8)*($G$8-$F$8))))</f>
        <v>1</v>
      </c>
      <c r="E455" s="37" t="n">
        <f aca="false">1+IF($G$9=$E$9,$F$9,IF(S455&lt;($F$9-$E$9)/($G$9-$E$9),$E$9+SQRT(S455*($G$9-$E$9)*($F$9-$E$9)),$G$9-SQRT((1-S455)*($G$9-$E$9)*($G$9-$F$9))))</f>
        <v>1</v>
      </c>
      <c r="F455" s="37" t="n">
        <f aca="false">1+IF($G$10=$E$10,$F$10,IF(T455&lt;($F$10-$E$10)/($G$10-$E$10),$E$10+SQRT(T455*($G$10-$E$10)*($F$10-$E$10)),$G$10-SQRT((1-T455)*($G$10-$E$10)*($G$10-$F$10))))</f>
        <v>1</v>
      </c>
      <c r="G455" s="38" t="n">
        <f aca="false">IF($G$11=$E$11,$F$11,IF(U455&lt;($F$11-$E$11)/($G$11-$E$11),$E$11+SQRT(U455*($G$11-$E$11)*($F$11-$E$11)),$G$11-SQRT((1-U455)*($G$11-$E$11)*($G$11-$F$11))))</f>
        <v>0</v>
      </c>
      <c r="H455" s="39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0</v>
      </c>
      <c r="I455" s="39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0</v>
      </c>
      <c r="J455" s="39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0</v>
      </c>
      <c r="K455" s="39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0</v>
      </c>
      <c r="L455" s="39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0</v>
      </c>
      <c r="M455" s="39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0</v>
      </c>
      <c r="N455" s="39" t="str">
        <f aca="false">IF(COUNT('Business Case'!B11:G11)=0,"",H455+NPV(G455,I455:M455))</f>
        <v/>
      </c>
      <c r="P455" s="40" t="n">
        <f aca="true">RAND()</f>
        <v>0.522441506204346</v>
      </c>
      <c r="Q455" s="40" t="n">
        <f aca="true">RAND()</f>
        <v>0.191502287029299</v>
      </c>
      <c r="R455" s="40" t="n">
        <f aca="true">RAND()</f>
        <v>0.984023390504262</v>
      </c>
      <c r="S455" s="40" t="n">
        <f aca="true">RAND()</f>
        <v>0.817480276764445</v>
      </c>
      <c r="T455" s="40" t="n">
        <f aca="true">RAND()</f>
        <v>0.994686590070969</v>
      </c>
      <c r="U455" s="40" t="n">
        <f aca="true">RAND()</f>
        <v>0.849146951981332</v>
      </c>
    </row>
    <row r="456" customFormat="false" ht="15" hidden="false" customHeight="false" outlineLevel="0" collapsed="false">
      <c r="A456" s="36" t="n">
        <v>376</v>
      </c>
      <c r="B456" s="37" t="n">
        <f aca="false">1+IF($G$6=$E$6,$F$6,IF(P456&lt;($F$6-$E$6)/($G$6-$E$6),$E$6+SQRT(P456*($G$6-$E$6)*($F$6-$E$6)),$G$6-SQRT((1-P456)*($G$6-$E$6)*($G$6-$F$6))))</f>
        <v>1</v>
      </c>
      <c r="C456" s="37" t="n">
        <f aca="false">1+IF($G$7=$E$7,$F$7,IF(Q456&lt;($F$7-$E$7)/($G$7-$E$7),$E$7+SQRT(Q456*($G$7-$E$7)*($F$7-$E$7)),$G$7-SQRT((1-Q456)*($G$7-$E$7)*($G$7-$F$7))))</f>
        <v>1</v>
      </c>
      <c r="D456" s="37" t="n">
        <f aca="false">1+IF($G$8=$E$8,$F$8,IF(R456&lt;($F$8-$E$8)/($G$8-$E$8),$E$8+SQRT(R456*($G$8-$E$8)*($F$8-$E$8)),$G$8-SQRT((1-R456)*($G$8-$E$8)*($G$8-$F$8))))</f>
        <v>1</v>
      </c>
      <c r="E456" s="37" t="n">
        <f aca="false">1+IF($G$9=$E$9,$F$9,IF(S456&lt;($F$9-$E$9)/($G$9-$E$9),$E$9+SQRT(S456*($G$9-$E$9)*($F$9-$E$9)),$G$9-SQRT((1-S456)*($G$9-$E$9)*($G$9-$F$9))))</f>
        <v>1</v>
      </c>
      <c r="F456" s="37" t="n">
        <f aca="false">1+IF($G$10=$E$10,$F$10,IF(T456&lt;($F$10-$E$10)/($G$10-$E$10),$E$10+SQRT(T456*($G$10-$E$10)*($F$10-$E$10)),$G$10-SQRT((1-T456)*($G$10-$E$10)*($G$10-$F$10))))</f>
        <v>1</v>
      </c>
      <c r="G456" s="38" t="n">
        <f aca="false">IF($G$11=$E$11,$F$11,IF(U456&lt;($F$11-$E$11)/($G$11-$E$11),$E$11+SQRT(U456*($G$11-$E$11)*($F$11-$E$11)),$G$11-SQRT((1-U456)*($G$11-$E$11)*($G$11-$F$11))))</f>
        <v>0</v>
      </c>
      <c r="H456" s="39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0</v>
      </c>
      <c r="I456" s="39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0</v>
      </c>
      <c r="J456" s="39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0</v>
      </c>
      <c r="K456" s="39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0</v>
      </c>
      <c r="L456" s="39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0</v>
      </c>
      <c r="M456" s="39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0</v>
      </c>
      <c r="N456" s="39" t="str">
        <f aca="false">IF(COUNT('Business Case'!B11:G11)=0,"",H456+NPV(G456,I456:M456))</f>
        <v/>
      </c>
      <c r="P456" s="40" t="n">
        <f aca="true">RAND()</f>
        <v>0.372163827308214</v>
      </c>
      <c r="Q456" s="40" t="n">
        <f aca="true">RAND()</f>
        <v>0.608037212867621</v>
      </c>
      <c r="R456" s="40" t="n">
        <f aca="true">RAND()</f>
        <v>0.720913317803293</v>
      </c>
      <c r="S456" s="40" t="n">
        <f aca="true">RAND()</f>
        <v>0.217531343177608</v>
      </c>
      <c r="T456" s="40" t="n">
        <f aca="true">RAND()</f>
        <v>0.694332328172453</v>
      </c>
      <c r="U456" s="40" t="n">
        <f aca="true">RAND()</f>
        <v>0.606812426777338</v>
      </c>
    </row>
    <row r="457" customFormat="false" ht="15" hidden="false" customHeight="false" outlineLevel="0" collapsed="false">
      <c r="A457" s="36" t="n">
        <v>377</v>
      </c>
      <c r="B457" s="37" t="n">
        <f aca="false">1+IF($G$6=$E$6,$F$6,IF(P457&lt;($F$6-$E$6)/($G$6-$E$6),$E$6+SQRT(P457*($G$6-$E$6)*($F$6-$E$6)),$G$6-SQRT((1-P457)*($G$6-$E$6)*($G$6-$F$6))))</f>
        <v>1</v>
      </c>
      <c r="C457" s="37" t="n">
        <f aca="false">1+IF($G$7=$E$7,$F$7,IF(Q457&lt;($F$7-$E$7)/($G$7-$E$7),$E$7+SQRT(Q457*($G$7-$E$7)*($F$7-$E$7)),$G$7-SQRT((1-Q457)*($G$7-$E$7)*($G$7-$F$7))))</f>
        <v>1</v>
      </c>
      <c r="D457" s="37" t="n">
        <f aca="false">1+IF($G$8=$E$8,$F$8,IF(R457&lt;($F$8-$E$8)/($G$8-$E$8),$E$8+SQRT(R457*($G$8-$E$8)*($F$8-$E$8)),$G$8-SQRT((1-R457)*($G$8-$E$8)*($G$8-$F$8))))</f>
        <v>1</v>
      </c>
      <c r="E457" s="37" t="n">
        <f aca="false">1+IF($G$9=$E$9,$F$9,IF(S457&lt;($F$9-$E$9)/($G$9-$E$9),$E$9+SQRT(S457*($G$9-$E$9)*($F$9-$E$9)),$G$9-SQRT((1-S457)*($G$9-$E$9)*($G$9-$F$9))))</f>
        <v>1</v>
      </c>
      <c r="F457" s="37" t="n">
        <f aca="false">1+IF($G$10=$E$10,$F$10,IF(T457&lt;($F$10-$E$10)/($G$10-$E$10),$E$10+SQRT(T457*($G$10-$E$10)*($F$10-$E$10)),$G$10-SQRT((1-T457)*($G$10-$E$10)*($G$10-$F$10))))</f>
        <v>1</v>
      </c>
      <c r="G457" s="38" t="n">
        <f aca="false">IF($G$11=$E$11,$F$11,IF(U457&lt;($F$11-$E$11)/($G$11-$E$11),$E$11+SQRT(U457*($G$11-$E$11)*($F$11-$E$11)),$G$11-SQRT((1-U457)*($G$11-$E$11)*($G$11-$F$11))))</f>
        <v>0</v>
      </c>
      <c r="H457" s="39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0</v>
      </c>
      <c r="I457" s="39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0</v>
      </c>
      <c r="J457" s="39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0</v>
      </c>
      <c r="K457" s="39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0</v>
      </c>
      <c r="L457" s="39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0</v>
      </c>
      <c r="M457" s="39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0</v>
      </c>
      <c r="N457" s="39" t="str">
        <f aca="false">IF(COUNT('Business Case'!B11:G11)=0,"",H457+NPV(G457,I457:M457))</f>
        <v/>
      </c>
      <c r="P457" s="40" t="n">
        <f aca="true">RAND()</f>
        <v>0.45231798144364</v>
      </c>
      <c r="Q457" s="40" t="n">
        <f aca="true">RAND()</f>
        <v>0.544890633121899</v>
      </c>
      <c r="R457" s="40" t="n">
        <f aca="true">RAND()</f>
        <v>0.219628401418096</v>
      </c>
      <c r="S457" s="40" t="n">
        <f aca="true">RAND()</f>
        <v>0.568713732856336</v>
      </c>
      <c r="T457" s="40" t="n">
        <f aca="true">RAND()</f>
        <v>0.424562470406857</v>
      </c>
      <c r="U457" s="40" t="n">
        <f aca="true">RAND()</f>
        <v>0.0895781931084546</v>
      </c>
    </row>
    <row r="458" customFormat="false" ht="15" hidden="false" customHeight="false" outlineLevel="0" collapsed="false">
      <c r="A458" s="36" t="n">
        <v>378</v>
      </c>
      <c r="B458" s="37" t="n">
        <f aca="false">1+IF($G$6=$E$6,$F$6,IF(P458&lt;($F$6-$E$6)/($G$6-$E$6),$E$6+SQRT(P458*($G$6-$E$6)*($F$6-$E$6)),$G$6-SQRT((1-P458)*($G$6-$E$6)*($G$6-$F$6))))</f>
        <v>1</v>
      </c>
      <c r="C458" s="37" t="n">
        <f aca="false">1+IF($G$7=$E$7,$F$7,IF(Q458&lt;($F$7-$E$7)/($G$7-$E$7),$E$7+SQRT(Q458*($G$7-$E$7)*($F$7-$E$7)),$G$7-SQRT((1-Q458)*($G$7-$E$7)*($G$7-$F$7))))</f>
        <v>1</v>
      </c>
      <c r="D458" s="37" t="n">
        <f aca="false">1+IF($G$8=$E$8,$F$8,IF(R458&lt;($F$8-$E$8)/($G$8-$E$8),$E$8+SQRT(R458*($G$8-$E$8)*($F$8-$E$8)),$G$8-SQRT((1-R458)*($G$8-$E$8)*($G$8-$F$8))))</f>
        <v>1</v>
      </c>
      <c r="E458" s="37" t="n">
        <f aca="false">1+IF($G$9=$E$9,$F$9,IF(S458&lt;($F$9-$E$9)/($G$9-$E$9),$E$9+SQRT(S458*($G$9-$E$9)*($F$9-$E$9)),$G$9-SQRT((1-S458)*($G$9-$E$9)*($G$9-$F$9))))</f>
        <v>1</v>
      </c>
      <c r="F458" s="37" t="n">
        <f aca="false">1+IF($G$10=$E$10,$F$10,IF(T458&lt;($F$10-$E$10)/($G$10-$E$10),$E$10+SQRT(T458*($G$10-$E$10)*($F$10-$E$10)),$G$10-SQRT((1-T458)*($G$10-$E$10)*($G$10-$F$10))))</f>
        <v>1</v>
      </c>
      <c r="G458" s="38" t="n">
        <f aca="false">IF($G$11=$E$11,$F$11,IF(U458&lt;($F$11-$E$11)/($G$11-$E$11),$E$11+SQRT(U458*($G$11-$E$11)*($F$11-$E$11)),$G$11-SQRT((1-U458)*($G$11-$E$11)*($G$11-$F$11))))</f>
        <v>0</v>
      </c>
      <c r="H458" s="39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0</v>
      </c>
      <c r="I458" s="39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0</v>
      </c>
      <c r="J458" s="39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0</v>
      </c>
      <c r="K458" s="39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0</v>
      </c>
      <c r="L458" s="39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0</v>
      </c>
      <c r="M458" s="39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0</v>
      </c>
      <c r="N458" s="39" t="str">
        <f aca="false">IF(COUNT('Business Case'!B11:G11)=0,"",H458+NPV(G458,I458:M458))</f>
        <v/>
      </c>
      <c r="P458" s="40" t="n">
        <f aca="true">RAND()</f>
        <v>0.524995965190789</v>
      </c>
      <c r="Q458" s="40" t="n">
        <f aca="true">RAND()</f>
        <v>0.78679217331959</v>
      </c>
      <c r="R458" s="40" t="n">
        <f aca="true">RAND()</f>
        <v>0.644457290116413</v>
      </c>
      <c r="S458" s="40" t="n">
        <f aca="true">RAND()</f>
        <v>0.994357245604009</v>
      </c>
      <c r="T458" s="40" t="n">
        <f aca="true">RAND()</f>
        <v>0.40113699414905</v>
      </c>
      <c r="U458" s="40" t="n">
        <f aca="true">RAND()</f>
        <v>0.473068952800184</v>
      </c>
    </row>
    <row r="459" customFormat="false" ht="15" hidden="false" customHeight="false" outlineLevel="0" collapsed="false">
      <c r="A459" s="36" t="n">
        <v>379</v>
      </c>
      <c r="B459" s="37" t="n">
        <f aca="false">1+IF($G$6=$E$6,$F$6,IF(P459&lt;($F$6-$E$6)/($G$6-$E$6),$E$6+SQRT(P459*($G$6-$E$6)*($F$6-$E$6)),$G$6-SQRT((1-P459)*($G$6-$E$6)*($G$6-$F$6))))</f>
        <v>1</v>
      </c>
      <c r="C459" s="37" t="n">
        <f aca="false">1+IF($G$7=$E$7,$F$7,IF(Q459&lt;($F$7-$E$7)/($G$7-$E$7),$E$7+SQRT(Q459*($G$7-$E$7)*($F$7-$E$7)),$G$7-SQRT((1-Q459)*($G$7-$E$7)*($G$7-$F$7))))</f>
        <v>1</v>
      </c>
      <c r="D459" s="37" t="n">
        <f aca="false">1+IF($G$8=$E$8,$F$8,IF(R459&lt;($F$8-$E$8)/($G$8-$E$8),$E$8+SQRT(R459*($G$8-$E$8)*($F$8-$E$8)),$G$8-SQRT((1-R459)*($G$8-$E$8)*($G$8-$F$8))))</f>
        <v>1</v>
      </c>
      <c r="E459" s="37" t="n">
        <f aca="false">1+IF($G$9=$E$9,$F$9,IF(S459&lt;($F$9-$E$9)/($G$9-$E$9),$E$9+SQRT(S459*($G$9-$E$9)*($F$9-$E$9)),$G$9-SQRT((1-S459)*($G$9-$E$9)*($G$9-$F$9))))</f>
        <v>1</v>
      </c>
      <c r="F459" s="37" t="n">
        <f aca="false">1+IF($G$10=$E$10,$F$10,IF(T459&lt;($F$10-$E$10)/($G$10-$E$10),$E$10+SQRT(T459*($G$10-$E$10)*($F$10-$E$10)),$G$10-SQRT((1-T459)*($G$10-$E$10)*($G$10-$F$10))))</f>
        <v>1</v>
      </c>
      <c r="G459" s="38" t="n">
        <f aca="false">IF($G$11=$E$11,$F$11,IF(U459&lt;($F$11-$E$11)/($G$11-$E$11),$E$11+SQRT(U459*($G$11-$E$11)*($F$11-$E$11)),$G$11-SQRT((1-U459)*($G$11-$E$11)*($G$11-$F$11))))</f>
        <v>0</v>
      </c>
      <c r="H459" s="39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0</v>
      </c>
      <c r="I459" s="39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0</v>
      </c>
      <c r="J459" s="39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0</v>
      </c>
      <c r="K459" s="39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0</v>
      </c>
      <c r="L459" s="39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0</v>
      </c>
      <c r="M459" s="39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0</v>
      </c>
      <c r="N459" s="39" t="str">
        <f aca="false">IF(COUNT('Business Case'!B11:G11)=0,"",H459+NPV(G459,I459:M459))</f>
        <v/>
      </c>
      <c r="P459" s="40" t="n">
        <f aca="true">RAND()</f>
        <v>0.483996584221816</v>
      </c>
      <c r="Q459" s="40" t="n">
        <f aca="true">RAND()</f>
        <v>0.159867804055913</v>
      </c>
      <c r="R459" s="40" t="n">
        <f aca="true">RAND()</f>
        <v>0.352038012720813</v>
      </c>
      <c r="S459" s="40" t="n">
        <f aca="true">RAND()</f>
        <v>0.352640473178305</v>
      </c>
      <c r="T459" s="40" t="n">
        <f aca="true">RAND()</f>
        <v>0.827655731297147</v>
      </c>
      <c r="U459" s="40" t="n">
        <f aca="true">RAND()</f>
        <v>0.968165065763311</v>
      </c>
    </row>
    <row r="460" customFormat="false" ht="15" hidden="false" customHeight="false" outlineLevel="0" collapsed="false">
      <c r="A460" s="36" t="n">
        <v>380</v>
      </c>
      <c r="B460" s="37" t="n">
        <f aca="false">1+IF($G$6=$E$6,$F$6,IF(P460&lt;($F$6-$E$6)/($G$6-$E$6),$E$6+SQRT(P460*($G$6-$E$6)*($F$6-$E$6)),$G$6-SQRT((1-P460)*($G$6-$E$6)*($G$6-$F$6))))</f>
        <v>1</v>
      </c>
      <c r="C460" s="37" t="n">
        <f aca="false">1+IF($G$7=$E$7,$F$7,IF(Q460&lt;($F$7-$E$7)/($G$7-$E$7),$E$7+SQRT(Q460*($G$7-$E$7)*($F$7-$E$7)),$G$7-SQRT((1-Q460)*($G$7-$E$7)*($G$7-$F$7))))</f>
        <v>1</v>
      </c>
      <c r="D460" s="37" t="n">
        <f aca="false">1+IF($G$8=$E$8,$F$8,IF(R460&lt;($F$8-$E$8)/($G$8-$E$8),$E$8+SQRT(R460*($G$8-$E$8)*($F$8-$E$8)),$G$8-SQRT((1-R460)*($G$8-$E$8)*($G$8-$F$8))))</f>
        <v>1</v>
      </c>
      <c r="E460" s="37" t="n">
        <f aca="false">1+IF($G$9=$E$9,$F$9,IF(S460&lt;($F$9-$E$9)/($G$9-$E$9),$E$9+SQRT(S460*($G$9-$E$9)*($F$9-$E$9)),$G$9-SQRT((1-S460)*($G$9-$E$9)*($G$9-$F$9))))</f>
        <v>1</v>
      </c>
      <c r="F460" s="37" t="n">
        <f aca="false">1+IF($G$10=$E$10,$F$10,IF(T460&lt;($F$10-$E$10)/($G$10-$E$10),$E$10+SQRT(T460*($G$10-$E$10)*($F$10-$E$10)),$G$10-SQRT((1-T460)*($G$10-$E$10)*($G$10-$F$10))))</f>
        <v>1</v>
      </c>
      <c r="G460" s="38" t="n">
        <f aca="false">IF($G$11=$E$11,$F$11,IF(U460&lt;($F$11-$E$11)/($G$11-$E$11),$E$11+SQRT(U460*($G$11-$E$11)*($F$11-$E$11)),$G$11-SQRT((1-U460)*($G$11-$E$11)*($G$11-$F$11))))</f>
        <v>0</v>
      </c>
      <c r="H460" s="39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0</v>
      </c>
      <c r="I460" s="39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0</v>
      </c>
      <c r="J460" s="39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0</v>
      </c>
      <c r="K460" s="39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0</v>
      </c>
      <c r="L460" s="39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0</v>
      </c>
      <c r="M460" s="39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0</v>
      </c>
      <c r="N460" s="39" t="str">
        <f aca="false">IF(COUNT('Business Case'!B11:G11)=0,"",H460+NPV(G460,I460:M460))</f>
        <v/>
      </c>
      <c r="P460" s="40" t="n">
        <f aca="true">RAND()</f>
        <v>0.722376468003083</v>
      </c>
      <c r="Q460" s="40" t="n">
        <f aca="true">RAND()</f>
        <v>0.856951040017926</v>
      </c>
      <c r="R460" s="40" t="n">
        <f aca="true">RAND()</f>
        <v>0.430376899443368</v>
      </c>
      <c r="S460" s="40" t="n">
        <f aca="true">RAND()</f>
        <v>0.799974688829974</v>
      </c>
      <c r="T460" s="40" t="n">
        <f aca="true">RAND()</f>
        <v>0.303179483429543</v>
      </c>
      <c r="U460" s="40" t="n">
        <f aca="true">RAND()</f>
        <v>0.421888156542349</v>
      </c>
    </row>
    <row r="461" customFormat="false" ht="15" hidden="false" customHeight="false" outlineLevel="0" collapsed="false">
      <c r="A461" s="36" t="n">
        <v>381</v>
      </c>
      <c r="B461" s="37" t="n">
        <f aca="false">1+IF($G$6=$E$6,$F$6,IF(P461&lt;($F$6-$E$6)/($G$6-$E$6),$E$6+SQRT(P461*($G$6-$E$6)*($F$6-$E$6)),$G$6-SQRT((1-P461)*($G$6-$E$6)*($G$6-$F$6))))</f>
        <v>1</v>
      </c>
      <c r="C461" s="37" t="n">
        <f aca="false">1+IF($G$7=$E$7,$F$7,IF(Q461&lt;($F$7-$E$7)/($G$7-$E$7),$E$7+SQRT(Q461*($G$7-$E$7)*($F$7-$E$7)),$G$7-SQRT((1-Q461)*($G$7-$E$7)*($G$7-$F$7))))</f>
        <v>1</v>
      </c>
      <c r="D461" s="37" t="n">
        <f aca="false">1+IF($G$8=$E$8,$F$8,IF(R461&lt;($F$8-$E$8)/($G$8-$E$8),$E$8+SQRT(R461*($G$8-$E$8)*($F$8-$E$8)),$G$8-SQRT((1-R461)*($G$8-$E$8)*($G$8-$F$8))))</f>
        <v>1</v>
      </c>
      <c r="E461" s="37" t="n">
        <f aca="false">1+IF($G$9=$E$9,$F$9,IF(S461&lt;($F$9-$E$9)/($G$9-$E$9),$E$9+SQRT(S461*($G$9-$E$9)*($F$9-$E$9)),$G$9-SQRT((1-S461)*($G$9-$E$9)*($G$9-$F$9))))</f>
        <v>1</v>
      </c>
      <c r="F461" s="37" t="n">
        <f aca="false">1+IF($G$10=$E$10,$F$10,IF(T461&lt;($F$10-$E$10)/($G$10-$E$10),$E$10+SQRT(T461*($G$10-$E$10)*($F$10-$E$10)),$G$10-SQRT((1-T461)*($G$10-$E$10)*($G$10-$F$10))))</f>
        <v>1</v>
      </c>
      <c r="G461" s="38" t="n">
        <f aca="false">IF($G$11=$E$11,$F$11,IF(U461&lt;($F$11-$E$11)/($G$11-$E$11),$E$11+SQRT(U461*($G$11-$E$11)*($F$11-$E$11)),$G$11-SQRT((1-U461)*($G$11-$E$11)*($G$11-$F$11))))</f>
        <v>0</v>
      </c>
      <c r="H461" s="39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0</v>
      </c>
      <c r="I461" s="39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0</v>
      </c>
      <c r="J461" s="39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0</v>
      </c>
      <c r="K461" s="39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0</v>
      </c>
      <c r="L461" s="39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0</v>
      </c>
      <c r="M461" s="39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0</v>
      </c>
      <c r="N461" s="39" t="str">
        <f aca="false">IF(COUNT('Business Case'!B11:G11)=0,"",H461+NPV(G461,I461:M461))</f>
        <v/>
      </c>
      <c r="P461" s="40" t="n">
        <f aca="true">RAND()</f>
        <v>0.429748668341802</v>
      </c>
      <c r="Q461" s="40" t="n">
        <f aca="true">RAND()</f>
        <v>0.492404545666416</v>
      </c>
      <c r="R461" s="40" t="n">
        <f aca="true">RAND()</f>
        <v>0.0343171894137939</v>
      </c>
      <c r="S461" s="40" t="n">
        <f aca="true">RAND()</f>
        <v>0.450075483887168</v>
      </c>
      <c r="T461" s="40" t="n">
        <f aca="true">RAND()</f>
        <v>0.563918033364453</v>
      </c>
      <c r="U461" s="40" t="n">
        <f aca="true">RAND()</f>
        <v>0.203913245312886</v>
      </c>
    </row>
    <row r="462" customFormat="false" ht="15" hidden="false" customHeight="false" outlineLevel="0" collapsed="false">
      <c r="A462" s="36" t="n">
        <v>382</v>
      </c>
      <c r="B462" s="37" t="n">
        <f aca="false">1+IF($G$6=$E$6,$F$6,IF(P462&lt;($F$6-$E$6)/($G$6-$E$6),$E$6+SQRT(P462*($G$6-$E$6)*($F$6-$E$6)),$G$6-SQRT((1-P462)*($G$6-$E$6)*($G$6-$F$6))))</f>
        <v>1</v>
      </c>
      <c r="C462" s="37" t="n">
        <f aca="false">1+IF($G$7=$E$7,$F$7,IF(Q462&lt;($F$7-$E$7)/($G$7-$E$7),$E$7+SQRT(Q462*($G$7-$E$7)*($F$7-$E$7)),$G$7-SQRT((1-Q462)*($G$7-$E$7)*($G$7-$F$7))))</f>
        <v>1</v>
      </c>
      <c r="D462" s="37" t="n">
        <f aca="false">1+IF($G$8=$E$8,$F$8,IF(R462&lt;($F$8-$E$8)/($G$8-$E$8),$E$8+SQRT(R462*($G$8-$E$8)*($F$8-$E$8)),$G$8-SQRT((1-R462)*($G$8-$E$8)*($G$8-$F$8))))</f>
        <v>1</v>
      </c>
      <c r="E462" s="37" t="n">
        <f aca="false">1+IF($G$9=$E$9,$F$9,IF(S462&lt;($F$9-$E$9)/($G$9-$E$9),$E$9+SQRT(S462*($G$9-$E$9)*($F$9-$E$9)),$G$9-SQRT((1-S462)*($G$9-$E$9)*($G$9-$F$9))))</f>
        <v>1</v>
      </c>
      <c r="F462" s="37" t="n">
        <f aca="false">1+IF($G$10=$E$10,$F$10,IF(T462&lt;($F$10-$E$10)/($G$10-$E$10),$E$10+SQRT(T462*($G$10-$E$10)*($F$10-$E$10)),$G$10-SQRT((1-T462)*($G$10-$E$10)*($G$10-$F$10))))</f>
        <v>1</v>
      </c>
      <c r="G462" s="38" t="n">
        <f aca="false">IF($G$11=$E$11,$F$11,IF(U462&lt;($F$11-$E$11)/($G$11-$E$11),$E$11+SQRT(U462*($G$11-$E$11)*($F$11-$E$11)),$G$11-SQRT((1-U462)*($G$11-$E$11)*($G$11-$F$11))))</f>
        <v>0</v>
      </c>
      <c r="H462" s="39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0</v>
      </c>
      <c r="I462" s="39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0</v>
      </c>
      <c r="J462" s="39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0</v>
      </c>
      <c r="K462" s="39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0</v>
      </c>
      <c r="L462" s="39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0</v>
      </c>
      <c r="M462" s="39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0</v>
      </c>
      <c r="N462" s="39" t="str">
        <f aca="false">IF(COUNT('Business Case'!B11:G11)=0,"",H462+NPV(G462,I462:M462))</f>
        <v/>
      </c>
      <c r="P462" s="40" t="n">
        <f aca="true">RAND()</f>
        <v>0.168006085163592</v>
      </c>
      <c r="Q462" s="40" t="n">
        <f aca="true">RAND()</f>
        <v>0.808415595393069</v>
      </c>
      <c r="R462" s="40" t="n">
        <f aca="true">RAND()</f>
        <v>0.177087204370357</v>
      </c>
      <c r="S462" s="40" t="n">
        <f aca="true">RAND()</f>
        <v>0.242738005047316</v>
      </c>
      <c r="T462" s="40" t="n">
        <f aca="true">RAND()</f>
        <v>0.508761790759555</v>
      </c>
      <c r="U462" s="40" t="n">
        <f aca="true">RAND()</f>
        <v>0.716663106048225</v>
      </c>
    </row>
    <row r="463" customFormat="false" ht="15" hidden="false" customHeight="false" outlineLevel="0" collapsed="false">
      <c r="A463" s="36" t="n">
        <v>383</v>
      </c>
      <c r="B463" s="37" t="n">
        <f aca="false">1+IF($G$6=$E$6,$F$6,IF(P463&lt;($F$6-$E$6)/($G$6-$E$6),$E$6+SQRT(P463*($G$6-$E$6)*($F$6-$E$6)),$G$6-SQRT((1-P463)*($G$6-$E$6)*($G$6-$F$6))))</f>
        <v>1</v>
      </c>
      <c r="C463" s="37" t="n">
        <f aca="false">1+IF($G$7=$E$7,$F$7,IF(Q463&lt;($F$7-$E$7)/($G$7-$E$7),$E$7+SQRT(Q463*($G$7-$E$7)*($F$7-$E$7)),$G$7-SQRT((1-Q463)*($G$7-$E$7)*($G$7-$F$7))))</f>
        <v>1</v>
      </c>
      <c r="D463" s="37" t="n">
        <f aca="false">1+IF($G$8=$E$8,$F$8,IF(R463&lt;($F$8-$E$8)/($G$8-$E$8),$E$8+SQRT(R463*($G$8-$E$8)*($F$8-$E$8)),$G$8-SQRT((1-R463)*($G$8-$E$8)*($G$8-$F$8))))</f>
        <v>1</v>
      </c>
      <c r="E463" s="37" t="n">
        <f aca="false">1+IF($G$9=$E$9,$F$9,IF(S463&lt;($F$9-$E$9)/($G$9-$E$9),$E$9+SQRT(S463*($G$9-$E$9)*($F$9-$E$9)),$G$9-SQRT((1-S463)*($G$9-$E$9)*($G$9-$F$9))))</f>
        <v>1</v>
      </c>
      <c r="F463" s="37" t="n">
        <f aca="false">1+IF($G$10=$E$10,$F$10,IF(T463&lt;($F$10-$E$10)/($G$10-$E$10),$E$10+SQRT(T463*($G$10-$E$10)*($F$10-$E$10)),$G$10-SQRT((1-T463)*($G$10-$E$10)*($G$10-$F$10))))</f>
        <v>1</v>
      </c>
      <c r="G463" s="38" t="n">
        <f aca="false">IF($G$11=$E$11,$F$11,IF(U463&lt;($F$11-$E$11)/($G$11-$E$11),$E$11+SQRT(U463*($G$11-$E$11)*($F$11-$E$11)),$G$11-SQRT((1-U463)*($G$11-$E$11)*($G$11-$F$11))))</f>
        <v>0</v>
      </c>
      <c r="H463" s="39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0</v>
      </c>
      <c r="I463" s="39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0</v>
      </c>
      <c r="J463" s="39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0</v>
      </c>
      <c r="K463" s="39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0</v>
      </c>
      <c r="L463" s="39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0</v>
      </c>
      <c r="M463" s="39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0</v>
      </c>
      <c r="N463" s="39" t="str">
        <f aca="false">IF(COUNT('Business Case'!B11:G11)=0,"",H463+NPV(G463,I463:M463))</f>
        <v/>
      </c>
      <c r="P463" s="40" t="n">
        <f aca="true">RAND()</f>
        <v>0.271058429107758</v>
      </c>
      <c r="Q463" s="40" t="n">
        <f aca="true">RAND()</f>
        <v>0.104743753695713</v>
      </c>
      <c r="R463" s="40" t="n">
        <f aca="true">RAND()</f>
        <v>0.233744437447788</v>
      </c>
      <c r="S463" s="40" t="n">
        <f aca="true">RAND()</f>
        <v>0.319160542179169</v>
      </c>
      <c r="T463" s="40" t="n">
        <f aca="true">RAND()</f>
        <v>0.0559022382877637</v>
      </c>
      <c r="U463" s="40" t="n">
        <f aca="true">RAND()</f>
        <v>0.820017948168911</v>
      </c>
    </row>
    <row r="464" customFormat="false" ht="15" hidden="false" customHeight="false" outlineLevel="0" collapsed="false">
      <c r="A464" s="36" t="n">
        <v>384</v>
      </c>
      <c r="B464" s="37" t="n">
        <f aca="false">1+IF($G$6=$E$6,$F$6,IF(P464&lt;($F$6-$E$6)/($G$6-$E$6),$E$6+SQRT(P464*($G$6-$E$6)*($F$6-$E$6)),$G$6-SQRT((1-P464)*($G$6-$E$6)*($G$6-$F$6))))</f>
        <v>1</v>
      </c>
      <c r="C464" s="37" t="n">
        <f aca="false">1+IF($G$7=$E$7,$F$7,IF(Q464&lt;($F$7-$E$7)/($G$7-$E$7),$E$7+SQRT(Q464*($G$7-$E$7)*($F$7-$E$7)),$G$7-SQRT((1-Q464)*($G$7-$E$7)*($G$7-$F$7))))</f>
        <v>1</v>
      </c>
      <c r="D464" s="37" t="n">
        <f aca="false">1+IF($G$8=$E$8,$F$8,IF(R464&lt;($F$8-$E$8)/($G$8-$E$8),$E$8+SQRT(R464*($G$8-$E$8)*($F$8-$E$8)),$G$8-SQRT((1-R464)*($G$8-$E$8)*($G$8-$F$8))))</f>
        <v>1</v>
      </c>
      <c r="E464" s="37" t="n">
        <f aca="false">1+IF($G$9=$E$9,$F$9,IF(S464&lt;($F$9-$E$9)/($G$9-$E$9),$E$9+SQRT(S464*($G$9-$E$9)*($F$9-$E$9)),$G$9-SQRT((1-S464)*($G$9-$E$9)*($G$9-$F$9))))</f>
        <v>1</v>
      </c>
      <c r="F464" s="37" t="n">
        <f aca="false">1+IF($G$10=$E$10,$F$10,IF(T464&lt;($F$10-$E$10)/($G$10-$E$10),$E$10+SQRT(T464*($G$10-$E$10)*($F$10-$E$10)),$G$10-SQRT((1-T464)*($G$10-$E$10)*($G$10-$F$10))))</f>
        <v>1</v>
      </c>
      <c r="G464" s="38" t="n">
        <f aca="false">IF($G$11=$E$11,$F$11,IF(U464&lt;($F$11-$E$11)/($G$11-$E$11),$E$11+SQRT(U464*($G$11-$E$11)*($F$11-$E$11)),$G$11-SQRT((1-U464)*($G$11-$E$11)*($G$11-$F$11))))</f>
        <v>0</v>
      </c>
      <c r="H464" s="39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0</v>
      </c>
      <c r="I464" s="39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0</v>
      </c>
      <c r="J464" s="39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0</v>
      </c>
      <c r="K464" s="39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0</v>
      </c>
      <c r="L464" s="39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0</v>
      </c>
      <c r="M464" s="39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0</v>
      </c>
      <c r="N464" s="39" t="str">
        <f aca="false">IF(COUNT('Business Case'!B11:G11)=0,"",H464+NPV(G464,I464:M464))</f>
        <v/>
      </c>
      <c r="P464" s="40" t="n">
        <f aca="true">RAND()</f>
        <v>0.846948985104181</v>
      </c>
      <c r="Q464" s="40" t="n">
        <f aca="true">RAND()</f>
        <v>0.909939316630736</v>
      </c>
      <c r="R464" s="40" t="n">
        <f aca="true">RAND()</f>
        <v>0.319151846929216</v>
      </c>
      <c r="S464" s="40" t="n">
        <f aca="true">RAND()</f>
        <v>0.342696299577333</v>
      </c>
      <c r="T464" s="40" t="n">
        <f aca="true">RAND()</f>
        <v>0.791997038090851</v>
      </c>
      <c r="U464" s="40" t="n">
        <f aca="true">RAND()</f>
        <v>0.980002515566694</v>
      </c>
    </row>
    <row r="465" customFormat="false" ht="15" hidden="false" customHeight="false" outlineLevel="0" collapsed="false">
      <c r="A465" s="36" t="n">
        <v>385</v>
      </c>
      <c r="B465" s="37" t="n">
        <f aca="false">1+IF($G$6=$E$6,$F$6,IF(P465&lt;($F$6-$E$6)/($G$6-$E$6),$E$6+SQRT(P465*($G$6-$E$6)*($F$6-$E$6)),$G$6-SQRT((1-P465)*($G$6-$E$6)*($G$6-$F$6))))</f>
        <v>1</v>
      </c>
      <c r="C465" s="37" t="n">
        <f aca="false">1+IF($G$7=$E$7,$F$7,IF(Q465&lt;($F$7-$E$7)/($G$7-$E$7),$E$7+SQRT(Q465*($G$7-$E$7)*($F$7-$E$7)),$G$7-SQRT((1-Q465)*($G$7-$E$7)*($G$7-$F$7))))</f>
        <v>1</v>
      </c>
      <c r="D465" s="37" t="n">
        <f aca="false">1+IF($G$8=$E$8,$F$8,IF(R465&lt;($F$8-$E$8)/($G$8-$E$8),$E$8+SQRT(R465*($G$8-$E$8)*($F$8-$E$8)),$G$8-SQRT((1-R465)*($G$8-$E$8)*($G$8-$F$8))))</f>
        <v>1</v>
      </c>
      <c r="E465" s="37" t="n">
        <f aca="false">1+IF($G$9=$E$9,$F$9,IF(S465&lt;($F$9-$E$9)/($G$9-$E$9),$E$9+SQRT(S465*($G$9-$E$9)*($F$9-$E$9)),$G$9-SQRT((1-S465)*($G$9-$E$9)*($G$9-$F$9))))</f>
        <v>1</v>
      </c>
      <c r="F465" s="37" t="n">
        <f aca="false">1+IF($G$10=$E$10,$F$10,IF(T465&lt;($F$10-$E$10)/($G$10-$E$10),$E$10+SQRT(T465*($G$10-$E$10)*($F$10-$E$10)),$G$10-SQRT((1-T465)*($G$10-$E$10)*($G$10-$F$10))))</f>
        <v>1</v>
      </c>
      <c r="G465" s="38" t="n">
        <f aca="false">IF($G$11=$E$11,$F$11,IF(U465&lt;($F$11-$E$11)/($G$11-$E$11),$E$11+SQRT(U465*($G$11-$E$11)*($F$11-$E$11)),$G$11-SQRT((1-U465)*($G$11-$E$11)*($G$11-$F$11))))</f>
        <v>0</v>
      </c>
      <c r="H465" s="39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0</v>
      </c>
      <c r="I465" s="39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0</v>
      </c>
      <c r="J465" s="39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0</v>
      </c>
      <c r="K465" s="39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0</v>
      </c>
      <c r="L465" s="39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0</v>
      </c>
      <c r="M465" s="39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0</v>
      </c>
      <c r="N465" s="39" t="str">
        <f aca="false">IF(COUNT('Business Case'!B11:G11)=0,"",H465+NPV(G465,I465:M465))</f>
        <v/>
      </c>
      <c r="P465" s="40" t="n">
        <f aca="true">RAND()</f>
        <v>0.217664029212174</v>
      </c>
      <c r="Q465" s="40" t="n">
        <f aca="true">RAND()</f>
        <v>0.150622367289388</v>
      </c>
      <c r="R465" s="40" t="n">
        <f aca="true">RAND()</f>
        <v>0.168154941931472</v>
      </c>
      <c r="S465" s="40" t="n">
        <f aca="true">RAND()</f>
        <v>0.213758828738843</v>
      </c>
      <c r="T465" s="40" t="n">
        <f aca="true">RAND()</f>
        <v>0.914299781464089</v>
      </c>
      <c r="U465" s="40" t="n">
        <f aca="true">RAND()</f>
        <v>0.905341506949926</v>
      </c>
    </row>
    <row r="466" customFormat="false" ht="15" hidden="false" customHeight="false" outlineLevel="0" collapsed="false">
      <c r="A466" s="36" t="n">
        <v>386</v>
      </c>
      <c r="B466" s="37" t="n">
        <f aca="false">1+IF($G$6=$E$6,$F$6,IF(P466&lt;($F$6-$E$6)/($G$6-$E$6),$E$6+SQRT(P466*($G$6-$E$6)*($F$6-$E$6)),$G$6-SQRT((1-P466)*($G$6-$E$6)*($G$6-$F$6))))</f>
        <v>1</v>
      </c>
      <c r="C466" s="37" t="n">
        <f aca="false">1+IF($G$7=$E$7,$F$7,IF(Q466&lt;($F$7-$E$7)/($G$7-$E$7),$E$7+SQRT(Q466*($G$7-$E$7)*($F$7-$E$7)),$G$7-SQRT((1-Q466)*($G$7-$E$7)*($G$7-$F$7))))</f>
        <v>1</v>
      </c>
      <c r="D466" s="37" t="n">
        <f aca="false">1+IF($G$8=$E$8,$F$8,IF(R466&lt;($F$8-$E$8)/($G$8-$E$8),$E$8+SQRT(R466*($G$8-$E$8)*($F$8-$E$8)),$G$8-SQRT((1-R466)*($G$8-$E$8)*($G$8-$F$8))))</f>
        <v>1</v>
      </c>
      <c r="E466" s="37" t="n">
        <f aca="false">1+IF($G$9=$E$9,$F$9,IF(S466&lt;($F$9-$E$9)/($G$9-$E$9),$E$9+SQRT(S466*($G$9-$E$9)*($F$9-$E$9)),$G$9-SQRT((1-S466)*($G$9-$E$9)*($G$9-$F$9))))</f>
        <v>1</v>
      </c>
      <c r="F466" s="37" t="n">
        <f aca="false">1+IF($G$10=$E$10,$F$10,IF(T466&lt;($F$10-$E$10)/($G$10-$E$10),$E$10+SQRT(T466*($G$10-$E$10)*($F$10-$E$10)),$G$10-SQRT((1-T466)*($G$10-$E$10)*($G$10-$F$10))))</f>
        <v>1</v>
      </c>
      <c r="G466" s="38" t="n">
        <f aca="false">IF($G$11=$E$11,$F$11,IF(U466&lt;($F$11-$E$11)/($G$11-$E$11),$E$11+SQRT(U466*($G$11-$E$11)*($F$11-$E$11)),$G$11-SQRT((1-U466)*($G$11-$E$11)*($G$11-$F$11))))</f>
        <v>0</v>
      </c>
      <c r="H466" s="39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0</v>
      </c>
      <c r="I466" s="39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0</v>
      </c>
      <c r="J466" s="39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0</v>
      </c>
      <c r="K466" s="39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0</v>
      </c>
      <c r="L466" s="39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0</v>
      </c>
      <c r="M466" s="39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0</v>
      </c>
      <c r="N466" s="39" t="str">
        <f aca="false">IF(COUNT('Business Case'!B11:G11)=0,"",H466+NPV(G466,I466:M466))</f>
        <v/>
      </c>
      <c r="P466" s="40" t="n">
        <f aca="true">RAND()</f>
        <v>0.3720048568752</v>
      </c>
      <c r="Q466" s="40" t="n">
        <f aca="true">RAND()</f>
        <v>0.738708993545049</v>
      </c>
      <c r="R466" s="40" t="n">
        <f aca="true">RAND()</f>
        <v>0.886727323999618</v>
      </c>
      <c r="S466" s="40" t="n">
        <f aca="true">RAND()</f>
        <v>0.226003815524114</v>
      </c>
      <c r="T466" s="40" t="n">
        <f aca="true">RAND()</f>
        <v>0.8780580832266</v>
      </c>
      <c r="U466" s="40" t="n">
        <f aca="true">RAND()</f>
        <v>0.880671789119218</v>
      </c>
    </row>
    <row r="467" customFormat="false" ht="15" hidden="false" customHeight="false" outlineLevel="0" collapsed="false">
      <c r="A467" s="36" t="n">
        <v>387</v>
      </c>
      <c r="B467" s="37" t="n">
        <f aca="false">1+IF($G$6=$E$6,$F$6,IF(P467&lt;($F$6-$E$6)/($G$6-$E$6),$E$6+SQRT(P467*($G$6-$E$6)*($F$6-$E$6)),$G$6-SQRT((1-P467)*($G$6-$E$6)*($G$6-$F$6))))</f>
        <v>1</v>
      </c>
      <c r="C467" s="37" t="n">
        <f aca="false">1+IF($G$7=$E$7,$F$7,IF(Q467&lt;($F$7-$E$7)/($G$7-$E$7),$E$7+SQRT(Q467*($G$7-$E$7)*($F$7-$E$7)),$G$7-SQRT((1-Q467)*($G$7-$E$7)*($G$7-$F$7))))</f>
        <v>1</v>
      </c>
      <c r="D467" s="37" t="n">
        <f aca="false">1+IF($G$8=$E$8,$F$8,IF(R467&lt;($F$8-$E$8)/($G$8-$E$8),$E$8+SQRT(R467*($G$8-$E$8)*($F$8-$E$8)),$G$8-SQRT((1-R467)*($G$8-$E$8)*($G$8-$F$8))))</f>
        <v>1</v>
      </c>
      <c r="E467" s="37" t="n">
        <f aca="false">1+IF($G$9=$E$9,$F$9,IF(S467&lt;($F$9-$E$9)/($G$9-$E$9),$E$9+SQRT(S467*($G$9-$E$9)*($F$9-$E$9)),$G$9-SQRT((1-S467)*($G$9-$E$9)*($G$9-$F$9))))</f>
        <v>1</v>
      </c>
      <c r="F467" s="37" t="n">
        <f aca="false">1+IF($G$10=$E$10,$F$10,IF(T467&lt;($F$10-$E$10)/($G$10-$E$10),$E$10+SQRT(T467*($G$10-$E$10)*($F$10-$E$10)),$G$10-SQRT((1-T467)*($G$10-$E$10)*($G$10-$F$10))))</f>
        <v>1</v>
      </c>
      <c r="G467" s="38" t="n">
        <f aca="false">IF($G$11=$E$11,$F$11,IF(U467&lt;($F$11-$E$11)/($G$11-$E$11),$E$11+SQRT(U467*($G$11-$E$11)*($F$11-$E$11)),$G$11-SQRT((1-U467)*($G$11-$E$11)*($G$11-$F$11))))</f>
        <v>0</v>
      </c>
      <c r="H467" s="39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0</v>
      </c>
      <c r="I467" s="39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0</v>
      </c>
      <c r="J467" s="39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0</v>
      </c>
      <c r="K467" s="39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0</v>
      </c>
      <c r="L467" s="39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0</v>
      </c>
      <c r="M467" s="39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0</v>
      </c>
      <c r="N467" s="39" t="str">
        <f aca="false">IF(COUNT('Business Case'!B11:G11)=0,"",H467+NPV(G467,I467:M467))</f>
        <v/>
      </c>
      <c r="P467" s="40" t="n">
        <f aca="true">RAND()</f>
        <v>0.550741307875558</v>
      </c>
      <c r="Q467" s="40" t="n">
        <f aca="true">RAND()</f>
        <v>0.122803429290456</v>
      </c>
      <c r="R467" s="40" t="n">
        <f aca="true">RAND()</f>
        <v>0.474286164152287</v>
      </c>
      <c r="S467" s="40" t="n">
        <f aca="true">RAND()</f>
        <v>0.876028789073251</v>
      </c>
      <c r="T467" s="40" t="n">
        <f aca="true">RAND()</f>
        <v>0.697422275066755</v>
      </c>
      <c r="U467" s="40" t="n">
        <f aca="true">RAND()</f>
        <v>0.172916317241937</v>
      </c>
    </row>
    <row r="468" customFormat="false" ht="15" hidden="false" customHeight="false" outlineLevel="0" collapsed="false">
      <c r="A468" s="36" t="n">
        <v>388</v>
      </c>
      <c r="B468" s="37" t="n">
        <f aca="false">1+IF($G$6=$E$6,$F$6,IF(P468&lt;($F$6-$E$6)/($G$6-$E$6),$E$6+SQRT(P468*($G$6-$E$6)*($F$6-$E$6)),$G$6-SQRT((1-P468)*($G$6-$E$6)*($G$6-$F$6))))</f>
        <v>1</v>
      </c>
      <c r="C468" s="37" t="n">
        <f aca="false">1+IF($G$7=$E$7,$F$7,IF(Q468&lt;($F$7-$E$7)/($G$7-$E$7),$E$7+SQRT(Q468*($G$7-$E$7)*($F$7-$E$7)),$G$7-SQRT((1-Q468)*($G$7-$E$7)*($G$7-$F$7))))</f>
        <v>1</v>
      </c>
      <c r="D468" s="37" t="n">
        <f aca="false">1+IF($G$8=$E$8,$F$8,IF(R468&lt;($F$8-$E$8)/($G$8-$E$8),$E$8+SQRT(R468*($G$8-$E$8)*($F$8-$E$8)),$G$8-SQRT((1-R468)*($G$8-$E$8)*($G$8-$F$8))))</f>
        <v>1</v>
      </c>
      <c r="E468" s="37" t="n">
        <f aca="false">1+IF($G$9=$E$9,$F$9,IF(S468&lt;($F$9-$E$9)/($G$9-$E$9),$E$9+SQRT(S468*($G$9-$E$9)*($F$9-$E$9)),$G$9-SQRT((1-S468)*($G$9-$E$9)*($G$9-$F$9))))</f>
        <v>1</v>
      </c>
      <c r="F468" s="37" t="n">
        <f aca="false">1+IF($G$10=$E$10,$F$10,IF(T468&lt;($F$10-$E$10)/($G$10-$E$10),$E$10+SQRT(T468*($G$10-$E$10)*($F$10-$E$10)),$G$10-SQRT((1-T468)*($G$10-$E$10)*($G$10-$F$10))))</f>
        <v>1</v>
      </c>
      <c r="G468" s="38" t="n">
        <f aca="false">IF($G$11=$E$11,$F$11,IF(U468&lt;($F$11-$E$11)/($G$11-$E$11),$E$11+SQRT(U468*($G$11-$E$11)*($F$11-$E$11)),$G$11-SQRT((1-U468)*($G$11-$E$11)*($G$11-$F$11))))</f>
        <v>0</v>
      </c>
      <c r="H468" s="39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0</v>
      </c>
      <c r="I468" s="39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0</v>
      </c>
      <c r="J468" s="39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0</v>
      </c>
      <c r="K468" s="39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0</v>
      </c>
      <c r="L468" s="39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0</v>
      </c>
      <c r="M468" s="39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0</v>
      </c>
      <c r="N468" s="39" t="str">
        <f aca="false">IF(COUNT('Business Case'!B11:G11)=0,"",H468+NPV(G468,I468:M468))</f>
        <v/>
      </c>
      <c r="P468" s="40" t="n">
        <f aca="true">RAND()</f>
        <v>0.875950421872326</v>
      </c>
      <c r="Q468" s="40" t="n">
        <f aca="true">RAND()</f>
        <v>0.349382994595807</v>
      </c>
      <c r="R468" s="40" t="n">
        <f aca="true">RAND()</f>
        <v>0.758422826987278</v>
      </c>
      <c r="S468" s="40" t="n">
        <f aca="true">RAND()</f>
        <v>0.108872546271686</v>
      </c>
      <c r="T468" s="40" t="n">
        <f aca="true">RAND()</f>
        <v>0.675804588259894</v>
      </c>
      <c r="U468" s="40" t="n">
        <f aca="true">RAND()</f>
        <v>0.409811013478234</v>
      </c>
    </row>
    <row r="469" customFormat="false" ht="15" hidden="false" customHeight="false" outlineLevel="0" collapsed="false">
      <c r="A469" s="36" t="n">
        <v>389</v>
      </c>
      <c r="B469" s="37" t="n">
        <f aca="false">1+IF($G$6=$E$6,$F$6,IF(P469&lt;($F$6-$E$6)/($G$6-$E$6),$E$6+SQRT(P469*($G$6-$E$6)*($F$6-$E$6)),$G$6-SQRT((1-P469)*($G$6-$E$6)*($G$6-$F$6))))</f>
        <v>1</v>
      </c>
      <c r="C469" s="37" t="n">
        <f aca="false">1+IF($G$7=$E$7,$F$7,IF(Q469&lt;($F$7-$E$7)/($G$7-$E$7),$E$7+SQRT(Q469*($G$7-$E$7)*($F$7-$E$7)),$G$7-SQRT((1-Q469)*($G$7-$E$7)*($G$7-$F$7))))</f>
        <v>1</v>
      </c>
      <c r="D469" s="37" t="n">
        <f aca="false">1+IF($G$8=$E$8,$F$8,IF(R469&lt;($F$8-$E$8)/($G$8-$E$8),$E$8+SQRT(R469*($G$8-$E$8)*($F$8-$E$8)),$G$8-SQRT((1-R469)*($G$8-$E$8)*($G$8-$F$8))))</f>
        <v>1</v>
      </c>
      <c r="E469" s="37" t="n">
        <f aca="false">1+IF($G$9=$E$9,$F$9,IF(S469&lt;($F$9-$E$9)/($G$9-$E$9),$E$9+SQRT(S469*($G$9-$E$9)*($F$9-$E$9)),$G$9-SQRT((1-S469)*($G$9-$E$9)*($G$9-$F$9))))</f>
        <v>1</v>
      </c>
      <c r="F469" s="37" t="n">
        <f aca="false">1+IF($G$10=$E$10,$F$10,IF(T469&lt;($F$10-$E$10)/($G$10-$E$10),$E$10+SQRT(T469*($G$10-$E$10)*($F$10-$E$10)),$G$10-SQRT((1-T469)*($G$10-$E$10)*($G$10-$F$10))))</f>
        <v>1</v>
      </c>
      <c r="G469" s="38" t="n">
        <f aca="false">IF($G$11=$E$11,$F$11,IF(U469&lt;($F$11-$E$11)/($G$11-$E$11),$E$11+SQRT(U469*($G$11-$E$11)*($F$11-$E$11)),$G$11-SQRT((1-U469)*($G$11-$E$11)*($G$11-$F$11))))</f>
        <v>0</v>
      </c>
      <c r="H469" s="39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0</v>
      </c>
      <c r="I469" s="39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0</v>
      </c>
      <c r="J469" s="39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0</v>
      </c>
      <c r="K469" s="39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0</v>
      </c>
      <c r="L469" s="39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0</v>
      </c>
      <c r="M469" s="39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0</v>
      </c>
      <c r="N469" s="39" t="str">
        <f aca="false">IF(COUNT('Business Case'!B11:G11)=0,"",H469+NPV(G469,I469:M469))</f>
        <v/>
      </c>
      <c r="P469" s="40" t="n">
        <f aca="true">RAND()</f>
        <v>0.547263089843793</v>
      </c>
      <c r="Q469" s="40" t="n">
        <f aca="true">RAND()</f>
        <v>0.225175959043403</v>
      </c>
      <c r="R469" s="40" t="n">
        <f aca="true">RAND()</f>
        <v>0.106473807153691</v>
      </c>
      <c r="S469" s="40" t="n">
        <f aca="true">RAND()</f>
        <v>0.94054711578053</v>
      </c>
      <c r="T469" s="40" t="n">
        <f aca="true">RAND()</f>
        <v>0.432260557542271</v>
      </c>
      <c r="U469" s="40" t="n">
        <f aca="true">RAND()</f>
        <v>0.4749757040747</v>
      </c>
    </row>
    <row r="470" customFormat="false" ht="15" hidden="false" customHeight="false" outlineLevel="0" collapsed="false">
      <c r="A470" s="36" t="n">
        <v>390</v>
      </c>
      <c r="B470" s="37" t="n">
        <f aca="false">1+IF($G$6=$E$6,$F$6,IF(P470&lt;($F$6-$E$6)/($G$6-$E$6),$E$6+SQRT(P470*($G$6-$E$6)*($F$6-$E$6)),$G$6-SQRT((1-P470)*($G$6-$E$6)*($G$6-$F$6))))</f>
        <v>1</v>
      </c>
      <c r="C470" s="37" t="n">
        <f aca="false">1+IF($G$7=$E$7,$F$7,IF(Q470&lt;($F$7-$E$7)/($G$7-$E$7),$E$7+SQRT(Q470*($G$7-$E$7)*($F$7-$E$7)),$G$7-SQRT((1-Q470)*($G$7-$E$7)*($G$7-$F$7))))</f>
        <v>1</v>
      </c>
      <c r="D470" s="37" t="n">
        <f aca="false">1+IF($G$8=$E$8,$F$8,IF(R470&lt;($F$8-$E$8)/($G$8-$E$8),$E$8+SQRT(R470*($G$8-$E$8)*($F$8-$E$8)),$G$8-SQRT((1-R470)*($G$8-$E$8)*($G$8-$F$8))))</f>
        <v>1</v>
      </c>
      <c r="E470" s="37" t="n">
        <f aca="false">1+IF($G$9=$E$9,$F$9,IF(S470&lt;($F$9-$E$9)/($G$9-$E$9),$E$9+SQRT(S470*($G$9-$E$9)*($F$9-$E$9)),$G$9-SQRT((1-S470)*($G$9-$E$9)*($G$9-$F$9))))</f>
        <v>1</v>
      </c>
      <c r="F470" s="37" t="n">
        <f aca="false">1+IF($G$10=$E$10,$F$10,IF(T470&lt;($F$10-$E$10)/($G$10-$E$10),$E$10+SQRT(T470*($G$10-$E$10)*($F$10-$E$10)),$G$10-SQRT((1-T470)*($G$10-$E$10)*($G$10-$F$10))))</f>
        <v>1</v>
      </c>
      <c r="G470" s="38" t="n">
        <f aca="false">IF($G$11=$E$11,$F$11,IF(U470&lt;($F$11-$E$11)/($G$11-$E$11),$E$11+SQRT(U470*($G$11-$E$11)*($F$11-$E$11)),$G$11-SQRT((1-U470)*($G$11-$E$11)*($G$11-$F$11))))</f>
        <v>0</v>
      </c>
      <c r="H470" s="39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0</v>
      </c>
      <c r="I470" s="39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0</v>
      </c>
      <c r="J470" s="39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0</v>
      </c>
      <c r="K470" s="39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0</v>
      </c>
      <c r="L470" s="39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0</v>
      </c>
      <c r="M470" s="39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0</v>
      </c>
      <c r="N470" s="39" t="str">
        <f aca="false">IF(COUNT('Business Case'!B11:G11)=0,"",H470+NPV(G470,I470:M470))</f>
        <v/>
      </c>
      <c r="P470" s="40" t="n">
        <f aca="true">RAND()</f>
        <v>0.289080844284407</v>
      </c>
      <c r="Q470" s="40" t="n">
        <f aca="true">RAND()</f>
        <v>0.982799048897546</v>
      </c>
      <c r="R470" s="40" t="n">
        <f aca="true">RAND()</f>
        <v>0.506823898572259</v>
      </c>
      <c r="S470" s="40" t="n">
        <f aca="true">RAND()</f>
        <v>0.0111000892588018</v>
      </c>
      <c r="T470" s="40" t="n">
        <f aca="true">RAND()</f>
        <v>0.988253581255503</v>
      </c>
      <c r="U470" s="40" t="n">
        <f aca="true">RAND()</f>
        <v>0.357932642936112</v>
      </c>
    </row>
    <row r="471" customFormat="false" ht="15" hidden="false" customHeight="false" outlineLevel="0" collapsed="false">
      <c r="A471" s="36" t="n">
        <v>391</v>
      </c>
      <c r="B471" s="37" t="n">
        <f aca="false">1+IF($G$6=$E$6,$F$6,IF(P471&lt;($F$6-$E$6)/($G$6-$E$6),$E$6+SQRT(P471*($G$6-$E$6)*($F$6-$E$6)),$G$6-SQRT((1-P471)*($G$6-$E$6)*($G$6-$F$6))))</f>
        <v>1</v>
      </c>
      <c r="C471" s="37" t="n">
        <f aca="false">1+IF($G$7=$E$7,$F$7,IF(Q471&lt;($F$7-$E$7)/($G$7-$E$7),$E$7+SQRT(Q471*($G$7-$E$7)*($F$7-$E$7)),$G$7-SQRT((1-Q471)*($G$7-$E$7)*($G$7-$F$7))))</f>
        <v>1</v>
      </c>
      <c r="D471" s="37" t="n">
        <f aca="false">1+IF($G$8=$E$8,$F$8,IF(R471&lt;($F$8-$E$8)/($G$8-$E$8),$E$8+SQRT(R471*($G$8-$E$8)*($F$8-$E$8)),$G$8-SQRT((1-R471)*($G$8-$E$8)*($G$8-$F$8))))</f>
        <v>1</v>
      </c>
      <c r="E471" s="37" t="n">
        <f aca="false">1+IF($G$9=$E$9,$F$9,IF(S471&lt;($F$9-$E$9)/($G$9-$E$9),$E$9+SQRT(S471*($G$9-$E$9)*($F$9-$E$9)),$G$9-SQRT((1-S471)*($G$9-$E$9)*($G$9-$F$9))))</f>
        <v>1</v>
      </c>
      <c r="F471" s="37" t="n">
        <f aca="false">1+IF($G$10=$E$10,$F$10,IF(T471&lt;($F$10-$E$10)/($G$10-$E$10),$E$10+SQRT(T471*($G$10-$E$10)*($F$10-$E$10)),$G$10-SQRT((1-T471)*($G$10-$E$10)*($G$10-$F$10))))</f>
        <v>1</v>
      </c>
      <c r="G471" s="38" t="n">
        <f aca="false">IF($G$11=$E$11,$F$11,IF(U471&lt;($F$11-$E$11)/($G$11-$E$11),$E$11+SQRT(U471*($G$11-$E$11)*($F$11-$E$11)),$G$11-SQRT((1-U471)*($G$11-$E$11)*($G$11-$F$11))))</f>
        <v>0</v>
      </c>
      <c r="H471" s="39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0</v>
      </c>
      <c r="I471" s="39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0</v>
      </c>
      <c r="J471" s="39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0</v>
      </c>
      <c r="K471" s="39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0</v>
      </c>
      <c r="L471" s="39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0</v>
      </c>
      <c r="M471" s="39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0</v>
      </c>
      <c r="N471" s="39" t="str">
        <f aca="false">IF(COUNT('Business Case'!B11:G11)=0,"",H471+NPV(G471,I471:M471))</f>
        <v/>
      </c>
      <c r="P471" s="40" t="n">
        <f aca="true">RAND()</f>
        <v>0.804186436453463</v>
      </c>
      <c r="Q471" s="40" t="n">
        <f aca="true">RAND()</f>
        <v>0.0293860252493065</v>
      </c>
      <c r="R471" s="40" t="n">
        <f aca="true">RAND()</f>
        <v>0.795128479565446</v>
      </c>
      <c r="S471" s="40" t="n">
        <f aca="true">RAND()</f>
        <v>0.765534771745996</v>
      </c>
      <c r="T471" s="40" t="n">
        <f aca="true">RAND()</f>
        <v>0.799224822929823</v>
      </c>
      <c r="U471" s="40" t="n">
        <f aca="true">RAND()</f>
        <v>0.758395969741936</v>
      </c>
    </row>
    <row r="472" customFormat="false" ht="15" hidden="false" customHeight="false" outlineLevel="0" collapsed="false">
      <c r="A472" s="36" t="n">
        <v>392</v>
      </c>
      <c r="B472" s="37" t="n">
        <f aca="false">1+IF($G$6=$E$6,$F$6,IF(P472&lt;($F$6-$E$6)/($G$6-$E$6),$E$6+SQRT(P472*($G$6-$E$6)*($F$6-$E$6)),$G$6-SQRT((1-P472)*($G$6-$E$6)*($G$6-$F$6))))</f>
        <v>1</v>
      </c>
      <c r="C472" s="37" t="n">
        <f aca="false">1+IF($G$7=$E$7,$F$7,IF(Q472&lt;($F$7-$E$7)/($G$7-$E$7),$E$7+SQRT(Q472*($G$7-$E$7)*($F$7-$E$7)),$G$7-SQRT((1-Q472)*($G$7-$E$7)*($G$7-$F$7))))</f>
        <v>1</v>
      </c>
      <c r="D472" s="37" t="n">
        <f aca="false">1+IF($G$8=$E$8,$F$8,IF(R472&lt;($F$8-$E$8)/($G$8-$E$8),$E$8+SQRT(R472*($G$8-$E$8)*($F$8-$E$8)),$G$8-SQRT((1-R472)*($G$8-$E$8)*($G$8-$F$8))))</f>
        <v>1</v>
      </c>
      <c r="E472" s="37" t="n">
        <f aca="false">1+IF($G$9=$E$9,$F$9,IF(S472&lt;($F$9-$E$9)/($G$9-$E$9),$E$9+SQRT(S472*($G$9-$E$9)*($F$9-$E$9)),$G$9-SQRT((1-S472)*($G$9-$E$9)*($G$9-$F$9))))</f>
        <v>1</v>
      </c>
      <c r="F472" s="37" t="n">
        <f aca="false">1+IF($G$10=$E$10,$F$10,IF(T472&lt;($F$10-$E$10)/($G$10-$E$10),$E$10+SQRT(T472*($G$10-$E$10)*($F$10-$E$10)),$G$10-SQRT((1-T472)*($G$10-$E$10)*($G$10-$F$10))))</f>
        <v>1</v>
      </c>
      <c r="G472" s="38" t="n">
        <f aca="false">IF($G$11=$E$11,$F$11,IF(U472&lt;($F$11-$E$11)/($G$11-$E$11),$E$11+SQRT(U472*($G$11-$E$11)*($F$11-$E$11)),$G$11-SQRT((1-U472)*($G$11-$E$11)*($G$11-$F$11))))</f>
        <v>0</v>
      </c>
      <c r="H472" s="39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0</v>
      </c>
      <c r="I472" s="39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0</v>
      </c>
      <c r="J472" s="39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0</v>
      </c>
      <c r="K472" s="39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0</v>
      </c>
      <c r="L472" s="39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0</v>
      </c>
      <c r="M472" s="39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0</v>
      </c>
      <c r="N472" s="39" t="str">
        <f aca="false">IF(COUNT('Business Case'!B11:G11)=0,"",H472+NPV(G472,I472:M472))</f>
        <v/>
      </c>
      <c r="P472" s="40" t="n">
        <f aca="true">RAND()</f>
        <v>0.354864904220908</v>
      </c>
      <c r="Q472" s="40" t="n">
        <f aca="true">RAND()</f>
        <v>0.320658032230719</v>
      </c>
      <c r="R472" s="40" t="n">
        <f aca="true">RAND()</f>
        <v>0.720002005029057</v>
      </c>
      <c r="S472" s="40" t="n">
        <f aca="true">RAND()</f>
        <v>0.737725086268767</v>
      </c>
      <c r="T472" s="40" t="n">
        <f aca="true">RAND()</f>
        <v>0.842711726936457</v>
      </c>
      <c r="U472" s="40" t="n">
        <f aca="true">RAND()</f>
        <v>0.779855818795643</v>
      </c>
    </row>
    <row r="473" customFormat="false" ht="15" hidden="false" customHeight="false" outlineLevel="0" collapsed="false">
      <c r="A473" s="36" t="n">
        <v>393</v>
      </c>
      <c r="B473" s="37" t="n">
        <f aca="false">1+IF($G$6=$E$6,$F$6,IF(P473&lt;($F$6-$E$6)/($G$6-$E$6),$E$6+SQRT(P473*($G$6-$E$6)*($F$6-$E$6)),$G$6-SQRT((1-P473)*($G$6-$E$6)*($G$6-$F$6))))</f>
        <v>1</v>
      </c>
      <c r="C473" s="37" t="n">
        <f aca="false">1+IF($G$7=$E$7,$F$7,IF(Q473&lt;($F$7-$E$7)/($G$7-$E$7),$E$7+SQRT(Q473*($G$7-$E$7)*($F$7-$E$7)),$G$7-SQRT((1-Q473)*($G$7-$E$7)*($G$7-$F$7))))</f>
        <v>1</v>
      </c>
      <c r="D473" s="37" t="n">
        <f aca="false">1+IF($G$8=$E$8,$F$8,IF(R473&lt;($F$8-$E$8)/($G$8-$E$8),$E$8+SQRT(R473*($G$8-$E$8)*($F$8-$E$8)),$G$8-SQRT((1-R473)*($G$8-$E$8)*($G$8-$F$8))))</f>
        <v>1</v>
      </c>
      <c r="E473" s="37" t="n">
        <f aca="false">1+IF($G$9=$E$9,$F$9,IF(S473&lt;($F$9-$E$9)/($G$9-$E$9),$E$9+SQRT(S473*($G$9-$E$9)*($F$9-$E$9)),$G$9-SQRT((1-S473)*($G$9-$E$9)*($G$9-$F$9))))</f>
        <v>1</v>
      </c>
      <c r="F473" s="37" t="n">
        <f aca="false">1+IF($G$10=$E$10,$F$10,IF(T473&lt;($F$10-$E$10)/($G$10-$E$10),$E$10+SQRT(T473*($G$10-$E$10)*($F$10-$E$10)),$G$10-SQRT((1-T473)*($G$10-$E$10)*($G$10-$F$10))))</f>
        <v>1</v>
      </c>
      <c r="G473" s="38" t="n">
        <f aca="false">IF($G$11=$E$11,$F$11,IF(U473&lt;($F$11-$E$11)/($G$11-$E$11),$E$11+SQRT(U473*($G$11-$E$11)*($F$11-$E$11)),$G$11-SQRT((1-U473)*($G$11-$E$11)*($G$11-$F$11))))</f>
        <v>0</v>
      </c>
      <c r="H473" s="39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0</v>
      </c>
      <c r="I473" s="39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0</v>
      </c>
      <c r="J473" s="39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0</v>
      </c>
      <c r="K473" s="39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0</v>
      </c>
      <c r="L473" s="39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0</v>
      </c>
      <c r="M473" s="39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0</v>
      </c>
      <c r="N473" s="39" t="str">
        <f aca="false">IF(COUNT('Business Case'!B11:G11)=0,"",H473+NPV(G473,I473:M473))</f>
        <v/>
      </c>
      <c r="P473" s="40" t="n">
        <f aca="true">RAND()</f>
        <v>0.950043211315155</v>
      </c>
      <c r="Q473" s="40" t="n">
        <f aca="true">RAND()</f>
        <v>0.572742689767343</v>
      </c>
      <c r="R473" s="40" t="n">
        <f aca="true">RAND()</f>
        <v>0.707303158175142</v>
      </c>
      <c r="S473" s="40" t="n">
        <f aca="true">RAND()</f>
        <v>0.496736930122621</v>
      </c>
      <c r="T473" s="40" t="n">
        <f aca="true">RAND()</f>
        <v>0.934472119417169</v>
      </c>
      <c r="U473" s="40" t="n">
        <f aca="true">RAND()</f>
        <v>0.492807422007863</v>
      </c>
    </row>
    <row r="474" customFormat="false" ht="15" hidden="false" customHeight="false" outlineLevel="0" collapsed="false">
      <c r="A474" s="36" t="n">
        <v>394</v>
      </c>
      <c r="B474" s="37" t="n">
        <f aca="false">1+IF($G$6=$E$6,$F$6,IF(P474&lt;($F$6-$E$6)/($G$6-$E$6),$E$6+SQRT(P474*($G$6-$E$6)*($F$6-$E$6)),$G$6-SQRT((1-P474)*($G$6-$E$6)*($G$6-$F$6))))</f>
        <v>1</v>
      </c>
      <c r="C474" s="37" t="n">
        <f aca="false">1+IF($G$7=$E$7,$F$7,IF(Q474&lt;($F$7-$E$7)/($G$7-$E$7),$E$7+SQRT(Q474*($G$7-$E$7)*($F$7-$E$7)),$G$7-SQRT((1-Q474)*($G$7-$E$7)*($G$7-$F$7))))</f>
        <v>1</v>
      </c>
      <c r="D474" s="37" t="n">
        <f aca="false">1+IF($G$8=$E$8,$F$8,IF(R474&lt;($F$8-$E$8)/($G$8-$E$8),$E$8+SQRT(R474*($G$8-$E$8)*($F$8-$E$8)),$G$8-SQRT((1-R474)*($G$8-$E$8)*($G$8-$F$8))))</f>
        <v>1</v>
      </c>
      <c r="E474" s="37" t="n">
        <f aca="false">1+IF($G$9=$E$9,$F$9,IF(S474&lt;($F$9-$E$9)/($G$9-$E$9),$E$9+SQRT(S474*($G$9-$E$9)*($F$9-$E$9)),$G$9-SQRT((1-S474)*($G$9-$E$9)*($G$9-$F$9))))</f>
        <v>1</v>
      </c>
      <c r="F474" s="37" t="n">
        <f aca="false">1+IF($G$10=$E$10,$F$10,IF(T474&lt;($F$10-$E$10)/($G$10-$E$10),$E$10+SQRT(T474*($G$10-$E$10)*($F$10-$E$10)),$G$10-SQRT((1-T474)*($G$10-$E$10)*($G$10-$F$10))))</f>
        <v>1</v>
      </c>
      <c r="G474" s="38" t="n">
        <f aca="false">IF($G$11=$E$11,$F$11,IF(U474&lt;($F$11-$E$11)/($G$11-$E$11),$E$11+SQRT(U474*($G$11-$E$11)*($F$11-$E$11)),$G$11-SQRT((1-U474)*($G$11-$E$11)*($G$11-$F$11))))</f>
        <v>0</v>
      </c>
      <c r="H474" s="39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0</v>
      </c>
      <c r="I474" s="39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0</v>
      </c>
      <c r="J474" s="39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0</v>
      </c>
      <c r="K474" s="39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0</v>
      </c>
      <c r="L474" s="39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0</v>
      </c>
      <c r="M474" s="39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0</v>
      </c>
      <c r="N474" s="39" t="str">
        <f aca="false">IF(COUNT('Business Case'!B11:G11)=0,"",H474+NPV(G474,I474:M474))</f>
        <v/>
      </c>
      <c r="P474" s="40" t="n">
        <f aca="true">RAND()</f>
        <v>0.326649669779942</v>
      </c>
      <c r="Q474" s="40" t="n">
        <f aca="true">RAND()</f>
        <v>0.111390219354383</v>
      </c>
      <c r="R474" s="40" t="n">
        <f aca="true">RAND()</f>
        <v>0.188567528970199</v>
      </c>
      <c r="S474" s="40" t="n">
        <f aca="true">RAND()</f>
        <v>0.989341427472706</v>
      </c>
      <c r="T474" s="40" t="n">
        <f aca="true">RAND()</f>
        <v>0.971525948156256</v>
      </c>
      <c r="U474" s="40" t="n">
        <f aca="true">RAND()</f>
        <v>0.42568376566176</v>
      </c>
    </row>
    <row r="475" customFormat="false" ht="15" hidden="false" customHeight="false" outlineLevel="0" collapsed="false">
      <c r="A475" s="36" t="n">
        <v>395</v>
      </c>
      <c r="B475" s="37" t="n">
        <f aca="false">1+IF($G$6=$E$6,$F$6,IF(P475&lt;($F$6-$E$6)/($G$6-$E$6),$E$6+SQRT(P475*($G$6-$E$6)*($F$6-$E$6)),$G$6-SQRT((1-P475)*($G$6-$E$6)*($G$6-$F$6))))</f>
        <v>1</v>
      </c>
      <c r="C475" s="37" t="n">
        <f aca="false">1+IF($G$7=$E$7,$F$7,IF(Q475&lt;($F$7-$E$7)/($G$7-$E$7),$E$7+SQRT(Q475*($G$7-$E$7)*($F$7-$E$7)),$G$7-SQRT((1-Q475)*($G$7-$E$7)*($G$7-$F$7))))</f>
        <v>1</v>
      </c>
      <c r="D475" s="37" t="n">
        <f aca="false">1+IF($G$8=$E$8,$F$8,IF(R475&lt;($F$8-$E$8)/($G$8-$E$8),$E$8+SQRT(R475*($G$8-$E$8)*($F$8-$E$8)),$G$8-SQRT((1-R475)*($G$8-$E$8)*($G$8-$F$8))))</f>
        <v>1</v>
      </c>
      <c r="E475" s="37" t="n">
        <f aca="false">1+IF($G$9=$E$9,$F$9,IF(S475&lt;($F$9-$E$9)/($G$9-$E$9),$E$9+SQRT(S475*($G$9-$E$9)*($F$9-$E$9)),$G$9-SQRT((1-S475)*($G$9-$E$9)*($G$9-$F$9))))</f>
        <v>1</v>
      </c>
      <c r="F475" s="37" t="n">
        <f aca="false">1+IF($G$10=$E$10,$F$10,IF(T475&lt;($F$10-$E$10)/($G$10-$E$10),$E$10+SQRT(T475*($G$10-$E$10)*($F$10-$E$10)),$G$10-SQRT((1-T475)*($G$10-$E$10)*($G$10-$F$10))))</f>
        <v>1</v>
      </c>
      <c r="G475" s="38" t="n">
        <f aca="false">IF($G$11=$E$11,$F$11,IF(U475&lt;($F$11-$E$11)/($G$11-$E$11),$E$11+SQRT(U475*($G$11-$E$11)*($F$11-$E$11)),$G$11-SQRT((1-U475)*($G$11-$E$11)*($G$11-$F$11))))</f>
        <v>0</v>
      </c>
      <c r="H475" s="39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0</v>
      </c>
      <c r="I475" s="39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0</v>
      </c>
      <c r="J475" s="39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0</v>
      </c>
      <c r="K475" s="39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0</v>
      </c>
      <c r="L475" s="39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0</v>
      </c>
      <c r="M475" s="39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0</v>
      </c>
      <c r="N475" s="39" t="str">
        <f aca="false">IF(COUNT('Business Case'!B11:G11)=0,"",H475+NPV(G475,I475:M475))</f>
        <v/>
      </c>
      <c r="P475" s="40" t="n">
        <f aca="true">RAND()</f>
        <v>0.0167278002603968</v>
      </c>
      <c r="Q475" s="40" t="n">
        <f aca="true">RAND()</f>
        <v>0.756731096313195</v>
      </c>
      <c r="R475" s="40" t="n">
        <f aca="true">RAND()</f>
        <v>0.220338645373481</v>
      </c>
      <c r="S475" s="40" t="n">
        <f aca="true">RAND()</f>
        <v>0.3316951266431</v>
      </c>
      <c r="T475" s="40" t="n">
        <f aca="true">RAND()</f>
        <v>0.682127231938456</v>
      </c>
      <c r="U475" s="40" t="n">
        <f aca="true">RAND()</f>
        <v>0.38970804332519</v>
      </c>
    </row>
    <row r="476" customFormat="false" ht="15" hidden="false" customHeight="false" outlineLevel="0" collapsed="false">
      <c r="A476" s="36" t="n">
        <v>396</v>
      </c>
      <c r="B476" s="37" t="n">
        <f aca="false">1+IF($G$6=$E$6,$F$6,IF(P476&lt;($F$6-$E$6)/($G$6-$E$6),$E$6+SQRT(P476*($G$6-$E$6)*($F$6-$E$6)),$G$6-SQRT((1-P476)*($G$6-$E$6)*($G$6-$F$6))))</f>
        <v>1</v>
      </c>
      <c r="C476" s="37" t="n">
        <f aca="false">1+IF($G$7=$E$7,$F$7,IF(Q476&lt;($F$7-$E$7)/($G$7-$E$7),$E$7+SQRT(Q476*($G$7-$E$7)*($F$7-$E$7)),$G$7-SQRT((1-Q476)*($G$7-$E$7)*($G$7-$F$7))))</f>
        <v>1</v>
      </c>
      <c r="D476" s="37" t="n">
        <f aca="false">1+IF($G$8=$E$8,$F$8,IF(R476&lt;($F$8-$E$8)/($G$8-$E$8),$E$8+SQRT(R476*($G$8-$E$8)*($F$8-$E$8)),$G$8-SQRT((1-R476)*($G$8-$E$8)*($G$8-$F$8))))</f>
        <v>1</v>
      </c>
      <c r="E476" s="37" t="n">
        <f aca="false">1+IF($G$9=$E$9,$F$9,IF(S476&lt;($F$9-$E$9)/($G$9-$E$9),$E$9+SQRT(S476*($G$9-$E$9)*($F$9-$E$9)),$G$9-SQRT((1-S476)*($G$9-$E$9)*($G$9-$F$9))))</f>
        <v>1</v>
      </c>
      <c r="F476" s="37" t="n">
        <f aca="false">1+IF($G$10=$E$10,$F$10,IF(T476&lt;($F$10-$E$10)/($G$10-$E$10),$E$10+SQRT(T476*($G$10-$E$10)*($F$10-$E$10)),$G$10-SQRT((1-T476)*($G$10-$E$10)*($G$10-$F$10))))</f>
        <v>1</v>
      </c>
      <c r="G476" s="38" t="n">
        <f aca="false">IF($G$11=$E$11,$F$11,IF(U476&lt;($F$11-$E$11)/($G$11-$E$11),$E$11+SQRT(U476*($G$11-$E$11)*($F$11-$E$11)),$G$11-SQRT((1-U476)*($G$11-$E$11)*($G$11-$F$11))))</f>
        <v>0</v>
      </c>
      <c r="H476" s="39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0</v>
      </c>
      <c r="I476" s="39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0</v>
      </c>
      <c r="J476" s="39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0</v>
      </c>
      <c r="K476" s="39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0</v>
      </c>
      <c r="L476" s="39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0</v>
      </c>
      <c r="M476" s="39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0</v>
      </c>
      <c r="N476" s="39" t="str">
        <f aca="false">IF(COUNT('Business Case'!B11:G11)=0,"",H476+NPV(G476,I476:M476))</f>
        <v/>
      </c>
      <c r="P476" s="40" t="n">
        <f aca="true">RAND()</f>
        <v>0.329591619448607</v>
      </c>
      <c r="Q476" s="40" t="n">
        <f aca="true">RAND()</f>
        <v>0.000981402241195626</v>
      </c>
      <c r="R476" s="40" t="n">
        <f aca="true">RAND()</f>
        <v>0.91883905032053</v>
      </c>
      <c r="S476" s="40" t="n">
        <f aca="true">RAND()</f>
        <v>0.401631421595368</v>
      </c>
      <c r="T476" s="40" t="n">
        <f aca="true">RAND()</f>
        <v>0.579062302054099</v>
      </c>
      <c r="U476" s="40" t="n">
        <f aca="true">RAND()</f>
        <v>0.484184461138884</v>
      </c>
    </row>
    <row r="477" customFormat="false" ht="15" hidden="false" customHeight="false" outlineLevel="0" collapsed="false">
      <c r="A477" s="36" t="n">
        <v>397</v>
      </c>
      <c r="B477" s="37" t="n">
        <f aca="false">1+IF($G$6=$E$6,$F$6,IF(P477&lt;($F$6-$E$6)/($G$6-$E$6),$E$6+SQRT(P477*($G$6-$E$6)*($F$6-$E$6)),$G$6-SQRT((1-P477)*($G$6-$E$6)*($G$6-$F$6))))</f>
        <v>1</v>
      </c>
      <c r="C477" s="37" t="n">
        <f aca="false">1+IF($G$7=$E$7,$F$7,IF(Q477&lt;($F$7-$E$7)/($G$7-$E$7),$E$7+SQRT(Q477*($G$7-$E$7)*($F$7-$E$7)),$G$7-SQRT((1-Q477)*($G$7-$E$7)*($G$7-$F$7))))</f>
        <v>1</v>
      </c>
      <c r="D477" s="37" t="n">
        <f aca="false">1+IF($G$8=$E$8,$F$8,IF(R477&lt;($F$8-$E$8)/($G$8-$E$8),$E$8+SQRT(R477*($G$8-$E$8)*($F$8-$E$8)),$G$8-SQRT((1-R477)*($G$8-$E$8)*($G$8-$F$8))))</f>
        <v>1</v>
      </c>
      <c r="E477" s="37" t="n">
        <f aca="false">1+IF($G$9=$E$9,$F$9,IF(S477&lt;($F$9-$E$9)/($G$9-$E$9),$E$9+SQRT(S477*($G$9-$E$9)*($F$9-$E$9)),$G$9-SQRT((1-S477)*($G$9-$E$9)*($G$9-$F$9))))</f>
        <v>1</v>
      </c>
      <c r="F477" s="37" t="n">
        <f aca="false">1+IF($G$10=$E$10,$F$10,IF(T477&lt;($F$10-$E$10)/($G$10-$E$10),$E$10+SQRT(T477*($G$10-$E$10)*($F$10-$E$10)),$G$10-SQRT((1-T477)*($G$10-$E$10)*($G$10-$F$10))))</f>
        <v>1</v>
      </c>
      <c r="G477" s="38" t="n">
        <f aca="false">IF($G$11=$E$11,$F$11,IF(U477&lt;($F$11-$E$11)/($G$11-$E$11),$E$11+SQRT(U477*($G$11-$E$11)*($F$11-$E$11)),$G$11-SQRT((1-U477)*($G$11-$E$11)*($G$11-$F$11))))</f>
        <v>0</v>
      </c>
      <c r="H477" s="39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0</v>
      </c>
      <c r="I477" s="39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0</v>
      </c>
      <c r="J477" s="39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0</v>
      </c>
      <c r="K477" s="39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0</v>
      </c>
      <c r="L477" s="39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0</v>
      </c>
      <c r="M477" s="39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0</v>
      </c>
      <c r="N477" s="39" t="str">
        <f aca="false">IF(COUNT('Business Case'!B11:G11)=0,"",H477+NPV(G477,I477:M477))</f>
        <v/>
      </c>
      <c r="P477" s="40" t="n">
        <f aca="true">RAND()</f>
        <v>0.873674015916469</v>
      </c>
      <c r="Q477" s="40" t="n">
        <f aca="true">RAND()</f>
        <v>0.59377372044271</v>
      </c>
      <c r="R477" s="40" t="n">
        <f aca="true">RAND()</f>
        <v>0.0519224450750485</v>
      </c>
      <c r="S477" s="40" t="n">
        <f aca="true">RAND()</f>
        <v>0.322274992072996</v>
      </c>
      <c r="T477" s="40" t="n">
        <f aca="true">RAND()</f>
        <v>0.779160577574405</v>
      </c>
      <c r="U477" s="40" t="n">
        <f aca="true">RAND()</f>
        <v>0.680191106386851</v>
      </c>
    </row>
    <row r="478" customFormat="false" ht="15" hidden="false" customHeight="false" outlineLevel="0" collapsed="false">
      <c r="A478" s="36" t="n">
        <v>398</v>
      </c>
      <c r="B478" s="37" t="n">
        <f aca="false">1+IF($G$6=$E$6,$F$6,IF(P478&lt;($F$6-$E$6)/($G$6-$E$6),$E$6+SQRT(P478*($G$6-$E$6)*($F$6-$E$6)),$G$6-SQRT((1-P478)*($G$6-$E$6)*($G$6-$F$6))))</f>
        <v>1</v>
      </c>
      <c r="C478" s="37" t="n">
        <f aca="false">1+IF($G$7=$E$7,$F$7,IF(Q478&lt;($F$7-$E$7)/($G$7-$E$7),$E$7+SQRT(Q478*($G$7-$E$7)*($F$7-$E$7)),$G$7-SQRT((1-Q478)*($G$7-$E$7)*($G$7-$F$7))))</f>
        <v>1</v>
      </c>
      <c r="D478" s="37" t="n">
        <f aca="false">1+IF($G$8=$E$8,$F$8,IF(R478&lt;($F$8-$E$8)/($G$8-$E$8),$E$8+SQRT(R478*($G$8-$E$8)*($F$8-$E$8)),$G$8-SQRT((1-R478)*($G$8-$E$8)*($G$8-$F$8))))</f>
        <v>1</v>
      </c>
      <c r="E478" s="37" t="n">
        <f aca="false">1+IF($G$9=$E$9,$F$9,IF(S478&lt;($F$9-$E$9)/($G$9-$E$9),$E$9+SQRT(S478*($G$9-$E$9)*($F$9-$E$9)),$G$9-SQRT((1-S478)*($G$9-$E$9)*($G$9-$F$9))))</f>
        <v>1</v>
      </c>
      <c r="F478" s="37" t="n">
        <f aca="false">1+IF($G$10=$E$10,$F$10,IF(T478&lt;($F$10-$E$10)/($G$10-$E$10),$E$10+SQRT(T478*($G$10-$E$10)*($F$10-$E$10)),$G$10-SQRT((1-T478)*($G$10-$E$10)*($G$10-$F$10))))</f>
        <v>1</v>
      </c>
      <c r="G478" s="38" t="n">
        <f aca="false">IF($G$11=$E$11,$F$11,IF(U478&lt;($F$11-$E$11)/($G$11-$E$11),$E$11+SQRT(U478*($G$11-$E$11)*($F$11-$E$11)),$G$11-SQRT((1-U478)*($G$11-$E$11)*($G$11-$F$11))))</f>
        <v>0</v>
      </c>
      <c r="H478" s="39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0</v>
      </c>
      <c r="I478" s="39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0</v>
      </c>
      <c r="J478" s="39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0</v>
      </c>
      <c r="K478" s="39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0</v>
      </c>
      <c r="L478" s="39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0</v>
      </c>
      <c r="M478" s="39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0</v>
      </c>
      <c r="N478" s="39" t="str">
        <f aca="false">IF(COUNT('Business Case'!B11:G11)=0,"",H478+NPV(G478,I478:M478))</f>
        <v/>
      </c>
      <c r="P478" s="40" t="n">
        <f aca="true">RAND()</f>
        <v>0.196938281420764</v>
      </c>
      <c r="Q478" s="40" t="n">
        <f aca="true">RAND()</f>
        <v>0.0931668532385254</v>
      </c>
      <c r="R478" s="40" t="n">
        <f aca="true">RAND()</f>
        <v>0.813867319925692</v>
      </c>
      <c r="S478" s="40" t="n">
        <f aca="true">RAND()</f>
        <v>0.170832822236236</v>
      </c>
      <c r="T478" s="40" t="n">
        <f aca="true">RAND()</f>
        <v>0.0850905234413786</v>
      </c>
      <c r="U478" s="40" t="n">
        <f aca="true">RAND()</f>
        <v>0.719377059476664</v>
      </c>
    </row>
    <row r="479" customFormat="false" ht="15" hidden="false" customHeight="false" outlineLevel="0" collapsed="false">
      <c r="A479" s="36" t="n">
        <v>399</v>
      </c>
      <c r="B479" s="37" t="n">
        <f aca="false">1+IF($G$6=$E$6,$F$6,IF(P479&lt;($F$6-$E$6)/($G$6-$E$6),$E$6+SQRT(P479*($G$6-$E$6)*($F$6-$E$6)),$G$6-SQRT((1-P479)*($G$6-$E$6)*($G$6-$F$6))))</f>
        <v>1</v>
      </c>
      <c r="C479" s="37" t="n">
        <f aca="false">1+IF($G$7=$E$7,$F$7,IF(Q479&lt;($F$7-$E$7)/($G$7-$E$7),$E$7+SQRT(Q479*($G$7-$E$7)*($F$7-$E$7)),$G$7-SQRT((1-Q479)*($G$7-$E$7)*($G$7-$F$7))))</f>
        <v>1</v>
      </c>
      <c r="D479" s="37" t="n">
        <f aca="false">1+IF($G$8=$E$8,$F$8,IF(R479&lt;($F$8-$E$8)/($G$8-$E$8),$E$8+SQRT(R479*($G$8-$E$8)*($F$8-$E$8)),$G$8-SQRT((1-R479)*($G$8-$E$8)*($G$8-$F$8))))</f>
        <v>1</v>
      </c>
      <c r="E479" s="37" t="n">
        <f aca="false">1+IF($G$9=$E$9,$F$9,IF(S479&lt;($F$9-$E$9)/($G$9-$E$9),$E$9+SQRT(S479*($G$9-$E$9)*($F$9-$E$9)),$G$9-SQRT((1-S479)*($G$9-$E$9)*($G$9-$F$9))))</f>
        <v>1</v>
      </c>
      <c r="F479" s="37" t="n">
        <f aca="false">1+IF($G$10=$E$10,$F$10,IF(T479&lt;($F$10-$E$10)/($G$10-$E$10),$E$10+SQRT(T479*($G$10-$E$10)*($F$10-$E$10)),$G$10-SQRT((1-T479)*($G$10-$E$10)*($G$10-$F$10))))</f>
        <v>1</v>
      </c>
      <c r="G479" s="38" t="n">
        <f aca="false">IF($G$11=$E$11,$F$11,IF(U479&lt;($F$11-$E$11)/($G$11-$E$11),$E$11+SQRT(U479*($G$11-$E$11)*($F$11-$E$11)),$G$11-SQRT((1-U479)*($G$11-$E$11)*($G$11-$F$11))))</f>
        <v>0</v>
      </c>
      <c r="H479" s="39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0</v>
      </c>
      <c r="I479" s="39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0</v>
      </c>
      <c r="J479" s="39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0</v>
      </c>
      <c r="K479" s="39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0</v>
      </c>
      <c r="L479" s="39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0</v>
      </c>
      <c r="M479" s="39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0</v>
      </c>
      <c r="N479" s="39" t="str">
        <f aca="false">IF(COUNT('Business Case'!B11:G11)=0,"",H479+NPV(G479,I479:M479))</f>
        <v/>
      </c>
      <c r="P479" s="40" t="n">
        <f aca="true">RAND()</f>
        <v>0.973413070094969</v>
      </c>
      <c r="Q479" s="40" t="n">
        <f aca="true">RAND()</f>
        <v>0.0564361847432568</v>
      </c>
      <c r="R479" s="40" t="n">
        <f aca="true">RAND()</f>
        <v>0.46091927601384</v>
      </c>
      <c r="S479" s="40" t="n">
        <f aca="true">RAND()</f>
        <v>0.34828612974295</v>
      </c>
      <c r="T479" s="40" t="n">
        <f aca="true">RAND()</f>
        <v>0.960437419678162</v>
      </c>
      <c r="U479" s="40" t="n">
        <f aca="true">RAND()</f>
        <v>0.796938547045306</v>
      </c>
    </row>
    <row r="480" customFormat="false" ht="15" hidden="false" customHeight="false" outlineLevel="0" collapsed="false">
      <c r="A480" s="36" t="n">
        <v>400</v>
      </c>
      <c r="B480" s="37" t="n">
        <f aca="false">1+IF($G$6=$E$6,$F$6,IF(P480&lt;($F$6-$E$6)/($G$6-$E$6),$E$6+SQRT(P480*($G$6-$E$6)*($F$6-$E$6)),$G$6-SQRT((1-P480)*($G$6-$E$6)*($G$6-$F$6))))</f>
        <v>1</v>
      </c>
      <c r="C480" s="37" t="n">
        <f aca="false">1+IF($G$7=$E$7,$F$7,IF(Q480&lt;($F$7-$E$7)/($G$7-$E$7),$E$7+SQRT(Q480*($G$7-$E$7)*($F$7-$E$7)),$G$7-SQRT((1-Q480)*($G$7-$E$7)*($G$7-$F$7))))</f>
        <v>1</v>
      </c>
      <c r="D480" s="37" t="n">
        <f aca="false">1+IF($G$8=$E$8,$F$8,IF(R480&lt;($F$8-$E$8)/($G$8-$E$8),$E$8+SQRT(R480*($G$8-$E$8)*($F$8-$E$8)),$G$8-SQRT((1-R480)*($G$8-$E$8)*($G$8-$F$8))))</f>
        <v>1</v>
      </c>
      <c r="E480" s="37" t="n">
        <f aca="false">1+IF($G$9=$E$9,$F$9,IF(S480&lt;($F$9-$E$9)/($G$9-$E$9),$E$9+SQRT(S480*($G$9-$E$9)*($F$9-$E$9)),$G$9-SQRT((1-S480)*($G$9-$E$9)*($G$9-$F$9))))</f>
        <v>1</v>
      </c>
      <c r="F480" s="37" t="n">
        <f aca="false">1+IF($G$10=$E$10,$F$10,IF(T480&lt;($F$10-$E$10)/($G$10-$E$10),$E$10+SQRT(T480*($G$10-$E$10)*($F$10-$E$10)),$G$10-SQRT((1-T480)*($G$10-$E$10)*($G$10-$F$10))))</f>
        <v>1</v>
      </c>
      <c r="G480" s="38" t="n">
        <f aca="false">IF($G$11=$E$11,$F$11,IF(U480&lt;($F$11-$E$11)/($G$11-$E$11),$E$11+SQRT(U480*($G$11-$E$11)*($F$11-$E$11)),$G$11-SQRT((1-U480)*($G$11-$E$11)*($G$11-$F$11))))</f>
        <v>0</v>
      </c>
      <c r="H480" s="39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0</v>
      </c>
      <c r="I480" s="39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0</v>
      </c>
      <c r="J480" s="39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0</v>
      </c>
      <c r="K480" s="39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0</v>
      </c>
      <c r="L480" s="39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0</v>
      </c>
      <c r="M480" s="39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0</v>
      </c>
      <c r="N480" s="39" t="str">
        <f aca="false">IF(COUNT('Business Case'!B11:G11)=0,"",H480+NPV(G480,I480:M480))</f>
        <v/>
      </c>
      <c r="P480" s="40" t="n">
        <f aca="true">RAND()</f>
        <v>0.0861630583121094</v>
      </c>
      <c r="Q480" s="40" t="n">
        <f aca="true">RAND()</f>
        <v>0.983357937980597</v>
      </c>
      <c r="R480" s="40" t="n">
        <f aca="true">RAND()</f>
        <v>0.773278489803534</v>
      </c>
      <c r="S480" s="40" t="n">
        <f aca="true">RAND()</f>
        <v>0.928832319679048</v>
      </c>
      <c r="T480" s="40" t="n">
        <f aca="true">RAND()</f>
        <v>0.0880831439962036</v>
      </c>
      <c r="U480" s="40" t="n">
        <f aca="true">RAND()</f>
        <v>0.0305129738226066</v>
      </c>
    </row>
    <row r="481" customFormat="false" ht="15" hidden="false" customHeight="false" outlineLevel="0" collapsed="false">
      <c r="A481" s="36" t="n">
        <v>401</v>
      </c>
      <c r="B481" s="37" t="n">
        <f aca="false">1+IF($G$6=$E$6,$F$6,IF(P481&lt;($F$6-$E$6)/($G$6-$E$6),$E$6+SQRT(P481*($G$6-$E$6)*($F$6-$E$6)),$G$6-SQRT((1-P481)*($G$6-$E$6)*($G$6-$F$6))))</f>
        <v>1</v>
      </c>
      <c r="C481" s="37" t="n">
        <f aca="false">1+IF($G$7=$E$7,$F$7,IF(Q481&lt;($F$7-$E$7)/($G$7-$E$7),$E$7+SQRT(Q481*($G$7-$E$7)*($F$7-$E$7)),$G$7-SQRT((1-Q481)*($G$7-$E$7)*($G$7-$F$7))))</f>
        <v>1</v>
      </c>
      <c r="D481" s="37" t="n">
        <f aca="false">1+IF($G$8=$E$8,$F$8,IF(R481&lt;($F$8-$E$8)/($G$8-$E$8),$E$8+SQRT(R481*($G$8-$E$8)*($F$8-$E$8)),$G$8-SQRT((1-R481)*($G$8-$E$8)*($G$8-$F$8))))</f>
        <v>1</v>
      </c>
      <c r="E481" s="37" t="n">
        <f aca="false">1+IF($G$9=$E$9,$F$9,IF(S481&lt;($F$9-$E$9)/($G$9-$E$9),$E$9+SQRT(S481*($G$9-$E$9)*($F$9-$E$9)),$G$9-SQRT((1-S481)*($G$9-$E$9)*($G$9-$F$9))))</f>
        <v>1</v>
      </c>
      <c r="F481" s="37" t="n">
        <f aca="false">1+IF($G$10=$E$10,$F$10,IF(T481&lt;($F$10-$E$10)/($G$10-$E$10),$E$10+SQRT(T481*($G$10-$E$10)*($F$10-$E$10)),$G$10-SQRT((1-T481)*($G$10-$E$10)*($G$10-$F$10))))</f>
        <v>1</v>
      </c>
      <c r="G481" s="38" t="n">
        <f aca="false">IF($G$11=$E$11,$F$11,IF(U481&lt;($F$11-$E$11)/($G$11-$E$11),$E$11+SQRT(U481*($G$11-$E$11)*($F$11-$E$11)),$G$11-SQRT((1-U481)*($G$11-$E$11)*($G$11-$F$11))))</f>
        <v>0</v>
      </c>
      <c r="H481" s="39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0</v>
      </c>
      <c r="I481" s="39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0</v>
      </c>
      <c r="J481" s="39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0</v>
      </c>
      <c r="K481" s="39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0</v>
      </c>
      <c r="L481" s="39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0</v>
      </c>
      <c r="M481" s="39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0</v>
      </c>
      <c r="N481" s="39" t="str">
        <f aca="false">IF(COUNT('Business Case'!B11:G11)=0,"",H481+NPV(G481,I481:M481))</f>
        <v/>
      </c>
      <c r="P481" s="40" t="n">
        <f aca="true">RAND()</f>
        <v>0.335740992326833</v>
      </c>
      <c r="Q481" s="40" t="n">
        <f aca="true">RAND()</f>
        <v>0.0454876615898066</v>
      </c>
      <c r="R481" s="40" t="n">
        <f aca="true">RAND()</f>
        <v>0.0173131904151821</v>
      </c>
      <c r="S481" s="40" t="n">
        <f aca="true">RAND()</f>
        <v>0.847922978151446</v>
      </c>
      <c r="T481" s="40" t="n">
        <f aca="true">RAND()</f>
        <v>0.801254677403796</v>
      </c>
      <c r="U481" s="40" t="n">
        <f aca="true">RAND()</f>
        <v>0.17714993231491</v>
      </c>
    </row>
    <row r="482" customFormat="false" ht="15" hidden="false" customHeight="false" outlineLevel="0" collapsed="false">
      <c r="A482" s="36" t="n">
        <v>402</v>
      </c>
      <c r="B482" s="37" t="n">
        <f aca="false">1+IF($G$6=$E$6,$F$6,IF(P482&lt;($F$6-$E$6)/($G$6-$E$6),$E$6+SQRT(P482*($G$6-$E$6)*($F$6-$E$6)),$G$6-SQRT((1-P482)*($G$6-$E$6)*($G$6-$F$6))))</f>
        <v>1</v>
      </c>
      <c r="C482" s="37" t="n">
        <f aca="false">1+IF($G$7=$E$7,$F$7,IF(Q482&lt;($F$7-$E$7)/($G$7-$E$7),$E$7+SQRT(Q482*($G$7-$E$7)*($F$7-$E$7)),$G$7-SQRT((1-Q482)*($G$7-$E$7)*($G$7-$F$7))))</f>
        <v>1</v>
      </c>
      <c r="D482" s="37" t="n">
        <f aca="false">1+IF($G$8=$E$8,$F$8,IF(R482&lt;($F$8-$E$8)/($G$8-$E$8),$E$8+SQRT(R482*($G$8-$E$8)*($F$8-$E$8)),$G$8-SQRT((1-R482)*($G$8-$E$8)*($G$8-$F$8))))</f>
        <v>1</v>
      </c>
      <c r="E482" s="37" t="n">
        <f aca="false">1+IF($G$9=$E$9,$F$9,IF(S482&lt;($F$9-$E$9)/($G$9-$E$9),$E$9+SQRT(S482*($G$9-$E$9)*($F$9-$E$9)),$G$9-SQRT((1-S482)*($G$9-$E$9)*($G$9-$F$9))))</f>
        <v>1</v>
      </c>
      <c r="F482" s="37" t="n">
        <f aca="false">1+IF($G$10=$E$10,$F$10,IF(T482&lt;($F$10-$E$10)/($G$10-$E$10),$E$10+SQRT(T482*($G$10-$E$10)*($F$10-$E$10)),$G$10-SQRT((1-T482)*($G$10-$E$10)*($G$10-$F$10))))</f>
        <v>1</v>
      </c>
      <c r="G482" s="38" t="n">
        <f aca="false">IF($G$11=$E$11,$F$11,IF(U482&lt;($F$11-$E$11)/($G$11-$E$11),$E$11+SQRT(U482*($G$11-$E$11)*($F$11-$E$11)),$G$11-SQRT((1-U482)*($G$11-$E$11)*($G$11-$F$11))))</f>
        <v>0</v>
      </c>
      <c r="H482" s="39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0</v>
      </c>
      <c r="I482" s="39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0</v>
      </c>
      <c r="J482" s="39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0</v>
      </c>
      <c r="K482" s="39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0</v>
      </c>
      <c r="L482" s="39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0</v>
      </c>
      <c r="M482" s="39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0</v>
      </c>
      <c r="N482" s="39" t="str">
        <f aca="false">IF(COUNT('Business Case'!B11:G11)=0,"",H482+NPV(G482,I482:M482))</f>
        <v/>
      </c>
      <c r="P482" s="40" t="n">
        <f aca="true">RAND()</f>
        <v>0.243964700016221</v>
      </c>
      <c r="Q482" s="40" t="n">
        <f aca="true">RAND()</f>
        <v>0.549236456072511</v>
      </c>
      <c r="R482" s="40" t="n">
        <f aca="true">RAND()</f>
        <v>0.253515084940683</v>
      </c>
      <c r="S482" s="40" t="n">
        <f aca="true">RAND()</f>
        <v>0.117636596519532</v>
      </c>
      <c r="T482" s="40" t="n">
        <f aca="true">RAND()</f>
        <v>0.74962175655457</v>
      </c>
      <c r="U482" s="40" t="n">
        <f aca="true">RAND()</f>
        <v>0.092714597121972</v>
      </c>
    </row>
    <row r="483" customFormat="false" ht="15" hidden="false" customHeight="false" outlineLevel="0" collapsed="false">
      <c r="A483" s="36" t="n">
        <v>403</v>
      </c>
      <c r="B483" s="37" t="n">
        <f aca="false">1+IF($G$6=$E$6,$F$6,IF(P483&lt;($F$6-$E$6)/($G$6-$E$6),$E$6+SQRT(P483*($G$6-$E$6)*($F$6-$E$6)),$G$6-SQRT((1-P483)*($G$6-$E$6)*($G$6-$F$6))))</f>
        <v>1</v>
      </c>
      <c r="C483" s="37" t="n">
        <f aca="false">1+IF($G$7=$E$7,$F$7,IF(Q483&lt;($F$7-$E$7)/($G$7-$E$7),$E$7+SQRT(Q483*($G$7-$E$7)*($F$7-$E$7)),$G$7-SQRT((1-Q483)*($G$7-$E$7)*($G$7-$F$7))))</f>
        <v>1</v>
      </c>
      <c r="D483" s="37" t="n">
        <f aca="false">1+IF($G$8=$E$8,$F$8,IF(R483&lt;($F$8-$E$8)/($G$8-$E$8),$E$8+SQRT(R483*($G$8-$E$8)*($F$8-$E$8)),$G$8-SQRT((1-R483)*($G$8-$E$8)*($G$8-$F$8))))</f>
        <v>1</v>
      </c>
      <c r="E483" s="37" t="n">
        <f aca="false">1+IF($G$9=$E$9,$F$9,IF(S483&lt;($F$9-$E$9)/($G$9-$E$9),$E$9+SQRT(S483*($G$9-$E$9)*($F$9-$E$9)),$G$9-SQRT((1-S483)*($G$9-$E$9)*($G$9-$F$9))))</f>
        <v>1</v>
      </c>
      <c r="F483" s="37" t="n">
        <f aca="false">1+IF($G$10=$E$10,$F$10,IF(T483&lt;($F$10-$E$10)/($G$10-$E$10),$E$10+SQRT(T483*($G$10-$E$10)*($F$10-$E$10)),$G$10-SQRT((1-T483)*($G$10-$E$10)*($G$10-$F$10))))</f>
        <v>1</v>
      </c>
      <c r="G483" s="38" t="n">
        <f aca="false">IF($G$11=$E$11,$F$11,IF(U483&lt;($F$11-$E$11)/($G$11-$E$11),$E$11+SQRT(U483*($G$11-$E$11)*($F$11-$E$11)),$G$11-SQRT((1-U483)*($G$11-$E$11)*($G$11-$F$11))))</f>
        <v>0</v>
      </c>
      <c r="H483" s="39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0</v>
      </c>
      <c r="I483" s="39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0</v>
      </c>
      <c r="J483" s="39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0</v>
      </c>
      <c r="K483" s="39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0</v>
      </c>
      <c r="L483" s="39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0</v>
      </c>
      <c r="M483" s="39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0</v>
      </c>
      <c r="N483" s="39" t="str">
        <f aca="false">IF(COUNT('Business Case'!B11:G11)=0,"",H483+NPV(G483,I483:M483))</f>
        <v/>
      </c>
      <c r="P483" s="40" t="n">
        <f aca="true">RAND()</f>
        <v>0.0623173622989987</v>
      </c>
      <c r="Q483" s="40" t="n">
        <f aca="true">RAND()</f>
        <v>0.934273669229604</v>
      </c>
      <c r="R483" s="40" t="n">
        <f aca="true">RAND()</f>
        <v>0.663450327728223</v>
      </c>
      <c r="S483" s="40" t="n">
        <f aca="true">RAND()</f>
        <v>0.815546635952698</v>
      </c>
      <c r="T483" s="40" t="n">
        <f aca="true">RAND()</f>
        <v>0.244190180445809</v>
      </c>
      <c r="U483" s="40" t="n">
        <f aca="true">RAND()</f>
        <v>0.645204260730161</v>
      </c>
    </row>
    <row r="484" customFormat="false" ht="15" hidden="false" customHeight="false" outlineLevel="0" collapsed="false">
      <c r="A484" s="36" t="n">
        <v>404</v>
      </c>
      <c r="B484" s="37" t="n">
        <f aca="false">1+IF($G$6=$E$6,$F$6,IF(P484&lt;($F$6-$E$6)/($G$6-$E$6),$E$6+SQRT(P484*($G$6-$E$6)*($F$6-$E$6)),$G$6-SQRT((1-P484)*($G$6-$E$6)*($G$6-$F$6))))</f>
        <v>1</v>
      </c>
      <c r="C484" s="37" t="n">
        <f aca="false">1+IF($G$7=$E$7,$F$7,IF(Q484&lt;($F$7-$E$7)/($G$7-$E$7),$E$7+SQRT(Q484*($G$7-$E$7)*($F$7-$E$7)),$G$7-SQRT((1-Q484)*($G$7-$E$7)*($G$7-$F$7))))</f>
        <v>1</v>
      </c>
      <c r="D484" s="37" t="n">
        <f aca="false">1+IF($G$8=$E$8,$F$8,IF(R484&lt;($F$8-$E$8)/($G$8-$E$8),$E$8+SQRT(R484*($G$8-$E$8)*($F$8-$E$8)),$G$8-SQRT((1-R484)*($G$8-$E$8)*($G$8-$F$8))))</f>
        <v>1</v>
      </c>
      <c r="E484" s="37" t="n">
        <f aca="false">1+IF($G$9=$E$9,$F$9,IF(S484&lt;($F$9-$E$9)/($G$9-$E$9),$E$9+SQRT(S484*($G$9-$E$9)*($F$9-$E$9)),$G$9-SQRT((1-S484)*($G$9-$E$9)*($G$9-$F$9))))</f>
        <v>1</v>
      </c>
      <c r="F484" s="37" t="n">
        <f aca="false">1+IF($G$10=$E$10,$F$10,IF(T484&lt;($F$10-$E$10)/($G$10-$E$10),$E$10+SQRT(T484*($G$10-$E$10)*($F$10-$E$10)),$G$10-SQRT((1-T484)*($G$10-$E$10)*($G$10-$F$10))))</f>
        <v>1</v>
      </c>
      <c r="G484" s="38" t="n">
        <f aca="false">IF($G$11=$E$11,$F$11,IF(U484&lt;($F$11-$E$11)/($G$11-$E$11),$E$11+SQRT(U484*($G$11-$E$11)*($F$11-$E$11)),$G$11-SQRT((1-U484)*($G$11-$E$11)*($G$11-$F$11))))</f>
        <v>0</v>
      </c>
      <c r="H484" s="39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0</v>
      </c>
      <c r="I484" s="39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0</v>
      </c>
      <c r="J484" s="39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0</v>
      </c>
      <c r="K484" s="39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0</v>
      </c>
      <c r="L484" s="39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0</v>
      </c>
      <c r="M484" s="39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0</v>
      </c>
      <c r="N484" s="39" t="str">
        <f aca="false">IF(COUNT('Business Case'!B11:G11)=0,"",H484+NPV(G484,I484:M484))</f>
        <v/>
      </c>
      <c r="P484" s="40" t="n">
        <f aca="true">RAND()</f>
        <v>0.969697182393345</v>
      </c>
      <c r="Q484" s="40" t="n">
        <f aca="true">RAND()</f>
        <v>0.124962044232602</v>
      </c>
      <c r="R484" s="40" t="n">
        <f aca="true">RAND()</f>
        <v>0.296828652259878</v>
      </c>
      <c r="S484" s="40" t="n">
        <f aca="true">RAND()</f>
        <v>0.112375272816835</v>
      </c>
      <c r="T484" s="40" t="n">
        <f aca="true">RAND()</f>
        <v>0.300077566287073</v>
      </c>
      <c r="U484" s="40" t="n">
        <f aca="true">RAND()</f>
        <v>0.93524084139673</v>
      </c>
    </row>
    <row r="485" customFormat="false" ht="15" hidden="false" customHeight="false" outlineLevel="0" collapsed="false">
      <c r="A485" s="36" t="n">
        <v>405</v>
      </c>
      <c r="B485" s="37" t="n">
        <f aca="false">1+IF($G$6=$E$6,$F$6,IF(P485&lt;($F$6-$E$6)/($G$6-$E$6),$E$6+SQRT(P485*($G$6-$E$6)*($F$6-$E$6)),$G$6-SQRT((1-P485)*($G$6-$E$6)*($G$6-$F$6))))</f>
        <v>1</v>
      </c>
      <c r="C485" s="37" t="n">
        <f aca="false">1+IF($G$7=$E$7,$F$7,IF(Q485&lt;($F$7-$E$7)/($G$7-$E$7),$E$7+SQRT(Q485*($G$7-$E$7)*($F$7-$E$7)),$G$7-SQRT((1-Q485)*($G$7-$E$7)*($G$7-$F$7))))</f>
        <v>1</v>
      </c>
      <c r="D485" s="37" t="n">
        <f aca="false">1+IF($G$8=$E$8,$F$8,IF(R485&lt;($F$8-$E$8)/($G$8-$E$8),$E$8+SQRT(R485*($G$8-$E$8)*($F$8-$E$8)),$G$8-SQRT((1-R485)*($G$8-$E$8)*($G$8-$F$8))))</f>
        <v>1</v>
      </c>
      <c r="E485" s="37" t="n">
        <f aca="false">1+IF($G$9=$E$9,$F$9,IF(S485&lt;($F$9-$E$9)/($G$9-$E$9),$E$9+SQRT(S485*($G$9-$E$9)*($F$9-$E$9)),$G$9-SQRT((1-S485)*($G$9-$E$9)*($G$9-$F$9))))</f>
        <v>1</v>
      </c>
      <c r="F485" s="37" t="n">
        <f aca="false">1+IF($G$10=$E$10,$F$10,IF(T485&lt;($F$10-$E$10)/($G$10-$E$10),$E$10+SQRT(T485*($G$10-$E$10)*($F$10-$E$10)),$G$10-SQRT((1-T485)*($G$10-$E$10)*($G$10-$F$10))))</f>
        <v>1</v>
      </c>
      <c r="G485" s="38" t="n">
        <f aca="false">IF($G$11=$E$11,$F$11,IF(U485&lt;($F$11-$E$11)/($G$11-$E$11),$E$11+SQRT(U485*($G$11-$E$11)*($F$11-$E$11)),$G$11-SQRT((1-U485)*($G$11-$E$11)*($G$11-$F$11))))</f>
        <v>0</v>
      </c>
      <c r="H485" s="39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0</v>
      </c>
      <c r="I485" s="39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0</v>
      </c>
      <c r="J485" s="39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0</v>
      </c>
      <c r="K485" s="39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0</v>
      </c>
      <c r="L485" s="39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0</v>
      </c>
      <c r="M485" s="39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0</v>
      </c>
      <c r="N485" s="39" t="str">
        <f aca="false">IF(COUNT('Business Case'!B11:G11)=0,"",H485+NPV(G485,I485:M485))</f>
        <v/>
      </c>
      <c r="P485" s="40" t="n">
        <f aca="true">RAND()</f>
        <v>0.443822552166047</v>
      </c>
      <c r="Q485" s="40" t="n">
        <f aca="true">RAND()</f>
        <v>0.585527998971167</v>
      </c>
      <c r="R485" s="40" t="n">
        <f aca="true">RAND()</f>
        <v>0.107662845369216</v>
      </c>
      <c r="S485" s="40" t="n">
        <f aca="true">RAND()</f>
        <v>0.177961379255002</v>
      </c>
      <c r="T485" s="40" t="n">
        <f aca="true">RAND()</f>
        <v>0.134707648734144</v>
      </c>
      <c r="U485" s="40" t="n">
        <f aca="true">RAND()</f>
        <v>0.906534615849412</v>
      </c>
    </row>
    <row r="486" customFormat="false" ht="15" hidden="false" customHeight="false" outlineLevel="0" collapsed="false">
      <c r="A486" s="36" t="n">
        <v>406</v>
      </c>
      <c r="B486" s="37" t="n">
        <f aca="false">1+IF($G$6=$E$6,$F$6,IF(P486&lt;($F$6-$E$6)/($G$6-$E$6),$E$6+SQRT(P486*($G$6-$E$6)*($F$6-$E$6)),$G$6-SQRT((1-P486)*($G$6-$E$6)*($G$6-$F$6))))</f>
        <v>1</v>
      </c>
      <c r="C486" s="37" t="n">
        <f aca="false">1+IF($G$7=$E$7,$F$7,IF(Q486&lt;($F$7-$E$7)/($G$7-$E$7),$E$7+SQRT(Q486*($G$7-$E$7)*($F$7-$E$7)),$G$7-SQRT((1-Q486)*($G$7-$E$7)*($G$7-$F$7))))</f>
        <v>1</v>
      </c>
      <c r="D486" s="37" t="n">
        <f aca="false">1+IF($G$8=$E$8,$F$8,IF(R486&lt;($F$8-$E$8)/($G$8-$E$8),$E$8+SQRT(R486*($G$8-$E$8)*($F$8-$E$8)),$G$8-SQRT((1-R486)*($G$8-$E$8)*($G$8-$F$8))))</f>
        <v>1</v>
      </c>
      <c r="E486" s="37" t="n">
        <f aca="false">1+IF($G$9=$E$9,$F$9,IF(S486&lt;($F$9-$E$9)/($G$9-$E$9),$E$9+SQRT(S486*($G$9-$E$9)*($F$9-$E$9)),$G$9-SQRT((1-S486)*($G$9-$E$9)*($G$9-$F$9))))</f>
        <v>1</v>
      </c>
      <c r="F486" s="37" t="n">
        <f aca="false">1+IF($G$10=$E$10,$F$10,IF(T486&lt;($F$10-$E$10)/($G$10-$E$10),$E$10+SQRT(T486*($G$10-$E$10)*($F$10-$E$10)),$G$10-SQRT((1-T486)*($G$10-$E$10)*($G$10-$F$10))))</f>
        <v>1</v>
      </c>
      <c r="G486" s="38" t="n">
        <f aca="false">IF($G$11=$E$11,$F$11,IF(U486&lt;($F$11-$E$11)/($G$11-$E$11),$E$11+SQRT(U486*($G$11-$E$11)*($F$11-$E$11)),$G$11-SQRT((1-U486)*($G$11-$E$11)*($G$11-$F$11))))</f>
        <v>0</v>
      </c>
      <c r="H486" s="39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0</v>
      </c>
      <c r="I486" s="39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0</v>
      </c>
      <c r="J486" s="39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0</v>
      </c>
      <c r="K486" s="39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0</v>
      </c>
      <c r="L486" s="39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0</v>
      </c>
      <c r="M486" s="39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0</v>
      </c>
      <c r="N486" s="39" t="str">
        <f aca="false">IF(COUNT('Business Case'!B11:G11)=0,"",H486+NPV(G486,I486:M486))</f>
        <v/>
      </c>
      <c r="P486" s="40" t="n">
        <f aca="true">RAND()</f>
        <v>0.906661825193547</v>
      </c>
      <c r="Q486" s="40" t="n">
        <f aca="true">RAND()</f>
        <v>0.685124071268439</v>
      </c>
      <c r="R486" s="40" t="n">
        <f aca="true">RAND()</f>
        <v>0.815527690046929</v>
      </c>
      <c r="S486" s="40" t="n">
        <f aca="true">RAND()</f>
        <v>0.128611323120126</v>
      </c>
      <c r="T486" s="40" t="n">
        <f aca="true">RAND()</f>
        <v>0.144704558963983</v>
      </c>
      <c r="U486" s="40" t="n">
        <f aca="true">RAND()</f>
        <v>0.722695258525733</v>
      </c>
    </row>
    <row r="487" customFormat="false" ht="15" hidden="false" customHeight="false" outlineLevel="0" collapsed="false">
      <c r="A487" s="36" t="n">
        <v>407</v>
      </c>
      <c r="B487" s="37" t="n">
        <f aca="false">1+IF($G$6=$E$6,$F$6,IF(P487&lt;($F$6-$E$6)/($G$6-$E$6),$E$6+SQRT(P487*($G$6-$E$6)*($F$6-$E$6)),$G$6-SQRT((1-P487)*($G$6-$E$6)*($G$6-$F$6))))</f>
        <v>1</v>
      </c>
      <c r="C487" s="37" t="n">
        <f aca="false">1+IF($G$7=$E$7,$F$7,IF(Q487&lt;($F$7-$E$7)/($G$7-$E$7),$E$7+SQRT(Q487*($G$7-$E$7)*($F$7-$E$7)),$G$7-SQRT((1-Q487)*($G$7-$E$7)*($G$7-$F$7))))</f>
        <v>1</v>
      </c>
      <c r="D487" s="37" t="n">
        <f aca="false">1+IF($G$8=$E$8,$F$8,IF(R487&lt;($F$8-$E$8)/($G$8-$E$8),$E$8+SQRT(R487*($G$8-$E$8)*($F$8-$E$8)),$G$8-SQRT((1-R487)*($G$8-$E$8)*($G$8-$F$8))))</f>
        <v>1</v>
      </c>
      <c r="E487" s="37" t="n">
        <f aca="false">1+IF($G$9=$E$9,$F$9,IF(S487&lt;($F$9-$E$9)/($G$9-$E$9),$E$9+SQRT(S487*($G$9-$E$9)*($F$9-$E$9)),$G$9-SQRT((1-S487)*($G$9-$E$9)*($G$9-$F$9))))</f>
        <v>1</v>
      </c>
      <c r="F487" s="37" t="n">
        <f aca="false">1+IF($G$10=$E$10,$F$10,IF(T487&lt;($F$10-$E$10)/($G$10-$E$10),$E$10+SQRT(T487*($G$10-$E$10)*($F$10-$E$10)),$G$10-SQRT((1-T487)*($G$10-$E$10)*($G$10-$F$10))))</f>
        <v>1</v>
      </c>
      <c r="G487" s="38" t="n">
        <f aca="false">IF($G$11=$E$11,$F$11,IF(U487&lt;($F$11-$E$11)/($G$11-$E$11),$E$11+SQRT(U487*($G$11-$E$11)*($F$11-$E$11)),$G$11-SQRT((1-U487)*($G$11-$E$11)*($G$11-$F$11))))</f>
        <v>0</v>
      </c>
      <c r="H487" s="39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0</v>
      </c>
      <c r="I487" s="39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0</v>
      </c>
      <c r="J487" s="39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0</v>
      </c>
      <c r="K487" s="39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0</v>
      </c>
      <c r="L487" s="39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0</v>
      </c>
      <c r="M487" s="39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0</v>
      </c>
      <c r="N487" s="39" t="str">
        <f aca="false">IF(COUNT('Business Case'!B11:G11)=0,"",H487+NPV(G487,I487:M487))</f>
        <v/>
      </c>
      <c r="P487" s="40" t="n">
        <f aca="true">RAND()</f>
        <v>0.59167904406855</v>
      </c>
      <c r="Q487" s="40" t="n">
        <f aca="true">RAND()</f>
        <v>0.734030068903897</v>
      </c>
      <c r="R487" s="40" t="n">
        <f aca="true">RAND()</f>
        <v>0.394494815686077</v>
      </c>
      <c r="S487" s="40" t="n">
        <f aca="true">RAND()</f>
        <v>0.176125963387844</v>
      </c>
      <c r="T487" s="40" t="n">
        <f aca="true">RAND()</f>
        <v>0.478048936225865</v>
      </c>
      <c r="U487" s="40" t="n">
        <f aca="true">RAND()</f>
        <v>0.54296844910576</v>
      </c>
    </row>
    <row r="488" customFormat="false" ht="15" hidden="false" customHeight="false" outlineLevel="0" collapsed="false">
      <c r="A488" s="36" t="n">
        <v>408</v>
      </c>
      <c r="B488" s="37" t="n">
        <f aca="false">1+IF($G$6=$E$6,$F$6,IF(P488&lt;($F$6-$E$6)/($G$6-$E$6),$E$6+SQRT(P488*($G$6-$E$6)*($F$6-$E$6)),$G$6-SQRT((1-P488)*($G$6-$E$6)*($G$6-$F$6))))</f>
        <v>1</v>
      </c>
      <c r="C488" s="37" t="n">
        <f aca="false">1+IF($G$7=$E$7,$F$7,IF(Q488&lt;($F$7-$E$7)/($G$7-$E$7),$E$7+SQRT(Q488*($G$7-$E$7)*($F$7-$E$7)),$G$7-SQRT((1-Q488)*($G$7-$E$7)*($G$7-$F$7))))</f>
        <v>1</v>
      </c>
      <c r="D488" s="37" t="n">
        <f aca="false">1+IF($G$8=$E$8,$F$8,IF(R488&lt;($F$8-$E$8)/($G$8-$E$8),$E$8+SQRT(R488*($G$8-$E$8)*($F$8-$E$8)),$G$8-SQRT((1-R488)*($G$8-$E$8)*($G$8-$F$8))))</f>
        <v>1</v>
      </c>
      <c r="E488" s="37" t="n">
        <f aca="false">1+IF($G$9=$E$9,$F$9,IF(S488&lt;($F$9-$E$9)/($G$9-$E$9),$E$9+SQRT(S488*($G$9-$E$9)*($F$9-$E$9)),$G$9-SQRT((1-S488)*($G$9-$E$9)*($G$9-$F$9))))</f>
        <v>1</v>
      </c>
      <c r="F488" s="37" t="n">
        <f aca="false">1+IF($G$10=$E$10,$F$10,IF(T488&lt;($F$10-$E$10)/($G$10-$E$10),$E$10+SQRT(T488*($G$10-$E$10)*($F$10-$E$10)),$G$10-SQRT((1-T488)*($G$10-$E$10)*($G$10-$F$10))))</f>
        <v>1</v>
      </c>
      <c r="G488" s="38" t="n">
        <f aca="false">IF($G$11=$E$11,$F$11,IF(U488&lt;($F$11-$E$11)/($G$11-$E$11),$E$11+SQRT(U488*($G$11-$E$11)*($F$11-$E$11)),$G$11-SQRT((1-U488)*($G$11-$E$11)*($G$11-$F$11))))</f>
        <v>0</v>
      </c>
      <c r="H488" s="39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0</v>
      </c>
      <c r="I488" s="39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0</v>
      </c>
      <c r="J488" s="39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0</v>
      </c>
      <c r="K488" s="39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0</v>
      </c>
      <c r="L488" s="39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0</v>
      </c>
      <c r="M488" s="39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0</v>
      </c>
      <c r="N488" s="39" t="str">
        <f aca="false">IF(COUNT('Business Case'!B11:G11)=0,"",H488+NPV(G488,I488:M488))</f>
        <v/>
      </c>
      <c r="P488" s="40" t="n">
        <f aca="true">RAND()</f>
        <v>0.805622906015081</v>
      </c>
      <c r="Q488" s="40" t="n">
        <f aca="true">RAND()</f>
        <v>0.29243354325868</v>
      </c>
      <c r="R488" s="40" t="n">
        <f aca="true">RAND()</f>
        <v>0.0452601758444406</v>
      </c>
      <c r="S488" s="40" t="n">
        <f aca="true">RAND()</f>
        <v>0.17301920945107</v>
      </c>
      <c r="T488" s="40" t="n">
        <f aca="true">RAND()</f>
        <v>0.0578683738089205</v>
      </c>
      <c r="U488" s="40" t="n">
        <f aca="true">RAND()</f>
        <v>0.640525388861188</v>
      </c>
    </row>
    <row r="489" customFormat="false" ht="15" hidden="false" customHeight="false" outlineLevel="0" collapsed="false">
      <c r="A489" s="36" t="n">
        <v>409</v>
      </c>
      <c r="B489" s="37" t="n">
        <f aca="false">1+IF($G$6=$E$6,$F$6,IF(P489&lt;($F$6-$E$6)/($G$6-$E$6),$E$6+SQRT(P489*($G$6-$E$6)*($F$6-$E$6)),$G$6-SQRT((1-P489)*($G$6-$E$6)*($G$6-$F$6))))</f>
        <v>1</v>
      </c>
      <c r="C489" s="37" t="n">
        <f aca="false">1+IF($G$7=$E$7,$F$7,IF(Q489&lt;($F$7-$E$7)/($G$7-$E$7),$E$7+SQRT(Q489*($G$7-$E$7)*($F$7-$E$7)),$G$7-SQRT((1-Q489)*($G$7-$E$7)*($G$7-$F$7))))</f>
        <v>1</v>
      </c>
      <c r="D489" s="37" t="n">
        <f aca="false">1+IF($G$8=$E$8,$F$8,IF(R489&lt;($F$8-$E$8)/($G$8-$E$8),$E$8+SQRT(R489*($G$8-$E$8)*($F$8-$E$8)),$G$8-SQRT((1-R489)*($G$8-$E$8)*($G$8-$F$8))))</f>
        <v>1</v>
      </c>
      <c r="E489" s="37" t="n">
        <f aca="false">1+IF($G$9=$E$9,$F$9,IF(S489&lt;($F$9-$E$9)/($G$9-$E$9),$E$9+SQRT(S489*($G$9-$E$9)*($F$9-$E$9)),$G$9-SQRT((1-S489)*($G$9-$E$9)*($G$9-$F$9))))</f>
        <v>1</v>
      </c>
      <c r="F489" s="37" t="n">
        <f aca="false">1+IF($G$10=$E$10,$F$10,IF(T489&lt;($F$10-$E$10)/($G$10-$E$10),$E$10+SQRT(T489*($G$10-$E$10)*($F$10-$E$10)),$G$10-SQRT((1-T489)*($G$10-$E$10)*($G$10-$F$10))))</f>
        <v>1</v>
      </c>
      <c r="G489" s="38" t="n">
        <f aca="false">IF($G$11=$E$11,$F$11,IF(U489&lt;($F$11-$E$11)/($G$11-$E$11),$E$11+SQRT(U489*($G$11-$E$11)*($F$11-$E$11)),$G$11-SQRT((1-U489)*($G$11-$E$11)*($G$11-$F$11))))</f>
        <v>0</v>
      </c>
      <c r="H489" s="39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0</v>
      </c>
      <c r="I489" s="39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0</v>
      </c>
      <c r="J489" s="39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0</v>
      </c>
      <c r="K489" s="39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0</v>
      </c>
      <c r="L489" s="39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0</v>
      </c>
      <c r="M489" s="39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0</v>
      </c>
      <c r="N489" s="39" t="str">
        <f aca="false">IF(COUNT('Business Case'!B11:G11)=0,"",H489+NPV(G489,I489:M489))</f>
        <v/>
      </c>
      <c r="P489" s="40" t="n">
        <f aca="true">RAND()</f>
        <v>0.140533426687303</v>
      </c>
      <c r="Q489" s="40" t="n">
        <f aca="true">RAND()</f>
        <v>0.139794559232875</v>
      </c>
      <c r="R489" s="40" t="n">
        <f aca="true">RAND()</f>
        <v>0.135783120871048</v>
      </c>
      <c r="S489" s="40" t="n">
        <f aca="true">RAND()</f>
        <v>0.142441743960365</v>
      </c>
      <c r="T489" s="40" t="n">
        <f aca="true">RAND()</f>
        <v>0.171081309594552</v>
      </c>
      <c r="U489" s="40" t="n">
        <f aca="true">RAND()</f>
        <v>0.74104273063703</v>
      </c>
    </row>
    <row r="490" customFormat="false" ht="15" hidden="false" customHeight="false" outlineLevel="0" collapsed="false">
      <c r="A490" s="36" t="n">
        <v>410</v>
      </c>
      <c r="B490" s="37" t="n">
        <f aca="false">1+IF($G$6=$E$6,$F$6,IF(P490&lt;($F$6-$E$6)/($G$6-$E$6),$E$6+SQRT(P490*($G$6-$E$6)*($F$6-$E$6)),$G$6-SQRT((1-P490)*($G$6-$E$6)*($G$6-$F$6))))</f>
        <v>1</v>
      </c>
      <c r="C490" s="37" t="n">
        <f aca="false">1+IF($G$7=$E$7,$F$7,IF(Q490&lt;($F$7-$E$7)/($G$7-$E$7),$E$7+SQRT(Q490*($G$7-$E$7)*($F$7-$E$7)),$G$7-SQRT((1-Q490)*($G$7-$E$7)*($G$7-$F$7))))</f>
        <v>1</v>
      </c>
      <c r="D490" s="37" t="n">
        <f aca="false">1+IF($G$8=$E$8,$F$8,IF(R490&lt;($F$8-$E$8)/($G$8-$E$8),$E$8+SQRT(R490*($G$8-$E$8)*($F$8-$E$8)),$G$8-SQRT((1-R490)*($G$8-$E$8)*($G$8-$F$8))))</f>
        <v>1</v>
      </c>
      <c r="E490" s="37" t="n">
        <f aca="false">1+IF($G$9=$E$9,$F$9,IF(S490&lt;($F$9-$E$9)/($G$9-$E$9),$E$9+SQRT(S490*($G$9-$E$9)*($F$9-$E$9)),$G$9-SQRT((1-S490)*($G$9-$E$9)*($G$9-$F$9))))</f>
        <v>1</v>
      </c>
      <c r="F490" s="37" t="n">
        <f aca="false">1+IF($G$10=$E$10,$F$10,IF(T490&lt;($F$10-$E$10)/($G$10-$E$10),$E$10+SQRT(T490*($G$10-$E$10)*($F$10-$E$10)),$G$10-SQRT((1-T490)*($G$10-$E$10)*($G$10-$F$10))))</f>
        <v>1</v>
      </c>
      <c r="G490" s="38" t="n">
        <f aca="false">IF($G$11=$E$11,$F$11,IF(U490&lt;($F$11-$E$11)/($G$11-$E$11),$E$11+SQRT(U490*($G$11-$E$11)*($F$11-$E$11)),$G$11-SQRT((1-U490)*($G$11-$E$11)*($G$11-$F$11))))</f>
        <v>0</v>
      </c>
      <c r="H490" s="39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0</v>
      </c>
      <c r="I490" s="39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0</v>
      </c>
      <c r="J490" s="39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0</v>
      </c>
      <c r="K490" s="39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0</v>
      </c>
      <c r="L490" s="39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0</v>
      </c>
      <c r="M490" s="39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0</v>
      </c>
      <c r="N490" s="39" t="str">
        <f aca="false">IF(COUNT('Business Case'!B11:G11)=0,"",H490+NPV(G490,I490:M490))</f>
        <v/>
      </c>
      <c r="P490" s="40" t="n">
        <f aca="true">RAND()</f>
        <v>0.83051169356608</v>
      </c>
      <c r="Q490" s="40" t="n">
        <f aca="true">RAND()</f>
        <v>0.97243607039867</v>
      </c>
      <c r="R490" s="40" t="n">
        <f aca="true">RAND()</f>
        <v>0.0476032550715228</v>
      </c>
      <c r="S490" s="40" t="n">
        <f aca="true">RAND()</f>
        <v>0.423259539775751</v>
      </c>
      <c r="T490" s="40" t="n">
        <f aca="true">RAND()</f>
        <v>0.147872926630117</v>
      </c>
      <c r="U490" s="40" t="n">
        <f aca="true">RAND()</f>
        <v>0.874745213447892</v>
      </c>
    </row>
    <row r="491" customFormat="false" ht="15" hidden="false" customHeight="false" outlineLevel="0" collapsed="false">
      <c r="A491" s="36" t="n">
        <v>411</v>
      </c>
      <c r="B491" s="37" t="n">
        <f aca="false">1+IF($G$6=$E$6,$F$6,IF(P491&lt;($F$6-$E$6)/($G$6-$E$6),$E$6+SQRT(P491*($G$6-$E$6)*($F$6-$E$6)),$G$6-SQRT((1-P491)*($G$6-$E$6)*($G$6-$F$6))))</f>
        <v>1</v>
      </c>
      <c r="C491" s="37" t="n">
        <f aca="false">1+IF($G$7=$E$7,$F$7,IF(Q491&lt;($F$7-$E$7)/($G$7-$E$7),$E$7+SQRT(Q491*($G$7-$E$7)*($F$7-$E$7)),$G$7-SQRT((1-Q491)*($G$7-$E$7)*($G$7-$F$7))))</f>
        <v>1</v>
      </c>
      <c r="D491" s="37" t="n">
        <f aca="false">1+IF($G$8=$E$8,$F$8,IF(R491&lt;($F$8-$E$8)/($G$8-$E$8),$E$8+SQRT(R491*($G$8-$E$8)*($F$8-$E$8)),$G$8-SQRT((1-R491)*($G$8-$E$8)*($G$8-$F$8))))</f>
        <v>1</v>
      </c>
      <c r="E491" s="37" t="n">
        <f aca="false">1+IF($G$9=$E$9,$F$9,IF(S491&lt;($F$9-$E$9)/($G$9-$E$9),$E$9+SQRT(S491*($G$9-$E$9)*($F$9-$E$9)),$G$9-SQRT((1-S491)*($G$9-$E$9)*($G$9-$F$9))))</f>
        <v>1</v>
      </c>
      <c r="F491" s="37" t="n">
        <f aca="false">1+IF($G$10=$E$10,$F$10,IF(T491&lt;($F$10-$E$10)/($G$10-$E$10),$E$10+SQRT(T491*($G$10-$E$10)*($F$10-$E$10)),$G$10-SQRT((1-T491)*($G$10-$E$10)*($G$10-$F$10))))</f>
        <v>1</v>
      </c>
      <c r="G491" s="38" t="n">
        <f aca="false">IF($G$11=$E$11,$F$11,IF(U491&lt;($F$11-$E$11)/($G$11-$E$11),$E$11+SQRT(U491*($G$11-$E$11)*($F$11-$E$11)),$G$11-SQRT((1-U491)*($G$11-$E$11)*($G$11-$F$11))))</f>
        <v>0</v>
      </c>
      <c r="H491" s="39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0</v>
      </c>
      <c r="I491" s="39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0</v>
      </c>
      <c r="J491" s="39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0</v>
      </c>
      <c r="K491" s="39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0</v>
      </c>
      <c r="L491" s="39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0</v>
      </c>
      <c r="M491" s="39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0</v>
      </c>
      <c r="N491" s="39" t="str">
        <f aca="false">IF(COUNT('Business Case'!B11:G11)=0,"",H491+NPV(G491,I491:M491))</f>
        <v/>
      </c>
      <c r="P491" s="40" t="n">
        <f aca="true">RAND()</f>
        <v>0.910384606606246</v>
      </c>
      <c r="Q491" s="40" t="n">
        <f aca="true">RAND()</f>
        <v>0.813110012502574</v>
      </c>
      <c r="R491" s="40" t="n">
        <f aca="true">RAND()</f>
        <v>0.0254805248563891</v>
      </c>
      <c r="S491" s="40" t="n">
        <f aca="true">RAND()</f>
        <v>0.721697519997702</v>
      </c>
      <c r="T491" s="40" t="n">
        <f aca="true">RAND()</f>
        <v>0.00876798189179588</v>
      </c>
      <c r="U491" s="40" t="n">
        <f aca="true">RAND()</f>
        <v>0.0647231959673265</v>
      </c>
    </row>
    <row r="492" customFormat="false" ht="15" hidden="false" customHeight="false" outlineLevel="0" collapsed="false">
      <c r="A492" s="36" t="n">
        <v>412</v>
      </c>
      <c r="B492" s="37" t="n">
        <f aca="false">1+IF($G$6=$E$6,$F$6,IF(P492&lt;($F$6-$E$6)/($G$6-$E$6),$E$6+SQRT(P492*($G$6-$E$6)*($F$6-$E$6)),$G$6-SQRT((1-P492)*($G$6-$E$6)*($G$6-$F$6))))</f>
        <v>1</v>
      </c>
      <c r="C492" s="37" t="n">
        <f aca="false">1+IF($G$7=$E$7,$F$7,IF(Q492&lt;($F$7-$E$7)/($G$7-$E$7),$E$7+SQRT(Q492*($G$7-$E$7)*($F$7-$E$7)),$G$7-SQRT((1-Q492)*($G$7-$E$7)*($G$7-$F$7))))</f>
        <v>1</v>
      </c>
      <c r="D492" s="37" t="n">
        <f aca="false">1+IF($G$8=$E$8,$F$8,IF(R492&lt;($F$8-$E$8)/($G$8-$E$8),$E$8+SQRT(R492*($G$8-$E$8)*($F$8-$E$8)),$G$8-SQRT((1-R492)*($G$8-$E$8)*($G$8-$F$8))))</f>
        <v>1</v>
      </c>
      <c r="E492" s="37" t="n">
        <f aca="false">1+IF($G$9=$E$9,$F$9,IF(S492&lt;($F$9-$E$9)/($G$9-$E$9),$E$9+SQRT(S492*($G$9-$E$9)*($F$9-$E$9)),$G$9-SQRT((1-S492)*($G$9-$E$9)*($G$9-$F$9))))</f>
        <v>1</v>
      </c>
      <c r="F492" s="37" t="n">
        <f aca="false">1+IF($G$10=$E$10,$F$10,IF(T492&lt;($F$10-$E$10)/($G$10-$E$10),$E$10+SQRT(T492*($G$10-$E$10)*($F$10-$E$10)),$G$10-SQRT((1-T492)*($G$10-$E$10)*($G$10-$F$10))))</f>
        <v>1</v>
      </c>
      <c r="G492" s="38" t="n">
        <f aca="false">IF($G$11=$E$11,$F$11,IF(U492&lt;($F$11-$E$11)/($G$11-$E$11),$E$11+SQRT(U492*($G$11-$E$11)*($F$11-$E$11)),$G$11-SQRT((1-U492)*($G$11-$E$11)*($G$11-$F$11))))</f>
        <v>0</v>
      </c>
      <c r="H492" s="39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0</v>
      </c>
      <c r="I492" s="39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0</v>
      </c>
      <c r="J492" s="39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0</v>
      </c>
      <c r="K492" s="39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0</v>
      </c>
      <c r="L492" s="39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0</v>
      </c>
      <c r="M492" s="39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0</v>
      </c>
      <c r="N492" s="39" t="str">
        <f aca="false">IF(COUNT('Business Case'!B11:G11)=0,"",H492+NPV(G492,I492:M492))</f>
        <v/>
      </c>
      <c r="P492" s="40" t="n">
        <f aca="true">RAND()</f>
        <v>0.930044909116278</v>
      </c>
      <c r="Q492" s="40" t="n">
        <f aca="true">RAND()</f>
        <v>0.926637842466069</v>
      </c>
      <c r="R492" s="40" t="n">
        <f aca="true">RAND()</f>
        <v>0.491321368262557</v>
      </c>
      <c r="S492" s="40" t="n">
        <f aca="true">RAND()</f>
        <v>0.277074416593308</v>
      </c>
      <c r="T492" s="40" t="n">
        <f aca="true">RAND()</f>
        <v>0.26671980455405</v>
      </c>
      <c r="U492" s="40" t="n">
        <f aca="true">RAND()</f>
        <v>0.505654240863675</v>
      </c>
    </row>
    <row r="493" customFormat="false" ht="15" hidden="false" customHeight="false" outlineLevel="0" collapsed="false">
      <c r="A493" s="36" t="n">
        <v>413</v>
      </c>
      <c r="B493" s="37" t="n">
        <f aca="false">1+IF($G$6=$E$6,$F$6,IF(P493&lt;($F$6-$E$6)/($G$6-$E$6),$E$6+SQRT(P493*($G$6-$E$6)*($F$6-$E$6)),$G$6-SQRT((1-P493)*($G$6-$E$6)*($G$6-$F$6))))</f>
        <v>1</v>
      </c>
      <c r="C493" s="37" t="n">
        <f aca="false">1+IF($G$7=$E$7,$F$7,IF(Q493&lt;($F$7-$E$7)/($G$7-$E$7),$E$7+SQRT(Q493*($G$7-$E$7)*($F$7-$E$7)),$G$7-SQRT((1-Q493)*($G$7-$E$7)*($G$7-$F$7))))</f>
        <v>1</v>
      </c>
      <c r="D493" s="37" t="n">
        <f aca="false">1+IF($G$8=$E$8,$F$8,IF(R493&lt;($F$8-$E$8)/($G$8-$E$8),$E$8+SQRT(R493*($G$8-$E$8)*($F$8-$E$8)),$G$8-SQRT((1-R493)*($G$8-$E$8)*($G$8-$F$8))))</f>
        <v>1</v>
      </c>
      <c r="E493" s="37" t="n">
        <f aca="false">1+IF($G$9=$E$9,$F$9,IF(S493&lt;($F$9-$E$9)/($G$9-$E$9),$E$9+SQRT(S493*($G$9-$E$9)*($F$9-$E$9)),$G$9-SQRT((1-S493)*($G$9-$E$9)*($G$9-$F$9))))</f>
        <v>1</v>
      </c>
      <c r="F493" s="37" t="n">
        <f aca="false">1+IF($G$10=$E$10,$F$10,IF(T493&lt;($F$10-$E$10)/($G$10-$E$10),$E$10+SQRT(T493*($G$10-$E$10)*($F$10-$E$10)),$G$10-SQRT((1-T493)*($G$10-$E$10)*($G$10-$F$10))))</f>
        <v>1</v>
      </c>
      <c r="G493" s="38" t="n">
        <f aca="false">IF($G$11=$E$11,$F$11,IF(U493&lt;($F$11-$E$11)/($G$11-$E$11),$E$11+SQRT(U493*($G$11-$E$11)*($F$11-$E$11)),$G$11-SQRT((1-U493)*($G$11-$E$11)*($G$11-$F$11))))</f>
        <v>0</v>
      </c>
      <c r="H493" s="39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0</v>
      </c>
      <c r="I493" s="39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0</v>
      </c>
      <c r="J493" s="39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0</v>
      </c>
      <c r="K493" s="39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0</v>
      </c>
      <c r="L493" s="39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0</v>
      </c>
      <c r="M493" s="39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0</v>
      </c>
      <c r="N493" s="39" t="str">
        <f aca="false">IF(COUNT('Business Case'!B11:G11)=0,"",H493+NPV(G493,I493:M493))</f>
        <v/>
      </c>
      <c r="P493" s="40" t="n">
        <f aca="true">RAND()</f>
        <v>0.651751262534732</v>
      </c>
      <c r="Q493" s="40" t="n">
        <f aca="true">RAND()</f>
        <v>0.603436829752112</v>
      </c>
      <c r="R493" s="40" t="n">
        <f aca="true">RAND()</f>
        <v>0.265593078676303</v>
      </c>
      <c r="S493" s="40" t="n">
        <f aca="true">RAND()</f>
        <v>0.720450542264346</v>
      </c>
      <c r="T493" s="40" t="n">
        <f aca="true">RAND()</f>
        <v>0.732059525716994</v>
      </c>
      <c r="U493" s="40" t="n">
        <f aca="true">RAND()</f>
        <v>0.371869469240291</v>
      </c>
    </row>
    <row r="494" customFormat="false" ht="15" hidden="false" customHeight="false" outlineLevel="0" collapsed="false">
      <c r="A494" s="36" t="n">
        <v>414</v>
      </c>
      <c r="B494" s="37" t="n">
        <f aca="false">1+IF($G$6=$E$6,$F$6,IF(P494&lt;($F$6-$E$6)/($G$6-$E$6),$E$6+SQRT(P494*($G$6-$E$6)*($F$6-$E$6)),$G$6-SQRT((1-P494)*($G$6-$E$6)*($G$6-$F$6))))</f>
        <v>1</v>
      </c>
      <c r="C494" s="37" t="n">
        <f aca="false">1+IF($G$7=$E$7,$F$7,IF(Q494&lt;($F$7-$E$7)/($G$7-$E$7),$E$7+SQRT(Q494*($G$7-$E$7)*($F$7-$E$7)),$G$7-SQRT((1-Q494)*($G$7-$E$7)*($G$7-$F$7))))</f>
        <v>1</v>
      </c>
      <c r="D494" s="37" t="n">
        <f aca="false">1+IF($G$8=$E$8,$F$8,IF(R494&lt;($F$8-$E$8)/($G$8-$E$8),$E$8+SQRT(R494*($G$8-$E$8)*($F$8-$E$8)),$G$8-SQRT((1-R494)*($G$8-$E$8)*($G$8-$F$8))))</f>
        <v>1</v>
      </c>
      <c r="E494" s="37" t="n">
        <f aca="false">1+IF($G$9=$E$9,$F$9,IF(S494&lt;($F$9-$E$9)/($G$9-$E$9),$E$9+SQRT(S494*($G$9-$E$9)*($F$9-$E$9)),$G$9-SQRT((1-S494)*($G$9-$E$9)*($G$9-$F$9))))</f>
        <v>1</v>
      </c>
      <c r="F494" s="37" t="n">
        <f aca="false">1+IF($G$10=$E$10,$F$10,IF(T494&lt;($F$10-$E$10)/($G$10-$E$10),$E$10+SQRT(T494*($G$10-$E$10)*($F$10-$E$10)),$G$10-SQRT((1-T494)*($G$10-$E$10)*($G$10-$F$10))))</f>
        <v>1</v>
      </c>
      <c r="G494" s="38" t="n">
        <f aca="false">IF($G$11=$E$11,$F$11,IF(U494&lt;($F$11-$E$11)/($G$11-$E$11),$E$11+SQRT(U494*($G$11-$E$11)*($F$11-$E$11)),$G$11-SQRT((1-U494)*($G$11-$E$11)*($G$11-$F$11))))</f>
        <v>0</v>
      </c>
      <c r="H494" s="39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0</v>
      </c>
      <c r="I494" s="39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0</v>
      </c>
      <c r="J494" s="39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0</v>
      </c>
      <c r="K494" s="39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0</v>
      </c>
      <c r="L494" s="39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0</v>
      </c>
      <c r="M494" s="39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0</v>
      </c>
      <c r="N494" s="39" t="str">
        <f aca="false">IF(COUNT('Business Case'!B11:G11)=0,"",H494+NPV(G494,I494:M494))</f>
        <v/>
      </c>
      <c r="P494" s="40" t="n">
        <f aca="true">RAND()</f>
        <v>0.701705965966172</v>
      </c>
      <c r="Q494" s="40" t="n">
        <f aca="true">RAND()</f>
        <v>0.402997019217042</v>
      </c>
      <c r="R494" s="40" t="n">
        <f aca="true">RAND()</f>
        <v>0.467577938866227</v>
      </c>
      <c r="S494" s="40" t="n">
        <f aca="true">RAND()</f>
        <v>0.217210579659365</v>
      </c>
      <c r="T494" s="40" t="n">
        <f aca="true">RAND()</f>
        <v>0.296050077072115</v>
      </c>
      <c r="U494" s="40" t="n">
        <f aca="true">RAND()</f>
        <v>0.131184910703747</v>
      </c>
    </row>
    <row r="495" customFormat="false" ht="15" hidden="false" customHeight="false" outlineLevel="0" collapsed="false">
      <c r="A495" s="36" t="n">
        <v>415</v>
      </c>
      <c r="B495" s="37" t="n">
        <f aca="false">1+IF($G$6=$E$6,$F$6,IF(P495&lt;($F$6-$E$6)/($G$6-$E$6),$E$6+SQRT(P495*($G$6-$E$6)*($F$6-$E$6)),$G$6-SQRT((1-P495)*($G$6-$E$6)*($G$6-$F$6))))</f>
        <v>1</v>
      </c>
      <c r="C495" s="37" t="n">
        <f aca="false">1+IF($G$7=$E$7,$F$7,IF(Q495&lt;($F$7-$E$7)/($G$7-$E$7),$E$7+SQRT(Q495*($G$7-$E$7)*($F$7-$E$7)),$G$7-SQRT((1-Q495)*($G$7-$E$7)*($G$7-$F$7))))</f>
        <v>1</v>
      </c>
      <c r="D495" s="37" t="n">
        <f aca="false">1+IF($G$8=$E$8,$F$8,IF(R495&lt;($F$8-$E$8)/($G$8-$E$8),$E$8+SQRT(R495*($G$8-$E$8)*($F$8-$E$8)),$G$8-SQRT((1-R495)*($G$8-$E$8)*($G$8-$F$8))))</f>
        <v>1</v>
      </c>
      <c r="E495" s="37" t="n">
        <f aca="false">1+IF($G$9=$E$9,$F$9,IF(S495&lt;($F$9-$E$9)/($G$9-$E$9),$E$9+SQRT(S495*($G$9-$E$9)*($F$9-$E$9)),$G$9-SQRT((1-S495)*($G$9-$E$9)*($G$9-$F$9))))</f>
        <v>1</v>
      </c>
      <c r="F495" s="37" t="n">
        <f aca="false">1+IF($G$10=$E$10,$F$10,IF(T495&lt;($F$10-$E$10)/($G$10-$E$10),$E$10+SQRT(T495*($G$10-$E$10)*($F$10-$E$10)),$G$10-SQRT((1-T495)*($G$10-$E$10)*($G$10-$F$10))))</f>
        <v>1</v>
      </c>
      <c r="G495" s="38" t="n">
        <f aca="false">IF($G$11=$E$11,$F$11,IF(U495&lt;($F$11-$E$11)/($G$11-$E$11),$E$11+SQRT(U495*($G$11-$E$11)*($F$11-$E$11)),$G$11-SQRT((1-U495)*($G$11-$E$11)*($G$11-$F$11))))</f>
        <v>0</v>
      </c>
      <c r="H495" s="39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0</v>
      </c>
      <c r="I495" s="39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0</v>
      </c>
      <c r="J495" s="39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0</v>
      </c>
      <c r="K495" s="39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0</v>
      </c>
      <c r="L495" s="39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0</v>
      </c>
      <c r="M495" s="39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0</v>
      </c>
      <c r="N495" s="39" t="str">
        <f aca="false">IF(COUNT('Business Case'!B11:G11)=0,"",H495+NPV(G495,I495:M495))</f>
        <v/>
      </c>
      <c r="P495" s="40" t="n">
        <f aca="true">RAND()</f>
        <v>0.465064441343076</v>
      </c>
      <c r="Q495" s="40" t="n">
        <f aca="true">RAND()</f>
        <v>0.371538095137139</v>
      </c>
      <c r="R495" s="40" t="n">
        <f aca="true">RAND()</f>
        <v>0.347775217320902</v>
      </c>
      <c r="S495" s="40" t="n">
        <f aca="true">RAND()</f>
        <v>0.208890615446567</v>
      </c>
      <c r="T495" s="40" t="n">
        <f aca="true">RAND()</f>
        <v>0.570227129639088</v>
      </c>
      <c r="U495" s="40" t="n">
        <f aca="true">RAND()</f>
        <v>0.875413934096207</v>
      </c>
    </row>
    <row r="496" customFormat="false" ht="15" hidden="false" customHeight="false" outlineLevel="0" collapsed="false">
      <c r="A496" s="36" t="n">
        <v>416</v>
      </c>
      <c r="B496" s="37" t="n">
        <f aca="false">1+IF($G$6=$E$6,$F$6,IF(P496&lt;($F$6-$E$6)/($G$6-$E$6),$E$6+SQRT(P496*($G$6-$E$6)*($F$6-$E$6)),$G$6-SQRT((1-P496)*($G$6-$E$6)*($G$6-$F$6))))</f>
        <v>1</v>
      </c>
      <c r="C496" s="37" t="n">
        <f aca="false">1+IF($G$7=$E$7,$F$7,IF(Q496&lt;($F$7-$E$7)/($G$7-$E$7),$E$7+SQRT(Q496*($G$7-$E$7)*($F$7-$E$7)),$G$7-SQRT((1-Q496)*($G$7-$E$7)*($G$7-$F$7))))</f>
        <v>1</v>
      </c>
      <c r="D496" s="37" t="n">
        <f aca="false">1+IF($G$8=$E$8,$F$8,IF(R496&lt;($F$8-$E$8)/($G$8-$E$8),$E$8+SQRT(R496*($G$8-$E$8)*($F$8-$E$8)),$G$8-SQRT((1-R496)*($G$8-$E$8)*($G$8-$F$8))))</f>
        <v>1</v>
      </c>
      <c r="E496" s="37" t="n">
        <f aca="false">1+IF($G$9=$E$9,$F$9,IF(S496&lt;($F$9-$E$9)/($G$9-$E$9),$E$9+SQRT(S496*($G$9-$E$9)*($F$9-$E$9)),$G$9-SQRT((1-S496)*($G$9-$E$9)*($G$9-$F$9))))</f>
        <v>1</v>
      </c>
      <c r="F496" s="37" t="n">
        <f aca="false">1+IF($G$10=$E$10,$F$10,IF(T496&lt;($F$10-$E$10)/($G$10-$E$10),$E$10+SQRT(T496*($G$10-$E$10)*($F$10-$E$10)),$G$10-SQRT((1-T496)*($G$10-$E$10)*($G$10-$F$10))))</f>
        <v>1</v>
      </c>
      <c r="G496" s="38" t="n">
        <f aca="false">IF($G$11=$E$11,$F$11,IF(U496&lt;($F$11-$E$11)/($G$11-$E$11),$E$11+SQRT(U496*($G$11-$E$11)*($F$11-$E$11)),$G$11-SQRT((1-U496)*($G$11-$E$11)*($G$11-$F$11))))</f>
        <v>0</v>
      </c>
      <c r="H496" s="39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0</v>
      </c>
      <c r="I496" s="39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0</v>
      </c>
      <c r="J496" s="39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0</v>
      </c>
      <c r="K496" s="39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0</v>
      </c>
      <c r="L496" s="39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0</v>
      </c>
      <c r="M496" s="39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0</v>
      </c>
      <c r="N496" s="39" t="str">
        <f aca="false">IF(COUNT('Business Case'!B11:G11)=0,"",H496+NPV(G496,I496:M496))</f>
        <v/>
      </c>
      <c r="P496" s="40" t="n">
        <f aca="true">RAND()</f>
        <v>0.849548040893745</v>
      </c>
      <c r="Q496" s="40" t="n">
        <f aca="true">RAND()</f>
        <v>0.874705446751367</v>
      </c>
      <c r="R496" s="40" t="n">
        <f aca="true">RAND()</f>
        <v>0.993076507284168</v>
      </c>
      <c r="S496" s="40" t="n">
        <f aca="true">RAND()</f>
        <v>0.144069931001794</v>
      </c>
      <c r="T496" s="40" t="n">
        <f aca="true">RAND()</f>
        <v>0.173269221365007</v>
      </c>
      <c r="U496" s="40" t="n">
        <f aca="true">RAND()</f>
        <v>0.207142879265963</v>
      </c>
    </row>
    <row r="497" customFormat="false" ht="15" hidden="false" customHeight="false" outlineLevel="0" collapsed="false">
      <c r="A497" s="36" t="n">
        <v>417</v>
      </c>
      <c r="B497" s="37" t="n">
        <f aca="false">1+IF($G$6=$E$6,$F$6,IF(P497&lt;($F$6-$E$6)/($G$6-$E$6),$E$6+SQRT(P497*($G$6-$E$6)*($F$6-$E$6)),$G$6-SQRT((1-P497)*($G$6-$E$6)*($G$6-$F$6))))</f>
        <v>1</v>
      </c>
      <c r="C497" s="37" t="n">
        <f aca="false">1+IF($G$7=$E$7,$F$7,IF(Q497&lt;($F$7-$E$7)/($G$7-$E$7),$E$7+SQRT(Q497*($G$7-$E$7)*($F$7-$E$7)),$G$7-SQRT((1-Q497)*($G$7-$E$7)*($G$7-$F$7))))</f>
        <v>1</v>
      </c>
      <c r="D497" s="37" t="n">
        <f aca="false">1+IF($G$8=$E$8,$F$8,IF(R497&lt;($F$8-$E$8)/($G$8-$E$8),$E$8+SQRT(R497*($G$8-$E$8)*($F$8-$E$8)),$G$8-SQRT((1-R497)*($G$8-$E$8)*($G$8-$F$8))))</f>
        <v>1</v>
      </c>
      <c r="E497" s="37" t="n">
        <f aca="false">1+IF($G$9=$E$9,$F$9,IF(S497&lt;($F$9-$E$9)/($G$9-$E$9),$E$9+SQRT(S497*($G$9-$E$9)*($F$9-$E$9)),$G$9-SQRT((1-S497)*($G$9-$E$9)*($G$9-$F$9))))</f>
        <v>1</v>
      </c>
      <c r="F497" s="37" t="n">
        <f aca="false">1+IF($G$10=$E$10,$F$10,IF(T497&lt;($F$10-$E$10)/($G$10-$E$10),$E$10+SQRT(T497*($G$10-$E$10)*($F$10-$E$10)),$G$10-SQRT((1-T497)*($G$10-$E$10)*($G$10-$F$10))))</f>
        <v>1</v>
      </c>
      <c r="G497" s="38" t="n">
        <f aca="false">IF($G$11=$E$11,$F$11,IF(U497&lt;($F$11-$E$11)/($G$11-$E$11),$E$11+SQRT(U497*($G$11-$E$11)*($F$11-$E$11)),$G$11-SQRT((1-U497)*($G$11-$E$11)*($G$11-$F$11))))</f>
        <v>0</v>
      </c>
      <c r="H497" s="39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0</v>
      </c>
      <c r="I497" s="39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0</v>
      </c>
      <c r="J497" s="39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0</v>
      </c>
      <c r="K497" s="39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0</v>
      </c>
      <c r="L497" s="39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0</v>
      </c>
      <c r="M497" s="39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0</v>
      </c>
      <c r="N497" s="39" t="str">
        <f aca="false">IF(COUNT('Business Case'!B11:G11)=0,"",H497+NPV(G497,I497:M497))</f>
        <v/>
      </c>
      <c r="P497" s="40" t="n">
        <f aca="true">RAND()</f>
        <v>0.918713785111032</v>
      </c>
      <c r="Q497" s="40" t="n">
        <f aca="true">RAND()</f>
        <v>0.240431001495081</v>
      </c>
      <c r="R497" s="40" t="n">
        <f aca="true">RAND()</f>
        <v>0.290166096690391</v>
      </c>
      <c r="S497" s="40" t="n">
        <f aca="true">RAND()</f>
        <v>0.791984982662196</v>
      </c>
      <c r="T497" s="40" t="n">
        <f aca="true">RAND()</f>
        <v>0.37534530859007</v>
      </c>
      <c r="U497" s="40" t="n">
        <f aca="true">RAND()</f>
        <v>0.0184299156651811</v>
      </c>
    </row>
    <row r="498" customFormat="false" ht="15" hidden="false" customHeight="false" outlineLevel="0" collapsed="false">
      <c r="A498" s="36" t="n">
        <v>418</v>
      </c>
      <c r="B498" s="37" t="n">
        <f aca="false">1+IF($G$6=$E$6,$F$6,IF(P498&lt;($F$6-$E$6)/($G$6-$E$6),$E$6+SQRT(P498*($G$6-$E$6)*($F$6-$E$6)),$G$6-SQRT((1-P498)*($G$6-$E$6)*($G$6-$F$6))))</f>
        <v>1</v>
      </c>
      <c r="C498" s="37" t="n">
        <f aca="false">1+IF($G$7=$E$7,$F$7,IF(Q498&lt;($F$7-$E$7)/($G$7-$E$7),$E$7+SQRT(Q498*($G$7-$E$7)*($F$7-$E$7)),$G$7-SQRT((1-Q498)*($G$7-$E$7)*($G$7-$F$7))))</f>
        <v>1</v>
      </c>
      <c r="D498" s="37" t="n">
        <f aca="false">1+IF($G$8=$E$8,$F$8,IF(R498&lt;($F$8-$E$8)/($G$8-$E$8),$E$8+SQRT(R498*($G$8-$E$8)*($F$8-$E$8)),$G$8-SQRT((1-R498)*($G$8-$E$8)*($G$8-$F$8))))</f>
        <v>1</v>
      </c>
      <c r="E498" s="37" t="n">
        <f aca="false">1+IF($G$9=$E$9,$F$9,IF(S498&lt;($F$9-$E$9)/($G$9-$E$9),$E$9+SQRT(S498*($G$9-$E$9)*($F$9-$E$9)),$G$9-SQRT((1-S498)*($G$9-$E$9)*($G$9-$F$9))))</f>
        <v>1</v>
      </c>
      <c r="F498" s="37" t="n">
        <f aca="false">1+IF($G$10=$E$10,$F$10,IF(T498&lt;($F$10-$E$10)/($G$10-$E$10),$E$10+SQRT(T498*($G$10-$E$10)*($F$10-$E$10)),$G$10-SQRT((1-T498)*($G$10-$E$10)*($G$10-$F$10))))</f>
        <v>1</v>
      </c>
      <c r="G498" s="38" t="n">
        <f aca="false">IF($G$11=$E$11,$F$11,IF(U498&lt;($F$11-$E$11)/($G$11-$E$11),$E$11+SQRT(U498*($G$11-$E$11)*($F$11-$E$11)),$G$11-SQRT((1-U498)*($G$11-$E$11)*($G$11-$F$11))))</f>
        <v>0</v>
      </c>
      <c r="H498" s="39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0</v>
      </c>
      <c r="I498" s="39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0</v>
      </c>
      <c r="J498" s="39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0</v>
      </c>
      <c r="K498" s="39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0</v>
      </c>
      <c r="L498" s="39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0</v>
      </c>
      <c r="M498" s="39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0</v>
      </c>
      <c r="N498" s="39" t="str">
        <f aca="false">IF(COUNT('Business Case'!B11:G11)=0,"",H498+NPV(G498,I498:M498))</f>
        <v/>
      </c>
      <c r="P498" s="40" t="n">
        <f aca="true">RAND()</f>
        <v>0.777033117330779</v>
      </c>
      <c r="Q498" s="40" t="n">
        <f aca="true">RAND()</f>
        <v>0.842297713048433</v>
      </c>
      <c r="R498" s="40" t="n">
        <f aca="true">RAND()</f>
        <v>0.116203448323636</v>
      </c>
      <c r="S498" s="40" t="n">
        <f aca="true">RAND()</f>
        <v>0.998323834776605</v>
      </c>
      <c r="T498" s="40" t="n">
        <f aca="true">RAND()</f>
        <v>0.812919703913254</v>
      </c>
      <c r="U498" s="40" t="n">
        <f aca="true">RAND()</f>
        <v>0.476935283751441</v>
      </c>
    </row>
    <row r="499" customFormat="false" ht="15" hidden="false" customHeight="false" outlineLevel="0" collapsed="false">
      <c r="A499" s="36" t="n">
        <v>419</v>
      </c>
      <c r="B499" s="37" t="n">
        <f aca="false">1+IF($G$6=$E$6,$F$6,IF(P499&lt;($F$6-$E$6)/($G$6-$E$6),$E$6+SQRT(P499*($G$6-$E$6)*($F$6-$E$6)),$G$6-SQRT((1-P499)*($G$6-$E$6)*($G$6-$F$6))))</f>
        <v>1</v>
      </c>
      <c r="C499" s="37" t="n">
        <f aca="false">1+IF($G$7=$E$7,$F$7,IF(Q499&lt;($F$7-$E$7)/($G$7-$E$7),$E$7+SQRT(Q499*($G$7-$E$7)*($F$7-$E$7)),$G$7-SQRT((1-Q499)*($G$7-$E$7)*($G$7-$F$7))))</f>
        <v>1</v>
      </c>
      <c r="D499" s="37" t="n">
        <f aca="false">1+IF($G$8=$E$8,$F$8,IF(R499&lt;($F$8-$E$8)/($G$8-$E$8),$E$8+SQRT(R499*($G$8-$E$8)*($F$8-$E$8)),$G$8-SQRT((1-R499)*($G$8-$E$8)*($G$8-$F$8))))</f>
        <v>1</v>
      </c>
      <c r="E499" s="37" t="n">
        <f aca="false">1+IF($G$9=$E$9,$F$9,IF(S499&lt;($F$9-$E$9)/($G$9-$E$9),$E$9+SQRT(S499*($G$9-$E$9)*($F$9-$E$9)),$G$9-SQRT((1-S499)*($G$9-$E$9)*($G$9-$F$9))))</f>
        <v>1</v>
      </c>
      <c r="F499" s="37" t="n">
        <f aca="false">1+IF($G$10=$E$10,$F$10,IF(T499&lt;($F$10-$E$10)/($G$10-$E$10),$E$10+SQRT(T499*($G$10-$E$10)*($F$10-$E$10)),$G$10-SQRT((1-T499)*($G$10-$E$10)*($G$10-$F$10))))</f>
        <v>1</v>
      </c>
      <c r="G499" s="38" t="n">
        <f aca="false">IF($G$11=$E$11,$F$11,IF(U499&lt;($F$11-$E$11)/($G$11-$E$11),$E$11+SQRT(U499*($G$11-$E$11)*($F$11-$E$11)),$G$11-SQRT((1-U499)*($G$11-$E$11)*($G$11-$F$11))))</f>
        <v>0</v>
      </c>
      <c r="H499" s="39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0</v>
      </c>
      <c r="I499" s="39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0</v>
      </c>
      <c r="J499" s="39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0</v>
      </c>
      <c r="K499" s="39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0</v>
      </c>
      <c r="L499" s="39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0</v>
      </c>
      <c r="M499" s="39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0</v>
      </c>
      <c r="N499" s="39" t="str">
        <f aca="false">IF(COUNT('Business Case'!B11:G11)=0,"",H499+NPV(G499,I499:M499))</f>
        <v/>
      </c>
      <c r="P499" s="40" t="n">
        <f aca="true">RAND()</f>
        <v>0.143346204637329</v>
      </c>
      <c r="Q499" s="40" t="n">
        <f aca="true">RAND()</f>
        <v>0.391266722205962</v>
      </c>
      <c r="R499" s="40" t="n">
        <f aca="true">RAND()</f>
        <v>0.43855980068085</v>
      </c>
      <c r="S499" s="40" t="n">
        <f aca="true">RAND()</f>
        <v>0.199195721818336</v>
      </c>
      <c r="T499" s="40" t="n">
        <f aca="true">RAND()</f>
        <v>0.81496699571762</v>
      </c>
      <c r="U499" s="40" t="n">
        <f aca="true">RAND()</f>
        <v>0.932146059809181</v>
      </c>
    </row>
    <row r="500" customFormat="false" ht="15" hidden="false" customHeight="false" outlineLevel="0" collapsed="false">
      <c r="A500" s="36" t="n">
        <v>420</v>
      </c>
      <c r="B500" s="37" t="n">
        <f aca="false">1+IF($G$6=$E$6,$F$6,IF(P500&lt;($F$6-$E$6)/($G$6-$E$6),$E$6+SQRT(P500*($G$6-$E$6)*($F$6-$E$6)),$G$6-SQRT((1-P500)*($G$6-$E$6)*($G$6-$F$6))))</f>
        <v>1</v>
      </c>
      <c r="C500" s="37" t="n">
        <f aca="false">1+IF($G$7=$E$7,$F$7,IF(Q500&lt;($F$7-$E$7)/($G$7-$E$7),$E$7+SQRT(Q500*($G$7-$E$7)*($F$7-$E$7)),$G$7-SQRT((1-Q500)*($G$7-$E$7)*($G$7-$F$7))))</f>
        <v>1</v>
      </c>
      <c r="D500" s="37" t="n">
        <f aca="false">1+IF($G$8=$E$8,$F$8,IF(R500&lt;($F$8-$E$8)/($G$8-$E$8),$E$8+SQRT(R500*($G$8-$E$8)*($F$8-$E$8)),$G$8-SQRT((1-R500)*($G$8-$E$8)*($G$8-$F$8))))</f>
        <v>1</v>
      </c>
      <c r="E500" s="37" t="n">
        <f aca="false">1+IF($G$9=$E$9,$F$9,IF(S500&lt;($F$9-$E$9)/($G$9-$E$9),$E$9+SQRT(S500*($G$9-$E$9)*($F$9-$E$9)),$G$9-SQRT((1-S500)*($G$9-$E$9)*($G$9-$F$9))))</f>
        <v>1</v>
      </c>
      <c r="F500" s="37" t="n">
        <f aca="false">1+IF($G$10=$E$10,$F$10,IF(T500&lt;($F$10-$E$10)/($G$10-$E$10),$E$10+SQRT(T500*($G$10-$E$10)*($F$10-$E$10)),$G$10-SQRT((1-T500)*($G$10-$E$10)*($G$10-$F$10))))</f>
        <v>1</v>
      </c>
      <c r="G500" s="38" t="n">
        <f aca="false">IF($G$11=$E$11,$F$11,IF(U500&lt;($F$11-$E$11)/($G$11-$E$11),$E$11+SQRT(U500*($G$11-$E$11)*($F$11-$E$11)),$G$11-SQRT((1-U500)*($G$11-$E$11)*($G$11-$F$11))))</f>
        <v>0</v>
      </c>
      <c r="H500" s="39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0</v>
      </c>
      <c r="I500" s="39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0</v>
      </c>
      <c r="J500" s="39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0</v>
      </c>
      <c r="K500" s="39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0</v>
      </c>
      <c r="L500" s="39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0</v>
      </c>
      <c r="M500" s="39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0</v>
      </c>
      <c r="N500" s="39" t="str">
        <f aca="false">IF(COUNT('Business Case'!B11:G11)=0,"",H500+NPV(G500,I500:M500))</f>
        <v/>
      </c>
      <c r="P500" s="40" t="n">
        <f aca="true">RAND()</f>
        <v>0.0935282787421045</v>
      </c>
      <c r="Q500" s="40" t="n">
        <f aca="true">RAND()</f>
        <v>0.200578044181092</v>
      </c>
      <c r="R500" s="40" t="n">
        <f aca="true">RAND()</f>
        <v>0.0547967930655127</v>
      </c>
      <c r="S500" s="40" t="n">
        <f aca="true">RAND()</f>
        <v>0.849285752328008</v>
      </c>
      <c r="T500" s="40" t="n">
        <f aca="true">RAND()</f>
        <v>0.652626527960822</v>
      </c>
      <c r="U500" s="40" t="n">
        <f aca="true">RAND()</f>
        <v>0.265453179121473</v>
      </c>
    </row>
    <row r="501" customFormat="false" ht="15" hidden="false" customHeight="false" outlineLevel="0" collapsed="false">
      <c r="A501" s="36" t="n">
        <v>421</v>
      </c>
      <c r="B501" s="37" t="n">
        <f aca="false">1+IF($G$6=$E$6,$F$6,IF(P501&lt;($F$6-$E$6)/($G$6-$E$6),$E$6+SQRT(P501*($G$6-$E$6)*($F$6-$E$6)),$G$6-SQRT((1-P501)*($G$6-$E$6)*($G$6-$F$6))))</f>
        <v>1</v>
      </c>
      <c r="C501" s="37" t="n">
        <f aca="false">1+IF($G$7=$E$7,$F$7,IF(Q501&lt;($F$7-$E$7)/($G$7-$E$7),$E$7+SQRT(Q501*($G$7-$E$7)*($F$7-$E$7)),$G$7-SQRT((1-Q501)*($G$7-$E$7)*($G$7-$F$7))))</f>
        <v>1</v>
      </c>
      <c r="D501" s="37" t="n">
        <f aca="false">1+IF($G$8=$E$8,$F$8,IF(R501&lt;($F$8-$E$8)/($G$8-$E$8),$E$8+SQRT(R501*($G$8-$E$8)*($F$8-$E$8)),$G$8-SQRT((1-R501)*($G$8-$E$8)*($G$8-$F$8))))</f>
        <v>1</v>
      </c>
      <c r="E501" s="37" t="n">
        <f aca="false">1+IF($G$9=$E$9,$F$9,IF(S501&lt;($F$9-$E$9)/($G$9-$E$9),$E$9+SQRT(S501*($G$9-$E$9)*($F$9-$E$9)),$G$9-SQRT((1-S501)*($G$9-$E$9)*($G$9-$F$9))))</f>
        <v>1</v>
      </c>
      <c r="F501" s="37" t="n">
        <f aca="false">1+IF($G$10=$E$10,$F$10,IF(T501&lt;($F$10-$E$10)/($G$10-$E$10),$E$10+SQRT(T501*($G$10-$E$10)*($F$10-$E$10)),$G$10-SQRT((1-T501)*($G$10-$E$10)*($G$10-$F$10))))</f>
        <v>1</v>
      </c>
      <c r="G501" s="38" t="n">
        <f aca="false">IF($G$11=$E$11,$F$11,IF(U501&lt;($F$11-$E$11)/($G$11-$E$11),$E$11+SQRT(U501*($G$11-$E$11)*($F$11-$E$11)),$G$11-SQRT((1-U501)*($G$11-$E$11)*($G$11-$F$11))))</f>
        <v>0</v>
      </c>
      <c r="H501" s="39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0</v>
      </c>
      <c r="I501" s="39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0</v>
      </c>
      <c r="J501" s="39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0</v>
      </c>
      <c r="K501" s="39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0</v>
      </c>
      <c r="L501" s="39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0</v>
      </c>
      <c r="M501" s="39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0</v>
      </c>
      <c r="N501" s="39" t="str">
        <f aca="false">IF(COUNT('Business Case'!B11:G11)=0,"",H501+NPV(G501,I501:M501))</f>
        <v/>
      </c>
      <c r="P501" s="40" t="n">
        <f aca="true">RAND()</f>
        <v>0.211940828609907</v>
      </c>
      <c r="Q501" s="40" t="n">
        <f aca="true">RAND()</f>
        <v>0.0278282390802775</v>
      </c>
      <c r="R501" s="40" t="n">
        <f aca="true">RAND()</f>
        <v>0.133740245955523</v>
      </c>
      <c r="S501" s="40" t="n">
        <f aca="true">RAND()</f>
        <v>0.565842438725426</v>
      </c>
      <c r="T501" s="40" t="n">
        <f aca="true">RAND()</f>
        <v>0.675420598794826</v>
      </c>
      <c r="U501" s="40" t="n">
        <f aca="true">RAND()</f>
        <v>0.490152368997663</v>
      </c>
    </row>
    <row r="502" customFormat="false" ht="15" hidden="false" customHeight="false" outlineLevel="0" collapsed="false">
      <c r="A502" s="36" t="n">
        <v>422</v>
      </c>
      <c r="B502" s="37" t="n">
        <f aca="false">1+IF($G$6=$E$6,$F$6,IF(P502&lt;($F$6-$E$6)/($G$6-$E$6),$E$6+SQRT(P502*($G$6-$E$6)*($F$6-$E$6)),$G$6-SQRT((1-P502)*($G$6-$E$6)*($G$6-$F$6))))</f>
        <v>1</v>
      </c>
      <c r="C502" s="37" t="n">
        <f aca="false">1+IF($G$7=$E$7,$F$7,IF(Q502&lt;($F$7-$E$7)/($G$7-$E$7),$E$7+SQRT(Q502*($G$7-$E$7)*($F$7-$E$7)),$G$7-SQRT((1-Q502)*($G$7-$E$7)*($G$7-$F$7))))</f>
        <v>1</v>
      </c>
      <c r="D502" s="37" t="n">
        <f aca="false">1+IF($G$8=$E$8,$F$8,IF(R502&lt;($F$8-$E$8)/($G$8-$E$8),$E$8+SQRT(R502*($G$8-$E$8)*($F$8-$E$8)),$G$8-SQRT((1-R502)*($G$8-$E$8)*($G$8-$F$8))))</f>
        <v>1</v>
      </c>
      <c r="E502" s="37" t="n">
        <f aca="false">1+IF($G$9=$E$9,$F$9,IF(S502&lt;($F$9-$E$9)/($G$9-$E$9),$E$9+SQRT(S502*($G$9-$E$9)*($F$9-$E$9)),$G$9-SQRT((1-S502)*($G$9-$E$9)*($G$9-$F$9))))</f>
        <v>1</v>
      </c>
      <c r="F502" s="37" t="n">
        <f aca="false">1+IF($G$10=$E$10,$F$10,IF(T502&lt;($F$10-$E$10)/($G$10-$E$10),$E$10+SQRT(T502*($G$10-$E$10)*($F$10-$E$10)),$G$10-SQRT((1-T502)*($G$10-$E$10)*($G$10-$F$10))))</f>
        <v>1</v>
      </c>
      <c r="G502" s="38" t="n">
        <f aca="false">IF($G$11=$E$11,$F$11,IF(U502&lt;($F$11-$E$11)/($G$11-$E$11),$E$11+SQRT(U502*($G$11-$E$11)*($F$11-$E$11)),$G$11-SQRT((1-U502)*($G$11-$E$11)*($G$11-$F$11))))</f>
        <v>0</v>
      </c>
      <c r="H502" s="39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0</v>
      </c>
      <c r="I502" s="39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0</v>
      </c>
      <c r="J502" s="39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0</v>
      </c>
      <c r="K502" s="39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0</v>
      </c>
      <c r="L502" s="39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0</v>
      </c>
      <c r="M502" s="39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0</v>
      </c>
      <c r="N502" s="39" t="str">
        <f aca="false">IF(COUNT('Business Case'!B11:G11)=0,"",H502+NPV(G502,I502:M502))</f>
        <v/>
      </c>
      <c r="P502" s="40" t="n">
        <f aca="true">RAND()</f>
        <v>0.0903446149483622</v>
      </c>
      <c r="Q502" s="40" t="n">
        <f aca="true">RAND()</f>
        <v>0.389274425929331</v>
      </c>
      <c r="R502" s="40" t="n">
        <f aca="true">RAND()</f>
        <v>0.678104057034587</v>
      </c>
      <c r="S502" s="40" t="n">
        <f aca="true">RAND()</f>
        <v>0.313155246896744</v>
      </c>
      <c r="T502" s="40" t="n">
        <f aca="true">RAND()</f>
        <v>0.453968547404349</v>
      </c>
      <c r="U502" s="40" t="n">
        <f aca="true">RAND()</f>
        <v>0.0427454774276338</v>
      </c>
    </row>
    <row r="503" customFormat="false" ht="15" hidden="false" customHeight="false" outlineLevel="0" collapsed="false">
      <c r="A503" s="36" t="n">
        <v>423</v>
      </c>
      <c r="B503" s="37" t="n">
        <f aca="false">1+IF($G$6=$E$6,$F$6,IF(P503&lt;($F$6-$E$6)/($G$6-$E$6),$E$6+SQRT(P503*($G$6-$E$6)*($F$6-$E$6)),$G$6-SQRT((1-P503)*($G$6-$E$6)*($G$6-$F$6))))</f>
        <v>1</v>
      </c>
      <c r="C503" s="37" t="n">
        <f aca="false">1+IF($G$7=$E$7,$F$7,IF(Q503&lt;($F$7-$E$7)/($G$7-$E$7),$E$7+SQRT(Q503*($G$7-$E$7)*($F$7-$E$7)),$G$7-SQRT((1-Q503)*($G$7-$E$7)*($G$7-$F$7))))</f>
        <v>1</v>
      </c>
      <c r="D503" s="37" t="n">
        <f aca="false">1+IF($G$8=$E$8,$F$8,IF(R503&lt;($F$8-$E$8)/($G$8-$E$8),$E$8+SQRT(R503*($G$8-$E$8)*($F$8-$E$8)),$G$8-SQRT((1-R503)*($G$8-$E$8)*($G$8-$F$8))))</f>
        <v>1</v>
      </c>
      <c r="E503" s="37" t="n">
        <f aca="false">1+IF($G$9=$E$9,$F$9,IF(S503&lt;($F$9-$E$9)/($G$9-$E$9),$E$9+SQRT(S503*($G$9-$E$9)*($F$9-$E$9)),$G$9-SQRT((1-S503)*($G$9-$E$9)*($G$9-$F$9))))</f>
        <v>1</v>
      </c>
      <c r="F503" s="37" t="n">
        <f aca="false">1+IF($G$10=$E$10,$F$10,IF(T503&lt;($F$10-$E$10)/($G$10-$E$10),$E$10+SQRT(T503*($G$10-$E$10)*($F$10-$E$10)),$G$10-SQRT((1-T503)*($G$10-$E$10)*($G$10-$F$10))))</f>
        <v>1</v>
      </c>
      <c r="G503" s="38" t="n">
        <f aca="false">IF($G$11=$E$11,$F$11,IF(U503&lt;($F$11-$E$11)/($G$11-$E$11),$E$11+SQRT(U503*($G$11-$E$11)*($F$11-$E$11)),$G$11-SQRT((1-U503)*($G$11-$E$11)*($G$11-$F$11))))</f>
        <v>0</v>
      </c>
      <c r="H503" s="39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0</v>
      </c>
      <c r="I503" s="39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0</v>
      </c>
      <c r="J503" s="39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0</v>
      </c>
      <c r="K503" s="39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0</v>
      </c>
      <c r="L503" s="39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0</v>
      </c>
      <c r="M503" s="39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0</v>
      </c>
      <c r="N503" s="39" t="str">
        <f aca="false">IF(COUNT('Business Case'!B11:G11)=0,"",H503+NPV(G503,I503:M503))</f>
        <v/>
      </c>
      <c r="P503" s="40" t="n">
        <f aca="true">RAND()</f>
        <v>0.269170694722906</v>
      </c>
      <c r="Q503" s="40" t="n">
        <f aca="true">RAND()</f>
        <v>0.266437623662548</v>
      </c>
      <c r="R503" s="40" t="n">
        <f aca="true">RAND()</f>
        <v>0.981652788276398</v>
      </c>
      <c r="S503" s="40" t="n">
        <f aca="true">RAND()</f>
        <v>0.632162050072245</v>
      </c>
      <c r="T503" s="40" t="n">
        <f aca="true">RAND()</f>
        <v>0.0624027433867374</v>
      </c>
      <c r="U503" s="40" t="n">
        <f aca="true">RAND()</f>
        <v>0.615932709622225</v>
      </c>
    </row>
    <row r="504" customFormat="false" ht="15" hidden="false" customHeight="false" outlineLevel="0" collapsed="false">
      <c r="A504" s="36" t="n">
        <v>424</v>
      </c>
      <c r="B504" s="37" t="n">
        <f aca="false">1+IF($G$6=$E$6,$F$6,IF(P504&lt;($F$6-$E$6)/($G$6-$E$6),$E$6+SQRT(P504*($G$6-$E$6)*($F$6-$E$6)),$G$6-SQRT((1-P504)*($G$6-$E$6)*($G$6-$F$6))))</f>
        <v>1</v>
      </c>
      <c r="C504" s="37" t="n">
        <f aca="false">1+IF($G$7=$E$7,$F$7,IF(Q504&lt;($F$7-$E$7)/($G$7-$E$7),$E$7+SQRT(Q504*($G$7-$E$7)*($F$7-$E$7)),$G$7-SQRT((1-Q504)*($G$7-$E$7)*($G$7-$F$7))))</f>
        <v>1</v>
      </c>
      <c r="D504" s="37" t="n">
        <f aca="false">1+IF($G$8=$E$8,$F$8,IF(R504&lt;($F$8-$E$8)/($G$8-$E$8),$E$8+SQRT(R504*($G$8-$E$8)*($F$8-$E$8)),$G$8-SQRT((1-R504)*($G$8-$E$8)*($G$8-$F$8))))</f>
        <v>1</v>
      </c>
      <c r="E504" s="37" t="n">
        <f aca="false">1+IF($G$9=$E$9,$F$9,IF(S504&lt;($F$9-$E$9)/($G$9-$E$9),$E$9+SQRT(S504*($G$9-$E$9)*($F$9-$E$9)),$G$9-SQRT((1-S504)*($G$9-$E$9)*($G$9-$F$9))))</f>
        <v>1</v>
      </c>
      <c r="F504" s="37" t="n">
        <f aca="false">1+IF($G$10=$E$10,$F$10,IF(T504&lt;($F$10-$E$10)/($G$10-$E$10),$E$10+SQRT(T504*($G$10-$E$10)*($F$10-$E$10)),$G$10-SQRT((1-T504)*($G$10-$E$10)*($G$10-$F$10))))</f>
        <v>1</v>
      </c>
      <c r="G504" s="38" t="n">
        <f aca="false">IF($G$11=$E$11,$F$11,IF(U504&lt;($F$11-$E$11)/($G$11-$E$11),$E$11+SQRT(U504*($G$11-$E$11)*($F$11-$E$11)),$G$11-SQRT((1-U504)*($G$11-$E$11)*($G$11-$F$11))))</f>
        <v>0</v>
      </c>
      <c r="H504" s="39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0</v>
      </c>
      <c r="I504" s="39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0</v>
      </c>
      <c r="J504" s="39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0</v>
      </c>
      <c r="K504" s="39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0</v>
      </c>
      <c r="L504" s="39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0</v>
      </c>
      <c r="M504" s="39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0</v>
      </c>
      <c r="N504" s="39" t="str">
        <f aca="false">IF(COUNT('Business Case'!B11:G11)=0,"",H504+NPV(G504,I504:M504))</f>
        <v/>
      </c>
      <c r="P504" s="40" t="n">
        <f aca="true">RAND()</f>
        <v>0.894516436596035</v>
      </c>
      <c r="Q504" s="40" t="n">
        <f aca="true">RAND()</f>
        <v>0.296918717496958</v>
      </c>
      <c r="R504" s="40" t="n">
        <f aca="true">RAND()</f>
        <v>0.218232202984237</v>
      </c>
      <c r="S504" s="40" t="n">
        <f aca="true">RAND()</f>
        <v>0.812711004968959</v>
      </c>
      <c r="T504" s="40" t="n">
        <f aca="true">RAND()</f>
        <v>0.34294591618348</v>
      </c>
      <c r="U504" s="40" t="n">
        <f aca="true">RAND()</f>
        <v>0.143161934678785</v>
      </c>
    </row>
    <row r="505" customFormat="false" ht="15" hidden="false" customHeight="false" outlineLevel="0" collapsed="false">
      <c r="A505" s="36" t="n">
        <v>425</v>
      </c>
      <c r="B505" s="37" t="n">
        <f aca="false">1+IF($G$6=$E$6,$F$6,IF(P505&lt;($F$6-$E$6)/($G$6-$E$6),$E$6+SQRT(P505*($G$6-$E$6)*($F$6-$E$6)),$G$6-SQRT((1-P505)*($G$6-$E$6)*($G$6-$F$6))))</f>
        <v>1</v>
      </c>
      <c r="C505" s="37" t="n">
        <f aca="false">1+IF($G$7=$E$7,$F$7,IF(Q505&lt;($F$7-$E$7)/($G$7-$E$7),$E$7+SQRT(Q505*($G$7-$E$7)*($F$7-$E$7)),$G$7-SQRT((1-Q505)*($G$7-$E$7)*($G$7-$F$7))))</f>
        <v>1</v>
      </c>
      <c r="D505" s="37" t="n">
        <f aca="false">1+IF($G$8=$E$8,$F$8,IF(R505&lt;($F$8-$E$8)/($G$8-$E$8),$E$8+SQRT(R505*($G$8-$E$8)*($F$8-$E$8)),$G$8-SQRT((1-R505)*($G$8-$E$8)*($G$8-$F$8))))</f>
        <v>1</v>
      </c>
      <c r="E505" s="37" t="n">
        <f aca="false">1+IF($G$9=$E$9,$F$9,IF(S505&lt;($F$9-$E$9)/($G$9-$E$9),$E$9+SQRT(S505*($G$9-$E$9)*($F$9-$E$9)),$G$9-SQRT((1-S505)*($G$9-$E$9)*($G$9-$F$9))))</f>
        <v>1</v>
      </c>
      <c r="F505" s="37" t="n">
        <f aca="false">1+IF($G$10=$E$10,$F$10,IF(T505&lt;($F$10-$E$10)/($G$10-$E$10),$E$10+SQRT(T505*($G$10-$E$10)*($F$10-$E$10)),$G$10-SQRT((1-T505)*($G$10-$E$10)*($G$10-$F$10))))</f>
        <v>1</v>
      </c>
      <c r="G505" s="38" t="n">
        <f aca="false">IF($G$11=$E$11,$F$11,IF(U505&lt;($F$11-$E$11)/($G$11-$E$11),$E$11+SQRT(U505*($G$11-$E$11)*($F$11-$E$11)),$G$11-SQRT((1-U505)*($G$11-$E$11)*($G$11-$F$11))))</f>
        <v>0</v>
      </c>
      <c r="H505" s="39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0</v>
      </c>
      <c r="I505" s="39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0</v>
      </c>
      <c r="J505" s="39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0</v>
      </c>
      <c r="K505" s="39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0</v>
      </c>
      <c r="L505" s="39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0</v>
      </c>
      <c r="M505" s="39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0</v>
      </c>
      <c r="N505" s="39" t="str">
        <f aca="false">IF(COUNT('Business Case'!B11:G11)=0,"",H505+NPV(G505,I505:M505))</f>
        <v/>
      </c>
      <c r="P505" s="40" t="n">
        <f aca="true">RAND()</f>
        <v>0.450008056330111</v>
      </c>
      <c r="Q505" s="40" t="n">
        <f aca="true">RAND()</f>
        <v>0.608041934266815</v>
      </c>
      <c r="R505" s="40" t="n">
        <f aca="true">RAND()</f>
        <v>0.187165193813797</v>
      </c>
      <c r="S505" s="40" t="n">
        <f aca="true">RAND()</f>
        <v>0.808331876002417</v>
      </c>
      <c r="T505" s="40" t="n">
        <f aca="true">RAND()</f>
        <v>0.534102606794338</v>
      </c>
      <c r="U505" s="40" t="n">
        <f aca="true">RAND()</f>
        <v>0.698197784949044</v>
      </c>
    </row>
    <row r="506" customFormat="false" ht="15" hidden="false" customHeight="false" outlineLevel="0" collapsed="false">
      <c r="A506" s="36" t="n">
        <v>426</v>
      </c>
      <c r="B506" s="37" t="n">
        <f aca="false">1+IF($G$6=$E$6,$F$6,IF(P506&lt;($F$6-$E$6)/($G$6-$E$6),$E$6+SQRT(P506*($G$6-$E$6)*($F$6-$E$6)),$G$6-SQRT((1-P506)*($G$6-$E$6)*($G$6-$F$6))))</f>
        <v>1</v>
      </c>
      <c r="C506" s="37" t="n">
        <f aca="false">1+IF($G$7=$E$7,$F$7,IF(Q506&lt;($F$7-$E$7)/($G$7-$E$7),$E$7+SQRT(Q506*($G$7-$E$7)*($F$7-$E$7)),$G$7-SQRT((1-Q506)*($G$7-$E$7)*($G$7-$F$7))))</f>
        <v>1</v>
      </c>
      <c r="D506" s="37" t="n">
        <f aca="false">1+IF($G$8=$E$8,$F$8,IF(R506&lt;($F$8-$E$8)/($G$8-$E$8),$E$8+SQRT(R506*($G$8-$E$8)*($F$8-$E$8)),$G$8-SQRT((1-R506)*($G$8-$E$8)*($G$8-$F$8))))</f>
        <v>1</v>
      </c>
      <c r="E506" s="37" t="n">
        <f aca="false">1+IF($G$9=$E$9,$F$9,IF(S506&lt;($F$9-$E$9)/($G$9-$E$9),$E$9+SQRT(S506*($G$9-$E$9)*($F$9-$E$9)),$G$9-SQRT((1-S506)*($G$9-$E$9)*($G$9-$F$9))))</f>
        <v>1</v>
      </c>
      <c r="F506" s="37" t="n">
        <f aca="false">1+IF($G$10=$E$10,$F$10,IF(T506&lt;($F$10-$E$10)/($G$10-$E$10),$E$10+SQRT(T506*($G$10-$E$10)*($F$10-$E$10)),$G$10-SQRT((1-T506)*($G$10-$E$10)*($G$10-$F$10))))</f>
        <v>1</v>
      </c>
      <c r="G506" s="38" t="n">
        <f aca="false">IF($G$11=$E$11,$F$11,IF(U506&lt;($F$11-$E$11)/($G$11-$E$11),$E$11+SQRT(U506*($G$11-$E$11)*($F$11-$E$11)),$G$11-SQRT((1-U506)*($G$11-$E$11)*($G$11-$F$11))))</f>
        <v>0</v>
      </c>
      <c r="H506" s="39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0</v>
      </c>
      <c r="I506" s="39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0</v>
      </c>
      <c r="J506" s="39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0</v>
      </c>
      <c r="K506" s="39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0</v>
      </c>
      <c r="L506" s="39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0</v>
      </c>
      <c r="M506" s="39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0</v>
      </c>
      <c r="N506" s="39" t="str">
        <f aca="false">IF(COUNT('Business Case'!B11:G11)=0,"",H506+NPV(G506,I506:M506))</f>
        <v/>
      </c>
      <c r="P506" s="40" t="n">
        <f aca="true">RAND()</f>
        <v>0.765766155820453</v>
      </c>
      <c r="Q506" s="40" t="n">
        <f aca="true">RAND()</f>
        <v>0.31113347427421</v>
      </c>
      <c r="R506" s="40" t="n">
        <f aca="true">RAND()</f>
        <v>0.989066218534798</v>
      </c>
      <c r="S506" s="40" t="n">
        <f aca="true">RAND()</f>
        <v>0.855659204348863</v>
      </c>
      <c r="T506" s="40" t="n">
        <f aca="true">RAND()</f>
        <v>0.174852718829359</v>
      </c>
      <c r="U506" s="40" t="n">
        <f aca="true">RAND()</f>
        <v>0.0251527733277137</v>
      </c>
    </row>
    <row r="507" customFormat="false" ht="15" hidden="false" customHeight="false" outlineLevel="0" collapsed="false">
      <c r="A507" s="36" t="n">
        <v>427</v>
      </c>
      <c r="B507" s="37" t="n">
        <f aca="false">1+IF($G$6=$E$6,$F$6,IF(P507&lt;($F$6-$E$6)/($G$6-$E$6),$E$6+SQRT(P507*($G$6-$E$6)*($F$6-$E$6)),$G$6-SQRT((1-P507)*($G$6-$E$6)*($G$6-$F$6))))</f>
        <v>1</v>
      </c>
      <c r="C507" s="37" t="n">
        <f aca="false">1+IF($G$7=$E$7,$F$7,IF(Q507&lt;($F$7-$E$7)/($G$7-$E$7),$E$7+SQRT(Q507*($G$7-$E$7)*($F$7-$E$7)),$G$7-SQRT((1-Q507)*($G$7-$E$7)*($G$7-$F$7))))</f>
        <v>1</v>
      </c>
      <c r="D507" s="37" t="n">
        <f aca="false">1+IF($G$8=$E$8,$F$8,IF(R507&lt;($F$8-$E$8)/($G$8-$E$8),$E$8+SQRT(R507*($G$8-$E$8)*($F$8-$E$8)),$G$8-SQRT((1-R507)*($G$8-$E$8)*($G$8-$F$8))))</f>
        <v>1</v>
      </c>
      <c r="E507" s="37" t="n">
        <f aca="false">1+IF($G$9=$E$9,$F$9,IF(S507&lt;($F$9-$E$9)/($G$9-$E$9),$E$9+SQRT(S507*($G$9-$E$9)*($F$9-$E$9)),$G$9-SQRT((1-S507)*($G$9-$E$9)*($G$9-$F$9))))</f>
        <v>1</v>
      </c>
      <c r="F507" s="37" t="n">
        <f aca="false">1+IF($G$10=$E$10,$F$10,IF(T507&lt;($F$10-$E$10)/($G$10-$E$10),$E$10+SQRT(T507*($G$10-$E$10)*($F$10-$E$10)),$G$10-SQRT((1-T507)*($G$10-$E$10)*($G$10-$F$10))))</f>
        <v>1</v>
      </c>
      <c r="G507" s="38" t="n">
        <f aca="false">IF($G$11=$E$11,$F$11,IF(U507&lt;($F$11-$E$11)/($G$11-$E$11),$E$11+SQRT(U507*($G$11-$E$11)*($F$11-$E$11)),$G$11-SQRT((1-U507)*($G$11-$E$11)*($G$11-$F$11))))</f>
        <v>0</v>
      </c>
      <c r="H507" s="39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0</v>
      </c>
      <c r="I507" s="39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0</v>
      </c>
      <c r="J507" s="39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0</v>
      </c>
      <c r="K507" s="39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0</v>
      </c>
      <c r="L507" s="39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0</v>
      </c>
      <c r="M507" s="39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0</v>
      </c>
      <c r="N507" s="39" t="str">
        <f aca="false">IF(COUNT('Business Case'!B11:G11)=0,"",H507+NPV(G507,I507:M507))</f>
        <v/>
      </c>
      <c r="P507" s="40" t="n">
        <f aca="true">RAND()</f>
        <v>0.342671912421421</v>
      </c>
      <c r="Q507" s="40" t="n">
        <f aca="true">RAND()</f>
        <v>0.602731516073952</v>
      </c>
      <c r="R507" s="40" t="n">
        <f aca="true">RAND()</f>
        <v>0.258949236410022</v>
      </c>
      <c r="S507" s="40" t="n">
        <f aca="true">RAND()</f>
        <v>0.0705754652178696</v>
      </c>
      <c r="T507" s="40" t="n">
        <f aca="true">RAND()</f>
        <v>0.24421773584522</v>
      </c>
      <c r="U507" s="40" t="n">
        <f aca="true">RAND()</f>
        <v>0.576861792752101</v>
      </c>
    </row>
    <row r="508" customFormat="false" ht="15" hidden="false" customHeight="false" outlineLevel="0" collapsed="false">
      <c r="A508" s="36" t="n">
        <v>428</v>
      </c>
      <c r="B508" s="37" t="n">
        <f aca="false">1+IF($G$6=$E$6,$F$6,IF(P508&lt;($F$6-$E$6)/($G$6-$E$6),$E$6+SQRT(P508*($G$6-$E$6)*($F$6-$E$6)),$G$6-SQRT((1-P508)*($G$6-$E$6)*($G$6-$F$6))))</f>
        <v>1</v>
      </c>
      <c r="C508" s="37" t="n">
        <f aca="false">1+IF($G$7=$E$7,$F$7,IF(Q508&lt;($F$7-$E$7)/($G$7-$E$7),$E$7+SQRT(Q508*($G$7-$E$7)*($F$7-$E$7)),$G$7-SQRT((1-Q508)*($G$7-$E$7)*($G$7-$F$7))))</f>
        <v>1</v>
      </c>
      <c r="D508" s="37" t="n">
        <f aca="false">1+IF($G$8=$E$8,$F$8,IF(R508&lt;($F$8-$E$8)/($G$8-$E$8),$E$8+SQRT(R508*($G$8-$E$8)*($F$8-$E$8)),$G$8-SQRT((1-R508)*($G$8-$E$8)*($G$8-$F$8))))</f>
        <v>1</v>
      </c>
      <c r="E508" s="37" t="n">
        <f aca="false">1+IF($G$9=$E$9,$F$9,IF(S508&lt;($F$9-$E$9)/($G$9-$E$9),$E$9+SQRT(S508*($G$9-$E$9)*($F$9-$E$9)),$G$9-SQRT((1-S508)*($G$9-$E$9)*($G$9-$F$9))))</f>
        <v>1</v>
      </c>
      <c r="F508" s="37" t="n">
        <f aca="false">1+IF($G$10=$E$10,$F$10,IF(T508&lt;($F$10-$E$10)/($G$10-$E$10),$E$10+SQRT(T508*($G$10-$E$10)*($F$10-$E$10)),$G$10-SQRT((1-T508)*($G$10-$E$10)*($G$10-$F$10))))</f>
        <v>1</v>
      </c>
      <c r="G508" s="38" t="n">
        <f aca="false">IF($G$11=$E$11,$F$11,IF(U508&lt;($F$11-$E$11)/($G$11-$E$11),$E$11+SQRT(U508*($G$11-$E$11)*($F$11-$E$11)),$G$11-SQRT((1-U508)*($G$11-$E$11)*($G$11-$F$11))))</f>
        <v>0</v>
      </c>
      <c r="H508" s="39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0</v>
      </c>
      <c r="I508" s="39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0</v>
      </c>
      <c r="J508" s="39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0</v>
      </c>
      <c r="K508" s="39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0</v>
      </c>
      <c r="L508" s="39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0</v>
      </c>
      <c r="M508" s="39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0</v>
      </c>
      <c r="N508" s="39" t="str">
        <f aca="false">IF(COUNT('Business Case'!B11:G11)=0,"",H508+NPV(G508,I508:M508))</f>
        <v/>
      </c>
      <c r="P508" s="40" t="n">
        <f aca="true">RAND()</f>
        <v>0.221610486815415</v>
      </c>
      <c r="Q508" s="40" t="n">
        <f aca="true">RAND()</f>
        <v>0.809693650091925</v>
      </c>
      <c r="R508" s="40" t="n">
        <f aca="true">RAND()</f>
        <v>0.05435758739</v>
      </c>
      <c r="S508" s="40" t="n">
        <f aca="true">RAND()</f>
        <v>0.32165794264592</v>
      </c>
      <c r="T508" s="40" t="n">
        <f aca="true">RAND()</f>
        <v>0.660737560932742</v>
      </c>
      <c r="U508" s="40" t="n">
        <f aca="true">RAND()</f>
        <v>0.668883300298312</v>
      </c>
    </row>
    <row r="509" customFormat="false" ht="15" hidden="false" customHeight="false" outlineLevel="0" collapsed="false">
      <c r="A509" s="36" t="n">
        <v>429</v>
      </c>
      <c r="B509" s="37" t="n">
        <f aca="false">1+IF($G$6=$E$6,$F$6,IF(P509&lt;($F$6-$E$6)/($G$6-$E$6),$E$6+SQRT(P509*($G$6-$E$6)*($F$6-$E$6)),$G$6-SQRT((1-P509)*($G$6-$E$6)*($G$6-$F$6))))</f>
        <v>1</v>
      </c>
      <c r="C509" s="37" t="n">
        <f aca="false">1+IF($G$7=$E$7,$F$7,IF(Q509&lt;($F$7-$E$7)/($G$7-$E$7),$E$7+SQRT(Q509*($G$7-$E$7)*($F$7-$E$7)),$G$7-SQRT((1-Q509)*($G$7-$E$7)*($G$7-$F$7))))</f>
        <v>1</v>
      </c>
      <c r="D509" s="37" t="n">
        <f aca="false">1+IF($G$8=$E$8,$F$8,IF(R509&lt;($F$8-$E$8)/($G$8-$E$8),$E$8+SQRT(R509*($G$8-$E$8)*($F$8-$E$8)),$G$8-SQRT((1-R509)*($G$8-$E$8)*($G$8-$F$8))))</f>
        <v>1</v>
      </c>
      <c r="E509" s="37" t="n">
        <f aca="false">1+IF($G$9=$E$9,$F$9,IF(S509&lt;($F$9-$E$9)/($G$9-$E$9),$E$9+SQRT(S509*($G$9-$E$9)*($F$9-$E$9)),$G$9-SQRT((1-S509)*($G$9-$E$9)*($G$9-$F$9))))</f>
        <v>1</v>
      </c>
      <c r="F509" s="37" t="n">
        <f aca="false">1+IF($G$10=$E$10,$F$10,IF(T509&lt;($F$10-$E$10)/($G$10-$E$10),$E$10+SQRT(T509*($G$10-$E$10)*($F$10-$E$10)),$G$10-SQRT((1-T509)*($G$10-$E$10)*($G$10-$F$10))))</f>
        <v>1</v>
      </c>
      <c r="G509" s="38" t="n">
        <f aca="false">IF($G$11=$E$11,$F$11,IF(U509&lt;($F$11-$E$11)/($G$11-$E$11),$E$11+SQRT(U509*($G$11-$E$11)*($F$11-$E$11)),$G$11-SQRT((1-U509)*($G$11-$E$11)*($G$11-$F$11))))</f>
        <v>0</v>
      </c>
      <c r="H509" s="39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0</v>
      </c>
      <c r="I509" s="39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0</v>
      </c>
      <c r="J509" s="39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0</v>
      </c>
      <c r="K509" s="39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0</v>
      </c>
      <c r="L509" s="39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0</v>
      </c>
      <c r="M509" s="39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0</v>
      </c>
      <c r="N509" s="39" t="str">
        <f aca="false">IF(COUNT('Business Case'!B11:G11)=0,"",H509+NPV(G509,I509:M509))</f>
        <v/>
      </c>
      <c r="P509" s="40" t="n">
        <f aca="true">RAND()</f>
        <v>0.268681183191124</v>
      </c>
      <c r="Q509" s="40" t="n">
        <f aca="true">RAND()</f>
        <v>0.0811015110333462</v>
      </c>
      <c r="R509" s="40" t="n">
        <f aca="true">RAND()</f>
        <v>0.234807779854379</v>
      </c>
      <c r="S509" s="40" t="n">
        <f aca="true">RAND()</f>
        <v>0.766608608920935</v>
      </c>
      <c r="T509" s="40" t="n">
        <f aca="true">RAND()</f>
        <v>0.312389956604976</v>
      </c>
      <c r="U509" s="40" t="n">
        <f aca="true">RAND()</f>
        <v>0.67344591935794</v>
      </c>
    </row>
    <row r="510" customFormat="false" ht="15" hidden="false" customHeight="false" outlineLevel="0" collapsed="false">
      <c r="A510" s="36" t="n">
        <v>430</v>
      </c>
      <c r="B510" s="37" t="n">
        <f aca="false">1+IF($G$6=$E$6,$F$6,IF(P510&lt;($F$6-$E$6)/($G$6-$E$6),$E$6+SQRT(P510*($G$6-$E$6)*($F$6-$E$6)),$G$6-SQRT((1-P510)*($G$6-$E$6)*($G$6-$F$6))))</f>
        <v>1</v>
      </c>
      <c r="C510" s="37" t="n">
        <f aca="false">1+IF($G$7=$E$7,$F$7,IF(Q510&lt;($F$7-$E$7)/($G$7-$E$7),$E$7+SQRT(Q510*($G$7-$E$7)*($F$7-$E$7)),$G$7-SQRT((1-Q510)*($G$7-$E$7)*($G$7-$F$7))))</f>
        <v>1</v>
      </c>
      <c r="D510" s="37" t="n">
        <f aca="false">1+IF($G$8=$E$8,$F$8,IF(R510&lt;($F$8-$E$8)/($G$8-$E$8),$E$8+SQRT(R510*($G$8-$E$8)*($F$8-$E$8)),$G$8-SQRT((1-R510)*($G$8-$E$8)*($G$8-$F$8))))</f>
        <v>1</v>
      </c>
      <c r="E510" s="37" t="n">
        <f aca="false">1+IF($G$9=$E$9,$F$9,IF(S510&lt;($F$9-$E$9)/($G$9-$E$9),$E$9+SQRT(S510*($G$9-$E$9)*($F$9-$E$9)),$G$9-SQRT((1-S510)*($G$9-$E$9)*($G$9-$F$9))))</f>
        <v>1</v>
      </c>
      <c r="F510" s="37" t="n">
        <f aca="false">1+IF($G$10=$E$10,$F$10,IF(T510&lt;($F$10-$E$10)/($G$10-$E$10),$E$10+SQRT(T510*($G$10-$E$10)*($F$10-$E$10)),$G$10-SQRT((1-T510)*($G$10-$E$10)*($G$10-$F$10))))</f>
        <v>1</v>
      </c>
      <c r="G510" s="38" t="n">
        <f aca="false">IF($G$11=$E$11,$F$11,IF(U510&lt;($F$11-$E$11)/($G$11-$E$11),$E$11+SQRT(U510*($G$11-$E$11)*($F$11-$E$11)),$G$11-SQRT((1-U510)*($G$11-$E$11)*($G$11-$F$11))))</f>
        <v>0</v>
      </c>
      <c r="H510" s="39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0</v>
      </c>
      <c r="I510" s="39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0</v>
      </c>
      <c r="J510" s="39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0</v>
      </c>
      <c r="K510" s="39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0</v>
      </c>
      <c r="L510" s="39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0</v>
      </c>
      <c r="M510" s="39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0</v>
      </c>
      <c r="N510" s="39" t="str">
        <f aca="false">IF(COUNT('Business Case'!B11:G11)=0,"",H510+NPV(G510,I510:M510))</f>
        <v/>
      </c>
      <c r="P510" s="40" t="n">
        <f aca="true">RAND()</f>
        <v>0.256740621372825</v>
      </c>
      <c r="Q510" s="40" t="n">
        <f aca="true">RAND()</f>
        <v>0.854022188285984</v>
      </c>
      <c r="R510" s="40" t="n">
        <f aca="true">RAND()</f>
        <v>0.441009301284386</v>
      </c>
      <c r="S510" s="40" t="n">
        <f aca="true">RAND()</f>
        <v>0.723512925868512</v>
      </c>
      <c r="T510" s="40" t="n">
        <f aca="true">RAND()</f>
        <v>0.657046202496118</v>
      </c>
      <c r="U510" s="40" t="n">
        <f aca="true">RAND()</f>
        <v>0.0813557044489542</v>
      </c>
    </row>
    <row r="511" customFormat="false" ht="15" hidden="false" customHeight="false" outlineLevel="0" collapsed="false">
      <c r="A511" s="36" t="n">
        <v>431</v>
      </c>
      <c r="B511" s="37" t="n">
        <f aca="false">1+IF($G$6=$E$6,$F$6,IF(P511&lt;($F$6-$E$6)/($G$6-$E$6),$E$6+SQRT(P511*($G$6-$E$6)*($F$6-$E$6)),$G$6-SQRT((1-P511)*($G$6-$E$6)*($G$6-$F$6))))</f>
        <v>1</v>
      </c>
      <c r="C511" s="37" t="n">
        <f aca="false">1+IF($G$7=$E$7,$F$7,IF(Q511&lt;($F$7-$E$7)/($G$7-$E$7),$E$7+SQRT(Q511*($G$7-$E$7)*($F$7-$E$7)),$G$7-SQRT((1-Q511)*($G$7-$E$7)*($G$7-$F$7))))</f>
        <v>1</v>
      </c>
      <c r="D511" s="37" t="n">
        <f aca="false">1+IF($G$8=$E$8,$F$8,IF(R511&lt;($F$8-$E$8)/($G$8-$E$8),$E$8+SQRT(R511*($G$8-$E$8)*($F$8-$E$8)),$G$8-SQRT((1-R511)*($G$8-$E$8)*($G$8-$F$8))))</f>
        <v>1</v>
      </c>
      <c r="E511" s="37" t="n">
        <f aca="false">1+IF($G$9=$E$9,$F$9,IF(S511&lt;($F$9-$E$9)/($G$9-$E$9),$E$9+SQRT(S511*($G$9-$E$9)*($F$9-$E$9)),$G$9-SQRT((1-S511)*($G$9-$E$9)*($G$9-$F$9))))</f>
        <v>1</v>
      </c>
      <c r="F511" s="37" t="n">
        <f aca="false">1+IF($G$10=$E$10,$F$10,IF(T511&lt;($F$10-$E$10)/($G$10-$E$10),$E$10+SQRT(T511*($G$10-$E$10)*($F$10-$E$10)),$G$10-SQRT((1-T511)*($G$10-$E$10)*($G$10-$F$10))))</f>
        <v>1</v>
      </c>
      <c r="G511" s="38" t="n">
        <f aca="false">IF($G$11=$E$11,$F$11,IF(U511&lt;($F$11-$E$11)/($G$11-$E$11),$E$11+SQRT(U511*($G$11-$E$11)*($F$11-$E$11)),$G$11-SQRT((1-U511)*($G$11-$E$11)*($G$11-$F$11))))</f>
        <v>0</v>
      </c>
      <c r="H511" s="39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0</v>
      </c>
      <c r="I511" s="39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0</v>
      </c>
      <c r="J511" s="39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0</v>
      </c>
      <c r="K511" s="39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0</v>
      </c>
      <c r="L511" s="39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0</v>
      </c>
      <c r="M511" s="39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0</v>
      </c>
      <c r="N511" s="39" t="str">
        <f aca="false">IF(COUNT('Business Case'!B11:G11)=0,"",H511+NPV(G511,I511:M511))</f>
        <v/>
      </c>
      <c r="P511" s="40" t="n">
        <f aca="true">RAND()</f>
        <v>0.661312216351103</v>
      </c>
      <c r="Q511" s="40" t="n">
        <f aca="true">RAND()</f>
        <v>0.781876002340338</v>
      </c>
      <c r="R511" s="40" t="n">
        <f aca="true">RAND()</f>
        <v>0.72946576684768</v>
      </c>
      <c r="S511" s="40" t="n">
        <f aca="true">RAND()</f>
        <v>0.334460657823537</v>
      </c>
      <c r="T511" s="40" t="n">
        <f aca="true">RAND()</f>
        <v>0.27668886218093</v>
      </c>
      <c r="U511" s="40" t="n">
        <f aca="true">RAND()</f>
        <v>0.266981128994119</v>
      </c>
    </row>
    <row r="512" customFormat="false" ht="15" hidden="false" customHeight="false" outlineLevel="0" collapsed="false">
      <c r="A512" s="36" t="n">
        <v>432</v>
      </c>
      <c r="B512" s="37" t="n">
        <f aca="false">1+IF($G$6=$E$6,$F$6,IF(P512&lt;($F$6-$E$6)/($G$6-$E$6),$E$6+SQRT(P512*($G$6-$E$6)*($F$6-$E$6)),$G$6-SQRT((1-P512)*($G$6-$E$6)*($G$6-$F$6))))</f>
        <v>1</v>
      </c>
      <c r="C512" s="37" t="n">
        <f aca="false">1+IF($G$7=$E$7,$F$7,IF(Q512&lt;($F$7-$E$7)/($G$7-$E$7),$E$7+SQRT(Q512*($G$7-$E$7)*($F$7-$E$7)),$G$7-SQRT((1-Q512)*($G$7-$E$7)*($G$7-$F$7))))</f>
        <v>1</v>
      </c>
      <c r="D512" s="37" t="n">
        <f aca="false">1+IF($G$8=$E$8,$F$8,IF(R512&lt;($F$8-$E$8)/($G$8-$E$8),$E$8+SQRT(R512*($G$8-$E$8)*($F$8-$E$8)),$G$8-SQRT((1-R512)*($G$8-$E$8)*($G$8-$F$8))))</f>
        <v>1</v>
      </c>
      <c r="E512" s="37" t="n">
        <f aca="false">1+IF($G$9=$E$9,$F$9,IF(S512&lt;($F$9-$E$9)/($G$9-$E$9),$E$9+SQRT(S512*($G$9-$E$9)*($F$9-$E$9)),$G$9-SQRT((1-S512)*($G$9-$E$9)*($G$9-$F$9))))</f>
        <v>1</v>
      </c>
      <c r="F512" s="37" t="n">
        <f aca="false">1+IF($G$10=$E$10,$F$10,IF(T512&lt;($F$10-$E$10)/($G$10-$E$10),$E$10+SQRT(T512*($G$10-$E$10)*($F$10-$E$10)),$G$10-SQRT((1-T512)*($G$10-$E$10)*($G$10-$F$10))))</f>
        <v>1</v>
      </c>
      <c r="G512" s="38" t="n">
        <f aca="false">IF($G$11=$E$11,$F$11,IF(U512&lt;($F$11-$E$11)/($G$11-$E$11),$E$11+SQRT(U512*($G$11-$E$11)*($F$11-$E$11)),$G$11-SQRT((1-U512)*($G$11-$E$11)*($G$11-$F$11))))</f>
        <v>0</v>
      </c>
      <c r="H512" s="39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0</v>
      </c>
      <c r="I512" s="39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0</v>
      </c>
      <c r="J512" s="39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0</v>
      </c>
      <c r="K512" s="39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0</v>
      </c>
      <c r="L512" s="39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0</v>
      </c>
      <c r="M512" s="39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0</v>
      </c>
      <c r="N512" s="39" t="str">
        <f aca="false">IF(COUNT('Business Case'!B11:G11)=0,"",H512+NPV(G512,I512:M512))</f>
        <v/>
      </c>
      <c r="P512" s="40" t="n">
        <f aca="true">RAND()</f>
        <v>0.292752402829425</v>
      </c>
      <c r="Q512" s="40" t="n">
        <f aca="true">RAND()</f>
        <v>0.505077874723044</v>
      </c>
      <c r="R512" s="40" t="n">
        <f aca="true">RAND()</f>
        <v>0.873319455608232</v>
      </c>
      <c r="S512" s="40" t="n">
        <f aca="true">RAND()</f>
        <v>0.260931033073836</v>
      </c>
      <c r="T512" s="40" t="n">
        <f aca="true">RAND()</f>
        <v>0.791008310812944</v>
      </c>
      <c r="U512" s="40" t="n">
        <f aca="true">RAND()</f>
        <v>0.687592551134677</v>
      </c>
    </row>
    <row r="513" customFormat="false" ht="15" hidden="false" customHeight="false" outlineLevel="0" collapsed="false">
      <c r="A513" s="36" t="n">
        <v>433</v>
      </c>
      <c r="B513" s="37" t="n">
        <f aca="false">1+IF($G$6=$E$6,$F$6,IF(P513&lt;($F$6-$E$6)/($G$6-$E$6),$E$6+SQRT(P513*($G$6-$E$6)*($F$6-$E$6)),$G$6-SQRT((1-P513)*($G$6-$E$6)*($G$6-$F$6))))</f>
        <v>1</v>
      </c>
      <c r="C513" s="37" t="n">
        <f aca="false">1+IF($G$7=$E$7,$F$7,IF(Q513&lt;($F$7-$E$7)/($G$7-$E$7),$E$7+SQRT(Q513*($G$7-$E$7)*($F$7-$E$7)),$G$7-SQRT((1-Q513)*($G$7-$E$7)*($G$7-$F$7))))</f>
        <v>1</v>
      </c>
      <c r="D513" s="37" t="n">
        <f aca="false">1+IF($G$8=$E$8,$F$8,IF(R513&lt;($F$8-$E$8)/($G$8-$E$8),$E$8+SQRT(R513*($G$8-$E$8)*($F$8-$E$8)),$G$8-SQRT((1-R513)*($G$8-$E$8)*($G$8-$F$8))))</f>
        <v>1</v>
      </c>
      <c r="E513" s="37" t="n">
        <f aca="false">1+IF($G$9=$E$9,$F$9,IF(S513&lt;($F$9-$E$9)/($G$9-$E$9),$E$9+SQRT(S513*($G$9-$E$9)*($F$9-$E$9)),$G$9-SQRT((1-S513)*($G$9-$E$9)*($G$9-$F$9))))</f>
        <v>1</v>
      </c>
      <c r="F513" s="37" t="n">
        <f aca="false">1+IF($G$10=$E$10,$F$10,IF(T513&lt;($F$10-$E$10)/($G$10-$E$10),$E$10+SQRT(T513*($G$10-$E$10)*($F$10-$E$10)),$G$10-SQRT((1-T513)*($G$10-$E$10)*($G$10-$F$10))))</f>
        <v>1</v>
      </c>
      <c r="G513" s="38" t="n">
        <f aca="false">IF($G$11=$E$11,$F$11,IF(U513&lt;($F$11-$E$11)/($G$11-$E$11),$E$11+SQRT(U513*($G$11-$E$11)*($F$11-$E$11)),$G$11-SQRT((1-U513)*($G$11-$E$11)*($G$11-$F$11))))</f>
        <v>0</v>
      </c>
      <c r="H513" s="39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0</v>
      </c>
      <c r="I513" s="39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0</v>
      </c>
      <c r="J513" s="39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0</v>
      </c>
      <c r="K513" s="39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0</v>
      </c>
      <c r="L513" s="39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0</v>
      </c>
      <c r="M513" s="39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0</v>
      </c>
      <c r="N513" s="39" t="str">
        <f aca="false">IF(COUNT('Business Case'!B11:G11)=0,"",H513+NPV(G513,I513:M513))</f>
        <v/>
      </c>
      <c r="P513" s="40" t="n">
        <f aca="true">RAND()</f>
        <v>0.763279870141861</v>
      </c>
      <c r="Q513" s="40" t="n">
        <f aca="true">RAND()</f>
        <v>0.732283231660392</v>
      </c>
      <c r="R513" s="40" t="n">
        <f aca="true">RAND()</f>
        <v>0.624221217244103</v>
      </c>
      <c r="S513" s="40" t="n">
        <f aca="true">RAND()</f>
        <v>0.647069941805759</v>
      </c>
      <c r="T513" s="40" t="n">
        <f aca="true">RAND()</f>
        <v>0.283634029765277</v>
      </c>
      <c r="U513" s="40" t="n">
        <f aca="true">RAND()</f>
        <v>0.0529039245356666</v>
      </c>
    </row>
    <row r="514" customFormat="false" ht="15" hidden="false" customHeight="false" outlineLevel="0" collapsed="false">
      <c r="A514" s="36" t="n">
        <v>434</v>
      </c>
      <c r="B514" s="37" t="n">
        <f aca="false">1+IF($G$6=$E$6,$F$6,IF(P514&lt;($F$6-$E$6)/($G$6-$E$6),$E$6+SQRT(P514*($G$6-$E$6)*($F$6-$E$6)),$G$6-SQRT((1-P514)*($G$6-$E$6)*($G$6-$F$6))))</f>
        <v>1</v>
      </c>
      <c r="C514" s="37" t="n">
        <f aca="false">1+IF($G$7=$E$7,$F$7,IF(Q514&lt;($F$7-$E$7)/($G$7-$E$7),$E$7+SQRT(Q514*($G$7-$E$7)*($F$7-$E$7)),$G$7-SQRT((1-Q514)*($G$7-$E$7)*($G$7-$F$7))))</f>
        <v>1</v>
      </c>
      <c r="D514" s="37" t="n">
        <f aca="false">1+IF($G$8=$E$8,$F$8,IF(R514&lt;($F$8-$E$8)/($G$8-$E$8),$E$8+SQRT(R514*($G$8-$E$8)*($F$8-$E$8)),$G$8-SQRT((1-R514)*($G$8-$E$8)*($G$8-$F$8))))</f>
        <v>1</v>
      </c>
      <c r="E514" s="37" t="n">
        <f aca="false">1+IF($G$9=$E$9,$F$9,IF(S514&lt;($F$9-$E$9)/($G$9-$E$9),$E$9+SQRT(S514*($G$9-$E$9)*($F$9-$E$9)),$G$9-SQRT((1-S514)*($G$9-$E$9)*($G$9-$F$9))))</f>
        <v>1</v>
      </c>
      <c r="F514" s="37" t="n">
        <f aca="false">1+IF($G$10=$E$10,$F$10,IF(T514&lt;($F$10-$E$10)/($G$10-$E$10),$E$10+SQRT(T514*($G$10-$E$10)*($F$10-$E$10)),$G$10-SQRT((1-T514)*($G$10-$E$10)*($G$10-$F$10))))</f>
        <v>1</v>
      </c>
      <c r="G514" s="38" t="n">
        <f aca="false">IF($G$11=$E$11,$F$11,IF(U514&lt;($F$11-$E$11)/($G$11-$E$11),$E$11+SQRT(U514*($G$11-$E$11)*($F$11-$E$11)),$G$11-SQRT((1-U514)*($G$11-$E$11)*($G$11-$F$11))))</f>
        <v>0</v>
      </c>
      <c r="H514" s="39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0</v>
      </c>
      <c r="I514" s="39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0</v>
      </c>
      <c r="J514" s="39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0</v>
      </c>
      <c r="K514" s="39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0</v>
      </c>
      <c r="L514" s="39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0</v>
      </c>
      <c r="M514" s="39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0</v>
      </c>
      <c r="N514" s="39" t="str">
        <f aca="false">IF(COUNT('Business Case'!B11:G11)=0,"",H514+NPV(G514,I514:M514))</f>
        <v/>
      </c>
      <c r="P514" s="40" t="n">
        <f aca="true">RAND()</f>
        <v>0.817028847079975</v>
      </c>
      <c r="Q514" s="40" t="n">
        <f aca="true">RAND()</f>
        <v>0.303801335512102</v>
      </c>
      <c r="R514" s="40" t="n">
        <f aca="true">RAND()</f>
        <v>0.501682541160762</v>
      </c>
      <c r="S514" s="40" t="n">
        <f aca="true">RAND()</f>
        <v>0.172070396704583</v>
      </c>
      <c r="T514" s="40" t="n">
        <f aca="true">RAND()</f>
        <v>0.950852386430694</v>
      </c>
      <c r="U514" s="40" t="n">
        <f aca="true">RAND()</f>
        <v>0.463010028850257</v>
      </c>
    </row>
    <row r="515" customFormat="false" ht="15" hidden="false" customHeight="false" outlineLevel="0" collapsed="false">
      <c r="A515" s="36" t="n">
        <v>435</v>
      </c>
      <c r="B515" s="37" t="n">
        <f aca="false">1+IF($G$6=$E$6,$F$6,IF(P515&lt;($F$6-$E$6)/($G$6-$E$6),$E$6+SQRT(P515*($G$6-$E$6)*($F$6-$E$6)),$G$6-SQRT((1-P515)*($G$6-$E$6)*($G$6-$F$6))))</f>
        <v>1</v>
      </c>
      <c r="C515" s="37" t="n">
        <f aca="false">1+IF($G$7=$E$7,$F$7,IF(Q515&lt;($F$7-$E$7)/($G$7-$E$7),$E$7+SQRT(Q515*($G$7-$E$7)*($F$7-$E$7)),$G$7-SQRT((1-Q515)*($G$7-$E$7)*($G$7-$F$7))))</f>
        <v>1</v>
      </c>
      <c r="D515" s="37" t="n">
        <f aca="false">1+IF($G$8=$E$8,$F$8,IF(R515&lt;($F$8-$E$8)/($G$8-$E$8),$E$8+SQRT(R515*($G$8-$E$8)*($F$8-$E$8)),$G$8-SQRT((1-R515)*($G$8-$E$8)*($G$8-$F$8))))</f>
        <v>1</v>
      </c>
      <c r="E515" s="37" t="n">
        <f aca="false">1+IF($G$9=$E$9,$F$9,IF(S515&lt;($F$9-$E$9)/($G$9-$E$9),$E$9+SQRT(S515*($G$9-$E$9)*($F$9-$E$9)),$G$9-SQRT((1-S515)*($G$9-$E$9)*($G$9-$F$9))))</f>
        <v>1</v>
      </c>
      <c r="F515" s="37" t="n">
        <f aca="false">1+IF($G$10=$E$10,$F$10,IF(T515&lt;($F$10-$E$10)/($G$10-$E$10),$E$10+SQRT(T515*($G$10-$E$10)*($F$10-$E$10)),$G$10-SQRT((1-T515)*($G$10-$E$10)*($G$10-$F$10))))</f>
        <v>1</v>
      </c>
      <c r="G515" s="38" t="n">
        <f aca="false">IF($G$11=$E$11,$F$11,IF(U515&lt;($F$11-$E$11)/($G$11-$E$11),$E$11+SQRT(U515*($G$11-$E$11)*($F$11-$E$11)),$G$11-SQRT((1-U515)*($G$11-$E$11)*($G$11-$F$11))))</f>
        <v>0</v>
      </c>
      <c r="H515" s="39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0</v>
      </c>
      <c r="I515" s="39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0</v>
      </c>
      <c r="J515" s="39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0</v>
      </c>
      <c r="K515" s="39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0</v>
      </c>
      <c r="L515" s="39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0</v>
      </c>
      <c r="M515" s="39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0</v>
      </c>
      <c r="N515" s="39" t="str">
        <f aca="false">IF(COUNT('Business Case'!B11:G11)=0,"",H515+NPV(G515,I515:M515))</f>
        <v/>
      </c>
      <c r="P515" s="40" t="n">
        <f aca="true">RAND()</f>
        <v>0.776647771379506</v>
      </c>
      <c r="Q515" s="40" t="n">
        <f aca="true">RAND()</f>
        <v>0.922230770554754</v>
      </c>
      <c r="R515" s="40" t="n">
        <f aca="true">RAND()</f>
        <v>0.106815100887533</v>
      </c>
      <c r="S515" s="40" t="n">
        <f aca="true">RAND()</f>
        <v>0.134889757089829</v>
      </c>
      <c r="T515" s="40" t="n">
        <f aca="true">RAND()</f>
        <v>0.190875009140982</v>
      </c>
      <c r="U515" s="40" t="n">
        <f aca="true">RAND()</f>
        <v>0.215205014318454</v>
      </c>
    </row>
    <row r="516" customFormat="false" ht="15" hidden="false" customHeight="false" outlineLevel="0" collapsed="false">
      <c r="A516" s="36" t="n">
        <v>436</v>
      </c>
      <c r="B516" s="37" t="n">
        <f aca="false">1+IF($G$6=$E$6,$F$6,IF(P516&lt;($F$6-$E$6)/($G$6-$E$6),$E$6+SQRT(P516*($G$6-$E$6)*($F$6-$E$6)),$G$6-SQRT((1-P516)*($G$6-$E$6)*($G$6-$F$6))))</f>
        <v>1</v>
      </c>
      <c r="C516" s="37" t="n">
        <f aca="false">1+IF($G$7=$E$7,$F$7,IF(Q516&lt;($F$7-$E$7)/($G$7-$E$7),$E$7+SQRT(Q516*($G$7-$E$7)*($F$7-$E$7)),$G$7-SQRT((1-Q516)*($G$7-$E$7)*($G$7-$F$7))))</f>
        <v>1</v>
      </c>
      <c r="D516" s="37" t="n">
        <f aca="false">1+IF($G$8=$E$8,$F$8,IF(R516&lt;($F$8-$E$8)/($G$8-$E$8),$E$8+SQRT(R516*($G$8-$E$8)*($F$8-$E$8)),$G$8-SQRT((1-R516)*($G$8-$E$8)*($G$8-$F$8))))</f>
        <v>1</v>
      </c>
      <c r="E516" s="37" t="n">
        <f aca="false">1+IF($G$9=$E$9,$F$9,IF(S516&lt;($F$9-$E$9)/($G$9-$E$9),$E$9+SQRT(S516*($G$9-$E$9)*($F$9-$E$9)),$G$9-SQRT((1-S516)*($G$9-$E$9)*($G$9-$F$9))))</f>
        <v>1</v>
      </c>
      <c r="F516" s="37" t="n">
        <f aca="false">1+IF($G$10=$E$10,$F$10,IF(T516&lt;($F$10-$E$10)/($G$10-$E$10),$E$10+SQRT(T516*($G$10-$E$10)*($F$10-$E$10)),$G$10-SQRT((1-T516)*($G$10-$E$10)*($G$10-$F$10))))</f>
        <v>1</v>
      </c>
      <c r="G516" s="38" t="n">
        <f aca="false">IF($G$11=$E$11,$F$11,IF(U516&lt;($F$11-$E$11)/($G$11-$E$11),$E$11+SQRT(U516*($G$11-$E$11)*($F$11-$E$11)),$G$11-SQRT((1-U516)*($G$11-$E$11)*($G$11-$F$11))))</f>
        <v>0</v>
      </c>
      <c r="H516" s="39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0</v>
      </c>
      <c r="I516" s="39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0</v>
      </c>
      <c r="J516" s="39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0</v>
      </c>
      <c r="K516" s="39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0</v>
      </c>
      <c r="L516" s="39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0</v>
      </c>
      <c r="M516" s="39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0</v>
      </c>
      <c r="N516" s="39" t="str">
        <f aca="false">IF(COUNT('Business Case'!B11:G11)=0,"",H516+NPV(G516,I516:M516))</f>
        <v/>
      </c>
      <c r="P516" s="40" t="n">
        <f aca="true">RAND()</f>
        <v>0.297461139476</v>
      </c>
      <c r="Q516" s="40" t="n">
        <f aca="true">RAND()</f>
        <v>0.0227746240624341</v>
      </c>
      <c r="R516" s="40" t="n">
        <f aca="true">RAND()</f>
        <v>0.036933092141752</v>
      </c>
      <c r="S516" s="40" t="n">
        <f aca="true">RAND()</f>
        <v>0.827102860681551</v>
      </c>
      <c r="T516" s="40" t="n">
        <f aca="true">RAND()</f>
        <v>0.905772404106282</v>
      </c>
      <c r="U516" s="40" t="n">
        <f aca="true">RAND()</f>
        <v>0.221878911747713</v>
      </c>
    </row>
    <row r="517" customFormat="false" ht="15" hidden="false" customHeight="false" outlineLevel="0" collapsed="false">
      <c r="A517" s="36" t="n">
        <v>437</v>
      </c>
      <c r="B517" s="37" t="n">
        <f aca="false">1+IF($G$6=$E$6,$F$6,IF(P517&lt;($F$6-$E$6)/($G$6-$E$6),$E$6+SQRT(P517*($G$6-$E$6)*($F$6-$E$6)),$G$6-SQRT((1-P517)*($G$6-$E$6)*($G$6-$F$6))))</f>
        <v>1</v>
      </c>
      <c r="C517" s="37" t="n">
        <f aca="false">1+IF($G$7=$E$7,$F$7,IF(Q517&lt;($F$7-$E$7)/($G$7-$E$7),$E$7+SQRT(Q517*($G$7-$E$7)*($F$7-$E$7)),$G$7-SQRT((1-Q517)*($G$7-$E$7)*($G$7-$F$7))))</f>
        <v>1</v>
      </c>
      <c r="D517" s="37" t="n">
        <f aca="false">1+IF($G$8=$E$8,$F$8,IF(R517&lt;($F$8-$E$8)/($G$8-$E$8),$E$8+SQRT(R517*($G$8-$E$8)*($F$8-$E$8)),$G$8-SQRT((1-R517)*($G$8-$E$8)*($G$8-$F$8))))</f>
        <v>1</v>
      </c>
      <c r="E517" s="37" t="n">
        <f aca="false">1+IF($G$9=$E$9,$F$9,IF(S517&lt;($F$9-$E$9)/($G$9-$E$9),$E$9+SQRT(S517*($G$9-$E$9)*($F$9-$E$9)),$G$9-SQRT((1-S517)*($G$9-$E$9)*($G$9-$F$9))))</f>
        <v>1</v>
      </c>
      <c r="F517" s="37" t="n">
        <f aca="false">1+IF($G$10=$E$10,$F$10,IF(T517&lt;($F$10-$E$10)/($G$10-$E$10),$E$10+SQRT(T517*($G$10-$E$10)*($F$10-$E$10)),$G$10-SQRT((1-T517)*($G$10-$E$10)*($G$10-$F$10))))</f>
        <v>1</v>
      </c>
      <c r="G517" s="38" t="n">
        <f aca="false">IF($G$11=$E$11,$F$11,IF(U517&lt;($F$11-$E$11)/($G$11-$E$11),$E$11+SQRT(U517*($G$11-$E$11)*($F$11-$E$11)),$G$11-SQRT((1-U517)*($G$11-$E$11)*($G$11-$F$11))))</f>
        <v>0</v>
      </c>
      <c r="H517" s="39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0</v>
      </c>
      <c r="I517" s="39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0</v>
      </c>
      <c r="J517" s="39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0</v>
      </c>
      <c r="K517" s="39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0</v>
      </c>
      <c r="L517" s="39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0</v>
      </c>
      <c r="M517" s="39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0</v>
      </c>
      <c r="N517" s="39" t="str">
        <f aca="false">IF(COUNT('Business Case'!B11:G11)=0,"",H517+NPV(G517,I517:M517))</f>
        <v/>
      </c>
      <c r="P517" s="40" t="n">
        <f aca="true">RAND()</f>
        <v>0.773532244036002</v>
      </c>
      <c r="Q517" s="40" t="n">
        <f aca="true">RAND()</f>
        <v>0.394214078552164</v>
      </c>
      <c r="R517" s="40" t="n">
        <f aca="true">RAND()</f>
        <v>0.568045341920572</v>
      </c>
      <c r="S517" s="40" t="n">
        <f aca="true">RAND()</f>
        <v>0.113667795030237</v>
      </c>
      <c r="T517" s="40" t="n">
        <f aca="true">RAND()</f>
        <v>0.887377331575072</v>
      </c>
      <c r="U517" s="40" t="n">
        <f aca="true">RAND()</f>
        <v>0.618358015419644</v>
      </c>
    </row>
    <row r="518" customFormat="false" ht="15" hidden="false" customHeight="false" outlineLevel="0" collapsed="false">
      <c r="A518" s="36" t="n">
        <v>438</v>
      </c>
      <c r="B518" s="37" t="n">
        <f aca="false">1+IF($G$6=$E$6,$F$6,IF(P518&lt;($F$6-$E$6)/($G$6-$E$6),$E$6+SQRT(P518*($G$6-$E$6)*($F$6-$E$6)),$G$6-SQRT((1-P518)*($G$6-$E$6)*($G$6-$F$6))))</f>
        <v>1</v>
      </c>
      <c r="C518" s="37" t="n">
        <f aca="false">1+IF($G$7=$E$7,$F$7,IF(Q518&lt;($F$7-$E$7)/($G$7-$E$7),$E$7+SQRT(Q518*($G$7-$E$7)*($F$7-$E$7)),$G$7-SQRT((1-Q518)*($G$7-$E$7)*($G$7-$F$7))))</f>
        <v>1</v>
      </c>
      <c r="D518" s="37" t="n">
        <f aca="false">1+IF($G$8=$E$8,$F$8,IF(R518&lt;($F$8-$E$8)/($G$8-$E$8),$E$8+SQRT(R518*($G$8-$E$8)*($F$8-$E$8)),$G$8-SQRT((1-R518)*($G$8-$E$8)*($G$8-$F$8))))</f>
        <v>1</v>
      </c>
      <c r="E518" s="37" t="n">
        <f aca="false">1+IF($G$9=$E$9,$F$9,IF(S518&lt;($F$9-$E$9)/($G$9-$E$9),$E$9+SQRT(S518*($G$9-$E$9)*($F$9-$E$9)),$G$9-SQRT((1-S518)*($G$9-$E$9)*($G$9-$F$9))))</f>
        <v>1</v>
      </c>
      <c r="F518" s="37" t="n">
        <f aca="false">1+IF($G$10=$E$10,$F$10,IF(T518&lt;($F$10-$E$10)/($G$10-$E$10),$E$10+SQRT(T518*($G$10-$E$10)*($F$10-$E$10)),$G$10-SQRT((1-T518)*($G$10-$E$10)*($G$10-$F$10))))</f>
        <v>1</v>
      </c>
      <c r="G518" s="38" t="n">
        <f aca="false">IF($G$11=$E$11,$F$11,IF(U518&lt;($F$11-$E$11)/($G$11-$E$11),$E$11+SQRT(U518*($G$11-$E$11)*($F$11-$E$11)),$G$11-SQRT((1-U518)*($G$11-$E$11)*($G$11-$F$11))))</f>
        <v>0</v>
      </c>
      <c r="H518" s="39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0</v>
      </c>
      <c r="I518" s="39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0</v>
      </c>
      <c r="J518" s="39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0</v>
      </c>
      <c r="K518" s="39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0</v>
      </c>
      <c r="L518" s="39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0</v>
      </c>
      <c r="M518" s="39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0</v>
      </c>
      <c r="N518" s="39" t="str">
        <f aca="false">IF(COUNT('Business Case'!B11:G11)=0,"",H518+NPV(G518,I518:M518))</f>
        <v/>
      </c>
      <c r="P518" s="40" t="n">
        <f aca="true">RAND()</f>
        <v>0.528170746850182</v>
      </c>
      <c r="Q518" s="40" t="n">
        <f aca="true">RAND()</f>
        <v>0.629678707290779</v>
      </c>
      <c r="R518" s="40" t="n">
        <f aca="true">RAND()</f>
        <v>0.598708153419081</v>
      </c>
      <c r="S518" s="40" t="n">
        <f aca="true">RAND()</f>
        <v>0.458652039801353</v>
      </c>
      <c r="T518" s="40" t="n">
        <f aca="true">RAND()</f>
        <v>0.189775632432597</v>
      </c>
      <c r="U518" s="40" t="n">
        <f aca="true">RAND()</f>
        <v>0.335057688988301</v>
      </c>
    </row>
    <row r="519" customFormat="false" ht="15" hidden="false" customHeight="false" outlineLevel="0" collapsed="false">
      <c r="A519" s="36" t="n">
        <v>439</v>
      </c>
      <c r="B519" s="37" t="n">
        <f aca="false">1+IF($G$6=$E$6,$F$6,IF(P519&lt;($F$6-$E$6)/($G$6-$E$6),$E$6+SQRT(P519*($G$6-$E$6)*($F$6-$E$6)),$G$6-SQRT((1-P519)*($G$6-$E$6)*($G$6-$F$6))))</f>
        <v>1</v>
      </c>
      <c r="C519" s="37" t="n">
        <f aca="false">1+IF($G$7=$E$7,$F$7,IF(Q519&lt;($F$7-$E$7)/($G$7-$E$7),$E$7+SQRT(Q519*($G$7-$E$7)*($F$7-$E$7)),$G$7-SQRT((1-Q519)*($G$7-$E$7)*($G$7-$F$7))))</f>
        <v>1</v>
      </c>
      <c r="D519" s="37" t="n">
        <f aca="false">1+IF($G$8=$E$8,$F$8,IF(R519&lt;($F$8-$E$8)/($G$8-$E$8),$E$8+SQRT(R519*($G$8-$E$8)*($F$8-$E$8)),$G$8-SQRT((1-R519)*($G$8-$E$8)*($G$8-$F$8))))</f>
        <v>1</v>
      </c>
      <c r="E519" s="37" t="n">
        <f aca="false">1+IF($G$9=$E$9,$F$9,IF(S519&lt;($F$9-$E$9)/($G$9-$E$9),$E$9+SQRT(S519*($G$9-$E$9)*($F$9-$E$9)),$G$9-SQRT((1-S519)*($G$9-$E$9)*($G$9-$F$9))))</f>
        <v>1</v>
      </c>
      <c r="F519" s="37" t="n">
        <f aca="false">1+IF($G$10=$E$10,$F$10,IF(T519&lt;($F$10-$E$10)/($G$10-$E$10),$E$10+SQRT(T519*($G$10-$E$10)*($F$10-$E$10)),$G$10-SQRT((1-T519)*($G$10-$E$10)*($G$10-$F$10))))</f>
        <v>1</v>
      </c>
      <c r="G519" s="38" t="n">
        <f aca="false">IF($G$11=$E$11,$F$11,IF(U519&lt;($F$11-$E$11)/($G$11-$E$11),$E$11+SQRT(U519*($G$11-$E$11)*($F$11-$E$11)),$G$11-SQRT((1-U519)*($G$11-$E$11)*($G$11-$F$11))))</f>
        <v>0</v>
      </c>
      <c r="H519" s="39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0</v>
      </c>
      <c r="I519" s="39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0</v>
      </c>
      <c r="J519" s="39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0</v>
      </c>
      <c r="K519" s="39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0</v>
      </c>
      <c r="L519" s="39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0</v>
      </c>
      <c r="M519" s="39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0</v>
      </c>
      <c r="N519" s="39" t="str">
        <f aca="false">IF(COUNT('Business Case'!B11:G11)=0,"",H519+NPV(G519,I519:M519))</f>
        <v/>
      </c>
      <c r="P519" s="40" t="n">
        <f aca="true">RAND()</f>
        <v>0.498479946897064</v>
      </c>
      <c r="Q519" s="40" t="n">
        <f aca="true">RAND()</f>
        <v>0.0759649235920066</v>
      </c>
      <c r="R519" s="40" t="n">
        <f aca="true">RAND()</f>
        <v>0.82285816546479</v>
      </c>
      <c r="S519" s="40" t="n">
        <f aca="true">RAND()</f>
        <v>0.869562044430262</v>
      </c>
      <c r="T519" s="40" t="n">
        <f aca="true">RAND()</f>
        <v>0.609085954129918</v>
      </c>
      <c r="U519" s="40" t="n">
        <f aca="true">RAND()</f>
        <v>0.570338135664098</v>
      </c>
    </row>
    <row r="520" customFormat="false" ht="15" hidden="false" customHeight="false" outlineLevel="0" collapsed="false">
      <c r="A520" s="36" t="n">
        <v>440</v>
      </c>
      <c r="B520" s="37" t="n">
        <f aca="false">1+IF($G$6=$E$6,$F$6,IF(P520&lt;($F$6-$E$6)/($G$6-$E$6),$E$6+SQRT(P520*($G$6-$E$6)*($F$6-$E$6)),$G$6-SQRT((1-P520)*($G$6-$E$6)*($G$6-$F$6))))</f>
        <v>1</v>
      </c>
      <c r="C520" s="37" t="n">
        <f aca="false">1+IF($G$7=$E$7,$F$7,IF(Q520&lt;($F$7-$E$7)/($G$7-$E$7),$E$7+SQRT(Q520*($G$7-$E$7)*($F$7-$E$7)),$G$7-SQRT((1-Q520)*($G$7-$E$7)*($G$7-$F$7))))</f>
        <v>1</v>
      </c>
      <c r="D520" s="37" t="n">
        <f aca="false">1+IF($G$8=$E$8,$F$8,IF(R520&lt;($F$8-$E$8)/($G$8-$E$8),$E$8+SQRT(R520*($G$8-$E$8)*($F$8-$E$8)),$G$8-SQRT((1-R520)*($G$8-$E$8)*($G$8-$F$8))))</f>
        <v>1</v>
      </c>
      <c r="E520" s="37" t="n">
        <f aca="false">1+IF($G$9=$E$9,$F$9,IF(S520&lt;($F$9-$E$9)/($G$9-$E$9),$E$9+SQRT(S520*($G$9-$E$9)*($F$9-$E$9)),$G$9-SQRT((1-S520)*($G$9-$E$9)*($G$9-$F$9))))</f>
        <v>1</v>
      </c>
      <c r="F520" s="37" t="n">
        <f aca="false">1+IF($G$10=$E$10,$F$10,IF(T520&lt;($F$10-$E$10)/($G$10-$E$10),$E$10+SQRT(T520*($G$10-$E$10)*($F$10-$E$10)),$G$10-SQRT((1-T520)*($G$10-$E$10)*($G$10-$F$10))))</f>
        <v>1</v>
      </c>
      <c r="G520" s="38" t="n">
        <f aca="false">IF($G$11=$E$11,$F$11,IF(U520&lt;($F$11-$E$11)/($G$11-$E$11),$E$11+SQRT(U520*($G$11-$E$11)*($F$11-$E$11)),$G$11-SQRT((1-U520)*($G$11-$E$11)*($G$11-$F$11))))</f>
        <v>0</v>
      </c>
      <c r="H520" s="39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0</v>
      </c>
      <c r="I520" s="39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0</v>
      </c>
      <c r="J520" s="39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0</v>
      </c>
      <c r="K520" s="39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0</v>
      </c>
      <c r="L520" s="39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0</v>
      </c>
      <c r="M520" s="39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0</v>
      </c>
      <c r="N520" s="39" t="str">
        <f aca="false">IF(COUNT('Business Case'!B11:G11)=0,"",H520+NPV(G520,I520:M520))</f>
        <v/>
      </c>
      <c r="P520" s="40" t="n">
        <f aca="true">RAND()</f>
        <v>0.670249186156663</v>
      </c>
      <c r="Q520" s="40" t="n">
        <f aca="true">RAND()</f>
        <v>0.763229228327606</v>
      </c>
      <c r="R520" s="40" t="n">
        <f aca="true">RAND()</f>
        <v>0.754330433339549</v>
      </c>
      <c r="S520" s="40" t="n">
        <f aca="true">RAND()</f>
        <v>0.820992996303456</v>
      </c>
      <c r="T520" s="40" t="n">
        <f aca="true">RAND()</f>
        <v>0.859444160809552</v>
      </c>
      <c r="U520" s="40" t="n">
        <f aca="true">RAND()</f>
        <v>0.333508089687555</v>
      </c>
    </row>
    <row r="521" customFormat="false" ht="15" hidden="false" customHeight="false" outlineLevel="0" collapsed="false">
      <c r="A521" s="36" t="n">
        <v>441</v>
      </c>
      <c r="B521" s="37" t="n">
        <f aca="false">1+IF($G$6=$E$6,$F$6,IF(P521&lt;($F$6-$E$6)/($G$6-$E$6),$E$6+SQRT(P521*($G$6-$E$6)*($F$6-$E$6)),$G$6-SQRT((1-P521)*($G$6-$E$6)*($G$6-$F$6))))</f>
        <v>1</v>
      </c>
      <c r="C521" s="37" t="n">
        <f aca="false">1+IF($G$7=$E$7,$F$7,IF(Q521&lt;($F$7-$E$7)/($G$7-$E$7),$E$7+SQRT(Q521*($G$7-$E$7)*($F$7-$E$7)),$G$7-SQRT((1-Q521)*($G$7-$E$7)*($G$7-$F$7))))</f>
        <v>1</v>
      </c>
      <c r="D521" s="37" t="n">
        <f aca="false">1+IF($G$8=$E$8,$F$8,IF(R521&lt;($F$8-$E$8)/($G$8-$E$8),$E$8+SQRT(R521*($G$8-$E$8)*($F$8-$E$8)),$G$8-SQRT((1-R521)*($G$8-$E$8)*($G$8-$F$8))))</f>
        <v>1</v>
      </c>
      <c r="E521" s="37" t="n">
        <f aca="false">1+IF($G$9=$E$9,$F$9,IF(S521&lt;($F$9-$E$9)/($G$9-$E$9),$E$9+SQRT(S521*($G$9-$E$9)*($F$9-$E$9)),$G$9-SQRT((1-S521)*($G$9-$E$9)*($G$9-$F$9))))</f>
        <v>1</v>
      </c>
      <c r="F521" s="37" t="n">
        <f aca="false">1+IF($G$10=$E$10,$F$10,IF(T521&lt;($F$10-$E$10)/($G$10-$E$10),$E$10+SQRT(T521*($G$10-$E$10)*($F$10-$E$10)),$G$10-SQRT((1-T521)*($G$10-$E$10)*($G$10-$F$10))))</f>
        <v>1</v>
      </c>
      <c r="G521" s="38" t="n">
        <f aca="false">IF($G$11=$E$11,$F$11,IF(U521&lt;($F$11-$E$11)/($G$11-$E$11),$E$11+SQRT(U521*($G$11-$E$11)*($F$11-$E$11)),$G$11-SQRT((1-U521)*($G$11-$E$11)*($G$11-$F$11))))</f>
        <v>0</v>
      </c>
      <c r="H521" s="39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0</v>
      </c>
      <c r="I521" s="39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0</v>
      </c>
      <c r="J521" s="39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0</v>
      </c>
      <c r="K521" s="39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0</v>
      </c>
      <c r="L521" s="39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0</v>
      </c>
      <c r="M521" s="39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0</v>
      </c>
      <c r="N521" s="39" t="str">
        <f aca="false">IF(COUNT('Business Case'!B11:G11)=0,"",H521+NPV(G521,I521:M521))</f>
        <v/>
      </c>
      <c r="P521" s="40" t="n">
        <f aca="true">RAND()</f>
        <v>0.0638441637341334</v>
      </c>
      <c r="Q521" s="40" t="n">
        <f aca="true">RAND()</f>
        <v>0.888672951822367</v>
      </c>
      <c r="R521" s="40" t="n">
        <f aca="true">RAND()</f>
        <v>0.652723067703679</v>
      </c>
      <c r="S521" s="40" t="n">
        <f aca="true">RAND()</f>
        <v>0.319777309678171</v>
      </c>
      <c r="T521" s="40" t="n">
        <f aca="true">RAND()</f>
        <v>0.9888036762278</v>
      </c>
      <c r="U521" s="40" t="n">
        <f aca="true">RAND()</f>
        <v>0.00716600786085162</v>
      </c>
    </row>
    <row r="522" customFormat="false" ht="15" hidden="false" customHeight="false" outlineLevel="0" collapsed="false">
      <c r="A522" s="36" t="n">
        <v>442</v>
      </c>
      <c r="B522" s="37" t="n">
        <f aca="false">1+IF($G$6=$E$6,$F$6,IF(P522&lt;($F$6-$E$6)/($G$6-$E$6),$E$6+SQRT(P522*($G$6-$E$6)*($F$6-$E$6)),$G$6-SQRT((1-P522)*($G$6-$E$6)*($G$6-$F$6))))</f>
        <v>1</v>
      </c>
      <c r="C522" s="37" t="n">
        <f aca="false">1+IF($G$7=$E$7,$F$7,IF(Q522&lt;($F$7-$E$7)/($G$7-$E$7),$E$7+SQRT(Q522*($G$7-$E$7)*($F$7-$E$7)),$G$7-SQRT((1-Q522)*($G$7-$E$7)*($G$7-$F$7))))</f>
        <v>1</v>
      </c>
      <c r="D522" s="37" t="n">
        <f aca="false">1+IF($G$8=$E$8,$F$8,IF(R522&lt;($F$8-$E$8)/($G$8-$E$8),$E$8+SQRT(R522*($G$8-$E$8)*($F$8-$E$8)),$G$8-SQRT((1-R522)*($G$8-$E$8)*($G$8-$F$8))))</f>
        <v>1</v>
      </c>
      <c r="E522" s="37" t="n">
        <f aca="false">1+IF($G$9=$E$9,$F$9,IF(S522&lt;($F$9-$E$9)/($G$9-$E$9),$E$9+SQRT(S522*($G$9-$E$9)*($F$9-$E$9)),$G$9-SQRT((1-S522)*($G$9-$E$9)*($G$9-$F$9))))</f>
        <v>1</v>
      </c>
      <c r="F522" s="37" t="n">
        <f aca="false">1+IF($G$10=$E$10,$F$10,IF(T522&lt;($F$10-$E$10)/($G$10-$E$10),$E$10+SQRT(T522*($G$10-$E$10)*($F$10-$E$10)),$G$10-SQRT((1-T522)*($G$10-$E$10)*($G$10-$F$10))))</f>
        <v>1</v>
      </c>
      <c r="G522" s="38" t="n">
        <f aca="false">IF($G$11=$E$11,$F$11,IF(U522&lt;($F$11-$E$11)/($G$11-$E$11),$E$11+SQRT(U522*($G$11-$E$11)*($F$11-$E$11)),$G$11-SQRT((1-U522)*($G$11-$E$11)*($G$11-$F$11))))</f>
        <v>0</v>
      </c>
      <c r="H522" s="39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0</v>
      </c>
      <c r="I522" s="39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0</v>
      </c>
      <c r="J522" s="39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0</v>
      </c>
      <c r="K522" s="39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0</v>
      </c>
      <c r="L522" s="39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0</v>
      </c>
      <c r="M522" s="39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0</v>
      </c>
      <c r="N522" s="39" t="str">
        <f aca="false">IF(COUNT('Business Case'!B11:G11)=0,"",H522+NPV(G522,I522:M522))</f>
        <v/>
      </c>
      <c r="P522" s="40" t="n">
        <f aca="true">RAND()</f>
        <v>0.143679936902386</v>
      </c>
      <c r="Q522" s="40" t="n">
        <f aca="true">RAND()</f>
        <v>0.0884681845646542</v>
      </c>
      <c r="R522" s="40" t="n">
        <f aca="true">RAND()</f>
        <v>0.34957980312324</v>
      </c>
      <c r="S522" s="40" t="n">
        <f aca="true">RAND()</f>
        <v>0.726697534824522</v>
      </c>
      <c r="T522" s="40" t="n">
        <f aca="true">RAND()</f>
        <v>0.87745098734183</v>
      </c>
      <c r="U522" s="40" t="n">
        <f aca="true">RAND()</f>
        <v>0.608331271253345</v>
      </c>
    </row>
    <row r="523" customFormat="false" ht="15" hidden="false" customHeight="false" outlineLevel="0" collapsed="false">
      <c r="A523" s="36" t="n">
        <v>443</v>
      </c>
      <c r="B523" s="37" t="n">
        <f aca="false">1+IF($G$6=$E$6,$F$6,IF(P523&lt;($F$6-$E$6)/($G$6-$E$6),$E$6+SQRT(P523*($G$6-$E$6)*($F$6-$E$6)),$G$6-SQRT((1-P523)*($G$6-$E$6)*($G$6-$F$6))))</f>
        <v>1</v>
      </c>
      <c r="C523" s="37" t="n">
        <f aca="false">1+IF($G$7=$E$7,$F$7,IF(Q523&lt;($F$7-$E$7)/($G$7-$E$7),$E$7+SQRT(Q523*($G$7-$E$7)*($F$7-$E$7)),$G$7-SQRT((1-Q523)*($G$7-$E$7)*($G$7-$F$7))))</f>
        <v>1</v>
      </c>
      <c r="D523" s="37" t="n">
        <f aca="false">1+IF($G$8=$E$8,$F$8,IF(R523&lt;($F$8-$E$8)/($G$8-$E$8),$E$8+SQRT(R523*($G$8-$E$8)*($F$8-$E$8)),$G$8-SQRT((1-R523)*($G$8-$E$8)*($G$8-$F$8))))</f>
        <v>1</v>
      </c>
      <c r="E523" s="37" t="n">
        <f aca="false">1+IF($G$9=$E$9,$F$9,IF(S523&lt;($F$9-$E$9)/($G$9-$E$9),$E$9+SQRT(S523*($G$9-$E$9)*($F$9-$E$9)),$G$9-SQRT((1-S523)*($G$9-$E$9)*($G$9-$F$9))))</f>
        <v>1</v>
      </c>
      <c r="F523" s="37" t="n">
        <f aca="false">1+IF($G$10=$E$10,$F$10,IF(T523&lt;($F$10-$E$10)/($G$10-$E$10),$E$10+SQRT(T523*($G$10-$E$10)*($F$10-$E$10)),$G$10-SQRT((1-T523)*($G$10-$E$10)*($G$10-$F$10))))</f>
        <v>1</v>
      </c>
      <c r="G523" s="38" t="n">
        <f aca="false">IF($G$11=$E$11,$F$11,IF(U523&lt;($F$11-$E$11)/($G$11-$E$11),$E$11+SQRT(U523*($G$11-$E$11)*($F$11-$E$11)),$G$11-SQRT((1-U523)*($G$11-$E$11)*($G$11-$F$11))))</f>
        <v>0</v>
      </c>
      <c r="H523" s="39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0</v>
      </c>
      <c r="I523" s="39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0</v>
      </c>
      <c r="J523" s="39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0</v>
      </c>
      <c r="K523" s="39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0</v>
      </c>
      <c r="L523" s="39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0</v>
      </c>
      <c r="M523" s="39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0</v>
      </c>
      <c r="N523" s="39" t="str">
        <f aca="false">IF(COUNT('Business Case'!B11:G11)=0,"",H523+NPV(G523,I523:M523))</f>
        <v/>
      </c>
      <c r="P523" s="40" t="n">
        <f aca="true">RAND()</f>
        <v>0.780126469011887</v>
      </c>
      <c r="Q523" s="40" t="n">
        <f aca="true">RAND()</f>
        <v>0.0935549062085097</v>
      </c>
      <c r="R523" s="40" t="n">
        <f aca="true">RAND()</f>
        <v>0.0275465541389421</v>
      </c>
      <c r="S523" s="40" t="n">
        <f aca="true">RAND()</f>
        <v>0.861747956975773</v>
      </c>
      <c r="T523" s="40" t="n">
        <f aca="true">RAND()</f>
        <v>0.285061996847404</v>
      </c>
      <c r="U523" s="40" t="n">
        <f aca="true">RAND()</f>
        <v>0.795990675800435</v>
      </c>
    </row>
    <row r="524" customFormat="false" ht="15" hidden="false" customHeight="false" outlineLevel="0" collapsed="false">
      <c r="A524" s="36" t="n">
        <v>444</v>
      </c>
      <c r="B524" s="37" t="n">
        <f aca="false">1+IF($G$6=$E$6,$F$6,IF(P524&lt;($F$6-$E$6)/($G$6-$E$6),$E$6+SQRT(P524*($G$6-$E$6)*($F$6-$E$6)),$G$6-SQRT((1-P524)*($G$6-$E$6)*($G$6-$F$6))))</f>
        <v>1</v>
      </c>
      <c r="C524" s="37" t="n">
        <f aca="false">1+IF($G$7=$E$7,$F$7,IF(Q524&lt;($F$7-$E$7)/($G$7-$E$7),$E$7+SQRT(Q524*($G$7-$E$7)*($F$7-$E$7)),$G$7-SQRT((1-Q524)*($G$7-$E$7)*($G$7-$F$7))))</f>
        <v>1</v>
      </c>
      <c r="D524" s="37" t="n">
        <f aca="false">1+IF($G$8=$E$8,$F$8,IF(R524&lt;($F$8-$E$8)/($G$8-$E$8),$E$8+SQRT(R524*($G$8-$E$8)*($F$8-$E$8)),$G$8-SQRT((1-R524)*($G$8-$E$8)*($G$8-$F$8))))</f>
        <v>1</v>
      </c>
      <c r="E524" s="37" t="n">
        <f aca="false">1+IF($G$9=$E$9,$F$9,IF(S524&lt;($F$9-$E$9)/($G$9-$E$9),$E$9+SQRT(S524*($G$9-$E$9)*($F$9-$E$9)),$G$9-SQRT((1-S524)*($G$9-$E$9)*($G$9-$F$9))))</f>
        <v>1</v>
      </c>
      <c r="F524" s="37" t="n">
        <f aca="false">1+IF($G$10=$E$10,$F$10,IF(T524&lt;($F$10-$E$10)/($G$10-$E$10),$E$10+SQRT(T524*($G$10-$E$10)*($F$10-$E$10)),$G$10-SQRT((1-T524)*($G$10-$E$10)*($G$10-$F$10))))</f>
        <v>1</v>
      </c>
      <c r="G524" s="38" t="n">
        <f aca="false">IF($G$11=$E$11,$F$11,IF(U524&lt;($F$11-$E$11)/($G$11-$E$11),$E$11+SQRT(U524*($G$11-$E$11)*($F$11-$E$11)),$G$11-SQRT((1-U524)*($G$11-$E$11)*($G$11-$F$11))))</f>
        <v>0</v>
      </c>
      <c r="H524" s="39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0</v>
      </c>
      <c r="I524" s="39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0</v>
      </c>
      <c r="J524" s="39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0</v>
      </c>
      <c r="K524" s="39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0</v>
      </c>
      <c r="L524" s="39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0</v>
      </c>
      <c r="M524" s="39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0</v>
      </c>
      <c r="N524" s="39" t="str">
        <f aca="false">IF(COUNT('Business Case'!B11:G11)=0,"",H524+NPV(G524,I524:M524))</f>
        <v/>
      </c>
      <c r="P524" s="40" t="n">
        <f aca="true">RAND()</f>
        <v>0.197101400525094</v>
      </c>
      <c r="Q524" s="40" t="n">
        <f aca="true">RAND()</f>
        <v>0.953070879017731</v>
      </c>
      <c r="R524" s="40" t="n">
        <f aca="true">RAND()</f>
        <v>0.550165549213497</v>
      </c>
      <c r="S524" s="40" t="n">
        <f aca="true">RAND()</f>
        <v>0.812496060130466</v>
      </c>
      <c r="T524" s="40" t="n">
        <f aca="true">RAND()</f>
        <v>0.435899250829667</v>
      </c>
      <c r="U524" s="40" t="n">
        <f aca="true">RAND()</f>
        <v>0.742025272248519</v>
      </c>
    </row>
    <row r="525" customFormat="false" ht="15" hidden="false" customHeight="false" outlineLevel="0" collapsed="false">
      <c r="A525" s="36" t="n">
        <v>445</v>
      </c>
      <c r="B525" s="37" t="n">
        <f aca="false">1+IF($G$6=$E$6,$F$6,IF(P525&lt;($F$6-$E$6)/($G$6-$E$6),$E$6+SQRT(P525*($G$6-$E$6)*($F$6-$E$6)),$G$6-SQRT((1-P525)*($G$6-$E$6)*($G$6-$F$6))))</f>
        <v>1</v>
      </c>
      <c r="C525" s="37" t="n">
        <f aca="false">1+IF($G$7=$E$7,$F$7,IF(Q525&lt;($F$7-$E$7)/($G$7-$E$7),$E$7+SQRT(Q525*($G$7-$E$7)*($F$7-$E$7)),$G$7-SQRT((1-Q525)*($G$7-$E$7)*($G$7-$F$7))))</f>
        <v>1</v>
      </c>
      <c r="D525" s="37" t="n">
        <f aca="false">1+IF($G$8=$E$8,$F$8,IF(R525&lt;($F$8-$E$8)/($G$8-$E$8),$E$8+SQRT(R525*($G$8-$E$8)*($F$8-$E$8)),$G$8-SQRT((1-R525)*($G$8-$E$8)*($G$8-$F$8))))</f>
        <v>1</v>
      </c>
      <c r="E525" s="37" t="n">
        <f aca="false">1+IF($G$9=$E$9,$F$9,IF(S525&lt;($F$9-$E$9)/($G$9-$E$9),$E$9+SQRT(S525*($G$9-$E$9)*($F$9-$E$9)),$G$9-SQRT((1-S525)*($G$9-$E$9)*($G$9-$F$9))))</f>
        <v>1</v>
      </c>
      <c r="F525" s="37" t="n">
        <f aca="false">1+IF($G$10=$E$10,$F$10,IF(T525&lt;($F$10-$E$10)/($G$10-$E$10),$E$10+SQRT(T525*($G$10-$E$10)*($F$10-$E$10)),$G$10-SQRT((1-T525)*($G$10-$E$10)*($G$10-$F$10))))</f>
        <v>1</v>
      </c>
      <c r="G525" s="38" t="n">
        <f aca="false">IF($G$11=$E$11,$F$11,IF(U525&lt;($F$11-$E$11)/($G$11-$E$11),$E$11+SQRT(U525*($G$11-$E$11)*($F$11-$E$11)),$G$11-SQRT((1-U525)*($G$11-$E$11)*($G$11-$F$11))))</f>
        <v>0</v>
      </c>
      <c r="H525" s="39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0</v>
      </c>
      <c r="I525" s="39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0</v>
      </c>
      <c r="J525" s="39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0</v>
      </c>
      <c r="K525" s="39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0</v>
      </c>
      <c r="L525" s="39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0</v>
      </c>
      <c r="M525" s="39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0</v>
      </c>
      <c r="N525" s="39" t="str">
        <f aca="false">IF(COUNT('Business Case'!B11:G11)=0,"",H525+NPV(G525,I525:M525))</f>
        <v/>
      </c>
      <c r="P525" s="40" t="n">
        <f aca="true">RAND()</f>
        <v>0.00916677418623629</v>
      </c>
      <c r="Q525" s="40" t="n">
        <f aca="true">RAND()</f>
        <v>0.330780791075162</v>
      </c>
      <c r="R525" s="40" t="n">
        <f aca="true">RAND()</f>
        <v>0.40274477285481</v>
      </c>
      <c r="S525" s="40" t="n">
        <f aca="true">RAND()</f>
        <v>0.656408706125874</v>
      </c>
      <c r="T525" s="40" t="n">
        <f aca="true">RAND()</f>
        <v>0.80052472816373</v>
      </c>
      <c r="U525" s="40" t="n">
        <f aca="true">RAND()</f>
        <v>0.730443908953428</v>
      </c>
    </row>
    <row r="526" customFormat="false" ht="15" hidden="false" customHeight="false" outlineLevel="0" collapsed="false">
      <c r="A526" s="36" t="n">
        <v>446</v>
      </c>
      <c r="B526" s="37" t="n">
        <f aca="false">1+IF($G$6=$E$6,$F$6,IF(P526&lt;($F$6-$E$6)/($G$6-$E$6),$E$6+SQRT(P526*($G$6-$E$6)*($F$6-$E$6)),$G$6-SQRT((1-P526)*($G$6-$E$6)*($G$6-$F$6))))</f>
        <v>1</v>
      </c>
      <c r="C526" s="37" t="n">
        <f aca="false">1+IF($G$7=$E$7,$F$7,IF(Q526&lt;($F$7-$E$7)/($G$7-$E$7),$E$7+SQRT(Q526*($G$7-$E$7)*($F$7-$E$7)),$G$7-SQRT((1-Q526)*($G$7-$E$7)*($G$7-$F$7))))</f>
        <v>1</v>
      </c>
      <c r="D526" s="37" t="n">
        <f aca="false">1+IF($G$8=$E$8,$F$8,IF(R526&lt;($F$8-$E$8)/($G$8-$E$8),$E$8+SQRT(R526*($G$8-$E$8)*($F$8-$E$8)),$G$8-SQRT((1-R526)*($G$8-$E$8)*($G$8-$F$8))))</f>
        <v>1</v>
      </c>
      <c r="E526" s="37" t="n">
        <f aca="false">1+IF($G$9=$E$9,$F$9,IF(S526&lt;($F$9-$E$9)/($G$9-$E$9),$E$9+SQRT(S526*($G$9-$E$9)*($F$9-$E$9)),$G$9-SQRT((1-S526)*($G$9-$E$9)*($G$9-$F$9))))</f>
        <v>1</v>
      </c>
      <c r="F526" s="37" t="n">
        <f aca="false">1+IF($G$10=$E$10,$F$10,IF(T526&lt;($F$10-$E$10)/($G$10-$E$10),$E$10+SQRT(T526*($G$10-$E$10)*($F$10-$E$10)),$G$10-SQRT((1-T526)*($G$10-$E$10)*($G$10-$F$10))))</f>
        <v>1</v>
      </c>
      <c r="G526" s="38" t="n">
        <f aca="false">IF($G$11=$E$11,$F$11,IF(U526&lt;($F$11-$E$11)/($G$11-$E$11),$E$11+SQRT(U526*($G$11-$E$11)*($F$11-$E$11)),$G$11-SQRT((1-U526)*($G$11-$E$11)*($G$11-$F$11))))</f>
        <v>0</v>
      </c>
      <c r="H526" s="39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0</v>
      </c>
      <c r="I526" s="39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0</v>
      </c>
      <c r="J526" s="39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0</v>
      </c>
      <c r="K526" s="39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0</v>
      </c>
      <c r="L526" s="39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0</v>
      </c>
      <c r="M526" s="39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0</v>
      </c>
      <c r="N526" s="39" t="str">
        <f aca="false">IF(COUNT('Business Case'!B11:G11)=0,"",H526+NPV(G526,I526:M526))</f>
        <v/>
      </c>
      <c r="P526" s="40" t="n">
        <f aca="true">RAND()</f>
        <v>0.072583943350927</v>
      </c>
      <c r="Q526" s="40" t="n">
        <f aca="true">RAND()</f>
        <v>0.781444203679445</v>
      </c>
      <c r="R526" s="40" t="n">
        <f aca="true">RAND()</f>
        <v>0.0422900965061859</v>
      </c>
      <c r="S526" s="40" t="n">
        <f aca="true">RAND()</f>
        <v>0.795708968844558</v>
      </c>
      <c r="T526" s="40" t="n">
        <f aca="true">RAND()</f>
        <v>0.73587804785772</v>
      </c>
      <c r="U526" s="40" t="n">
        <f aca="true">RAND()</f>
        <v>0.780769478366008</v>
      </c>
    </row>
    <row r="527" customFormat="false" ht="15" hidden="false" customHeight="false" outlineLevel="0" collapsed="false">
      <c r="A527" s="36" t="n">
        <v>447</v>
      </c>
      <c r="B527" s="37" t="n">
        <f aca="false">1+IF($G$6=$E$6,$F$6,IF(P527&lt;($F$6-$E$6)/($G$6-$E$6),$E$6+SQRT(P527*($G$6-$E$6)*($F$6-$E$6)),$G$6-SQRT((1-P527)*($G$6-$E$6)*($G$6-$F$6))))</f>
        <v>1</v>
      </c>
      <c r="C527" s="37" t="n">
        <f aca="false">1+IF($G$7=$E$7,$F$7,IF(Q527&lt;($F$7-$E$7)/($G$7-$E$7),$E$7+SQRT(Q527*($G$7-$E$7)*($F$7-$E$7)),$G$7-SQRT((1-Q527)*($G$7-$E$7)*($G$7-$F$7))))</f>
        <v>1</v>
      </c>
      <c r="D527" s="37" t="n">
        <f aca="false">1+IF($G$8=$E$8,$F$8,IF(R527&lt;($F$8-$E$8)/($G$8-$E$8),$E$8+SQRT(R527*($G$8-$E$8)*($F$8-$E$8)),$G$8-SQRT((1-R527)*($G$8-$E$8)*($G$8-$F$8))))</f>
        <v>1</v>
      </c>
      <c r="E527" s="37" t="n">
        <f aca="false">1+IF($G$9=$E$9,$F$9,IF(S527&lt;($F$9-$E$9)/($G$9-$E$9),$E$9+SQRT(S527*($G$9-$E$9)*($F$9-$E$9)),$G$9-SQRT((1-S527)*($G$9-$E$9)*($G$9-$F$9))))</f>
        <v>1</v>
      </c>
      <c r="F527" s="37" t="n">
        <f aca="false">1+IF($G$10=$E$10,$F$10,IF(T527&lt;($F$10-$E$10)/($G$10-$E$10),$E$10+SQRT(T527*($G$10-$E$10)*($F$10-$E$10)),$G$10-SQRT((1-T527)*($G$10-$E$10)*($G$10-$F$10))))</f>
        <v>1</v>
      </c>
      <c r="G527" s="38" t="n">
        <f aca="false">IF($G$11=$E$11,$F$11,IF(U527&lt;($F$11-$E$11)/($G$11-$E$11),$E$11+SQRT(U527*($G$11-$E$11)*($F$11-$E$11)),$G$11-SQRT((1-U527)*($G$11-$E$11)*($G$11-$F$11))))</f>
        <v>0</v>
      </c>
      <c r="H527" s="39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0</v>
      </c>
      <c r="I527" s="39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0</v>
      </c>
      <c r="J527" s="39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0</v>
      </c>
      <c r="K527" s="39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0</v>
      </c>
      <c r="L527" s="39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0</v>
      </c>
      <c r="M527" s="39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0</v>
      </c>
      <c r="N527" s="39" t="str">
        <f aca="false">IF(COUNT('Business Case'!B11:G11)=0,"",H527+NPV(G527,I527:M527))</f>
        <v/>
      </c>
      <c r="P527" s="40" t="n">
        <f aca="true">RAND()</f>
        <v>0.418829301365361</v>
      </c>
      <c r="Q527" s="40" t="n">
        <f aca="true">RAND()</f>
        <v>0.776796172290404</v>
      </c>
      <c r="R527" s="40" t="n">
        <f aca="true">RAND()</f>
        <v>0.831822511100082</v>
      </c>
      <c r="S527" s="40" t="n">
        <f aca="true">RAND()</f>
        <v>0.105799766621977</v>
      </c>
      <c r="T527" s="40" t="n">
        <f aca="true">RAND()</f>
        <v>0.282470630472364</v>
      </c>
      <c r="U527" s="40" t="n">
        <f aca="true">RAND()</f>
        <v>0.195662554814172</v>
      </c>
    </row>
    <row r="528" customFormat="false" ht="15" hidden="false" customHeight="false" outlineLevel="0" collapsed="false">
      <c r="A528" s="36" t="n">
        <v>448</v>
      </c>
      <c r="B528" s="37" t="n">
        <f aca="false">1+IF($G$6=$E$6,$F$6,IF(P528&lt;($F$6-$E$6)/($G$6-$E$6),$E$6+SQRT(P528*($G$6-$E$6)*($F$6-$E$6)),$G$6-SQRT((1-P528)*($G$6-$E$6)*($G$6-$F$6))))</f>
        <v>1</v>
      </c>
      <c r="C528" s="37" t="n">
        <f aca="false">1+IF($G$7=$E$7,$F$7,IF(Q528&lt;($F$7-$E$7)/($G$7-$E$7),$E$7+SQRT(Q528*($G$7-$E$7)*($F$7-$E$7)),$G$7-SQRT((1-Q528)*($G$7-$E$7)*($G$7-$F$7))))</f>
        <v>1</v>
      </c>
      <c r="D528" s="37" t="n">
        <f aca="false">1+IF($G$8=$E$8,$F$8,IF(R528&lt;($F$8-$E$8)/($G$8-$E$8),$E$8+SQRT(R528*($G$8-$E$8)*($F$8-$E$8)),$G$8-SQRT((1-R528)*($G$8-$E$8)*($G$8-$F$8))))</f>
        <v>1</v>
      </c>
      <c r="E528" s="37" t="n">
        <f aca="false">1+IF($G$9=$E$9,$F$9,IF(S528&lt;($F$9-$E$9)/($G$9-$E$9),$E$9+SQRT(S528*($G$9-$E$9)*($F$9-$E$9)),$G$9-SQRT((1-S528)*($G$9-$E$9)*($G$9-$F$9))))</f>
        <v>1</v>
      </c>
      <c r="F528" s="37" t="n">
        <f aca="false">1+IF($G$10=$E$10,$F$10,IF(T528&lt;($F$10-$E$10)/($G$10-$E$10),$E$10+SQRT(T528*($G$10-$E$10)*($F$10-$E$10)),$G$10-SQRT((1-T528)*($G$10-$E$10)*($G$10-$F$10))))</f>
        <v>1</v>
      </c>
      <c r="G528" s="38" t="n">
        <f aca="false">IF($G$11=$E$11,$F$11,IF(U528&lt;($F$11-$E$11)/($G$11-$E$11),$E$11+SQRT(U528*($G$11-$E$11)*($F$11-$E$11)),$G$11-SQRT((1-U528)*($G$11-$E$11)*($G$11-$F$11))))</f>
        <v>0</v>
      </c>
      <c r="H528" s="39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0</v>
      </c>
      <c r="I528" s="39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0</v>
      </c>
      <c r="J528" s="39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0</v>
      </c>
      <c r="K528" s="39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0</v>
      </c>
      <c r="L528" s="39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0</v>
      </c>
      <c r="M528" s="39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0</v>
      </c>
      <c r="N528" s="39" t="str">
        <f aca="false">IF(COUNT('Business Case'!B11:G11)=0,"",H528+NPV(G528,I528:M528))</f>
        <v/>
      </c>
      <c r="P528" s="40" t="n">
        <f aca="true">RAND()</f>
        <v>0.578884841036844</v>
      </c>
      <c r="Q528" s="40" t="n">
        <f aca="true">RAND()</f>
        <v>0.919925361800449</v>
      </c>
      <c r="R528" s="40" t="n">
        <f aca="true">RAND()</f>
        <v>0.885037267958771</v>
      </c>
      <c r="S528" s="40" t="n">
        <f aca="true">RAND()</f>
        <v>0.832766204258676</v>
      </c>
      <c r="T528" s="40" t="n">
        <f aca="true">RAND()</f>
        <v>0.601097356868355</v>
      </c>
      <c r="U528" s="40" t="n">
        <f aca="true">RAND()</f>
        <v>0.882772624197226</v>
      </c>
    </row>
    <row r="529" customFormat="false" ht="15" hidden="false" customHeight="false" outlineLevel="0" collapsed="false">
      <c r="A529" s="36" t="n">
        <v>449</v>
      </c>
      <c r="B529" s="37" t="n">
        <f aca="false">1+IF($G$6=$E$6,$F$6,IF(P529&lt;($F$6-$E$6)/($G$6-$E$6),$E$6+SQRT(P529*($G$6-$E$6)*($F$6-$E$6)),$G$6-SQRT((1-P529)*($G$6-$E$6)*($G$6-$F$6))))</f>
        <v>1</v>
      </c>
      <c r="C529" s="37" t="n">
        <f aca="false">1+IF($G$7=$E$7,$F$7,IF(Q529&lt;($F$7-$E$7)/($G$7-$E$7),$E$7+SQRT(Q529*($G$7-$E$7)*($F$7-$E$7)),$G$7-SQRT((1-Q529)*($G$7-$E$7)*($G$7-$F$7))))</f>
        <v>1</v>
      </c>
      <c r="D529" s="37" t="n">
        <f aca="false">1+IF($G$8=$E$8,$F$8,IF(R529&lt;($F$8-$E$8)/($G$8-$E$8),$E$8+SQRT(R529*($G$8-$E$8)*($F$8-$E$8)),$G$8-SQRT((1-R529)*($G$8-$E$8)*($G$8-$F$8))))</f>
        <v>1</v>
      </c>
      <c r="E529" s="37" t="n">
        <f aca="false">1+IF($G$9=$E$9,$F$9,IF(S529&lt;($F$9-$E$9)/($G$9-$E$9),$E$9+SQRT(S529*($G$9-$E$9)*($F$9-$E$9)),$G$9-SQRT((1-S529)*($G$9-$E$9)*($G$9-$F$9))))</f>
        <v>1</v>
      </c>
      <c r="F529" s="37" t="n">
        <f aca="false">1+IF($G$10=$E$10,$F$10,IF(T529&lt;($F$10-$E$10)/($G$10-$E$10),$E$10+SQRT(T529*($G$10-$E$10)*($F$10-$E$10)),$G$10-SQRT((1-T529)*($G$10-$E$10)*($G$10-$F$10))))</f>
        <v>1</v>
      </c>
      <c r="G529" s="38" t="n">
        <f aca="false">IF($G$11=$E$11,$F$11,IF(U529&lt;($F$11-$E$11)/($G$11-$E$11),$E$11+SQRT(U529*($G$11-$E$11)*($F$11-$E$11)),$G$11-SQRT((1-U529)*($G$11-$E$11)*($G$11-$F$11))))</f>
        <v>0</v>
      </c>
      <c r="H529" s="39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0</v>
      </c>
      <c r="I529" s="39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0</v>
      </c>
      <c r="J529" s="39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0</v>
      </c>
      <c r="K529" s="39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0</v>
      </c>
      <c r="L529" s="39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0</v>
      </c>
      <c r="M529" s="39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0</v>
      </c>
      <c r="N529" s="39" t="str">
        <f aca="false">IF(COUNT('Business Case'!B11:G11)=0,"",H529+NPV(G529,I529:M529))</f>
        <v/>
      </c>
      <c r="P529" s="40" t="n">
        <f aca="true">RAND()</f>
        <v>0.325505417801546</v>
      </c>
      <c r="Q529" s="40" t="n">
        <f aca="true">RAND()</f>
        <v>0.857718077183083</v>
      </c>
      <c r="R529" s="40" t="n">
        <f aca="true">RAND()</f>
        <v>0.444768261155223</v>
      </c>
      <c r="S529" s="40" t="n">
        <f aca="true">RAND()</f>
        <v>0.523808101942735</v>
      </c>
      <c r="T529" s="40" t="n">
        <f aca="true">RAND()</f>
        <v>0.909355250209565</v>
      </c>
      <c r="U529" s="40" t="n">
        <f aca="true">RAND()</f>
        <v>0.110063982543059</v>
      </c>
    </row>
    <row r="530" customFormat="false" ht="15" hidden="false" customHeight="false" outlineLevel="0" collapsed="false">
      <c r="A530" s="36" t="n">
        <v>450</v>
      </c>
      <c r="B530" s="37" t="n">
        <f aca="false">1+IF($G$6=$E$6,$F$6,IF(P530&lt;($F$6-$E$6)/($G$6-$E$6),$E$6+SQRT(P530*($G$6-$E$6)*($F$6-$E$6)),$G$6-SQRT((1-P530)*($G$6-$E$6)*($G$6-$F$6))))</f>
        <v>1</v>
      </c>
      <c r="C530" s="37" t="n">
        <f aca="false">1+IF($G$7=$E$7,$F$7,IF(Q530&lt;($F$7-$E$7)/($G$7-$E$7),$E$7+SQRT(Q530*($G$7-$E$7)*($F$7-$E$7)),$G$7-SQRT((1-Q530)*($G$7-$E$7)*($G$7-$F$7))))</f>
        <v>1</v>
      </c>
      <c r="D530" s="37" t="n">
        <f aca="false">1+IF($G$8=$E$8,$F$8,IF(R530&lt;($F$8-$E$8)/($G$8-$E$8),$E$8+SQRT(R530*($G$8-$E$8)*($F$8-$E$8)),$G$8-SQRT((1-R530)*($G$8-$E$8)*($G$8-$F$8))))</f>
        <v>1</v>
      </c>
      <c r="E530" s="37" t="n">
        <f aca="false">1+IF($G$9=$E$9,$F$9,IF(S530&lt;($F$9-$E$9)/($G$9-$E$9),$E$9+SQRT(S530*($G$9-$E$9)*($F$9-$E$9)),$G$9-SQRT((1-S530)*($G$9-$E$9)*($G$9-$F$9))))</f>
        <v>1</v>
      </c>
      <c r="F530" s="37" t="n">
        <f aca="false">1+IF($G$10=$E$10,$F$10,IF(T530&lt;($F$10-$E$10)/($G$10-$E$10),$E$10+SQRT(T530*($G$10-$E$10)*($F$10-$E$10)),$G$10-SQRT((1-T530)*($G$10-$E$10)*($G$10-$F$10))))</f>
        <v>1</v>
      </c>
      <c r="G530" s="38" t="n">
        <f aca="false">IF($G$11=$E$11,$F$11,IF(U530&lt;($F$11-$E$11)/($G$11-$E$11),$E$11+SQRT(U530*($G$11-$E$11)*($F$11-$E$11)),$G$11-SQRT((1-U530)*($G$11-$E$11)*($G$11-$F$11))))</f>
        <v>0</v>
      </c>
      <c r="H530" s="39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0</v>
      </c>
      <c r="I530" s="39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0</v>
      </c>
      <c r="J530" s="39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0</v>
      </c>
      <c r="K530" s="39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0</v>
      </c>
      <c r="L530" s="39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0</v>
      </c>
      <c r="M530" s="39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0</v>
      </c>
      <c r="N530" s="39" t="str">
        <f aca="false">IF(COUNT('Business Case'!B11:G11)=0,"",H530+NPV(G530,I530:M530))</f>
        <v/>
      </c>
      <c r="P530" s="40" t="n">
        <f aca="true">RAND()</f>
        <v>0.0566938626500874</v>
      </c>
      <c r="Q530" s="40" t="n">
        <f aca="true">RAND()</f>
        <v>0.556022309632802</v>
      </c>
      <c r="R530" s="40" t="n">
        <f aca="true">RAND()</f>
        <v>0.641298919957668</v>
      </c>
      <c r="S530" s="40" t="n">
        <f aca="true">RAND()</f>
        <v>0.863332071645313</v>
      </c>
      <c r="T530" s="40" t="n">
        <f aca="true">RAND()</f>
        <v>0.703106788993412</v>
      </c>
      <c r="U530" s="40" t="n">
        <f aca="true">RAND()</f>
        <v>0.857474303429661</v>
      </c>
    </row>
    <row r="531" customFormat="false" ht="15" hidden="false" customHeight="false" outlineLevel="0" collapsed="false">
      <c r="A531" s="36" t="n">
        <v>451</v>
      </c>
      <c r="B531" s="37" t="n">
        <f aca="false">1+IF($G$6=$E$6,$F$6,IF(P531&lt;($F$6-$E$6)/($G$6-$E$6),$E$6+SQRT(P531*($G$6-$E$6)*($F$6-$E$6)),$G$6-SQRT((1-P531)*($G$6-$E$6)*($G$6-$F$6))))</f>
        <v>1</v>
      </c>
      <c r="C531" s="37" t="n">
        <f aca="false">1+IF($G$7=$E$7,$F$7,IF(Q531&lt;($F$7-$E$7)/($G$7-$E$7),$E$7+SQRT(Q531*($G$7-$E$7)*($F$7-$E$7)),$G$7-SQRT((1-Q531)*($G$7-$E$7)*($G$7-$F$7))))</f>
        <v>1</v>
      </c>
      <c r="D531" s="37" t="n">
        <f aca="false">1+IF($G$8=$E$8,$F$8,IF(R531&lt;($F$8-$E$8)/($G$8-$E$8),$E$8+SQRT(R531*($G$8-$E$8)*($F$8-$E$8)),$G$8-SQRT((1-R531)*($G$8-$E$8)*($G$8-$F$8))))</f>
        <v>1</v>
      </c>
      <c r="E531" s="37" t="n">
        <f aca="false">1+IF($G$9=$E$9,$F$9,IF(S531&lt;($F$9-$E$9)/($G$9-$E$9),$E$9+SQRT(S531*($G$9-$E$9)*($F$9-$E$9)),$G$9-SQRT((1-S531)*($G$9-$E$9)*($G$9-$F$9))))</f>
        <v>1</v>
      </c>
      <c r="F531" s="37" t="n">
        <f aca="false">1+IF($G$10=$E$10,$F$10,IF(T531&lt;($F$10-$E$10)/($G$10-$E$10),$E$10+SQRT(T531*($G$10-$E$10)*($F$10-$E$10)),$G$10-SQRT((1-T531)*($G$10-$E$10)*($G$10-$F$10))))</f>
        <v>1</v>
      </c>
      <c r="G531" s="38" t="n">
        <f aca="false">IF($G$11=$E$11,$F$11,IF(U531&lt;($F$11-$E$11)/($G$11-$E$11),$E$11+SQRT(U531*($G$11-$E$11)*($F$11-$E$11)),$G$11-SQRT((1-U531)*($G$11-$E$11)*($G$11-$F$11))))</f>
        <v>0</v>
      </c>
      <c r="H531" s="39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0</v>
      </c>
      <c r="I531" s="39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0</v>
      </c>
      <c r="J531" s="39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0</v>
      </c>
      <c r="K531" s="39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0</v>
      </c>
      <c r="L531" s="39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0</v>
      </c>
      <c r="M531" s="39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0</v>
      </c>
      <c r="N531" s="39" t="str">
        <f aca="false">IF(COUNT('Business Case'!B11:G11)=0,"",H531+NPV(G531,I531:M531))</f>
        <v/>
      </c>
      <c r="P531" s="40" t="n">
        <f aca="true">RAND()</f>
        <v>0.898099374543969</v>
      </c>
      <c r="Q531" s="40" t="n">
        <f aca="true">RAND()</f>
        <v>0.524721871050022</v>
      </c>
      <c r="R531" s="40" t="n">
        <f aca="true">RAND()</f>
        <v>0.717035240224917</v>
      </c>
      <c r="S531" s="40" t="n">
        <f aca="true">RAND()</f>
        <v>0.244577408380538</v>
      </c>
      <c r="T531" s="40" t="n">
        <f aca="true">RAND()</f>
        <v>0.581949225805296</v>
      </c>
      <c r="U531" s="40" t="n">
        <f aca="true">RAND()</f>
        <v>0.471596053733076</v>
      </c>
    </row>
    <row r="532" customFormat="false" ht="15" hidden="false" customHeight="false" outlineLevel="0" collapsed="false">
      <c r="A532" s="36" t="n">
        <v>452</v>
      </c>
      <c r="B532" s="37" t="n">
        <f aca="false">1+IF($G$6=$E$6,$F$6,IF(P532&lt;($F$6-$E$6)/($G$6-$E$6),$E$6+SQRT(P532*($G$6-$E$6)*($F$6-$E$6)),$G$6-SQRT((1-P532)*($G$6-$E$6)*($G$6-$F$6))))</f>
        <v>1</v>
      </c>
      <c r="C532" s="37" t="n">
        <f aca="false">1+IF($G$7=$E$7,$F$7,IF(Q532&lt;($F$7-$E$7)/($G$7-$E$7),$E$7+SQRT(Q532*($G$7-$E$7)*($F$7-$E$7)),$G$7-SQRT((1-Q532)*($G$7-$E$7)*($G$7-$F$7))))</f>
        <v>1</v>
      </c>
      <c r="D532" s="37" t="n">
        <f aca="false">1+IF($G$8=$E$8,$F$8,IF(R532&lt;($F$8-$E$8)/($G$8-$E$8),$E$8+SQRT(R532*($G$8-$E$8)*($F$8-$E$8)),$G$8-SQRT((1-R532)*($G$8-$E$8)*($G$8-$F$8))))</f>
        <v>1</v>
      </c>
      <c r="E532" s="37" t="n">
        <f aca="false">1+IF($G$9=$E$9,$F$9,IF(S532&lt;($F$9-$E$9)/($G$9-$E$9),$E$9+SQRT(S532*($G$9-$E$9)*($F$9-$E$9)),$G$9-SQRT((1-S532)*($G$9-$E$9)*($G$9-$F$9))))</f>
        <v>1</v>
      </c>
      <c r="F532" s="37" t="n">
        <f aca="false">1+IF($G$10=$E$10,$F$10,IF(T532&lt;($F$10-$E$10)/($G$10-$E$10),$E$10+SQRT(T532*($G$10-$E$10)*($F$10-$E$10)),$G$10-SQRT((1-T532)*($G$10-$E$10)*($G$10-$F$10))))</f>
        <v>1</v>
      </c>
      <c r="G532" s="38" t="n">
        <f aca="false">IF($G$11=$E$11,$F$11,IF(U532&lt;($F$11-$E$11)/($G$11-$E$11),$E$11+SQRT(U532*($G$11-$E$11)*($F$11-$E$11)),$G$11-SQRT((1-U532)*($G$11-$E$11)*($G$11-$F$11))))</f>
        <v>0</v>
      </c>
      <c r="H532" s="39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0</v>
      </c>
      <c r="I532" s="39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0</v>
      </c>
      <c r="J532" s="39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0</v>
      </c>
      <c r="K532" s="39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0</v>
      </c>
      <c r="L532" s="39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0</v>
      </c>
      <c r="M532" s="39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0</v>
      </c>
      <c r="N532" s="39" t="str">
        <f aca="false">IF(COUNT('Business Case'!B11:G11)=0,"",H532+NPV(G532,I532:M532))</f>
        <v/>
      </c>
      <c r="P532" s="40" t="n">
        <f aca="true">RAND()</f>
        <v>0.845827830874593</v>
      </c>
      <c r="Q532" s="40" t="n">
        <f aca="true">RAND()</f>
        <v>0.808358677584633</v>
      </c>
      <c r="R532" s="40" t="n">
        <f aca="true">RAND()</f>
        <v>0.34135975096299</v>
      </c>
      <c r="S532" s="40" t="n">
        <f aca="true">RAND()</f>
        <v>0.393534207176389</v>
      </c>
      <c r="T532" s="40" t="n">
        <f aca="true">RAND()</f>
        <v>0.974017041593196</v>
      </c>
      <c r="U532" s="40" t="n">
        <f aca="true">RAND()</f>
        <v>0.12147725415507</v>
      </c>
    </row>
    <row r="533" customFormat="false" ht="15" hidden="false" customHeight="false" outlineLevel="0" collapsed="false">
      <c r="A533" s="36" t="n">
        <v>453</v>
      </c>
      <c r="B533" s="37" t="n">
        <f aca="false">1+IF($G$6=$E$6,$F$6,IF(P533&lt;($F$6-$E$6)/($G$6-$E$6),$E$6+SQRT(P533*($G$6-$E$6)*($F$6-$E$6)),$G$6-SQRT((1-P533)*($G$6-$E$6)*($G$6-$F$6))))</f>
        <v>1</v>
      </c>
      <c r="C533" s="37" t="n">
        <f aca="false">1+IF($G$7=$E$7,$F$7,IF(Q533&lt;($F$7-$E$7)/($G$7-$E$7),$E$7+SQRT(Q533*($G$7-$E$7)*($F$7-$E$7)),$G$7-SQRT((1-Q533)*($G$7-$E$7)*($G$7-$F$7))))</f>
        <v>1</v>
      </c>
      <c r="D533" s="37" t="n">
        <f aca="false">1+IF($G$8=$E$8,$F$8,IF(R533&lt;($F$8-$E$8)/($G$8-$E$8),$E$8+SQRT(R533*($G$8-$E$8)*($F$8-$E$8)),$G$8-SQRT((1-R533)*($G$8-$E$8)*($G$8-$F$8))))</f>
        <v>1</v>
      </c>
      <c r="E533" s="37" t="n">
        <f aca="false">1+IF($G$9=$E$9,$F$9,IF(S533&lt;($F$9-$E$9)/($G$9-$E$9),$E$9+SQRT(S533*($G$9-$E$9)*($F$9-$E$9)),$G$9-SQRT((1-S533)*($G$9-$E$9)*($G$9-$F$9))))</f>
        <v>1</v>
      </c>
      <c r="F533" s="37" t="n">
        <f aca="false">1+IF($G$10=$E$10,$F$10,IF(T533&lt;($F$10-$E$10)/($G$10-$E$10),$E$10+SQRT(T533*($G$10-$E$10)*($F$10-$E$10)),$G$10-SQRT((1-T533)*($G$10-$E$10)*($G$10-$F$10))))</f>
        <v>1</v>
      </c>
      <c r="G533" s="38" t="n">
        <f aca="false">IF($G$11=$E$11,$F$11,IF(U533&lt;($F$11-$E$11)/($G$11-$E$11),$E$11+SQRT(U533*($G$11-$E$11)*($F$11-$E$11)),$G$11-SQRT((1-U533)*($G$11-$E$11)*($G$11-$F$11))))</f>
        <v>0</v>
      </c>
      <c r="H533" s="39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0</v>
      </c>
      <c r="I533" s="39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0</v>
      </c>
      <c r="J533" s="39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0</v>
      </c>
      <c r="K533" s="39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0</v>
      </c>
      <c r="L533" s="39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0</v>
      </c>
      <c r="M533" s="39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0</v>
      </c>
      <c r="N533" s="39" t="str">
        <f aca="false">IF(COUNT('Business Case'!B11:G11)=0,"",H533+NPV(G533,I533:M533))</f>
        <v/>
      </c>
      <c r="P533" s="40" t="n">
        <f aca="true">RAND()</f>
        <v>0.0887389504005003</v>
      </c>
      <c r="Q533" s="40" t="n">
        <f aca="true">RAND()</f>
        <v>0.00181194400431052</v>
      </c>
      <c r="R533" s="40" t="n">
        <f aca="true">RAND()</f>
        <v>0.834928868973579</v>
      </c>
      <c r="S533" s="40" t="n">
        <f aca="true">RAND()</f>
        <v>0.0131533241890372</v>
      </c>
      <c r="T533" s="40" t="n">
        <f aca="true">RAND()</f>
        <v>0.681405620699046</v>
      </c>
      <c r="U533" s="40" t="n">
        <f aca="true">RAND()</f>
        <v>0.00857623003611839</v>
      </c>
    </row>
    <row r="534" customFormat="false" ht="15" hidden="false" customHeight="false" outlineLevel="0" collapsed="false">
      <c r="A534" s="36" t="n">
        <v>454</v>
      </c>
      <c r="B534" s="37" t="n">
        <f aca="false">1+IF($G$6=$E$6,$F$6,IF(P534&lt;($F$6-$E$6)/($G$6-$E$6),$E$6+SQRT(P534*($G$6-$E$6)*($F$6-$E$6)),$G$6-SQRT((1-P534)*($G$6-$E$6)*($G$6-$F$6))))</f>
        <v>1</v>
      </c>
      <c r="C534" s="37" t="n">
        <f aca="false">1+IF($G$7=$E$7,$F$7,IF(Q534&lt;($F$7-$E$7)/($G$7-$E$7),$E$7+SQRT(Q534*($G$7-$E$7)*($F$7-$E$7)),$G$7-SQRT((1-Q534)*($G$7-$E$7)*($G$7-$F$7))))</f>
        <v>1</v>
      </c>
      <c r="D534" s="37" t="n">
        <f aca="false">1+IF($G$8=$E$8,$F$8,IF(R534&lt;($F$8-$E$8)/($G$8-$E$8),$E$8+SQRT(R534*($G$8-$E$8)*($F$8-$E$8)),$G$8-SQRT((1-R534)*($G$8-$E$8)*($G$8-$F$8))))</f>
        <v>1</v>
      </c>
      <c r="E534" s="37" t="n">
        <f aca="false">1+IF($G$9=$E$9,$F$9,IF(S534&lt;($F$9-$E$9)/($G$9-$E$9),$E$9+SQRT(S534*($G$9-$E$9)*($F$9-$E$9)),$G$9-SQRT((1-S534)*($G$9-$E$9)*($G$9-$F$9))))</f>
        <v>1</v>
      </c>
      <c r="F534" s="37" t="n">
        <f aca="false">1+IF($G$10=$E$10,$F$10,IF(T534&lt;($F$10-$E$10)/($G$10-$E$10),$E$10+SQRT(T534*($G$10-$E$10)*($F$10-$E$10)),$G$10-SQRT((1-T534)*($G$10-$E$10)*($G$10-$F$10))))</f>
        <v>1</v>
      </c>
      <c r="G534" s="38" t="n">
        <f aca="false">IF($G$11=$E$11,$F$11,IF(U534&lt;($F$11-$E$11)/($G$11-$E$11),$E$11+SQRT(U534*($G$11-$E$11)*($F$11-$E$11)),$G$11-SQRT((1-U534)*($G$11-$E$11)*($G$11-$F$11))))</f>
        <v>0</v>
      </c>
      <c r="H534" s="39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0</v>
      </c>
      <c r="I534" s="39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0</v>
      </c>
      <c r="J534" s="39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0</v>
      </c>
      <c r="K534" s="39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0</v>
      </c>
      <c r="L534" s="39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0</v>
      </c>
      <c r="M534" s="39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0</v>
      </c>
      <c r="N534" s="39" t="str">
        <f aca="false">IF(COUNT('Business Case'!B11:G11)=0,"",H534+NPV(G534,I534:M534))</f>
        <v/>
      </c>
      <c r="P534" s="40" t="n">
        <f aca="true">RAND()</f>
        <v>0.720596255449952</v>
      </c>
      <c r="Q534" s="40" t="n">
        <f aca="true">RAND()</f>
        <v>0.664169481341471</v>
      </c>
      <c r="R534" s="40" t="n">
        <f aca="true">RAND()</f>
        <v>0.765688655688807</v>
      </c>
      <c r="S534" s="40" t="n">
        <f aca="true">RAND()</f>
        <v>0.714561927273066</v>
      </c>
      <c r="T534" s="40" t="n">
        <f aca="true">RAND()</f>
        <v>0.980204010062642</v>
      </c>
      <c r="U534" s="40" t="n">
        <f aca="true">RAND()</f>
        <v>0.109187674334711</v>
      </c>
    </row>
    <row r="535" customFormat="false" ht="15" hidden="false" customHeight="false" outlineLevel="0" collapsed="false">
      <c r="A535" s="36" t="n">
        <v>455</v>
      </c>
      <c r="B535" s="37" t="n">
        <f aca="false">1+IF($G$6=$E$6,$F$6,IF(P535&lt;($F$6-$E$6)/($G$6-$E$6),$E$6+SQRT(P535*($G$6-$E$6)*($F$6-$E$6)),$G$6-SQRT((1-P535)*($G$6-$E$6)*($G$6-$F$6))))</f>
        <v>1</v>
      </c>
      <c r="C535" s="37" t="n">
        <f aca="false">1+IF($G$7=$E$7,$F$7,IF(Q535&lt;($F$7-$E$7)/($G$7-$E$7),$E$7+SQRT(Q535*($G$7-$E$7)*($F$7-$E$7)),$G$7-SQRT((1-Q535)*($G$7-$E$7)*($G$7-$F$7))))</f>
        <v>1</v>
      </c>
      <c r="D535" s="37" t="n">
        <f aca="false">1+IF($G$8=$E$8,$F$8,IF(R535&lt;($F$8-$E$8)/($G$8-$E$8),$E$8+SQRT(R535*($G$8-$E$8)*($F$8-$E$8)),$G$8-SQRT((1-R535)*($G$8-$E$8)*($G$8-$F$8))))</f>
        <v>1</v>
      </c>
      <c r="E535" s="37" t="n">
        <f aca="false">1+IF($G$9=$E$9,$F$9,IF(S535&lt;($F$9-$E$9)/($G$9-$E$9),$E$9+SQRT(S535*($G$9-$E$9)*($F$9-$E$9)),$G$9-SQRT((1-S535)*($G$9-$E$9)*($G$9-$F$9))))</f>
        <v>1</v>
      </c>
      <c r="F535" s="37" t="n">
        <f aca="false">1+IF($G$10=$E$10,$F$10,IF(T535&lt;($F$10-$E$10)/($G$10-$E$10),$E$10+SQRT(T535*($G$10-$E$10)*($F$10-$E$10)),$G$10-SQRT((1-T535)*($G$10-$E$10)*($G$10-$F$10))))</f>
        <v>1</v>
      </c>
      <c r="G535" s="38" t="n">
        <f aca="false">IF($G$11=$E$11,$F$11,IF(U535&lt;($F$11-$E$11)/($G$11-$E$11),$E$11+SQRT(U535*($G$11-$E$11)*($F$11-$E$11)),$G$11-SQRT((1-U535)*($G$11-$E$11)*($G$11-$F$11))))</f>
        <v>0</v>
      </c>
      <c r="H535" s="39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0</v>
      </c>
      <c r="I535" s="39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0</v>
      </c>
      <c r="J535" s="39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0</v>
      </c>
      <c r="K535" s="39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0</v>
      </c>
      <c r="L535" s="39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0</v>
      </c>
      <c r="M535" s="39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0</v>
      </c>
      <c r="N535" s="39" t="str">
        <f aca="false">IF(COUNT('Business Case'!B11:G11)=0,"",H535+NPV(G535,I535:M535))</f>
        <v/>
      </c>
      <c r="P535" s="40" t="n">
        <f aca="true">RAND()</f>
        <v>0.747057732947467</v>
      </c>
      <c r="Q535" s="40" t="n">
        <f aca="true">RAND()</f>
        <v>0.108157755715628</v>
      </c>
      <c r="R535" s="40" t="n">
        <f aca="true">RAND()</f>
        <v>0.226476993470319</v>
      </c>
      <c r="S535" s="40" t="n">
        <f aca="true">RAND()</f>
        <v>0.793170294327526</v>
      </c>
      <c r="T535" s="40" t="n">
        <f aca="true">RAND()</f>
        <v>0.174552337190398</v>
      </c>
      <c r="U535" s="40" t="n">
        <f aca="true">RAND()</f>
        <v>0.732101128156451</v>
      </c>
    </row>
    <row r="536" customFormat="false" ht="15" hidden="false" customHeight="false" outlineLevel="0" collapsed="false">
      <c r="A536" s="36" t="n">
        <v>456</v>
      </c>
      <c r="B536" s="37" t="n">
        <f aca="false">1+IF($G$6=$E$6,$F$6,IF(P536&lt;($F$6-$E$6)/($G$6-$E$6),$E$6+SQRT(P536*($G$6-$E$6)*($F$6-$E$6)),$G$6-SQRT((1-P536)*($G$6-$E$6)*($G$6-$F$6))))</f>
        <v>1</v>
      </c>
      <c r="C536" s="37" t="n">
        <f aca="false">1+IF($G$7=$E$7,$F$7,IF(Q536&lt;($F$7-$E$7)/($G$7-$E$7),$E$7+SQRT(Q536*($G$7-$E$7)*($F$7-$E$7)),$G$7-SQRT((1-Q536)*($G$7-$E$7)*($G$7-$F$7))))</f>
        <v>1</v>
      </c>
      <c r="D536" s="37" t="n">
        <f aca="false">1+IF($G$8=$E$8,$F$8,IF(R536&lt;($F$8-$E$8)/($G$8-$E$8),$E$8+SQRT(R536*($G$8-$E$8)*($F$8-$E$8)),$G$8-SQRT((1-R536)*($G$8-$E$8)*($G$8-$F$8))))</f>
        <v>1</v>
      </c>
      <c r="E536" s="37" t="n">
        <f aca="false">1+IF($G$9=$E$9,$F$9,IF(S536&lt;($F$9-$E$9)/($G$9-$E$9),$E$9+SQRT(S536*($G$9-$E$9)*($F$9-$E$9)),$G$9-SQRT((1-S536)*($G$9-$E$9)*($G$9-$F$9))))</f>
        <v>1</v>
      </c>
      <c r="F536" s="37" t="n">
        <f aca="false">1+IF($G$10=$E$10,$F$10,IF(T536&lt;($F$10-$E$10)/($G$10-$E$10),$E$10+SQRT(T536*($G$10-$E$10)*($F$10-$E$10)),$G$10-SQRT((1-T536)*($G$10-$E$10)*($G$10-$F$10))))</f>
        <v>1</v>
      </c>
      <c r="G536" s="38" t="n">
        <f aca="false">IF($G$11=$E$11,$F$11,IF(U536&lt;($F$11-$E$11)/($G$11-$E$11),$E$11+SQRT(U536*($G$11-$E$11)*($F$11-$E$11)),$G$11-SQRT((1-U536)*($G$11-$E$11)*($G$11-$F$11))))</f>
        <v>0</v>
      </c>
      <c r="H536" s="39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0</v>
      </c>
      <c r="I536" s="39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0</v>
      </c>
      <c r="J536" s="39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0</v>
      </c>
      <c r="K536" s="39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0</v>
      </c>
      <c r="L536" s="39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0</v>
      </c>
      <c r="M536" s="39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0</v>
      </c>
      <c r="N536" s="39" t="str">
        <f aca="false">IF(COUNT('Business Case'!B11:G11)=0,"",H536+NPV(G536,I536:M536))</f>
        <v/>
      </c>
      <c r="P536" s="40" t="n">
        <f aca="true">RAND()</f>
        <v>0.661976346823676</v>
      </c>
      <c r="Q536" s="40" t="n">
        <f aca="true">RAND()</f>
        <v>0.768194871917448</v>
      </c>
      <c r="R536" s="40" t="n">
        <f aca="true">RAND()</f>
        <v>0.438806218287891</v>
      </c>
      <c r="S536" s="40" t="n">
        <f aca="true">RAND()</f>
        <v>0.790020501311113</v>
      </c>
      <c r="T536" s="40" t="n">
        <f aca="true">RAND()</f>
        <v>0.643384016750888</v>
      </c>
      <c r="U536" s="40" t="n">
        <f aca="true">RAND()</f>
        <v>0.219996991780428</v>
      </c>
    </row>
    <row r="537" customFormat="false" ht="15" hidden="false" customHeight="false" outlineLevel="0" collapsed="false">
      <c r="A537" s="36" t="n">
        <v>457</v>
      </c>
      <c r="B537" s="37" t="n">
        <f aca="false">1+IF($G$6=$E$6,$F$6,IF(P537&lt;($F$6-$E$6)/($G$6-$E$6),$E$6+SQRT(P537*($G$6-$E$6)*($F$6-$E$6)),$G$6-SQRT((1-P537)*($G$6-$E$6)*($G$6-$F$6))))</f>
        <v>1</v>
      </c>
      <c r="C537" s="37" t="n">
        <f aca="false">1+IF($G$7=$E$7,$F$7,IF(Q537&lt;($F$7-$E$7)/($G$7-$E$7),$E$7+SQRT(Q537*($G$7-$E$7)*($F$7-$E$7)),$G$7-SQRT((1-Q537)*($G$7-$E$7)*($G$7-$F$7))))</f>
        <v>1</v>
      </c>
      <c r="D537" s="37" t="n">
        <f aca="false">1+IF($G$8=$E$8,$F$8,IF(R537&lt;($F$8-$E$8)/($G$8-$E$8),$E$8+SQRT(R537*($G$8-$E$8)*($F$8-$E$8)),$G$8-SQRT((1-R537)*($G$8-$E$8)*($G$8-$F$8))))</f>
        <v>1</v>
      </c>
      <c r="E537" s="37" t="n">
        <f aca="false">1+IF($G$9=$E$9,$F$9,IF(S537&lt;($F$9-$E$9)/($G$9-$E$9),$E$9+SQRT(S537*($G$9-$E$9)*($F$9-$E$9)),$G$9-SQRT((1-S537)*($G$9-$E$9)*($G$9-$F$9))))</f>
        <v>1</v>
      </c>
      <c r="F537" s="37" t="n">
        <f aca="false">1+IF($G$10=$E$10,$F$10,IF(T537&lt;($F$10-$E$10)/($G$10-$E$10),$E$10+SQRT(T537*($G$10-$E$10)*($F$10-$E$10)),$G$10-SQRT((1-T537)*($G$10-$E$10)*($G$10-$F$10))))</f>
        <v>1</v>
      </c>
      <c r="G537" s="38" t="n">
        <f aca="false">IF($G$11=$E$11,$F$11,IF(U537&lt;($F$11-$E$11)/($G$11-$E$11),$E$11+SQRT(U537*($G$11-$E$11)*($F$11-$E$11)),$G$11-SQRT((1-U537)*($G$11-$E$11)*($G$11-$F$11))))</f>
        <v>0</v>
      </c>
      <c r="H537" s="39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0</v>
      </c>
      <c r="I537" s="39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0</v>
      </c>
      <c r="J537" s="39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0</v>
      </c>
      <c r="K537" s="39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0</v>
      </c>
      <c r="L537" s="39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0</v>
      </c>
      <c r="M537" s="39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0</v>
      </c>
      <c r="N537" s="39" t="str">
        <f aca="false">IF(COUNT('Business Case'!B11:G11)=0,"",H537+NPV(G537,I537:M537))</f>
        <v/>
      </c>
      <c r="P537" s="40" t="n">
        <f aca="true">RAND()</f>
        <v>0.105033470542301</v>
      </c>
      <c r="Q537" s="40" t="n">
        <f aca="true">RAND()</f>
        <v>0.391128871170062</v>
      </c>
      <c r="R537" s="40" t="n">
        <f aca="true">RAND()</f>
        <v>0.206987831650339</v>
      </c>
      <c r="S537" s="40" t="n">
        <f aca="true">RAND()</f>
        <v>0.0031182491974069</v>
      </c>
      <c r="T537" s="40" t="n">
        <f aca="true">RAND()</f>
        <v>0.915078646518158</v>
      </c>
      <c r="U537" s="40" t="n">
        <f aca="true">RAND()</f>
        <v>0.192487420606964</v>
      </c>
    </row>
    <row r="538" customFormat="false" ht="15" hidden="false" customHeight="false" outlineLevel="0" collapsed="false">
      <c r="A538" s="36" t="n">
        <v>458</v>
      </c>
      <c r="B538" s="37" t="n">
        <f aca="false">1+IF($G$6=$E$6,$F$6,IF(P538&lt;($F$6-$E$6)/($G$6-$E$6),$E$6+SQRT(P538*($G$6-$E$6)*($F$6-$E$6)),$G$6-SQRT((1-P538)*($G$6-$E$6)*($G$6-$F$6))))</f>
        <v>1</v>
      </c>
      <c r="C538" s="37" t="n">
        <f aca="false">1+IF($G$7=$E$7,$F$7,IF(Q538&lt;($F$7-$E$7)/($G$7-$E$7),$E$7+SQRT(Q538*($G$7-$E$7)*($F$7-$E$7)),$G$7-SQRT((1-Q538)*($G$7-$E$7)*($G$7-$F$7))))</f>
        <v>1</v>
      </c>
      <c r="D538" s="37" t="n">
        <f aca="false">1+IF($G$8=$E$8,$F$8,IF(R538&lt;($F$8-$E$8)/($G$8-$E$8),$E$8+SQRT(R538*($G$8-$E$8)*($F$8-$E$8)),$G$8-SQRT((1-R538)*($G$8-$E$8)*($G$8-$F$8))))</f>
        <v>1</v>
      </c>
      <c r="E538" s="37" t="n">
        <f aca="false">1+IF($G$9=$E$9,$F$9,IF(S538&lt;($F$9-$E$9)/($G$9-$E$9),$E$9+SQRT(S538*($G$9-$E$9)*($F$9-$E$9)),$G$9-SQRT((1-S538)*($G$9-$E$9)*($G$9-$F$9))))</f>
        <v>1</v>
      </c>
      <c r="F538" s="37" t="n">
        <f aca="false">1+IF($G$10=$E$10,$F$10,IF(T538&lt;($F$10-$E$10)/($G$10-$E$10),$E$10+SQRT(T538*($G$10-$E$10)*($F$10-$E$10)),$G$10-SQRT((1-T538)*($G$10-$E$10)*($G$10-$F$10))))</f>
        <v>1</v>
      </c>
      <c r="G538" s="38" t="n">
        <f aca="false">IF($G$11=$E$11,$F$11,IF(U538&lt;($F$11-$E$11)/($G$11-$E$11),$E$11+SQRT(U538*($G$11-$E$11)*($F$11-$E$11)),$G$11-SQRT((1-U538)*($G$11-$E$11)*($G$11-$F$11))))</f>
        <v>0</v>
      </c>
      <c r="H538" s="39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0</v>
      </c>
      <c r="I538" s="39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0</v>
      </c>
      <c r="J538" s="39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0</v>
      </c>
      <c r="K538" s="39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0</v>
      </c>
      <c r="L538" s="39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0</v>
      </c>
      <c r="M538" s="39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0</v>
      </c>
      <c r="N538" s="39" t="str">
        <f aca="false">IF(COUNT('Business Case'!B11:G11)=0,"",H538+NPV(G538,I538:M538))</f>
        <v/>
      </c>
      <c r="P538" s="40" t="n">
        <f aca="true">RAND()</f>
        <v>0.174383866012815</v>
      </c>
      <c r="Q538" s="40" t="n">
        <f aca="true">RAND()</f>
        <v>0.578922200091514</v>
      </c>
      <c r="R538" s="40" t="n">
        <f aca="true">RAND()</f>
        <v>0.365309152985301</v>
      </c>
      <c r="S538" s="40" t="n">
        <f aca="true">RAND()</f>
        <v>0.842068437893452</v>
      </c>
      <c r="T538" s="40" t="n">
        <f aca="true">RAND()</f>
        <v>0.626881707003361</v>
      </c>
      <c r="U538" s="40" t="n">
        <f aca="true">RAND()</f>
        <v>0.633230907683934</v>
      </c>
    </row>
    <row r="539" customFormat="false" ht="15" hidden="false" customHeight="false" outlineLevel="0" collapsed="false">
      <c r="A539" s="36" t="n">
        <v>459</v>
      </c>
      <c r="B539" s="37" t="n">
        <f aca="false">1+IF($G$6=$E$6,$F$6,IF(P539&lt;($F$6-$E$6)/($G$6-$E$6),$E$6+SQRT(P539*($G$6-$E$6)*($F$6-$E$6)),$G$6-SQRT((1-P539)*($G$6-$E$6)*($G$6-$F$6))))</f>
        <v>1</v>
      </c>
      <c r="C539" s="37" t="n">
        <f aca="false">1+IF($G$7=$E$7,$F$7,IF(Q539&lt;($F$7-$E$7)/($G$7-$E$7),$E$7+SQRT(Q539*($G$7-$E$7)*($F$7-$E$7)),$G$7-SQRT((1-Q539)*($G$7-$E$7)*($G$7-$F$7))))</f>
        <v>1</v>
      </c>
      <c r="D539" s="37" t="n">
        <f aca="false">1+IF($G$8=$E$8,$F$8,IF(R539&lt;($F$8-$E$8)/($G$8-$E$8),$E$8+SQRT(R539*($G$8-$E$8)*($F$8-$E$8)),$G$8-SQRT((1-R539)*($G$8-$E$8)*($G$8-$F$8))))</f>
        <v>1</v>
      </c>
      <c r="E539" s="37" t="n">
        <f aca="false">1+IF($G$9=$E$9,$F$9,IF(S539&lt;($F$9-$E$9)/($G$9-$E$9),$E$9+SQRT(S539*($G$9-$E$9)*($F$9-$E$9)),$G$9-SQRT((1-S539)*($G$9-$E$9)*($G$9-$F$9))))</f>
        <v>1</v>
      </c>
      <c r="F539" s="37" t="n">
        <f aca="false">1+IF($G$10=$E$10,$F$10,IF(T539&lt;($F$10-$E$10)/($G$10-$E$10),$E$10+SQRT(T539*($G$10-$E$10)*($F$10-$E$10)),$G$10-SQRT((1-T539)*($G$10-$E$10)*($G$10-$F$10))))</f>
        <v>1</v>
      </c>
      <c r="G539" s="38" t="n">
        <f aca="false">IF($G$11=$E$11,$F$11,IF(U539&lt;($F$11-$E$11)/($G$11-$E$11),$E$11+SQRT(U539*($G$11-$E$11)*($F$11-$E$11)),$G$11-SQRT((1-U539)*($G$11-$E$11)*($G$11-$F$11))))</f>
        <v>0</v>
      </c>
      <c r="H539" s="39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0</v>
      </c>
      <c r="I539" s="39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0</v>
      </c>
      <c r="J539" s="39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0</v>
      </c>
      <c r="K539" s="39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0</v>
      </c>
      <c r="L539" s="39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0</v>
      </c>
      <c r="M539" s="39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0</v>
      </c>
      <c r="N539" s="39" t="str">
        <f aca="false">IF(COUNT('Business Case'!B11:G11)=0,"",H539+NPV(G539,I539:M539))</f>
        <v/>
      </c>
      <c r="P539" s="40" t="n">
        <f aca="true">RAND()</f>
        <v>0.253621561545741</v>
      </c>
      <c r="Q539" s="40" t="n">
        <f aca="true">RAND()</f>
        <v>0.0967775898841913</v>
      </c>
      <c r="R539" s="40" t="n">
        <f aca="true">RAND()</f>
        <v>0.504057083975948</v>
      </c>
      <c r="S539" s="40" t="n">
        <f aca="true">RAND()</f>
        <v>0.459200160363211</v>
      </c>
      <c r="T539" s="40" t="n">
        <f aca="true">RAND()</f>
        <v>0.255927760407114</v>
      </c>
      <c r="U539" s="40" t="n">
        <f aca="true">RAND()</f>
        <v>0.0713703548655898</v>
      </c>
    </row>
    <row r="540" customFormat="false" ht="15" hidden="false" customHeight="false" outlineLevel="0" collapsed="false">
      <c r="A540" s="36" t="n">
        <v>460</v>
      </c>
      <c r="B540" s="37" t="n">
        <f aca="false">1+IF($G$6=$E$6,$F$6,IF(P540&lt;($F$6-$E$6)/($G$6-$E$6),$E$6+SQRT(P540*($G$6-$E$6)*($F$6-$E$6)),$G$6-SQRT((1-P540)*($G$6-$E$6)*($G$6-$F$6))))</f>
        <v>1</v>
      </c>
      <c r="C540" s="37" t="n">
        <f aca="false">1+IF($G$7=$E$7,$F$7,IF(Q540&lt;($F$7-$E$7)/($G$7-$E$7),$E$7+SQRT(Q540*($G$7-$E$7)*($F$7-$E$7)),$G$7-SQRT((1-Q540)*($G$7-$E$7)*($G$7-$F$7))))</f>
        <v>1</v>
      </c>
      <c r="D540" s="37" t="n">
        <f aca="false">1+IF($G$8=$E$8,$F$8,IF(R540&lt;($F$8-$E$8)/($G$8-$E$8),$E$8+SQRT(R540*($G$8-$E$8)*($F$8-$E$8)),$G$8-SQRT((1-R540)*($G$8-$E$8)*($G$8-$F$8))))</f>
        <v>1</v>
      </c>
      <c r="E540" s="37" t="n">
        <f aca="false">1+IF($G$9=$E$9,$F$9,IF(S540&lt;($F$9-$E$9)/($G$9-$E$9),$E$9+SQRT(S540*($G$9-$E$9)*($F$9-$E$9)),$G$9-SQRT((1-S540)*($G$9-$E$9)*($G$9-$F$9))))</f>
        <v>1</v>
      </c>
      <c r="F540" s="37" t="n">
        <f aca="false">1+IF($G$10=$E$10,$F$10,IF(T540&lt;($F$10-$E$10)/($G$10-$E$10),$E$10+SQRT(T540*($G$10-$E$10)*($F$10-$E$10)),$G$10-SQRT((1-T540)*($G$10-$E$10)*($G$10-$F$10))))</f>
        <v>1</v>
      </c>
      <c r="G540" s="38" t="n">
        <f aca="false">IF($G$11=$E$11,$F$11,IF(U540&lt;($F$11-$E$11)/($G$11-$E$11),$E$11+SQRT(U540*($G$11-$E$11)*($F$11-$E$11)),$G$11-SQRT((1-U540)*($G$11-$E$11)*($G$11-$F$11))))</f>
        <v>0</v>
      </c>
      <c r="H540" s="39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0</v>
      </c>
      <c r="I540" s="39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0</v>
      </c>
      <c r="J540" s="39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0</v>
      </c>
      <c r="K540" s="39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0</v>
      </c>
      <c r="L540" s="39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0</v>
      </c>
      <c r="M540" s="39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0</v>
      </c>
      <c r="N540" s="39" t="str">
        <f aca="false">IF(COUNT('Business Case'!B11:G11)=0,"",H540+NPV(G540,I540:M540))</f>
        <v/>
      </c>
      <c r="P540" s="40" t="n">
        <f aca="true">RAND()</f>
        <v>0.717857016711107</v>
      </c>
      <c r="Q540" s="40" t="n">
        <f aca="true">RAND()</f>
        <v>0.082647813211355</v>
      </c>
      <c r="R540" s="40" t="n">
        <f aca="true">RAND()</f>
        <v>0.0579004722655211</v>
      </c>
      <c r="S540" s="40" t="n">
        <f aca="true">RAND()</f>
        <v>0.555225147780753</v>
      </c>
      <c r="T540" s="40" t="n">
        <f aca="true">RAND()</f>
        <v>0.25057716593964</v>
      </c>
      <c r="U540" s="40" t="n">
        <f aca="true">RAND()</f>
        <v>0.108540231758883</v>
      </c>
    </row>
    <row r="541" customFormat="false" ht="15" hidden="false" customHeight="false" outlineLevel="0" collapsed="false">
      <c r="A541" s="36" t="n">
        <v>461</v>
      </c>
      <c r="B541" s="37" t="n">
        <f aca="false">1+IF($G$6=$E$6,$F$6,IF(P541&lt;($F$6-$E$6)/($G$6-$E$6),$E$6+SQRT(P541*($G$6-$E$6)*($F$6-$E$6)),$G$6-SQRT((1-P541)*($G$6-$E$6)*($G$6-$F$6))))</f>
        <v>1</v>
      </c>
      <c r="C541" s="37" t="n">
        <f aca="false">1+IF($G$7=$E$7,$F$7,IF(Q541&lt;($F$7-$E$7)/($G$7-$E$7),$E$7+SQRT(Q541*($G$7-$E$7)*($F$7-$E$7)),$G$7-SQRT((1-Q541)*($G$7-$E$7)*($G$7-$F$7))))</f>
        <v>1</v>
      </c>
      <c r="D541" s="37" t="n">
        <f aca="false">1+IF($G$8=$E$8,$F$8,IF(R541&lt;($F$8-$E$8)/($G$8-$E$8),$E$8+SQRT(R541*($G$8-$E$8)*($F$8-$E$8)),$G$8-SQRT((1-R541)*($G$8-$E$8)*($G$8-$F$8))))</f>
        <v>1</v>
      </c>
      <c r="E541" s="37" t="n">
        <f aca="false">1+IF($G$9=$E$9,$F$9,IF(S541&lt;($F$9-$E$9)/($G$9-$E$9),$E$9+SQRT(S541*($G$9-$E$9)*($F$9-$E$9)),$G$9-SQRT((1-S541)*($G$9-$E$9)*($G$9-$F$9))))</f>
        <v>1</v>
      </c>
      <c r="F541" s="37" t="n">
        <f aca="false">1+IF($G$10=$E$10,$F$10,IF(T541&lt;($F$10-$E$10)/($G$10-$E$10),$E$10+SQRT(T541*($G$10-$E$10)*($F$10-$E$10)),$G$10-SQRT((1-T541)*($G$10-$E$10)*($G$10-$F$10))))</f>
        <v>1</v>
      </c>
      <c r="G541" s="38" t="n">
        <f aca="false">IF($G$11=$E$11,$F$11,IF(U541&lt;($F$11-$E$11)/($G$11-$E$11),$E$11+SQRT(U541*($G$11-$E$11)*($F$11-$E$11)),$G$11-SQRT((1-U541)*($G$11-$E$11)*($G$11-$F$11))))</f>
        <v>0</v>
      </c>
      <c r="H541" s="39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0</v>
      </c>
      <c r="I541" s="39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0</v>
      </c>
      <c r="J541" s="39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0</v>
      </c>
      <c r="K541" s="39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0</v>
      </c>
      <c r="L541" s="39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0</v>
      </c>
      <c r="M541" s="39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0</v>
      </c>
      <c r="N541" s="39" t="str">
        <f aca="false">IF(COUNT('Business Case'!B11:G11)=0,"",H541+NPV(G541,I541:M541))</f>
        <v/>
      </c>
      <c r="P541" s="40" t="n">
        <f aca="true">RAND()</f>
        <v>0.661831603302355</v>
      </c>
      <c r="Q541" s="40" t="n">
        <f aca="true">RAND()</f>
        <v>0.0843023707999453</v>
      </c>
      <c r="R541" s="40" t="n">
        <f aca="true">RAND()</f>
        <v>0.892905101146562</v>
      </c>
      <c r="S541" s="40" t="n">
        <f aca="true">RAND()</f>
        <v>0.287974004044265</v>
      </c>
      <c r="T541" s="40" t="n">
        <f aca="true">RAND()</f>
        <v>0.224796658975923</v>
      </c>
      <c r="U541" s="40" t="n">
        <f aca="true">RAND()</f>
        <v>0.960536442419096</v>
      </c>
    </row>
    <row r="542" customFormat="false" ht="15" hidden="false" customHeight="false" outlineLevel="0" collapsed="false">
      <c r="A542" s="36" t="n">
        <v>462</v>
      </c>
      <c r="B542" s="37" t="n">
        <f aca="false">1+IF($G$6=$E$6,$F$6,IF(P542&lt;($F$6-$E$6)/($G$6-$E$6),$E$6+SQRT(P542*($G$6-$E$6)*($F$6-$E$6)),$G$6-SQRT((1-P542)*($G$6-$E$6)*($G$6-$F$6))))</f>
        <v>1</v>
      </c>
      <c r="C542" s="37" t="n">
        <f aca="false">1+IF($G$7=$E$7,$F$7,IF(Q542&lt;($F$7-$E$7)/($G$7-$E$7),$E$7+SQRT(Q542*($G$7-$E$7)*($F$7-$E$7)),$G$7-SQRT((1-Q542)*($G$7-$E$7)*($G$7-$F$7))))</f>
        <v>1</v>
      </c>
      <c r="D542" s="37" t="n">
        <f aca="false">1+IF($G$8=$E$8,$F$8,IF(R542&lt;($F$8-$E$8)/($G$8-$E$8),$E$8+SQRT(R542*($G$8-$E$8)*($F$8-$E$8)),$G$8-SQRT((1-R542)*($G$8-$E$8)*($G$8-$F$8))))</f>
        <v>1</v>
      </c>
      <c r="E542" s="37" t="n">
        <f aca="false">1+IF($G$9=$E$9,$F$9,IF(S542&lt;($F$9-$E$9)/($G$9-$E$9),$E$9+SQRT(S542*($G$9-$E$9)*($F$9-$E$9)),$G$9-SQRT((1-S542)*($G$9-$E$9)*($G$9-$F$9))))</f>
        <v>1</v>
      </c>
      <c r="F542" s="37" t="n">
        <f aca="false">1+IF($G$10=$E$10,$F$10,IF(T542&lt;($F$10-$E$10)/($G$10-$E$10),$E$10+SQRT(T542*($G$10-$E$10)*($F$10-$E$10)),$G$10-SQRT((1-T542)*($G$10-$E$10)*($G$10-$F$10))))</f>
        <v>1</v>
      </c>
      <c r="G542" s="38" t="n">
        <f aca="false">IF($G$11=$E$11,$F$11,IF(U542&lt;($F$11-$E$11)/($G$11-$E$11),$E$11+SQRT(U542*($G$11-$E$11)*($F$11-$E$11)),$G$11-SQRT((1-U542)*($G$11-$E$11)*($G$11-$F$11))))</f>
        <v>0</v>
      </c>
      <c r="H542" s="39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0</v>
      </c>
      <c r="I542" s="39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0</v>
      </c>
      <c r="J542" s="39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0</v>
      </c>
      <c r="K542" s="39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0</v>
      </c>
      <c r="L542" s="39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0</v>
      </c>
      <c r="M542" s="39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0</v>
      </c>
      <c r="N542" s="39" t="str">
        <f aca="false">IF(COUNT('Business Case'!B11:G11)=0,"",H542+NPV(G542,I542:M542))</f>
        <v/>
      </c>
      <c r="P542" s="40" t="n">
        <f aca="true">RAND()</f>
        <v>0.866371812105561</v>
      </c>
      <c r="Q542" s="40" t="n">
        <f aca="true">RAND()</f>
        <v>0.522007021195702</v>
      </c>
      <c r="R542" s="40" t="n">
        <f aca="true">RAND()</f>
        <v>0.813025873467201</v>
      </c>
      <c r="S542" s="40" t="n">
        <f aca="true">RAND()</f>
        <v>0.430774786454111</v>
      </c>
      <c r="T542" s="40" t="n">
        <f aca="true">RAND()</f>
        <v>0.232473144668017</v>
      </c>
      <c r="U542" s="40" t="n">
        <f aca="true">RAND()</f>
        <v>0.92319564660989</v>
      </c>
    </row>
    <row r="543" customFormat="false" ht="15" hidden="false" customHeight="false" outlineLevel="0" collapsed="false">
      <c r="A543" s="36" t="n">
        <v>463</v>
      </c>
      <c r="B543" s="37" t="n">
        <f aca="false">1+IF($G$6=$E$6,$F$6,IF(P543&lt;($F$6-$E$6)/($G$6-$E$6),$E$6+SQRT(P543*($G$6-$E$6)*($F$6-$E$6)),$G$6-SQRT((1-P543)*($G$6-$E$6)*($G$6-$F$6))))</f>
        <v>1</v>
      </c>
      <c r="C543" s="37" t="n">
        <f aca="false">1+IF($G$7=$E$7,$F$7,IF(Q543&lt;($F$7-$E$7)/($G$7-$E$7),$E$7+SQRT(Q543*($G$7-$E$7)*($F$7-$E$7)),$G$7-SQRT((1-Q543)*($G$7-$E$7)*($G$7-$F$7))))</f>
        <v>1</v>
      </c>
      <c r="D543" s="37" t="n">
        <f aca="false">1+IF($G$8=$E$8,$F$8,IF(R543&lt;($F$8-$E$8)/($G$8-$E$8),$E$8+SQRT(R543*($G$8-$E$8)*($F$8-$E$8)),$G$8-SQRT((1-R543)*($G$8-$E$8)*($G$8-$F$8))))</f>
        <v>1</v>
      </c>
      <c r="E543" s="37" t="n">
        <f aca="false">1+IF($G$9=$E$9,$F$9,IF(S543&lt;($F$9-$E$9)/($G$9-$E$9),$E$9+SQRT(S543*($G$9-$E$9)*($F$9-$E$9)),$G$9-SQRT((1-S543)*($G$9-$E$9)*($G$9-$F$9))))</f>
        <v>1</v>
      </c>
      <c r="F543" s="37" t="n">
        <f aca="false">1+IF($G$10=$E$10,$F$10,IF(T543&lt;($F$10-$E$10)/($G$10-$E$10),$E$10+SQRT(T543*($G$10-$E$10)*($F$10-$E$10)),$G$10-SQRT((1-T543)*($G$10-$E$10)*($G$10-$F$10))))</f>
        <v>1</v>
      </c>
      <c r="G543" s="38" t="n">
        <f aca="false">IF($G$11=$E$11,$F$11,IF(U543&lt;($F$11-$E$11)/($G$11-$E$11),$E$11+SQRT(U543*($G$11-$E$11)*($F$11-$E$11)),$G$11-SQRT((1-U543)*($G$11-$E$11)*($G$11-$F$11))))</f>
        <v>0</v>
      </c>
      <c r="H543" s="39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0</v>
      </c>
      <c r="I543" s="39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0</v>
      </c>
      <c r="J543" s="39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0</v>
      </c>
      <c r="K543" s="39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0</v>
      </c>
      <c r="L543" s="39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0</v>
      </c>
      <c r="M543" s="39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0</v>
      </c>
      <c r="N543" s="39" t="str">
        <f aca="false">IF(COUNT('Business Case'!B11:G11)=0,"",H543+NPV(G543,I543:M543))</f>
        <v/>
      </c>
      <c r="P543" s="40" t="n">
        <f aca="true">RAND()</f>
        <v>0.720046310856837</v>
      </c>
      <c r="Q543" s="40" t="n">
        <f aca="true">RAND()</f>
        <v>0.788252057237601</v>
      </c>
      <c r="R543" s="40" t="n">
        <f aca="true">RAND()</f>
        <v>0.498613269477127</v>
      </c>
      <c r="S543" s="40" t="n">
        <f aca="true">RAND()</f>
        <v>0.512479868684298</v>
      </c>
      <c r="T543" s="40" t="n">
        <f aca="true">RAND()</f>
        <v>0.183943811340939</v>
      </c>
      <c r="U543" s="40" t="n">
        <f aca="true">RAND()</f>
        <v>0.549212722231061</v>
      </c>
    </row>
    <row r="544" customFormat="false" ht="15" hidden="false" customHeight="false" outlineLevel="0" collapsed="false">
      <c r="A544" s="36" t="n">
        <v>464</v>
      </c>
      <c r="B544" s="37" t="n">
        <f aca="false">1+IF($G$6=$E$6,$F$6,IF(P544&lt;($F$6-$E$6)/($G$6-$E$6),$E$6+SQRT(P544*($G$6-$E$6)*($F$6-$E$6)),$G$6-SQRT((1-P544)*($G$6-$E$6)*($G$6-$F$6))))</f>
        <v>1</v>
      </c>
      <c r="C544" s="37" t="n">
        <f aca="false">1+IF($G$7=$E$7,$F$7,IF(Q544&lt;($F$7-$E$7)/($G$7-$E$7),$E$7+SQRT(Q544*($G$7-$E$7)*($F$7-$E$7)),$G$7-SQRT((1-Q544)*($G$7-$E$7)*($G$7-$F$7))))</f>
        <v>1</v>
      </c>
      <c r="D544" s="37" t="n">
        <f aca="false">1+IF($G$8=$E$8,$F$8,IF(R544&lt;($F$8-$E$8)/($G$8-$E$8),$E$8+SQRT(R544*($G$8-$E$8)*($F$8-$E$8)),$G$8-SQRT((1-R544)*($G$8-$E$8)*($G$8-$F$8))))</f>
        <v>1</v>
      </c>
      <c r="E544" s="37" t="n">
        <f aca="false">1+IF($G$9=$E$9,$F$9,IF(S544&lt;($F$9-$E$9)/($G$9-$E$9),$E$9+SQRT(S544*($G$9-$E$9)*($F$9-$E$9)),$G$9-SQRT((1-S544)*($G$9-$E$9)*($G$9-$F$9))))</f>
        <v>1</v>
      </c>
      <c r="F544" s="37" t="n">
        <f aca="false">1+IF($G$10=$E$10,$F$10,IF(T544&lt;($F$10-$E$10)/($G$10-$E$10),$E$10+SQRT(T544*($G$10-$E$10)*($F$10-$E$10)),$G$10-SQRT((1-T544)*($G$10-$E$10)*($G$10-$F$10))))</f>
        <v>1</v>
      </c>
      <c r="G544" s="38" t="n">
        <f aca="false">IF($G$11=$E$11,$F$11,IF(U544&lt;($F$11-$E$11)/($G$11-$E$11),$E$11+SQRT(U544*($G$11-$E$11)*($F$11-$E$11)),$G$11-SQRT((1-U544)*($G$11-$E$11)*($G$11-$F$11))))</f>
        <v>0</v>
      </c>
      <c r="H544" s="39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0</v>
      </c>
      <c r="I544" s="39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0</v>
      </c>
      <c r="J544" s="39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0</v>
      </c>
      <c r="K544" s="39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0</v>
      </c>
      <c r="L544" s="39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0</v>
      </c>
      <c r="M544" s="39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0</v>
      </c>
      <c r="N544" s="39" t="str">
        <f aca="false">IF(COUNT('Business Case'!B11:G11)=0,"",H544+NPV(G544,I544:M544))</f>
        <v/>
      </c>
      <c r="P544" s="40" t="n">
        <f aca="true">RAND()</f>
        <v>0.330283183184845</v>
      </c>
      <c r="Q544" s="40" t="n">
        <f aca="true">RAND()</f>
        <v>0.448721902706717</v>
      </c>
      <c r="R544" s="40" t="n">
        <f aca="true">RAND()</f>
        <v>0.508746748997006</v>
      </c>
      <c r="S544" s="40" t="n">
        <f aca="true">RAND()</f>
        <v>0.934391950147999</v>
      </c>
      <c r="T544" s="40" t="n">
        <f aca="true">RAND()</f>
        <v>0.0416982175119323</v>
      </c>
      <c r="U544" s="40" t="n">
        <f aca="true">RAND()</f>
        <v>0.983540956049918</v>
      </c>
    </row>
    <row r="545" customFormat="false" ht="15" hidden="false" customHeight="false" outlineLevel="0" collapsed="false">
      <c r="A545" s="36" t="n">
        <v>465</v>
      </c>
      <c r="B545" s="37" t="n">
        <f aca="false">1+IF($G$6=$E$6,$F$6,IF(P545&lt;($F$6-$E$6)/($G$6-$E$6),$E$6+SQRT(P545*($G$6-$E$6)*($F$6-$E$6)),$G$6-SQRT((1-P545)*($G$6-$E$6)*($G$6-$F$6))))</f>
        <v>1</v>
      </c>
      <c r="C545" s="37" t="n">
        <f aca="false">1+IF($G$7=$E$7,$F$7,IF(Q545&lt;($F$7-$E$7)/($G$7-$E$7),$E$7+SQRT(Q545*($G$7-$E$7)*($F$7-$E$7)),$G$7-SQRT((1-Q545)*($G$7-$E$7)*($G$7-$F$7))))</f>
        <v>1</v>
      </c>
      <c r="D545" s="37" t="n">
        <f aca="false">1+IF($G$8=$E$8,$F$8,IF(R545&lt;($F$8-$E$8)/($G$8-$E$8),$E$8+SQRT(R545*($G$8-$E$8)*($F$8-$E$8)),$G$8-SQRT((1-R545)*($G$8-$E$8)*($G$8-$F$8))))</f>
        <v>1</v>
      </c>
      <c r="E545" s="37" t="n">
        <f aca="false">1+IF($G$9=$E$9,$F$9,IF(S545&lt;($F$9-$E$9)/($G$9-$E$9),$E$9+SQRT(S545*($G$9-$E$9)*($F$9-$E$9)),$G$9-SQRT((1-S545)*($G$9-$E$9)*($G$9-$F$9))))</f>
        <v>1</v>
      </c>
      <c r="F545" s="37" t="n">
        <f aca="false">1+IF($G$10=$E$10,$F$10,IF(T545&lt;($F$10-$E$10)/($G$10-$E$10),$E$10+SQRT(T545*($G$10-$E$10)*($F$10-$E$10)),$G$10-SQRT((1-T545)*($G$10-$E$10)*($G$10-$F$10))))</f>
        <v>1</v>
      </c>
      <c r="G545" s="38" t="n">
        <f aca="false">IF($G$11=$E$11,$F$11,IF(U545&lt;($F$11-$E$11)/($G$11-$E$11),$E$11+SQRT(U545*($G$11-$E$11)*($F$11-$E$11)),$G$11-SQRT((1-U545)*($G$11-$E$11)*($G$11-$F$11))))</f>
        <v>0</v>
      </c>
      <c r="H545" s="39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0</v>
      </c>
      <c r="I545" s="39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0</v>
      </c>
      <c r="J545" s="39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0</v>
      </c>
      <c r="K545" s="39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0</v>
      </c>
      <c r="L545" s="39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0</v>
      </c>
      <c r="M545" s="39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0</v>
      </c>
      <c r="N545" s="39" t="str">
        <f aca="false">IF(COUNT('Business Case'!B11:G11)=0,"",H545+NPV(G545,I545:M545))</f>
        <v/>
      </c>
      <c r="P545" s="40" t="n">
        <f aca="true">RAND()</f>
        <v>0.856461069499875</v>
      </c>
      <c r="Q545" s="40" t="n">
        <f aca="true">RAND()</f>
        <v>0.506930517462049</v>
      </c>
      <c r="R545" s="40" t="n">
        <f aca="true">RAND()</f>
        <v>0.122039430989473</v>
      </c>
      <c r="S545" s="40" t="n">
        <f aca="true">RAND()</f>
        <v>0.321164217612479</v>
      </c>
      <c r="T545" s="40" t="n">
        <f aca="true">RAND()</f>
        <v>0.458872050226597</v>
      </c>
      <c r="U545" s="40" t="n">
        <f aca="true">RAND()</f>
        <v>0.597098132047485</v>
      </c>
    </row>
    <row r="546" customFormat="false" ht="15" hidden="false" customHeight="false" outlineLevel="0" collapsed="false">
      <c r="A546" s="36" t="n">
        <v>466</v>
      </c>
      <c r="B546" s="37" t="n">
        <f aca="false">1+IF($G$6=$E$6,$F$6,IF(P546&lt;($F$6-$E$6)/($G$6-$E$6),$E$6+SQRT(P546*($G$6-$E$6)*($F$6-$E$6)),$G$6-SQRT((1-P546)*($G$6-$E$6)*($G$6-$F$6))))</f>
        <v>1</v>
      </c>
      <c r="C546" s="37" t="n">
        <f aca="false">1+IF($G$7=$E$7,$F$7,IF(Q546&lt;($F$7-$E$7)/($G$7-$E$7),$E$7+SQRT(Q546*($G$7-$E$7)*($F$7-$E$7)),$G$7-SQRT((1-Q546)*($G$7-$E$7)*($G$7-$F$7))))</f>
        <v>1</v>
      </c>
      <c r="D546" s="37" t="n">
        <f aca="false">1+IF($G$8=$E$8,$F$8,IF(R546&lt;($F$8-$E$8)/($G$8-$E$8),$E$8+SQRT(R546*($G$8-$E$8)*($F$8-$E$8)),$G$8-SQRT((1-R546)*($G$8-$E$8)*($G$8-$F$8))))</f>
        <v>1</v>
      </c>
      <c r="E546" s="37" t="n">
        <f aca="false">1+IF($G$9=$E$9,$F$9,IF(S546&lt;($F$9-$E$9)/($G$9-$E$9),$E$9+SQRT(S546*($G$9-$E$9)*($F$9-$E$9)),$G$9-SQRT((1-S546)*($G$9-$E$9)*($G$9-$F$9))))</f>
        <v>1</v>
      </c>
      <c r="F546" s="37" t="n">
        <f aca="false">1+IF($G$10=$E$10,$F$10,IF(T546&lt;($F$10-$E$10)/($G$10-$E$10),$E$10+SQRT(T546*($G$10-$E$10)*($F$10-$E$10)),$G$10-SQRT((1-T546)*($G$10-$E$10)*($G$10-$F$10))))</f>
        <v>1</v>
      </c>
      <c r="G546" s="38" t="n">
        <f aca="false">IF($G$11=$E$11,$F$11,IF(U546&lt;($F$11-$E$11)/($G$11-$E$11),$E$11+SQRT(U546*($G$11-$E$11)*($F$11-$E$11)),$G$11-SQRT((1-U546)*($G$11-$E$11)*($G$11-$F$11))))</f>
        <v>0</v>
      </c>
      <c r="H546" s="39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0</v>
      </c>
      <c r="I546" s="39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0</v>
      </c>
      <c r="J546" s="39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0</v>
      </c>
      <c r="K546" s="39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0</v>
      </c>
      <c r="L546" s="39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0</v>
      </c>
      <c r="M546" s="39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0</v>
      </c>
      <c r="N546" s="39" t="str">
        <f aca="false">IF(COUNT('Business Case'!B11:G11)=0,"",H546+NPV(G546,I546:M546))</f>
        <v/>
      </c>
      <c r="P546" s="40" t="n">
        <f aca="true">RAND()</f>
        <v>0.404513470282118</v>
      </c>
      <c r="Q546" s="40" t="n">
        <f aca="true">RAND()</f>
        <v>0.786835452516917</v>
      </c>
      <c r="R546" s="40" t="n">
        <f aca="true">RAND()</f>
        <v>0.898620233707793</v>
      </c>
      <c r="S546" s="40" t="n">
        <f aca="true">RAND()</f>
        <v>0.376649720127442</v>
      </c>
      <c r="T546" s="40" t="n">
        <f aca="true">RAND()</f>
        <v>0.0067213714052017</v>
      </c>
      <c r="U546" s="40" t="n">
        <f aca="true">RAND()</f>
        <v>0.322346823257494</v>
      </c>
    </row>
    <row r="547" customFormat="false" ht="15" hidden="false" customHeight="false" outlineLevel="0" collapsed="false">
      <c r="A547" s="36" t="n">
        <v>467</v>
      </c>
      <c r="B547" s="37" t="n">
        <f aca="false">1+IF($G$6=$E$6,$F$6,IF(P547&lt;($F$6-$E$6)/($G$6-$E$6),$E$6+SQRT(P547*($G$6-$E$6)*($F$6-$E$6)),$G$6-SQRT((1-P547)*($G$6-$E$6)*($G$6-$F$6))))</f>
        <v>1</v>
      </c>
      <c r="C547" s="37" t="n">
        <f aca="false">1+IF($G$7=$E$7,$F$7,IF(Q547&lt;($F$7-$E$7)/($G$7-$E$7),$E$7+SQRT(Q547*($G$7-$E$7)*($F$7-$E$7)),$G$7-SQRT((1-Q547)*($G$7-$E$7)*($G$7-$F$7))))</f>
        <v>1</v>
      </c>
      <c r="D547" s="37" t="n">
        <f aca="false">1+IF($G$8=$E$8,$F$8,IF(R547&lt;($F$8-$E$8)/($G$8-$E$8),$E$8+SQRT(R547*($G$8-$E$8)*($F$8-$E$8)),$G$8-SQRT((1-R547)*($G$8-$E$8)*($G$8-$F$8))))</f>
        <v>1</v>
      </c>
      <c r="E547" s="37" t="n">
        <f aca="false">1+IF($G$9=$E$9,$F$9,IF(S547&lt;($F$9-$E$9)/($G$9-$E$9),$E$9+SQRT(S547*($G$9-$E$9)*($F$9-$E$9)),$G$9-SQRT((1-S547)*($G$9-$E$9)*($G$9-$F$9))))</f>
        <v>1</v>
      </c>
      <c r="F547" s="37" t="n">
        <f aca="false">1+IF($G$10=$E$10,$F$10,IF(T547&lt;($F$10-$E$10)/($G$10-$E$10),$E$10+SQRT(T547*($G$10-$E$10)*($F$10-$E$10)),$G$10-SQRT((1-T547)*($G$10-$E$10)*($G$10-$F$10))))</f>
        <v>1</v>
      </c>
      <c r="G547" s="38" t="n">
        <f aca="false">IF($G$11=$E$11,$F$11,IF(U547&lt;($F$11-$E$11)/($G$11-$E$11),$E$11+SQRT(U547*($G$11-$E$11)*($F$11-$E$11)),$G$11-SQRT((1-U547)*($G$11-$E$11)*($G$11-$F$11))))</f>
        <v>0</v>
      </c>
      <c r="H547" s="39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0</v>
      </c>
      <c r="I547" s="39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0</v>
      </c>
      <c r="J547" s="39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0</v>
      </c>
      <c r="K547" s="39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0</v>
      </c>
      <c r="L547" s="39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0</v>
      </c>
      <c r="M547" s="39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0</v>
      </c>
      <c r="N547" s="39" t="str">
        <f aca="false">IF(COUNT('Business Case'!B11:G11)=0,"",H547+NPV(G547,I547:M547))</f>
        <v/>
      </c>
      <c r="P547" s="40" t="n">
        <f aca="true">RAND()</f>
        <v>0.465030991857393</v>
      </c>
      <c r="Q547" s="40" t="n">
        <f aca="true">RAND()</f>
        <v>0.846591374379794</v>
      </c>
      <c r="R547" s="40" t="n">
        <f aca="true">RAND()</f>
        <v>0.120173345060189</v>
      </c>
      <c r="S547" s="40" t="n">
        <f aca="true">RAND()</f>
        <v>0.364358208368141</v>
      </c>
      <c r="T547" s="40" t="n">
        <f aca="true">RAND()</f>
        <v>0.116757196701718</v>
      </c>
      <c r="U547" s="40" t="n">
        <f aca="true">RAND()</f>
        <v>0.544441286395631</v>
      </c>
    </row>
    <row r="548" customFormat="false" ht="15" hidden="false" customHeight="false" outlineLevel="0" collapsed="false">
      <c r="A548" s="36" t="n">
        <v>468</v>
      </c>
      <c r="B548" s="37" t="n">
        <f aca="false">1+IF($G$6=$E$6,$F$6,IF(P548&lt;($F$6-$E$6)/($G$6-$E$6),$E$6+SQRT(P548*($G$6-$E$6)*($F$6-$E$6)),$G$6-SQRT((1-P548)*($G$6-$E$6)*($G$6-$F$6))))</f>
        <v>1</v>
      </c>
      <c r="C548" s="37" t="n">
        <f aca="false">1+IF($G$7=$E$7,$F$7,IF(Q548&lt;($F$7-$E$7)/($G$7-$E$7),$E$7+SQRT(Q548*($G$7-$E$7)*($F$7-$E$7)),$G$7-SQRT((1-Q548)*($G$7-$E$7)*($G$7-$F$7))))</f>
        <v>1</v>
      </c>
      <c r="D548" s="37" t="n">
        <f aca="false">1+IF($G$8=$E$8,$F$8,IF(R548&lt;($F$8-$E$8)/($G$8-$E$8),$E$8+SQRT(R548*($G$8-$E$8)*($F$8-$E$8)),$G$8-SQRT((1-R548)*($G$8-$E$8)*($G$8-$F$8))))</f>
        <v>1</v>
      </c>
      <c r="E548" s="37" t="n">
        <f aca="false">1+IF($G$9=$E$9,$F$9,IF(S548&lt;($F$9-$E$9)/($G$9-$E$9),$E$9+SQRT(S548*($G$9-$E$9)*($F$9-$E$9)),$G$9-SQRT((1-S548)*($G$9-$E$9)*($G$9-$F$9))))</f>
        <v>1</v>
      </c>
      <c r="F548" s="37" t="n">
        <f aca="false">1+IF($G$10=$E$10,$F$10,IF(T548&lt;($F$10-$E$10)/($G$10-$E$10),$E$10+SQRT(T548*($G$10-$E$10)*($F$10-$E$10)),$G$10-SQRT((1-T548)*($G$10-$E$10)*($G$10-$F$10))))</f>
        <v>1</v>
      </c>
      <c r="G548" s="38" t="n">
        <f aca="false">IF($G$11=$E$11,$F$11,IF(U548&lt;($F$11-$E$11)/($G$11-$E$11),$E$11+SQRT(U548*($G$11-$E$11)*($F$11-$E$11)),$G$11-SQRT((1-U548)*($G$11-$E$11)*($G$11-$F$11))))</f>
        <v>0</v>
      </c>
      <c r="H548" s="39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0</v>
      </c>
      <c r="I548" s="39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0</v>
      </c>
      <c r="J548" s="39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0</v>
      </c>
      <c r="K548" s="39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0</v>
      </c>
      <c r="L548" s="39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0</v>
      </c>
      <c r="M548" s="39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0</v>
      </c>
      <c r="N548" s="39" t="str">
        <f aca="false">IF(COUNT('Business Case'!B11:G11)=0,"",H548+NPV(G548,I548:M548))</f>
        <v/>
      </c>
      <c r="P548" s="40" t="n">
        <f aca="true">RAND()</f>
        <v>0.211713318615163</v>
      </c>
      <c r="Q548" s="40" t="n">
        <f aca="true">RAND()</f>
        <v>0.299569291763779</v>
      </c>
      <c r="R548" s="40" t="n">
        <f aca="true">RAND()</f>
        <v>0.238130499071181</v>
      </c>
      <c r="S548" s="40" t="n">
        <f aca="true">RAND()</f>
        <v>0.535249912937612</v>
      </c>
      <c r="T548" s="40" t="n">
        <f aca="true">RAND()</f>
        <v>0.173428088298844</v>
      </c>
      <c r="U548" s="40" t="n">
        <f aca="true">RAND()</f>
        <v>0.239883648078881</v>
      </c>
    </row>
    <row r="549" customFormat="false" ht="15" hidden="false" customHeight="false" outlineLevel="0" collapsed="false">
      <c r="A549" s="36" t="n">
        <v>469</v>
      </c>
      <c r="B549" s="37" t="n">
        <f aca="false">1+IF($G$6=$E$6,$F$6,IF(P549&lt;($F$6-$E$6)/($G$6-$E$6),$E$6+SQRT(P549*($G$6-$E$6)*($F$6-$E$6)),$G$6-SQRT((1-P549)*($G$6-$E$6)*($G$6-$F$6))))</f>
        <v>1</v>
      </c>
      <c r="C549" s="37" t="n">
        <f aca="false">1+IF($G$7=$E$7,$F$7,IF(Q549&lt;($F$7-$E$7)/($G$7-$E$7),$E$7+SQRT(Q549*($G$7-$E$7)*($F$7-$E$7)),$G$7-SQRT((1-Q549)*($G$7-$E$7)*($G$7-$F$7))))</f>
        <v>1</v>
      </c>
      <c r="D549" s="37" t="n">
        <f aca="false">1+IF($G$8=$E$8,$F$8,IF(R549&lt;($F$8-$E$8)/($G$8-$E$8),$E$8+SQRT(R549*($G$8-$E$8)*($F$8-$E$8)),$G$8-SQRT((1-R549)*($G$8-$E$8)*($G$8-$F$8))))</f>
        <v>1</v>
      </c>
      <c r="E549" s="37" t="n">
        <f aca="false">1+IF($G$9=$E$9,$F$9,IF(S549&lt;($F$9-$E$9)/($G$9-$E$9),$E$9+SQRT(S549*($G$9-$E$9)*($F$9-$E$9)),$G$9-SQRT((1-S549)*($G$9-$E$9)*($G$9-$F$9))))</f>
        <v>1</v>
      </c>
      <c r="F549" s="37" t="n">
        <f aca="false">1+IF($G$10=$E$10,$F$10,IF(T549&lt;($F$10-$E$10)/($G$10-$E$10),$E$10+SQRT(T549*($G$10-$E$10)*($F$10-$E$10)),$G$10-SQRT((1-T549)*($G$10-$E$10)*($G$10-$F$10))))</f>
        <v>1</v>
      </c>
      <c r="G549" s="38" t="n">
        <f aca="false">IF($G$11=$E$11,$F$11,IF(U549&lt;($F$11-$E$11)/($G$11-$E$11),$E$11+SQRT(U549*($G$11-$E$11)*($F$11-$E$11)),$G$11-SQRT((1-U549)*($G$11-$E$11)*($G$11-$F$11))))</f>
        <v>0</v>
      </c>
      <c r="H549" s="39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0</v>
      </c>
      <c r="I549" s="39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0</v>
      </c>
      <c r="J549" s="39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0</v>
      </c>
      <c r="K549" s="39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0</v>
      </c>
      <c r="L549" s="39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0</v>
      </c>
      <c r="M549" s="39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0</v>
      </c>
      <c r="N549" s="39" t="str">
        <f aca="false">IF(COUNT('Business Case'!B11:G11)=0,"",H549+NPV(G549,I549:M549))</f>
        <v/>
      </c>
      <c r="P549" s="40" t="n">
        <f aca="true">RAND()</f>
        <v>0.673380862703046</v>
      </c>
      <c r="Q549" s="40" t="n">
        <f aca="true">RAND()</f>
        <v>0.198685167864332</v>
      </c>
      <c r="R549" s="40" t="n">
        <f aca="true">RAND()</f>
        <v>0.297319256725544</v>
      </c>
      <c r="S549" s="40" t="n">
        <f aca="true">RAND()</f>
        <v>0.270715344245808</v>
      </c>
      <c r="T549" s="40" t="n">
        <f aca="true">RAND()</f>
        <v>0.956868280793407</v>
      </c>
      <c r="U549" s="40" t="n">
        <f aca="true">RAND()</f>
        <v>0.896579172670602</v>
      </c>
    </row>
    <row r="550" customFormat="false" ht="15" hidden="false" customHeight="false" outlineLevel="0" collapsed="false">
      <c r="A550" s="36" t="n">
        <v>470</v>
      </c>
      <c r="B550" s="37" t="n">
        <f aca="false">1+IF($G$6=$E$6,$F$6,IF(P550&lt;($F$6-$E$6)/($G$6-$E$6),$E$6+SQRT(P550*($G$6-$E$6)*($F$6-$E$6)),$G$6-SQRT((1-P550)*($G$6-$E$6)*($G$6-$F$6))))</f>
        <v>1</v>
      </c>
      <c r="C550" s="37" t="n">
        <f aca="false">1+IF($G$7=$E$7,$F$7,IF(Q550&lt;($F$7-$E$7)/($G$7-$E$7),$E$7+SQRT(Q550*($G$7-$E$7)*($F$7-$E$7)),$G$7-SQRT((1-Q550)*($G$7-$E$7)*($G$7-$F$7))))</f>
        <v>1</v>
      </c>
      <c r="D550" s="37" t="n">
        <f aca="false">1+IF($G$8=$E$8,$F$8,IF(R550&lt;($F$8-$E$8)/($G$8-$E$8),$E$8+SQRT(R550*($G$8-$E$8)*($F$8-$E$8)),$G$8-SQRT((1-R550)*($G$8-$E$8)*($G$8-$F$8))))</f>
        <v>1</v>
      </c>
      <c r="E550" s="37" t="n">
        <f aca="false">1+IF($G$9=$E$9,$F$9,IF(S550&lt;($F$9-$E$9)/($G$9-$E$9),$E$9+SQRT(S550*($G$9-$E$9)*($F$9-$E$9)),$G$9-SQRT((1-S550)*($G$9-$E$9)*($G$9-$F$9))))</f>
        <v>1</v>
      </c>
      <c r="F550" s="37" t="n">
        <f aca="false">1+IF($G$10=$E$10,$F$10,IF(T550&lt;($F$10-$E$10)/($G$10-$E$10),$E$10+SQRT(T550*($G$10-$E$10)*($F$10-$E$10)),$G$10-SQRT((1-T550)*($G$10-$E$10)*($G$10-$F$10))))</f>
        <v>1</v>
      </c>
      <c r="G550" s="38" t="n">
        <f aca="false">IF($G$11=$E$11,$F$11,IF(U550&lt;($F$11-$E$11)/($G$11-$E$11),$E$11+SQRT(U550*($G$11-$E$11)*($F$11-$E$11)),$G$11-SQRT((1-U550)*($G$11-$E$11)*($G$11-$F$11))))</f>
        <v>0</v>
      </c>
      <c r="H550" s="39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0</v>
      </c>
      <c r="I550" s="39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0</v>
      </c>
      <c r="J550" s="39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0</v>
      </c>
      <c r="K550" s="39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0</v>
      </c>
      <c r="L550" s="39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0</v>
      </c>
      <c r="M550" s="39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0</v>
      </c>
      <c r="N550" s="39" t="str">
        <f aca="false">IF(COUNT('Business Case'!B11:G11)=0,"",H550+NPV(G550,I550:M550))</f>
        <v/>
      </c>
      <c r="P550" s="40" t="n">
        <f aca="true">RAND()</f>
        <v>0.305199900406381</v>
      </c>
      <c r="Q550" s="40" t="n">
        <f aca="true">RAND()</f>
        <v>0.89878915768052</v>
      </c>
      <c r="R550" s="40" t="n">
        <f aca="true">RAND()</f>
        <v>0.966737392619272</v>
      </c>
      <c r="S550" s="40" t="n">
        <f aca="true">RAND()</f>
        <v>0.263380433954372</v>
      </c>
      <c r="T550" s="40" t="n">
        <f aca="true">RAND()</f>
        <v>0.648167521471433</v>
      </c>
      <c r="U550" s="40" t="n">
        <f aca="true">RAND()</f>
        <v>0.43958928727732</v>
      </c>
    </row>
    <row r="551" customFormat="false" ht="15" hidden="false" customHeight="false" outlineLevel="0" collapsed="false">
      <c r="A551" s="36" t="n">
        <v>471</v>
      </c>
      <c r="B551" s="37" t="n">
        <f aca="false">1+IF($G$6=$E$6,$F$6,IF(P551&lt;($F$6-$E$6)/($G$6-$E$6),$E$6+SQRT(P551*($G$6-$E$6)*($F$6-$E$6)),$G$6-SQRT((1-P551)*($G$6-$E$6)*($G$6-$F$6))))</f>
        <v>1</v>
      </c>
      <c r="C551" s="37" t="n">
        <f aca="false">1+IF($G$7=$E$7,$F$7,IF(Q551&lt;($F$7-$E$7)/($G$7-$E$7),$E$7+SQRT(Q551*($G$7-$E$7)*($F$7-$E$7)),$G$7-SQRT((1-Q551)*($G$7-$E$7)*($G$7-$F$7))))</f>
        <v>1</v>
      </c>
      <c r="D551" s="37" t="n">
        <f aca="false">1+IF($G$8=$E$8,$F$8,IF(R551&lt;($F$8-$E$8)/($G$8-$E$8),$E$8+SQRT(R551*($G$8-$E$8)*($F$8-$E$8)),$G$8-SQRT((1-R551)*($G$8-$E$8)*($G$8-$F$8))))</f>
        <v>1</v>
      </c>
      <c r="E551" s="37" t="n">
        <f aca="false">1+IF($G$9=$E$9,$F$9,IF(S551&lt;($F$9-$E$9)/($G$9-$E$9),$E$9+SQRT(S551*($G$9-$E$9)*($F$9-$E$9)),$G$9-SQRT((1-S551)*($G$9-$E$9)*($G$9-$F$9))))</f>
        <v>1</v>
      </c>
      <c r="F551" s="37" t="n">
        <f aca="false">1+IF($G$10=$E$10,$F$10,IF(T551&lt;($F$10-$E$10)/($G$10-$E$10),$E$10+SQRT(T551*($G$10-$E$10)*($F$10-$E$10)),$G$10-SQRT((1-T551)*($G$10-$E$10)*($G$10-$F$10))))</f>
        <v>1</v>
      </c>
      <c r="G551" s="38" t="n">
        <f aca="false">IF($G$11=$E$11,$F$11,IF(U551&lt;($F$11-$E$11)/($G$11-$E$11),$E$11+SQRT(U551*($G$11-$E$11)*($F$11-$E$11)),$G$11-SQRT((1-U551)*($G$11-$E$11)*($G$11-$F$11))))</f>
        <v>0</v>
      </c>
      <c r="H551" s="39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0</v>
      </c>
      <c r="I551" s="39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0</v>
      </c>
      <c r="J551" s="39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0</v>
      </c>
      <c r="K551" s="39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0</v>
      </c>
      <c r="L551" s="39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0</v>
      </c>
      <c r="M551" s="39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0</v>
      </c>
      <c r="N551" s="39" t="str">
        <f aca="false">IF(COUNT('Business Case'!B11:G11)=0,"",H551+NPV(G551,I551:M551))</f>
        <v/>
      </c>
      <c r="P551" s="40" t="n">
        <f aca="true">RAND()</f>
        <v>0.749706003089855</v>
      </c>
      <c r="Q551" s="40" t="n">
        <f aca="true">RAND()</f>
        <v>0.433988139887906</v>
      </c>
      <c r="R551" s="40" t="n">
        <f aca="true">RAND()</f>
        <v>0.443589465017126</v>
      </c>
      <c r="S551" s="40" t="n">
        <f aca="true">RAND()</f>
        <v>0.813089320447377</v>
      </c>
      <c r="T551" s="40" t="n">
        <f aca="true">RAND()</f>
        <v>0.923245139954333</v>
      </c>
      <c r="U551" s="40" t="n">
        <f aca="true">RAND()</f>
        <v>0.738678102493528</v>
      </c>
    </row>
    <row r="552" customFormat="false" ht="15" hidden="false" customHeight="false" outlineLevel="0" collapsed="false">
      <c r="A552" s="36" t="n">
        <v>472</v>
      </c>
      <c r="B552" s="37" t="n">
        <f aca="false">1+IF($G$6=$E$6,$F$6,IF(P552&lt;($F$6-$E$6)/($G$6-$E$6),$E$6+SQRT(P552*($G$6-$E$6)*($F$6-$E$6)),$G$6-SQRT((1-P552)*($G$6-$E$6)*($G$6-$F$6))))</f>
        <v>1</v>
      </c>
      <c r="C552" s="37" t="n">
        <f aca="false">1+IF($G$7=$E$7,$F$7,IF(Q552&lt;($F$7-$E$7)/($G$7-$E$7),$E$7+SQRT(Q552*($G$7-$E$7)*($F$7-$E$7)),$G$7-SQRT((1-Q552)*($G$7-$E$7)*($G$7-$F$7))))</f>
        <v>1</v>
      </c>
      <c r="D552" s="37" t="n">
        <f aca="false">1+IF($G$8=$E$8,$F$8,IF(R552&lt;($F$8-$E$8)/($G$8-$E$8),$E$8+SQRT(R552*($G$8-$E$8)*($F$8-$E$8)),$G$8-SQRT((1-R552)*($G$8-$E$8)*($G$8-$F$8))))</f>
        <v>1</v>
      </c>
      <c r="E552" s="37" t="n">
        <f aca="false">1+IF($G$9=$E$9,$F$9,IF(S552&lt;($F$9-$E$9)/($G$9-$E$9),$E$9+SQRT(S552*($G$9-$E$9)*($F$9-$E$9)),$G$9-SQRT((1-S552)*($G$9-$E$9)*($G$9-$F$9))))</f>
        <v>1</v>
      </c>
      <c r="F552" s="37" t="n">
        <f aca="false">1+IF($G$10=$E$10,$F$10,IF(T552&lt;($F$10-$E$10)/($G$10-$E$10),$E$10+SQRT(T552*($G$10-$E$10)*($F$10-$E$10)),$G$10-SQRT((1-T552)*($G$10-$E$10)*($G$10-$F$10))))</f>
        <v>1</v>
      </c>
      <c r="G552" s="38" t="n">
        <f aca="false">IF($G$11=$E$11,$F$11,IF(U552&lt;($F$11-$E$11)/($G$11-$E$11),$E$11+SQRT(U552*($G$11-$E$11)*($F$11-$E$11)),$G$11-SQRT((1-U552)*($G$11-$E$11)*($G$11-$F$11))))</f>
        <v>0</v>
      </c>
      <c r="H552" s="39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0</v>
      </c>
      <c r="I552" s="39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0</v>
      </c>
      <c r="J552" s="39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0</v>
      </c>
      <c r="K552" s="39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0</v>
      </c>
      <c r="L552" s="39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0</v>
      </c>
      <c r="M552" s="39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0</v>
      </c>
      <c r="N552" s="39" t="str">
        <f aca="false">IF(COUNT('Business Case'!B11:G11)=0,"",H552+NPV(G552,I552:M552))</f>
        <v/>
      </c>
      <c r="P552" s="40" t="n">
        <f aca="true">RAND()</f>
        <v>0.700238079631874</v>
      </c>
      <c r="Q552" s="40" t="n">
        <f aca="true">RAND()</f>
        <v>0.520051318438146</v>
      </c>
      <c r="R552" s="40" t="n">
        <f aca="true">RAND()</f>
        <v>0.860176346306192</v>
      </c>
      <c r="S552" s="40" t="n">
        <f aca="true">RAND()</f>
        <v>0.202662610643386</v>
      </c>
      <c r="T552" s="40" t="n">
        <f aca="true">RAND()</f>
        <v>0.427873290335096</v>
      </c>
      <c r="U552" s="40" t="n">
        <f aca="true">RAND()</f>
        <v>0.700329571150643</v>
      </c>
    </row>
    <row r="553" customFormat="false" ht="15" hidden="false" customHeight="false" outlineLevel="0" collapsed="false">
      <c r="A553" s="36" t="n">
        <v>473</v>
      </c>
      <c r="B553" s="37" t="n">
        <f aca="false">1+IF($G$6=$E$6,$F$6,IF(P553&lt;($F$6-$E$6)/($G$6-$E$6),$E$6+SQRT(P553*($G$6-$E$6)*($F$6-$E$6)),$G$6-SQRT((1-P553)*($G$6-$E$6)*($G$6-$F$6))))</f>
        <v>1</v>
      </c>
      <c r="C553" s="37" t="n">
        <f aca="false">1+IF($G$7=$E$7,$F$7,IF(Q553&lt;($F$7-$E$7)/($G$7-$E$7),$E$7+SQRT(Q553*($G$7-$E$7)*($F$7-$E$7)),$G$7-SQRT((1-Q553)*($G$7-$E$7)*($G$7-$F$7))))</f>
        <v>1</v>
      </c>
      <c r="D553" s="37" t="n">
        <f aca="false">1+IF($G$8=$E$8,$F$8,IF(R553&lt;($F$8-$E$8)/($G$8-$E$8),$E$8+SQRT(R553*($G$8-$E$8)*($F$8-$E$8)),$G$8-SQRT((1-R553)*($G$8-$E$8)*($G$8-$F$8))))</f>
        <v>1</v>
      </c>
      <c r="E553" s="37" t="n">
        <f aca="false">1+IF($G$9=$E$9,$F$9,IF(S553&lt;($F$9-$E$9)/($G$9-$E$9),$E$9+SQRT(S553*($G$9-$E$9)*($F$9-$E$9)),$G$9-SQRT((1-S553)*($G$9-$E$9)*($G$9-$F$9))))</f>
        <v>1</v>
      </c>
      <c r="F553" s="37" t="n">
        <f aca="false">1+IF($G$10=$E$10,$F$10,IF(T553&lt;($F$10-$E$10)/($G$10-$E$10),$E$10+SQRT(T553*($G$10-$E$10)*($F$10-$E$10)),$G$10-SQRT((1-T553)*($G$10-$E$10)*($G$10-$F$10))))</f>
        <v>1</v>
      </c>
      <c r="G553" s="38" t="n">
        <f aca="false">IF($G$11=$E$11,$F$11,IF(U553&lt;($F$11-$E$11)/($G$11-$E$11),$E$11+SQRT(U553*($G$11-$E$11)*($F$11-$E$11)),$G$11-SQRT((1-U553)*($G$11-$E$11)*($G$11-$F$11))))</f>
        <v>0</v>
      </c>
      <c r="H553" s="39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0</v>
      </c>
      <c r="I553" s="39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0</v>
      </c>
      <c r="J553" s="39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0</v>
      </c>
      <c r="K553" s="39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0</v>
      </c>
      <c r="L553" s="39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0</v>
      </c>
      <c r="M553" s="39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0</v>
      </c>
      <c r="N553" s="39" t="str">
        <f aca="false">IF(COUNT('Business Case'!B11:G11)=0,"",H553+NPV(G553,I553:M553))</f>
        <v/>
      </c>
      <c r="P553" s="40" t="n">
        <f aca="true">RAND()</f>
        <v>0.992329360913012</v>
      </c>
      <c r="Q553" s="40" t="n">
        <f aca="true">RAND()</f>
        <v>0.480588993925591</v>
      </c>
      <c r="R553" s="40" t="n">
        <f aca="true">RAND()</f>
        <v>0.677881978306853</v>
      </c>
      <c r="S553" s="40" t="n">
        <f aca="true">RAND()</f>
        <v>0.182995415368074</v>
      </c>
      <c r="T553" s="40" t="n">
        <f aca="true">RAND()</f>
        <v>0.273158267867303</v>
      </c>
      <c r="U553" s="40" t="n">
        <f aca="true">RAND()</f>
        <v>0.293139849159361</v>
      </c>
    </row>
    <row r="554" customFormat="false" ht="15" hidden="false" customHeight="false" outlineLevel="0" collapsed="false">
      <c r="A554" s="36" t="n">
        <v>474</v>
      </c>
      <c r="B554" s="37" t="n">
        <f aca="false">1+IF($G$6=$E$6,$F$6,IF(P554&lt;($F$6-$E$6)/($G$6-$E$6),$E$6+SQRT(P554*($G$6-$E$6)*($F$6-$E$6)),$G$6-SQRT((1-P554)*($G$6-$E$6)*($G$6-$F$6))))</f>
        <v>1</v>
      </c>
      <c r="C554" s="37" t="n">
        <f aca="false">1+IF($G$7=$E$7,$F$7,IF(Q554&lt;($F$7-$E$7)/($G$7-$E$7),$E$7+SQRT(Q554*($G$7-$E$7)*($F$7-$E$7)),$G$7-SQRT((1-Q554)*($G$7-$E$7)*($G$7-$F$7))))</f>
        <v>1</v>
      </c>
      <c r="D554" s="37" t="n">
        <f aca="false">1+IF($G$8=$E$8,$F$8,IF(R554&lt;($F$8-$E$8)/($G$8-$E$8),$E$8+SQRT(R554*($G$8-$E$8)*($F$8-$E$8)),$G$8-SQRT((1-R554)*($G$8-$E$8)*($G$8-$F$8))))</f>
        <v>1</v>
      </c>
      <c r="E554" s="37" t="n">
        <f aca="false">1+IF($G$9=$E$9,$F$9,IF(S554&lt;($F$9-$E$9)/($G$9-$E$9),$E$9+SQRT(S554*($G$9-$E$9)*($F$9-$E$9)),$G$9-SQRT((1-S554)*($G$9-$E$9)*($G$9-$F$9))))</f>
        <v>1</v>
      </c>
      <c r="F554" s="37" t="n">
        <f aca="false">1+IF($G$10=$E$10,$F$10,IF(T554&lt;($F$10-$E$10)/($G$10-$E$10),$E$10+SQRT(T554*($G$10-$E$10)*($F$10-$E$10)),$G$10-SQRT((1-T554)*($G$10-$E$10)*($G$10-$F$10))))</f>
        <v>1</v>
      </c>
      <c r="G554" s="38" t="n">
        <f aca="false">IF($G$11=$E$11,$F$11,IF(U554&lt;($F$11-$E$11)/($G$11-$E$11),$E$11+SQRT(U554*($G$11-$E$11)*($F$11-$E$11)),$G$11-SQRT((1-U554)*($G$11-$E$11)*($G$11-$F$11))))</f>
        <v>0</v>
      </c>
      <c r="H554" s="39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0</v>
      </c>
      <c r="I554" s="39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0</v>
      </c>
      <c r="J554" s="39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0</v>
      </c>
      <c r="K554" s="39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0</v>
      </c>
      <c r="L554" s="39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0</v>
      </c>
      <c r="M554" s="39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0</v>
      </c>
      <c r="N554" s="39" t="str">
        <f aca="false">IF(COUNT('Business Case'!B11:G11)=0,"",H554+NPV(G554,I554:M554))</f>
        <v/>
      </c>
      <c r="P554" s="40" t="n">
        <f aca="true">RAND()</f>
        <v>0.939414583333511</v>
      </c>
      <c r="Q554" s="40" t="n">
        <f aca="true">RAND()</f>
        <v>0.208940571591073</v>
      </c>
      <c r="R554" s="40" t="n">
        <f aca="true">RAND()</f>
        <v>0.601056208445127</v>
      </c>
      <c r="S554" s="40" t="n">
        <f aca="true">RAND()</f>
        <v>0.731603790657245</v>
      </c>
      <c r="T554" s="40" t="n">
        <f aca="true">RAND()</f>
        <v>0.392377786681183</v>
      </c>
      <c r="U554" s="40" t="n">
        <f aca="true">RAND()</f>
        <v>0.237672864361097</v>
      </c>
    </row>
    <row r="555" customFormat="false" ht="15" hidden="false" customHeight="false" outlineLevel="0" collapsed="false">
      <c r="A555" s="36" t="n">
        <v>475</v>
      </c>
      <c r="B555" s="37" t="n">
        <f aca="false">1+IF($G$6=$E$6,$F$6,IF(P555&lt;($F$6-$E$6)/($G$6-$E$6),$E$6+SQRT(P555*($G$6-$E$6)*($F$6-$E$6)),$G$6-SQRT((1-P555)*($G$6-$E$6)*($G$6-$F$6))))</f>
        <v>1</v>
      </c>
      <c r="C555" s="37" t="n">
        <f aca="false">1+IF($G$7=$E$7,$F$7,IF(Q555&lt;($F$7-$E$7)/($G$7-$E$7),$E$7+SQRT(Q555*($G$7-$E$7)*($F$7-$E$7)),$G$7-SQRT((1-Q555)*($G$7-$E$7)*($G$7-$F$7))))</f>
        <v>1</v>
      </c>
      <c r="D555" s="37" t="n">
        <f aca="false">1+IF($G$8=$E$8,$F$8,IF(R555&lt;($F$8-$E$8)/($G$8-$E$8),$E$8+SQRT(R555*($G$8-$E$8)*($F$8-$E$8)),$G$8-SQRT((1-R555)*($G$8-$E$8)*($G$8-$F$8))))</f>
        <v>1</v>
      </c>
      <c r="E555" s="37" t="n">
        <f aca="false">1+IF($G$9=$E$9,$F$9,IF(S555&lt;($F$9-$E$9)/($G$9-$E$9),$E$9+SQRT(S555*($G$9-$E$9)*($F$9-$E$9)),$G$9-SQRT((1-S555)*($G$9-$E$9)*($G$9-$F$9))))</f>
        <v>1</v>
      </c>
      <c r="F555" s="37" t="n">
        <f aca="false">1+IF($G$10=$E$10,$F$10,IF(T555&lt;($F$10-$E$10)/($G$10-$E$10),$E$10+SQRT(T555*($G$10-$E$10)*($F$10-$E$10)),$G$10-SQRT((1-T555)*($G$10-$E$10)*($G$10-$F$10))))</f>
        <v>1</v>
      </c>
      <c r="G555" s="38" t="n">
        <f aca="false">IF($G$11=$E$11,$F$11,IF(U555&lt;($F$11-$E$11)/($G$11-$E$11),$E$11+SQRT(U555*($G$11-$E$11)*($F$11-$E$11)),$G$11-SQRT((1-U555)*($G$11-$E$11)*($G$11-$F$11))))</f>
        <v>0</v>
      </c>
      <c r="H555" s="39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0</v>
      </c>
      <c r="I555" s="39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0</v>
      </c>
      <c r="J555" s="39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0</v>
      </c>
      <c r="K555" s="39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0</v>
      </c>
      <c r="L555" s="39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0</v>
      </c>
      <c r="M555" s="39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0</v>
      </c>
      <c r="N555" s="39" t="str">
        <f aca="false">IF(COUNT('Business Case'!B11:G11)=0,"",H555+NPV(G555,I555:M555))</f>
        <v/>
      </c>
      <c r="P555" s="40" t="n">
        <f aca="true">RAND()</f>
        <v>0.862584675303614</v>
      </c>
      <c r="Q555" s="40" t="n">
        <f aca="true">RAND()</f>
        <v>0.232354038859772</v>
      </c>
      <c r="R555" s="40" t="n">
        <f aca="true">RAND()</f>
        <v>0.332617247584215</v>
      </c>
      <c r="S555" s="40" t="n">
        <f aca="true">RAND()</f>
        <v>0.502083142057613</v>
      </c>
      <c r="T555" s="40" t="n">
        <f aca="true">RAND()</f>
        <v>0.435906701909318</v>
      </c>
      <c r="U555" s="40" t="n">
        <f aca="true">RAND()</f>
        <v>0.518551786927118</v>
      </c>
    </row>
    <row r="556" customFormat="false" ht="15" hidden="false" customHeight="false" outlineLevel="0" collapsed="false">
      <c r="A556" s="36" t="n">
        <v>476</v>
      </c>
      <c r="B556" s="37" t="n">
        <f aca="false">1+IF($G$6=$E$6,$F$6,IF(P556&lt;($F$6-$E$6)/($G$6-$E$6),$E$6+SQRT(P556*($G$6-$E$6)*($F$6-$E$6)),$G$6-SQRT((1-P556)*($G$6-$E$6)*($G$6-$F$6))))</f>
        <v>1</v>
      </c>
      <c r="C556" s="37" t="n">
        <f aca="false">1+IF($G$7=$E$7,$F$7,IF(Q556&lt;($F$7-$E$7)/($G$7-$E$7),$E$7+SQRT(Q556*($G$7-$E$7)*($F$7-$E$7)),$G$7-SQRT((1-Q556)*($G$7-$E$7)*($G$7-$F$7))))</f>
        <v>1</v>
      </c>
      <c r="D556" s="37" t="n">
        <f aca="false">1+IF($G$8=$E$8,$F$8,IF(R556&lt;($F$8-$E$8)/($G$8-$E$8),$E$8+SQRT(R556*($G$8-$E$8)*($F$8-$E$8)),$G$8-SQRT((1-R556)*($G$8-$E$8)*($G$8-$F$8))))</f>
        <v>1</v>
      </c>
      <c r="E556" s="37" t="n">
        <f aca="false">1+IF($G$9=$E$9,$F$9,IF(S556&lt;($F$9-$E$9)/($G$9-$E$9),$E$9+SQRT(S556*($G$9-$E$9)*($F$9-$E$9)),$G$9-SQRT((1-S556)*($G$9-$E$9)*($G$9-$F$9))))</f>
        <v>1</v>
      </c>
      <c r="F556" s="37" t="n">
        <f aca="false">1+IF($G$10=$E$10,$F$10,IF(T556&lt;($F$10-$E$10)/($G$10-$E$10),$E$10+SQRT(T556*($G$10-$E$10)*($F$10-$E$10)),$G$10-SQRT((1-T556)*($G$10-$E$10)*($G$10-$F$10))))</f>
        <v>1</v>
      </c>
      <c r="G556" s="38" t="n">
        <f aca="false">IF($G$11=$E$11,$F$11,IF(U556&lt;($F$11-$E$11)/($G$11-$E$11),$E$11+SQRT(U556*($G$11-$E$11)*($F$11-$E$11)),$G$11-SQRT((1-U556)*($G$11-$E$11)*($G$11-$F$11))))</f>
        <v>0</v>
      </c>
      <c r="H556" s="39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0</v>
      </c>
      <c r="I556" s="39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0</v>
      </c>
      <c r="J556" s="39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0</v>
      </c>
      <c r="K556" s="39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0</v>
      </c>
      <c r="L556" s="39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0</v>
      </c>
      <c r="M556" s="39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0</v>
      </c>
      <c r="N556" s="39" t="str">
        <f aca="false">IF(COUNT('Business Case'!B11:G11)=0,"",H556+NPV(G556,I556:M556))</f>
        <v/>
      </c>
      <c r="P556" s="40" t="n">
        <f aca="true">RAND()</f>
        <v>0.302567244481679</v>
      </c>
      <c r="Q556" s="40" t="n">
        <f aca="true">RAND()</f>
        <v>0.735428991068436</v>
      </c>
      <c r="R556" s="40" t="n">
        <f aca="true">RAND()</f>
        <v>0.177063599797747</v>
      </c>
      <c r="S556" s="40" t="n">
        <f aca="true">RAND()</f>
        <v>0.668057589124657</v>
      </c>
      <c r="T556" s="40" t="n">
        <f aca="true">RAND()</f>
        <v>0.871832422061986</v>
      </c>
      <c r="U556" s="40" t="n">
        <f aca="true">RAND()</f>
        <v>0.0846054091655314</v>
      </c>
    </row>
    <row r="557" customFormat="false" ht="15" hidden="false" customHeight="false" outlineLevel="0" collapsed="false">
      <c r="A557" s="36" t="n">
        <v>477</v>
      </c>
      <c r="B557" s="37" t="n">
        <f aca="false">1+IF($G$6=$E$6,$F$6,IF(P557&lt;($F$6-$E$6)/($G$6-$E$6),$E$6+SQRT(P557*($G$6-$E$6)*($F$6-$E$6)),$G$6-SQRT((1-P557)*($G$6-$E$6)*($G$6-$F$6))))</f>
        <v>1</v>
      </c>
      <c r="C557" s="37" t="n">
        <f aca="false">1+IF($G$7=$E$7,$F$7,IF(Q557&lt;($F$7-$E$7)/($G$7-$E$7),$E$7+SQRT(Q557*($G$7-$E$7)*($F$7-$E$7)),$G$7-SQRT((1-Q557)*($G$7-$E$7)*($G$7-$F$7))))</f>
        <v>1</v>
      </c>
      <c r="D557" s="37" t="n">
        <f aca="false">1+IF($G$8=$E$8,$F$8,IF(R557&lt;($F$8-$E$8)/($G$8-$E$8),$E$8+SQRT(R557*($G$8-$E$8)*($F$8-$E$8)),$G$8-SQRT((1-R557)*($G$8-$E$8)*($G$8-$F$8))))</f>
        <v>1</v>
      </c>
      <c r="E557" s="37" t="n">
        <f aca="false">1+IF($G$9=$E$9,$F$9,IF(S557&lt;($F$9-$E$9)/($G$9-$E$9),$E$9+SQRT(S557*($G$9-$E$9)*($F$9-$E$9)),$G$9-SQRT((1-S557)*($G$9-$E$9)*($G$9-$F$9))))</f>
        <v>1</v>
      </c>
      <c r="F557" s="37" t="n">
        <f aca="false">1+IF($G$10=$E$10,$F$10,IF(T557&lt;($F$10-$E$10)/($G$10-$E$10),$E$10+SQRT(T557*($G$10-$E$10)*($F$10-$E$10)),$G$10-SQRT((1-T557)*($G$10-$E$10)*($G$10-$F$10))))</f>
        <v>1</v>
      </c>
      <c r="G557" s="38" t="n">
        <f aca="false">IF($G$11=$E$11,$F$11,IF(U557&lt;($F$11-$E$11)/($G$11-$E$11),$E$11+SQRT(U557*($G$11-$E$11)*($F$11-$E$11)),$G$11-SQRT((1-U557)*($G$11-$E$11)*($G$11-$F$11))))</f>
        <v>0</v>
      </c>
      <c r="H557" s="39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0</v>
      </c>
      <c r="I557" s="39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0</v>
      </c>
      <c r="J557" s="39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0</v>
      </c>
      <c r="K557" s="39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0</v>
      </c>
      <c r="L557" s="39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0</v>
      </c>
      <c r="M557" s="39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0</v>
      </c>
      <c r="N557" s="39" t="str">
        <f aca="false">IF(COUNT('Business Case'!B11:G11)=0,"",H557+NPV(G557,I557:M557))</f>
        <v/>
      </c>
      <c r="P557" s="40" t="n">
        <f aca="true">RAND()</f>
        <v>0.24742968727045</v>
      </c>
      <c r="Q557" s="40" t="n">
        <f aca="true">RAND()</f>
        <v>0.697489687599233</v>
      </c>
      <c r="R557" s="40" t="n">
        <f aca="true">RAND()</f>
        <v>0.874889145174853</v>
      </c>
      <c r="S557" s="40" t="n">
        <f aca="true">RAND()</f>
        <v>0.463663743124763</v>
      </c>
      <c r="T557" s="40" t="n">
        <f aca="true">RAND()</f>
        <v>0.0298607041016814</v>
      </c>
      <c r="U557" s="40" t="n">
        <f aca="true">RAND()</f>
        <v>0.32163400589856</v>
      </c>
    </row>
    <row r="558" customFormat="false" ht="15" hidden="false" customHeight="false" outlineLevel="0" collapsed="false">
      <c r="A558" s="36" t="n">
        <v>478</v>
      </c>
      <c r="B558" s="37" t="n">
        <f aca="false">1+IF($G$6=$E$6,$F$6,IF(P558&lt;($F$6-$E$6)/($G$6-$E$6),$E$6+SQRT(P558*($G$6-$E$6)*($F$6-$E$6)),$G$6-SQRT((1-P558)*($G$6-$E$6)*($G$6-$F$6))))</f>
        <v>1</v>
      </c>
      <c r="C558" s="37" t="n">
        <f aca="false">1+IF($G$7=$E$7,$F$7,IF(Q558&lt;($F$7-$E$7)/($G$7-$E$7),$E$7+SQRT(Q558*($G$7-$E$7)*($F$7-$E$7)),$G$7-SQRT((1-Q558)*($G$7-$E$7)*($G$7-$F$7))))</f>
        <v>1</v>
      </c>
      <c r="D558" s="37" t="n">
        <f aca="false">1+IF($G$8=$E$8,$F$8,IF(R558&lt;($F$8-$E$8)/($G$8-$E$8),$E$8+SQRT(R558*($G$8-$E$8)*($F$8-$E$8)),$G$8-SQRT((1-R558)*($G$8-$E$8)*($G$8-$F$8))))</f>
        <v>1</v>
      </c>
      <c r="E558" s="37" t="n">
        <f aca="false">1+IF($G$9=$E$9,$F$9,IF(S558&lt;($F$9-$E$9)/($G$9-$E$9),$E$9+SQRT(S558*($G$9-$E$9)*($F$9-$E$9)),$G$9-SQRT((1-S558)*($G$9-$E$9)*($G$9-$F$9))))</f>
        <v>1</v>
      </c>
      <c r="F558" s="37" t="n">
        <f aca="false">1+IF($G$10=$E$10,$F$10,IF(T558&lt;($F$10-$E$10)/($G$10-$E$10),$E$10+SQRT(T558*($G$10-$E$10)*($F$10-$E$10)),$G$10-SQRT((1-T558)*($G$10-$E$10)*($G$10-$F$10))))</f>
        <v>1</v>
      </c>
      <c r="G558" s="38" t="n">
        <f aca="false">IF($G$11=$E$11,$F$11,IF(U558&lt;($F$11-$E$11)/($G$11-$E$11),$E$11+SQRT(U558*($G$11-$E$11)*($F$11-$E$11)),$G$11-SQRT((1-U558)*($G$11-$E$11)*($G$11-$F$11))))</f>
        <v>0</v>
      </c>
      <c r="H558" s="39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0</v>
      </c>
      <c r="I558" s="39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0</v>
      </c>
      <c r="J558" s="39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0</v>
      </c>
      <c r="K558" s="39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0</v>
      </c>
      <c r="L558" s="39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0</v>
      </c>
      <c r="M558" s="39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0</v>
      </c>
      <c r="N558" s="39" t="str">
        <f aca="false">IF(COUNT('Business Case'!B11:G11)=0,"",H558+NPV(G558,I558:M558))</f>
        <v/>
      </c>
      <c r="P558" s="40" t="n">
        <f aca="true">RAND()</f>
        <v>0.168026665528868</v>
      </c>
      <c r="Q558" s="40" t="n">
        <f aca="true">RAND()</f>
        <v>0.429874278600904</v>
      </c>
      <c r="R558" s="40" t="n">
        <f aca="true">RAND()</f>
        <v>0.123933519578171</v>
      </c>
      <c r="S558" s="40" t="n">
        <f aca="true">RAND()</f>
        <v>0.969002385362252</v>
      </c>
      <c r="T558" s="40" t="n">
        <f aca="true">RAND()</f>
        <v>0.405344536772631</v>
      </c>
      <c r="U558" s="40" t="n">
        <f aca="true">RAND()</f>
        <v>0.300717339486752</v>
      </c>
    </row>
    <row r="559" customFormat="false" ht="15" hidden="false" customHeight="false" outlineLevel="0" collapsed="false">
      <c r="A559" s="36" t="n">
        <v>479</v>
      </c>
      <c r="B559" s="37" t="n">
        <f aca="false">1+IF($G$6=$E$6,$F$6,IF(P559&lt;($F$6-$E$6)/($G$6-$E$6),$E$6+SQRT(P559*($G$6-$E$6)*($F$6-$E$6)),$G$6-SQRT((1-P559)*($G$6-$E$6)*($G$6-$F$6))))</f>
        <v>1</v>
      </c>
      <c r="C559" s="37" t="n">
        <f aca="false">1+IF($G$7=$E$7,$F$7,IF(Q559&lt;($F$7-$E$7)/($G$7-$E$7),$E$7+SQRT(Q559*($G$7-$E$7)*($F$7-$E$7)),$G$7-SQRT((1-Q559)*($G$7-$E$7)*($G$7-$F$7))))</f>
        <v>1</v>
      </c>
      <c r="D559" s="37" t="n">
        <f aca="false">1+IF($G$8=$E$8,$F$8,IF(R559&lt;($F$8-$E$8)/($G$8-$E$8),$E$8+SQRT(R559*($G$8-$E$8)*($F$8-$E$8)),$G$8-SQRT((1-R559)*($G$8-$E$8)*($G$8-$F$8))))</f>
        <v>1</v>
      </c>
      <c r="E559" s="37" t="n">
        <f aca="false">1+IF($G$9=$E$9,$F$9,IF(S559&lt;($F$9-$E$9)/($G$9-$E$9),$E$9+SQRT(S559*($G$9-$E$9)*($F$9-$E$9)),$G$9-SQRT((1-S559)*($G$9-$E$9)*($G$9-$F$9))))</f>
        <v>1</v>
      </c>
      <c r="F559" s="37" t="n">
        <f aca="false">1+IF($G$10=$E$10,$F$10,IF(T559&lt;($F$10-$E$10)/($G$10-$E$10),$E$10+SQRT(T559*($G$10-$E$10)*($F$10-$E$10)),$G$10-SQRT((1-T559)*($G$10-$E$10)*($G$10-$F$10))))</f>
        <v>1</v>
      </c>
      <c r="G559" s="38" t="n">
        <f aca="false">IF($G$11=$E$11,$F$11,IF(U559&lt;($F$11-$E$11)/($G$11-$E$11),$E$11+SQRT(U559*($G$11-$E$11)*($F$11-$E$11)),$G$11-SQRT((1-U559)*($G$11-$E$11)*($G$11-$F$11))))</f>
        <v>0</v>
      </c>
      <c r="H559" s="39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0</v>
      </c>
      <c r="I559" s="39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0</v>
      </c>
      <c r="J559" s="39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0</v>
      </c>
      <c r="K559" s="39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0</v>
      </c>
      <c r="L559" s="39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0</v>
      </c>
      <c r="M559" s="39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0</v>
      </c>
      <c r="N559" s="39" t="str">
        <f aca="false">IF(COUNT('Business Case'!B11:G11)=0,"",H559+NPV(G559,I559:M559))</f>
        <v/>
      </c>
      <c r="P559" s="40" t="n">
        <f aca="true">RAND()</f>
        <v>0.197711263578126</v>
      </c>
      <c r="Q559" s="40" t="n">
        <f aca="true">RAND()</f>
        <v>0.224726309497091</v>
      </c>
      <c r="R559" s="40" t="n">
        <f aca="true">RAND()</f>
        <v>0.0722000014962308</v>
      </c>
      <c r="S559" s="40" t="n">
        <f aca="true">RAND()</f>
        <v>0.42693981899026</v>
      </c>
      <c r="T559" s="40" t="n">
        <f aca="true">RAND()</f>
        <v>0.733751991847399</v>
      </c>
      <c r="U559" s="40" t="n">
        <f aca="true">RAND()</f>
        <v>0.834673940028038</v>
      </c>
    </row>
    <row r="560" customFormat="false" ht="15" hidden="false" customHeight="false" outlineLevel="0" collapsed="false">
      <c r="A560" s="36" t="n">
        <v>480</v>
      </c>
      <c r="B560" s="37" t="n">
        <f aca="false">1+IF($G$6=$E$6,$F$6,IF(P560&lt;($F$6-$E$6)/($G$6-$E$6),$E$6+SQRT(P560*($G$6-$E$6)*($F$6-$E$6)),$G$6-SQRT((1-P560)*($G$6-$E$6)*($G$6-$F$6))))</f>
        <v>1</v>
      </c>
      <c r="C560" s="37" t="n">
        <f aca="false">1+IF($G$7=$E$7,$F$7,IF(Q560&lt;($F$7-$E$7)/($G$7-$E$7),$E$7+SQRT(Q560*($G$7-$E$7)*($F$7-$E$7)),$G$7-SQRT((1-Q560)*($G$7-$E$7)*($G$7-$F$7))))</f>
        <v>1</v>
      </c>
      <c r="D560" s="37" t="n">
        <f aca="false">1+IF($G$8=$E$8,$F$8,IF(R560&lt;($F$8-$E$8)/($G$8-$E$8),$E$8+SQRT(R560*($G$8-$E$8)*($F$8-$E$8)),$G$8-SQRT((1-R560)*($G$8-$E$8)*($G$8-$F$8))))</f>
        <v>1</v>
      </c>
      <c r="E560" s="37" t="n">
        <f aca="false">1+IF($G$9=$E$9,$F$9,IF(S560&lt;($F$9-$E$9)/($G$9-$E$9),$E$9+SQRT(S560*($G$9-$E$9)*($F$9-$E$9)),$G$9-SQRT((1-S560)*($G$9-$E$9)*($G$9-$F$9))))</f>
        <v>1</v>
      </c>
      <c r="F560" s="37" t="n">
        <f aca="false">1+IF($G$10=$E$10,$F$10,IF(T560&lt;($F$10-$E$10)/($G$10-$E$10),$E$10+SQRT(T560*($G$10-$E$10)*($F$10-$E$10)),$G$10-SQRT((1-T560)*($G$10-$E$10)*($G$10-$F$10))))</f>
        <v>1</v>
      </c>
      <c r="G560" s="38" t="n">
        <f aca="false">IF($G$11=$E$11,$F$11,IF(U560&lt;($F$11-$E$11)/($G$11-$E$11),$E$11+SQRT(U560*($G$11-$E$11)*($F$11-$E$11)),$G$11-SQRT((1-U560)*($G$11-$E$11)*($G$11-$F$11))))</f>
        <v>0</v>
      </c>
      <c r="H560" s="39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0</v>
      </c>
      <c r="I560" s="39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0</v>
      </c>
      <c r="J560" s="39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0</v>
      </c>
      <c r="K560" s="39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0</v>
      </c>
      <c r="L560" s="39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0</v>
      </c>
      <c r="M560" s="39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0</v>
      </c>
      <c r="N560" s="39" t="str">
        <f aca="false">IF(COUNT('Business Case'!B11:G11)=0,"",H560+NPV(G560,I560:M560))</f>
        <v/>
      </c>
      <c r="P560" s="40" t="n">
        <f aca="true">RAND()</f>
        <v>0.930745790331647</v>
      </c>
      <c r="Q560" s="40" t="n">
        <f aca="true">RAND()</f>
        <v>0.0254604403695706</v>
      </c>
      <c r="R560" s="40" t="n">
        <f aca="true">RAND()</f>
        <v>0.568768135155553</v>
      </c>
      <c r="S560" s="40" t="n">
        <f aca="true">RAND()</f>
        <v>0.453215887274376</v>
      </c>
      <c r="T560" s="40" t="n">
        <f aca="true">RAND()</f>
        <v>0.616014971770677</v>
      </c>
      <c r="U560" s="40" t="n">
        <f aca="true">RAND()</f>
        <v>0.428552493092661</v>
      </c>
    </row>
    <row r="561" customFormat="false" ht="15" hidden="false" customHeight="false" outlineLevel="0" collapsed="false">
      <c r="A561" s="36" t="n">
        <v>481</v>
      </c>
      <c r="B561" s="37" t="n">
        <f aca="false">1+IF($G$6=$E$6,$F$6,IF(P561&lt;($F$6-$E$6)/($G$6-$E$6),$E$6+SQRT(P561*($G$6-$E$6)*($F$6-$E$6)),$G$6-SQRT((1-P561)*($G$6-$E$6)*($G$6-$F$6))))</f>
        <v>1</v>
      </c>
      <c r="C561" s="37" t="n">
        <f aca="false">1+IF($G$7=$E$7,$F$7,IF(Q561&lt;($F$7-$E$7)/($G$7-$E$7),$E$7+SQRT(Q561*($G$7-$E$7)*($F$7-$E$7)),$G$7-SQRT((1-Q561)*($G$7-$E$7)*($G$7-$F$7))))</f>
        <v>1</v>
      </c>
      <c r="D561" s="37" t="n">
        <f aca="false">1+IF($G$8=$E$8,$F$8,IF(R561&lt;($F$8-$E$8)/($G$8-$E$8),$E$8+SQRT(R561*($G$8-$E$8)*($F$8-$E$8)),$G$8-SQRT((1-R561)*($G$8-$E$8)*($G$8-$F$8))))</f>
        <v>1</v>
      </c>
      <c r="E561" s="37" t="n">
        <f aca="false">1+IF($G$9=$E$9,$F$9,IF(S561&lt;($F$9-$E$9)/($G$9-$E$9),$E$9+SQRT(S561*($G$9-$E$9)*($F$9-$E$9)),$G$9-SQRT((1-S561)*($G$9-$E$9)*($G$9-$F$9))))</f>
        <v>1</v>
      </c>
      <c r="F561" s="37" t="n">
        <f aca="false">1+IF($G$10=$E$10,$F$10,IF(T561&lt;($F$10-$E$10)/($G$10-$E$10),$E$10+SQRT(T561*($G$10-$E$10)*($F$10-$E$10)),$G$10-SQRT((1-T561)*($G$10-$E$10)*($G$10-$F$10))))</f>
        <v>1</v>
      </c>
      <c r="G561" s="38" t="n">
        <f aca="false">IF($G$11=$E$11,$F$11,IF(U561&lt;($F$11-$E$11)/($G$11-$E$11),$E$11+SQRT(U561*($G$11-$E$11)*($F$11-$E$11)),$G$11-SQRT((1-U561)*($G$11-$E$11)*($G$11-$F$11))))</f>
        <v>0</v>
      </c>
      <c r="H561" s="39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0</v>
      </c>
      <c r="I561" s="39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0</v>
      </c>
      <c r="J561" s="39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0</v>
      </c>
      <c r="K561" s="39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0</v>
      </c>
      <c r="L561" s="39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0</v>
      </c>
      <c r="M561" s="39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0</v>
      </c>
      <c r="N561" s="39" t="str">
        <f aca="false">IF(COUNT('Business Case'!B11:G11)=0,"",H561+NPV(G561,I561:M561))</f>
        <v/>
      </c>
      <c r="P561" s="40" t="n">
        <f aca="true">RAND()</f>
        <v>0.274780910602436</v>
      </c>
      <c r="Q561" s="40" t="n">
        <f aca="true">RAND()</f>
        <v>0.664987681346383</v>
      </c>
      <c r="R561" s="40" t="n">
        <f aca="true">RAND()</f>
        <v>0.0178884486053702</v>
      </c>
      <c r="S561" s="40" t="n">
        <f aca="true">RAND()</f>
        <v>0.202020893194119</v>
      </c>
      <c r="T561" s="40" t="n">
        <f aca="true">RAND()</f>
        <v>0.420677947878772</v>
      </c>
      <c r="U561" s="40" t="n">
        <f aca="true">RAND()</f>
        <v>0.877467741598214</v>
      </c>
    </row>
    <row r="562" customFormat="false" ht="15" hidden="false" customHeight="false" outlineLevel="0" collapsed="false">
      <c r="A562" s="36" t="n">
        <v>482</v>
      </c>
      <c r="B562" s="37" t="n">
        <f aca="false">1+IF($G$6=$E$6,$F$6,IF(P562&lt;($F$6-$E$6)/($G$6-$E$6),$E$6+SQRT(P562*($G$6-$E$6)*($F$6-$E$6)),$G$6-SQRT((1-P562)*($G$6-$E$6)*($G$6-$F$6))))</f>
        <v>1</v>
      </c>
      <c r="C562" s="37" t="n">
        <f aca="false">1+IF($G$7=$E$7,$F$7,IF(Q562&lt;($F$7-$E$7)/($G$7-$E$7),$E$7+SQRT(Q562*($G$7-$E$7)*($F$7-$E$7)),$G$7-SQRT((1-Q562)*($G$7-$E$7)*($G$7-$F$7))))</f>
        <v>1</v>
      </c>
      <c r="D562" s="37" t="n">
        <f aca="false">1+IF($G$8=$E$8,$F$8,IF(R562&lt;($F$8-$E$8)/($G$8-$E$8),$E$8+SQRT(R562*($G$8-$E$8)*($F$8-$E$8)),$G$8-SQRT((1-R562)*($G$8-$E$8)*($G$8-$F$8))))</f>
        <v>1</v>
      </c>
      <c r="E562" s="37" t="n">
        <f aca="false">1+IF($G$9=$E$9,$F$9,IF(S562&lt;($F$9-$E$9)/($G$9-$E$9),$E$9+SQRT(S562*($G$9-$E$9)*($F$9-$E$9)),$G$9-SQRT((1-S562)*($G$9-$E$9)*($G$9-$F$9))))</f>
        <v>1</v>
      </c>
      <c r="F562" s="37" t="n">
        <f aca="false">1+IF($G$10=$E$10,$F$10,IF(T562&lt;($F$10-$E$10)/($G$10-$E$10),$E$10+SQRT(T562*($G$10-$E$10)*($F$10-$E$10)),$G$10-SQRT((1-T562)*($G$10-$E$10)*($G$10-$F$10))))</f>
        <v>1</v>
      </c>
      <c r="G562" s="38" t="n">
        <f aca="false">IF($G$11=$E$11,$F$11,IF(U562&lt;($F$11-$E$11)/($G$11-$E$11),$E$11+SQRT(U562*($G$11-$E$11)*($F$11-$E$11)),$G$11-SQRT((1-U562)*($G$11-$E$11)*($G$11-$F$11))))</f>
        <v>0</v>
      </c>
      <c r="H562" s="39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0</v>
      </c>
      <c r="I562" s="39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0</v>
      </c>
      <c r="J562" s="39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0</v>
      </c>
      <c r="K562" s="39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0</v>
      </c>
      <c r="L562" s="39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0</v>
      </c>
      <c r="M562" s="39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0</v>
      </c>
      <c r="N562" s="39" t="str">
        <f aca="false">IF(COUNT('Business Case'!B11:G11)=0,"",H562+NPV(G562,I562:M562))</f>
        <v/>
      </c>
      <c r="P562" s="40" t="n">
        <f aca="true">RAND()</f>
        <v>0.712088832120812</v>
      </c>
      <c r="Q562" s="40" t="n">
        <f aca="true">RAND()</f>
        <v>0.256975323724596</v>
      </c>
      <c r="R562" s="40" t="n">
        <f aca="true">RAND()</f>
        <v>0.393109475673098</v>
      </c>
      <c r="S562" s="40" t="n">
        <f aca="true">RAND()</f>
        <v>0.189851792642036</v>
      </c>
      <c r="T562" s="40" t="n">
        <f aca="true">RAND()</f>
        <v>0.417360196893854</v>
      </c>
      <c r="U562" s="40" t="n">
        <f aca="true">RAND()</f>
        <v>0.892410531448331</v>
      </c>
    </row>
    <row r="563" customFormat="false" ht="15" hidden="false" customHeight="false" outlineLevel="0" collapsed="false">
      <c r="A563" s="36" t="n">
        <v>483</v>
      </c>
      <c r="B563" s="37" t="n">
        <f aca="false">1+IF($G$6=$E$6,$F$6,IF(P563&lt;($F$6-$E$6)/($G$6-$E$6),$E$6+SQRT(P563*($G$6-$E$6)*($F$6-$E$6)),$G$6-SQRT((1-P563)*($G$6-$E$6)*($G$6-$F$6))))</f>
        <v>1</v>
      </c>
      <c r="C563" s="37" t="n">
        <f aca="false">1+IF($G$7=$E$7,$F$7,IF(Q563&lt;($F$7-$E$7)/($G$7-$E$7),$E$7+SQRT(Q563*($G$7-$E$7)*($F$7-$E$7)),$G$7-SQRT((1-Q563)*($G$7-$E$7)*($G$7-$F$7))))</f>
        <v>1</v>
      </c>
      <c r="D563" s="37" t="n">
        <f aca="false">1+IF($G$8=$E$8,$F$8,IF(R563&lt;($F$8-$E$8)/($G$8-$E$8),$E$8+SQRT(R563*($G$8-$E$8)*($F$8-$E$8)),$G$8-SQRT((1-R563)*($G$8-$E$8)*($G$8-$F$8))))</f>
        <v>1</v>
      </c>
      <c r="E563" s="37" t="n">
        <f aca="false">1+IF($G$9=$E$9,$F$9,IF(S563&lt;($F$9-$E$9)/($G$9-$E$9),$E$9+SQRT(S563*($G$9-$E$9)*($F$9-$E$9)),$G$9-SQRT((1-S563)*($G$9-$E$9)*($G$9-$F$9))))</f>
        <v>1</v>
      </c>
      <c r="F563" s="37" t="n">
        <f aca="false">1+IF($G$10=$E$10,$F$10,IF(T563&lt;($F$10-$E$10)/($G$10-$E$10),$E$10+SQRT(T563*($G$10-$E$10)*($F$10-$E$10)),$G$10-SQRT((1-T563)*($G$10-$E$10)*($G$10-$F$10))))</f>
        <v>1</v>
      </c>
      <c r="G563" s="38" t="n">
        <f aca="false">IF($G$11=$E$11,$F$11,IF(U563&lt;($F$11-$E$11)/($G$11-$E$11),$E$11+SQRT(U563*($G$11-$E$11)*($F$11-$E$11)),$G$11-SQRT((1-U563)*($G$11-$E$11)*($G$11-$F$11))))</f>
        <v>0</v>
      </c>
      <c r="H563" s="39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0</v>
      </c>
      <c r="I563" s="39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0</v>
      </c>
      <c r="J563" s="39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0</v>
      </c>
      <c r="K563" s="39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0</v>
      </c>
      <c r="L563" s="39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0</v>
      </c>
      <c r="M563" s="39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0</v>
      </c>
      <c r="N563" s="39" t="str">
        <f aca="false">IF(COUNT('Business Case'!B11:G11)=0,"",H563+NPV(G563,I563:M563))</f>
        <v/>
      </c>
      <c r="P563" s="40" t="n">
        <f aca="true">RAND()</f>
        <v>0.808613324264925</v>
      </c>
      <c r="Q563" s="40" t="n">
        <f aca="true">RAND()</f>
        <v>0.696768419501331</v>
      </c>
      <c r="R563" s="40" t="n">
        <f aca="true">RAND()</f>
        <v>0.634941163183672</v>
      </c>
      <c r="S563" s="40" t="n">
        <f aca="true">RAND()</f>
        <v>0.712609928514317</v>
      </c>
      <c r="T563" s="40" t="n">
        <f aca="true">RAND()</f>
        <v>0.455067362833482</v>
      </c>
      <c r="U563" s="40" t="n">
        <f aca="true">RAND()</f>
        <v>0.777305389156666</v>
      </c>
    </row>
    <row r="564" customFormat="false" ht="15" hidden="false" customHeight="false" outlineLevel="0" collapsed="false">
      <c r="A564" s="36" t="n">
        <v>484</v>
      </c>
      <c r="B564" s="37" t="n">
        <f aca="false">1+IF($G$6=$E$6,$F$6,IF(P564&lt;($F$6-$E$6)/($G$6-$E$6),$E$6+SQRT(P564*($G$6-$E$6)*($F$6-$E$6)),$G$6-SQRT((1-P564)*($G$6-$E$6)*($G$6-$F$6))))</f>
        <v>1</v>
      </c>
      <c r="C564" s="37" t="n">
        <f aca="false">1+IF($G$7=$E$7,$F$7,IF(Q564&lt;($F$7-$E$7)/($G$7-$E$7),$E$7+SQRT(Q564*($G$7-$E$7)*($F$7-$E$7)),$G$7-SQRT((1-Q564)*($G$7-$E$7)*($G$7-$F$7))))</f>
        <v>1</v>
      </c>
      <c r="D564" s="37" t="n">
        <f aca="false">1+IF($G$8=$E$8,$F$8,IF(R564&lt;($F$8-$E$8)/($G$8-$E$8),$E$8+SQRT(R564*($G$8-$E$8)*($F$8-$E$8)),$G$8-SQRT((1-R564)*($G$8-$E$8)*($G$8-$F$8))))</f>
        <v>1</v>
      </c>
      <c r="E564" s="37" t="n">
        <f aca="false">1+IF($G$9=$E$9,$F$9,IF(S564&lt;($F$9-$E$9)/($G$9-$E$9),$E$9+SQRT(S564*($G$9-$E$9)*($F$9-$E$9)),$G$9-SQRT((1-S564)*($G$9-$E$9)*($G$9-$F$9))))</f>
        <v>1</v>
      </c>
      <c r="F564" s="37" t="n">
        <f aca="false">1+IF($G$10=$E$10,$F$10,IF(T564&lt;($F$10-$E$10)/($G$10-$E$10),$E$10+SQRT(T564*($G$10-$E$10)*($F$10-$E$10)),$G$10-SQRT((1-T564)*($G$10-$E$10)*($G$10-$F$10))))</f>
        <v>1</v>
      </c>
      <c r="G564" s="38" t="n">
        <f aca="false">IF($G$11=$E$11,$F$11,IF(U564&lt;($F$11-$E$11)/($G$11-$E$11),$E$11+SQRT(U564*($G$11-$E$11)*($F$11-$E$11)),$G$11-SQRT((1-U564)*($G$11-$E$11)*($G$11-$F$11))))</f>
        <v>0</v>
      </c>
      <c r="H564" s="39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0</v>
      </c>
      <c r="I564" s="39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0</v>
      </c>
      <c r="J564" s="39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0</v>
      </c>
      <c r="K564" s="39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0</v>
      </c>
      <c r="L564" s="39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0</v>
      </c>
      <c r="M564" s="39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0</v>
      </c>
      <c r="N564" s="39" t="str">
        <f aca="false">IF(COUNT('Business Case'!B11:G11)=0,"",H564+NPV(G564,I564:M564))</f>
        <v/>
      </c>
      <c r="P564" s="40" t="n">
        <f aca="true">RAND()</f>
        <v>0.64795737530387</v>
      </c>
      <c r="Q564" s="40" t="n">
        <f aca="true">RAND()</f>
        <v>0.562255849457196</v>
      </c>
      <c r="R564" s="40" t="n">
        <f aca="true">RAND()</f>
        <v>0.706348880442211</v>
      </c>
      <c r="S564" s="40" t="n">
        <f aca="true">RAND()</f>
        <v>0.920597432229912</v>
      </c>
      <c r="T564" s="40" t="n">
        <f aca="true">RAND()</f>
        <v>0.706592760637083</v>
      </c>
      <c r="U564" s="40" t="n">
        <f aca="true">RAND()</f>
        <v>0.353522348234282</v>
      </c>
    </row>
    <row r="565" customFormat="false" ht="15" hidden="false" customHeight="false" outlineLevel="0" collapsed="false">
      <c r="A565" s="36" t="n">
        <v>485</v>
      </c>
      <c r="B565" s="37" t="n">
        <f aca="false">1+IF($G$6=$E$6,$F$6,IF(P565&lt;($F$6-$E$6)/($G$6-$E$6),$E$6+SQRT(P565*($G$6-$E$6)*($F$6-$E$6)),$G$6-SQRT((1-P565)*($G$6-$E$6)*($G$6-$F$6))))</f>
        <v>1</v>
      </c>
      <c r="C565" s="37" t="n">
        <f aca="false">1+IF($G$7=$E$7,$F$7,IF(Q565&lt;($F$7-$E$7)/($G$7-$E$7),$E$7+SQRT(Q565*($G$7-$E$7)*($F$7-$E$7)),$G$7-SQRT((1-Q565)*($G$7-$E$7)*($G$7-$F$7))))</f>
        <v>1</v>
      </c>
      <c r="D565" s="37" t="n">
        <f aca="false">1+IF($G$8=$E$8,$F$8,IF(R565&lt;($F$8-$E$8)/($G$8-$E$8),$E$8+SQRT(R565*($G$8-$E$8)*($F$8-$E$8)),$G$8-SQRT((1-R565)*($G$8-$E$8)*($G$8-$F$8))))</f>
        <v>1</v>
      </c>
      <c r="E565" s="37" t="n">
        <f aca="false">1+IF($G$9=$E$9,$F$9,IF(S565&lt;($F$9-$E$9)/($G$9-$E$9),$E$9+SQRT(S565*($G$9-$E$9)*($F$9-$E$9)),$G$9-SQRT((1-S565)*($G$9-$E$9)*($G$9-$F$9))))</f>
        <v>1</v>
      </c>
      <c r="F565" s="37" t="n">
        <f aca="false">1+IF($G$10=$E$10,$F$10,IF(T565&lt;($F$10-$E$10)/($G$10-$E$10),$E$10+SQRT(T565*($G$10-$E$10)*($F$10-$E$10)),$G$10-SQRT((1-T565)*($G$10-$E$10)*($G$10-$F$10))))</f>
        <v>1</v>
      </c>
      <c r="G565" s="38" t="n">
        <f aca="false">IF($G$11=$E$11,$F$11,IF(U565&lt;($F$11-$E$11)/($G$11-$E$11),$E$11+SQRT(U565*($G$11-$E$11)*($F$11-$E$11)),$G$11-SQRT((1-U565)*($G$11-$E$11)*($G$11-$F$11))))</f>
        <v>0</v>
      </c>
      <c r="H565" s="39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0</v>
      </c>
      <c r="I565" s="39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0</v>
      </c>
      <c r="J565" s="39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0</v>
      </c>
      <c r="K565" s="39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0</v>
      </c>
      <c r="L565" s="39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0</v>
      </c>
      <c r="M565" s="39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0</v>
      </c>
      <c r="N565" s="39" t="str">
        <f aca="false">IF(COUNT('Business Case'!B11:G11)=0,"",H565+NPV(G565,I565:M565))</f>
        <v/>
      </c>
      <c r="P565" s="40" t="n">
        <f aca="true">RAND()</f>
        <v>0.984701494010599</v>
      </c>
      <c r="Q565" s="40" t="n">
        <f aca="true">RAND()</f>
        <v>0.321999341162628</v>
      </c>
      <c r="R565" s="40" t="n">
        <f aca="true">RAND()</f>
        <v>0.911548746130328</v>
      </c>
      <c r="S565" s="40" t="n">
        <f aca="true">RAND()</f>
        <v>0.39769127068744</v>
      </c>
      <c r="T565" s="40" t="n">
        <f aca="true">RAND()</f>
        <v>0.781959375857878</v>
      </c>
      <c r="U565" s="40" t="n">
        <f aca="true">RAND()</f>
        <v>0.179424988510392</v>
      </c>
    </row>
    <row r="566" customFormat="false" ht="15" hidden="false" customHeight="false" outlineLevel="0" collapsed="false">
      <c r="A566" s="36" t="n">
        <v>486</v>
      </c>
      <c r="B566" s="37" t="n">
        <f aca="false">1+IF($G$6=$E$6,$F$6,IF(P566&lt;($F$6-$E$6)/($G$6-$E$6),$E$6+SQRT(P566*($G$6-$E$6)*($F$6-$E$6)),$G$6-SQRT((1-P566)*($G$6-$E$6)*($G$6-$F$6))))</f>
        <v>1</v>
      </c>
      <c r="C566" s="37" t="n">
        <f aca="false">1+IF($G$7=$E$7,$F$7,IF(Q566&lt;($F$7-$E$7)/($G$7-$E$7),$E$7+SQRT(Q566*($G$7-$E$7)*($F$7-$E$7)),$G$7-SQRT((1-Q566)*($G$7-$E$7)*($G$7-$F$7))))</f>
        <v>1</v>
      </c>
      <c r="D566" s="37" t="n">
        <f aca="false">1+IF($G$8=$E$8,$F$8,IF(R566&lt;($F$8-$E$8)/($G$8-$E$8),$E$8+SQRT(R566*($G$8-$E$8)*($F$8-$E$8)),$G$8-SQRT((1-R566)*($G$8-$E$8)*($G$8-$F$8))))</f>
        <v>1</v>
      </c>
      <c r="E566" s="37" t="n">
        <f aca="false">1+IF($G$9=$E$9,$F$9,IF(S566&lt;($F$9-$E$9)/($G$9-$E$9),$E$9+SQRT(S566*($G$9-$E$9)*($F$9-$E$9)),$G$9-SQRT((1-S566)*($G$9-$E$9)*($G$9-$F$9))))</f>
        <v>1</v>
      </c>
      <c r="F566" s="37" t="n">
        <f aca="false">1+IF($G$10=$E$10,$F$10,IF(T566&lt;($F$10-$E$10)/($G$10-$E$10),$E$10+SQRT(T566*($G$10-$E$10)*($F$10-$E$10)),$G$10-SQRT((1-T566)*($G$10-$E$10)*($G$10-$F$10))))</f>
        <v>1</v>
      </c>
      <c r="G566" s="38" t="n">
        <f aca="false">IF($G$11=$E$11,$F$11,IF(U566&lt;($F$11-$E$11)/($G$11-$E$11),$E$11+SQRT(U566*($G$11-$E$11)*($F$11-$E$11)),$G$11-SQRT((1-U566)*($G$11-$E$11)*($G$11-$F$11))))</f>
        <v>0</v>
      </c>
      <c r="H566" s="39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0</v>
      </c>
      <c r="I566" s="39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0</v>
      </c>
      <c r="J566" s="39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0</v>
      </c>
      <c r="K566" s="39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0</v>
      </c>
      <c r="L566" s="39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0</v>
      </c>
      <c r="M566" s="39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0</v>
      </c>
      <c r="N566" s="39" t="str">
        <f aca="false">IF(COUNT('Business Case'!B11:G11)=0,"",H566+NPV(G566,I566:M566))</f>
        <v/>
      </c>
      <c r="P566" s="40" t="n">
        <f aca="true">RAND()</f>
        <v>0.155965456037954</v>
      </c>
      <c r="Q566" s="40" t="n">
        <f aca="true">RAND()</f>
        <v>0.985564617212161</v>
      </c>
      <c r="R566" s="40" t="n">
        <f aca="true">RAND()</f>
        <v>0.274603955091697</v>
      </c>
      <c r="S566" s="40" t="n">
        <f aca="true">RAND()</f>
        <v>0.899418625810879</v>
      </c>
      <c r="T566" s="40" t="n">
        <f aca="true">RAND()</f>
        <v>0.840244766635571</v>
      </c>
      <c r="U566" s="40" t="n">
        <f aca="true">RAND()</f>
        <v>0.290706757581645</v>
      </c>
    </row>
    <row r="567" customFormat="false" ht="15" hidden="false" customHeight="false" outlineLevel="0" collapsed="false">
      <c r="A567" s="36" t="n">
        <v>487</v>
      </c>
      <c r="B567" s="37" t="n">
        <f aca="false">1+IF($G$6=$E$6,$F$6,IF(P567&lt;($F$6-$E$6)/($G$6-$E$6),$E$6+SQRT(P567*($G$6-$E$6)*($F$6-$E$6)),$G$6-SQRT((1-P567)*($G$6-$E$6)*($G$6-$F$6))))</f>
        <v>1</v>
      </c>
      <c r="C567" s="37" t="n">
        <f aca="false">1+IF($G$7=$E$7,$F$7,IF(Q567&lt;($F$7-$E$7)/($G$7-$E$7),$E$7+SQRT(Q567*($G$7-$E$7)*($F$7-$E$7)),$G$7-SQRT((1-Q567)*($G$7-$E$7)*($G$7-$F$7))))</f>
        <v>1</v>
      </c>
      <c r="D567" s="37" t="n">
        <f aca="false">1+IF($G$8=$E$8,$F$8,IF(R567&lt;($F$8-$E$8)/($G$8-$E$8),$E$8+SQRT(R567*($G$8-$E$8)*($F$8-$E$8)),$G$8-SQRT((1-R567)*($G$8-$E$8)*($G$8-$F$8))))</f>
        <v>1</v>
      </c>
      <c r="E567" s="37" t="n">
        <f aca="false">1+IF($G$9=$E$9,$F$9,IF(S567&lt;($F$9-$E$9)/($G$9-$E$9),$E$9+SQRT(S567*($G$9-$E$9)*($F$9-$E$9)),$G$9-SQRT((1-S567)*($G$9-$E$9)*($G$9-$F$9))))</f>
        <v>1</v>
      </c>
      <c r="F567" s="37" t="n">
        <f aca="false">1+IF($G$10=$E$10,$F$10,IF(T567&lt;($F$10-$E$10)/($G$10-$E$10),$E$10+SQRT(T567*($G$10-$E$10)*($F$10-$E$10)),$G$10-SQRT((1-T567)*($G$10-$E$10)*($G$10-$F$10))))</f>
        <v>1</v>
      </c>
      <c r="G567" s="38" t="n">
        <f aca="false">IF($G$11=$E$11,$F$11,IF(U567&lt;($F$11-$E$11)/($G$11-$E$11),$E$11+SQRT(U567*($G$11-$E$11)*($F$11-$E$11)),$G$11-SQRT((1-U567)*($G$11-$E$11)*($G$11-$F$11))))</f>
        <v>0</v>
      </c>
      <c r="H567" s="39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0</v>
      </c>
      <c r="I567" s="39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0</v>
      </c>
      <c r="J567" s="39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0</v>
      </c>
      <c r="K567" s="39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0</v>
      </c>
      <c r="L567" s="39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0</v>
      </c>
      <c r="M567" s="39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0</v>
      </c>
      <c r="N567" s="39" t="str">
        <f aca="false">IF(COUNT('Business Case'!B11:G11)=0,"",H567+NPV(G567,I567:M567))</f>
        <v/>
      </c>
      <c r="P567" s="40" t="n">
        <f aca="true">RAND()</f>
        <v>0.937737625448177</v>
      </c>
      <c r="Q567" s="40" t="n">
        <f aca="true">RAND()</f>
        <v>0.730676852486579</v>
      </c>
      <c r="R567" s="40" t="n">
        <f aca="true">RAND()</f>
        <v>0.617602052824625</v>
      </c>
      <c r="S567" s="40" t="n">
        <f aca="true">RAND()</f>
        <v>0.132666769855915</v>
      </c>
      <c r="T567" s="40" t="n">
        <f aca="true">RAND()</f>
        <v>0.242396409123715</v>
      </c>
      <c r="U567" s="40" t="n">
        <f aca="true">RAND()</f>
        <v>0.11623150261475</v>
      </c>
    </row>
    <row r="568" customFormat="false" ht="15" hidden="false" customHeight="false" outlineLevel="0" collapsed="false">
      <c r="A568" s="36" t="n">
        <v>488</v>
      </c>
      <c r="B568" s="37" t="n">
        <f aca="false">1+IF($G$6=$E$6,$F$6,IF(P568&lt;($F$6-$E$6)/($G$6-$E$6),$E$6+SQRT(P568*($G$6-$E$6)*($F$6-$E$6)),$G$6-SQRT((1-P568)*($G$6-$E$6)*($G$6-$F$6))))</f>
        <v>1</v>
      </c>
      <c r="C568" s="37" t="n">
        <f aca="false">1+IF($G$7=$E$7,$F$7,IF(Q568&lt;($F$7-$E$7)/($G$7-$E$7),$E$7+SQRT(Q568*($G$7-$E$7)*($F$7-$E$7)),$G$7-SQRT((1-Q568)*($G$7-$E$7)*($G$7-$F$7))))</f>
        <v>1</v>
      </c>
      <c r="D568" s="37" t="n">
        <f aca="false">1+IF($G$8=$E$8,$F$8,IF(R568&lt;($F$8-$E$8)/($G$8-$E$8),$E$8+SQRT(R568*($G$8-$E$8)*($F$8-$E$8)),$G$8-SQRT((1-R568)*($G$8-$E$8)*($G$8-$F$8))))</f>
        <v>1</v>
      </c>
      <c r="E568" s="37" t="n">
        <f aca="false">1+IF($G$9=$E$9,$F$9,IF(S568&lt;($F$9-$E$9)/($G$9-$E$9),$E$9+SQRT(S568*($G$9-$E$9)*($F$9-$E$9)),$G$9-SQRT((1-S568)*($G$9-$E$9)*($G$9-$F$9))))</f>
        <v>1</v>
      </c>
      <c r="F568" s="37" t="n">
        <f aca="false">1+IF($G$10=$E$10,$F$10,IF(T568&lt;($F$10-$E$10)/($G$10-$E$10),$E$10+SQRT(T568*($G$10-$E$10)*($F$10-$E$10)),$G$10-SQRT((1-T568)*($G$10-$E$10)*($G$10-$F$10))))</f>
        <v>1</v>
      </c>
      <c r="G568" s="38" t="n">
        <f aca="false">IF($G$11=$E$11,$F$11,IF(U568&lt;($F$11-$E$11)/($G$11-$E$11),$E$11+SQRT(U568*($G$11-$E$11)*($F$11-$E$11)),$G$11-SQRT((1-U568)*($G$11-$E$11)*($G$11-$F$11))))</f>
        <v>0</v>
      </c>
      <c r="H568" s="39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0</v>
      </c>
      <c r="I568" s="39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0</v>
      </c>
      <c r="J568" s="39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0</v>
      </c>
      <c r="K568" s="39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0</v>
      </c>
      <c r="L568" s="39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0</v>
      </c>
      <c r="M568" s="39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0</v>
      </c>
      <c r="N568" s="39" t="str">
        <f aca="false">IF(COUNT('Business Case'!B11:G11)=0,"",H568+NPV(G568,I568:M568))</f>
        <v/>
      </c>
      <c r="P568" s="40" t="n">
        <f aca="true">RAND()</f>
        <v>0.0622090898066046</v>
      </c>
      <c r="Q568" s="40" t="n">
        <f aca="true">RAND()</f>
        <v>0.449824699648263</v>
      </c>
      <c r="R568" s="40" t="n">
        <f aca="true">RAND()</f>
        <v>0.274853978294419</v>
      </c>
      <c r="S568" s="40" t="n">
        <f aca="true">RAND()</f>
        <v>0.473344822801966</v>
      </c>
      <c r="T568" s="40" t="n">
        <f aca="true">RAND()</f>
        <v>0.270098718573755</v>
      </c>
      <c r="U568" s="40" t="n">
        <f aca="true">RAND()</f>
        <v>0.0651289285155198</v>
      </c>
    </row>
    <row r="569" customFormat="false" ht="15" hidden="false" customHeight="false" outlineLevel="0" collapsed="false">
      <c r="A569" s="36" t="n">
        <v>489</v>
      </c>
      <c r="B569" s="37" t="n">
        <f aca="false">1+IF($G$6=$E$6,$F$6,IF(P569&lt;($F$6-$E$6)/($G$6-$E$6),$E$6+SQRT(P569*($G$6-$E$6)*($F$6-$E$6)),$G$6-SQRT((1-P569)*($G$6-$E$6)*($G$6-$F$6))))</f>
        <v>1</v>
      </c>
      <c r="C569" s="37" t="n">
        <f aca="false">1+IF($G$7=$E$7,$F$7,IF(Q569&lt;($F$7-$E$7)/($G$7-$E$7),$E$7+SQRT(Q569*($G$7-$E$7)*($F$7-$E$7)),$G$7-SQRT((1-Q569)*($G$7-$E$7)*($G$7-$F$7))))</f>
        <v>1</v>
      </c>
      <c r="D569" s="37" t="n">
        <f aca="false">1+IF($G$8=$E$8,$F$8,IF(R569&lt;($F$8-$E$8)/($G$8-$E$8),$E$8+SQRT(R569*($G$8-$E$8)*($F$8-$E$8)),$G$8-SQRT((1-R569)*($G$8-$E$8)*($G$8-$F$8))))</f>
        <v>1</v>
      </c>
      <c r="E569" s="37" t="n">
        <f aca="false">1+IF($G$9=$E$9,$F$9,IF(S569&lt;($F$9-$E$9)/($G$9-$E$9),$E$9+SQRT(S569*($G$9-$E$9)*($F$9-$E$9)),$G$9-SQRT((1-S569)*($G$9-$E$9)*($G$9-$F$9))))</f>
        <v>1</v>
      </c>
      <c r="F569" s="37" t="n">
        <f aca="false">1+IF($G$10=$E$10,$F$10,IF(T569&lt;($F$10-$E$10)/($G$10-$E$10),$E$10+SQRT(T569*($G$10-$E$10)*($F$10-$E$10)),$G$10-SQRT((1-T569)*($G$10-$E$10)*($G$10-$F$10))))</f>
        <v>1</v>
      </c>
      <c r="G569" s="38" t="n">
        <f aca="false">IF($G$11=$E$11,$F$11,IF(U569&lt;($F$11-$E$11)/($G$11-$E$11),$E$11+SQRT(U569*($G$11-$E$11)*($F$11-$E$11)),$G$11-SQRT((1-U569)*($G$11-$E$11)*($G$11-$F$11))))</f>
        <v>0</v>
      </c>
      <c r="H569" s="39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0</v>
      </c>
      <c r="I569" s="39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0</v>
      </c>
      <c r="J569" s="39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0</v>
      </c>
      <c r="K569" s="39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0</v>
      </c>
      <c r="L569" s="39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0</v>
      </c>
      <c r="M569" s="39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0</v>
      </c>
      <c r="N569" s="39" t="str">
        <f aca="false">IF(COUNT('Business Case'!B11:G11)=0,"",H569+NPV(G569,I569:M569))</f>
        <v/>
      </c>
      <c r="P569" s="40" t="n">
        <f aca="true">RAND()</f>
        <v>0.8521710197201</v>
      </c>
      <c r="Q569" s="40" t="n">
        <f aca="true">RAND()</f>
        <v>0.0924199065965652</v>
      </c>
      <c r="R569" s="40" t="n">
        <f aca="true">RAND()</f>
        <v>0.305642197148387</v>
      </c>
      <c r="S569" s="40" t="n">
        <f aca="true">RAND()</f>
        <v>0.234068411249634</v>
      </c>
      <c r="T569" s="40" t="n">
        <f aca="true">RAND()</f>
        <v>0.953773226051027</v>
      </c>
      <c r="U569" s="40" t="n">
        <f aca="true">RAND()</f>
        <v>0.505069058133553</v>
      </c>
    </row>
    <row r="570" customFormat="false" ht="15" hidden="false" customHeight="false" outlineLevel="0" collapsed="false">
      <c r="A570" s="36" t="n">
        <v>490</v>
      </c>
      <c r="B570" s="37" t="n">
        <f aca="false">1+IF($G$6=$E$6,$F$6,IF(P570&lt;($F$6-$E$6)/($G$6-$E$6),$E$6+SQRT(P570*($G$6-$E$6)*($F$6-$E$6)),$G$6-SQRT((1-P570)*($G$6-$E$6)*($G$6-$F$6))))</f>
        <v>1</v>
      </c>
      <c r="C570" s="37" t="n">
        <f aca="false">1+IF($G$7=$E$7,$F$7,IF(Q570&lt;($F$7-$E$7)/($G$7-$E$7),$E$7+SQRT(Q570*($G$7-$E$7)*($F$7-$E$7)),$G$7-SQRT((1-Q570)*($G$7-$E$7)*($G$7-$F$7))))</f>
        <v>1</v>
      </c>
      <c r="D570" s="37" t="n">
        <f aca="false">1+IF($G$8=$E$8,$F$8,IF(R570&lt;($F$8-$E$8)/($G$8-$E$8),$E$8+SQRT(R570*($G$8-$E$8)*($F$8-$E$8)),$G$8-SQRT((1-R570)*($G$8-$E$8)*($G$8-$F$8))))</f>
        <v>1</v>
      </c>
      <c r="E570" s="37" t="n">
        <f aca="false">1+IF($G$9=$E$9,$F$9,IF(S570&lt;($F$9-$E$9)/($G$9-$E$9),$E$9+SQRT(S570*($G$9-$E$9)*($F$9-$E$9)),$G$9-SQRT((1-S570)*($G$9-$E$9)*($G$9-$F$9))))</f>
        <v>1</v>
      </c>
      <c r="F570" s="37" t="n">
        <f aca="false">1+IF($G$10=$E$10,$F$10,IF(T570&lt;($F$10-$E$10)/($G$10-$E$10),$E$10+SQRT(T570*($G$10-$E$10)*($F$10-$E$10)),$G$10-SQRT((1-T570)*($G$10-$E$10)*($G$10-$F$10))))</f>
        <v>1</v>
      </c>
      <c r="G570" s="38" t="n">
        <f aca="false">IF($G$11=$E$11,$F$11,IF(U570&lt;($F$11-$E$11)/($G$11-$E$11),$E$11+SQRT(U570*($G$11-$E$11)*($F$11-$E$11)),$G$11-SQRT((1-U570)*($G$11-$E$11)*($G$11-$F$11))))</f>
        <v>0</v>
      </c>
      <c r="H570" s="39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0</v>
      </c>
      <c r="I570" s="39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0</v>
      </c>
      <c r="J570" s="39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0</v>
      </c>
      <c r="K570" s="39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0</v>
      </c>
      <c r="L570" s="39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0</v>
      </c>
      <c r="M570" s="39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0</v>
      </c>
      <c r="N570" s="39" t="str">
        <f aca="false">IF(COUNT('Business Case'!B11:G11)=0,"",H570+NPV(G570,I570:M570))</f>
        <v/>
      </c>
      <c r="P570" s="40" t="n">
        <f aca="true">RAND()</f>
        <v>0.705010198669336</v>
      </c>
      <c r="Q570" s="40" t="n">
        <f aca="true">RAND()</f>
        <v>0.713642288432272</v>
      </c>
      <c r="R570" s="40" t="n">
        <f aca="true">RAND()</f>
        <v>0.941156107593893</v>
      </c>
      <c r="S570" s="40" t="n">
        <f aca="true">RAND()</f>
        <v>0.914667947118533</v>
      </c>
      <c r="T570" s="40" t="n">
        <f aca="true">RAND()</f>
        <v>0.317862034720673</v>
      </c>
      <c r="U570" s="40" t="n">
        <f aca="true">RAND()</f>
        <v>0.607300426917679</v>
      </c>
    </row>
    <row r="571" customFormat="false" ht="15" hidden="false" customHeight="false" outlineLevel="0" collapsed="false">
      <c r="A571" s="36" t="n">
        <v>491</v>
      </c>
      <c r="B571" s="37" t="n">
        <f aca="false">1+IF($G$6=$E$6,$F$6,IF(P571&lt;($F$6-$E$6)/($G$6-$E$6),$E$6+SQRT(P571*($G$6-$E$6)*($F$6-$E$6)),$G$6-SQRT((1-P571)*($G$6-$E$6)*($G$6-$F$6))))</f>
        <v>1</v>
      </c>
      <c r="C571" s="37" t="n">
        <f aca="false">1+IF($G$7=$E$7,$F$7,IF(Q571&lt;($F$7-$E$7)/($G$7-$E$7),$E$7+SQRT(Q571*($G$7-$E$7)*($F$7-$E$7)),$G$7-SQRT((1-Q571)*($G$7-$E$7)*($G$7-$F$7))))</f>
        <v>1</v>
      </c>
      <c r="D571" s="37" t="n">
        <f aca="false">1+IF($G$8=$E$8,$F$8,IF(R571&lt;($F$8-$E$8)/($G$8-$E$8),$E$8+SQRT(R571*($G$8-$E$8)*($F$8-$E$8)),$G$8-SQRT((1-R571)*($G$8-$E$8)*($G$8-$F$8))))</f>
        <v>1</v>
      </c>
      <c r="E571" s="37" t="n">
        <f aca="false">1+IF($G$9=$E$9,$F$9,IF(S571&lt;($F$9-$E$9)/($G$9-$E$9),$E$9+SQRT(S571*($G$9-$E$9)*($F$9-$E$9)),$G$9-SQRT((1-S571)*($G$9-$E$9)*($G$9-$F$9))))</f>
        <v>1</v>
      </c>
      <c r="F571" s="37" t="n">
        <f aca="false">1+IF($G$10=$E$10,$F$10,IF(T571&lt;($F$10-$E$10)/($G$10-$E$10),$E$10+SQRT(T571*($G$10-$E$10)*($F$10-$E$10)),$G$10-SQRT((1-T571)*($G$10-$E$10)*($G$10-$F$10))))</f>
        <v>1</v>
      </c>
      <c r="G571" s="38" t="n">
        <f aca="false">IF($G$11=$E$11,$F$11,IF(U571&lt;($F$11-$E$11)/($G$11-$E$11),$E$11+SQRT(U571*($G$11-$E$11)*($F$11-$E$11)),$G$11-SQRT((1-U571)*($G$11-$E$11)*($G$11-$F$11))))</f>
        <v>0</v>
      </c>
      <c r="H571" s="39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0</v>
      </c>
      <c r="I571" s="39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0</v>
      </c>
      <c r="J571" s="39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0</v>
      </c>
      <c r="K571" s="39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0</v>
      </c>
      <c r="L571" s="39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0</v>
      </c>
      <c r="M571" s="39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0</v>
      </c>
      <c r="N571" s="39" t="str">
        <f aca="false">IF(COUNT('Business Case'!B11:G11)=0,"",H571+NPV(G571,I571:M571))</f>
        <v/>
      </c>
      <c r="P571" s="40" t="n">
        <f aca="true">RAND()</f>
        <v>0.136768421812955</v>
      </c>
      <c r="Q571" s="40" t="n">
        <f aca="true">RAND()</f>
        <v>0.493595526400112</v>
      </c>
      <c r="R571" s="40" t="n">
        <f aca="true">RAND()</f>
        <v>0.351547953033751</v>
      </c>
      <c r="S571" s="40" t="n">
        <f aca="true">RAND()</f>
        <v>0.639667028126029</v>
      </c>
      <c r="T571" s="40" t="n">
        <f aca="true">RAND()</f>
        <v>0.37372411174094</v>
      </c>
      <c r="U571" s="40" t="n">
        <f aca="true">RAND()</f>
        <v>0.552811869653766</v>
      </c>
    </row>
    <row r="572" customFormat="false" ht="15" hidden="false" customHeight="false" outlineLevel="0" collapsed="false">
      <c r="A572" s="36" t="n">
        <v>492</v>
      </c>
      <c r="B572" s="37" t="n">
        <f aca="false">1+IF($G$6=$E$6,$F$6,IF(P572&lt;($F$6-$E$6)/($G$6-$E$6),$E$6+SQRT(P572*($G$6-$E$6)*($F$6-$E$6)),$G$6-SQRT((1-P572)*($G$6-$E$6)*($G$6-$F$6))))</f>
        <v>1</v>
      </c>
      <c r="C572" s="37" t="n">
        <f aca="false">1+IF($G$7=$E$7,$F$7,IF(Q572&lt;($F$7-$E$7)/($G$7-$E$7),$E$7+SQRT(Q572*($G$7-$E$7)*($F$7-$E$7)),$G$7-SQRT((1-Q572)*($G$7-$E$7)*($G$7-$F$7))))</f>
        <v>1</v>
      </c>
      <c r="D572" s="37" t="n">
        <f aca="false">1+IF($G$8=$E$8,$F$8,IF(R572&lt;($F$8-$E$8)/($G$8-$E$8),$E$8+SQRT(R572*($G$8-$E$8)*($F$8-$E$8)),$G$8-SQRT((1-R572)*($G$8-$E$8)*($G$8-$F$8))))</f>
        <v>1</v>
      </c>
      <c r="E572" s="37" t="n">
        <f aca="false">1+IF($G$9=$E$9,$F$9,IF(S572&lt;($F$9-$E$9)/($G$9-$E$9),$E$9+SQRT(S572*($G$9-$E$9)*($F$9-$E$9)),$G$9-SQRT((1-S572)*($G$9-$E$9)*($G$9-$F$9))))</f>
        <v>1</v>
      </c>
      <c r="F572" s="37" t="n">
        <f aca="false">1+IF($G$10=$E$10,$F$10,IF(T572&lt;($F$10-$E$10)/($G$10-$E$10),$E$10+SQRT(T572*($G$10-$E$10)*($F$10-$E$10)),$G$10-SQRT((1-T572)*($G$10-$E$10)*($G$10-$F$10))))</f>
        <v>1</v>
      </c>
      <c r="G572" s="38" t="n">
        <f aca="false">IF($G$11=$E$11,$F$11,IF(U572&lt;($F$11-$E$11)/($G$11-$E$11),$E$11+SQRT(U572*($G$11-$E$11)*($F$11-$E$11)),$G$11-SQRT((1-U572)*($G$11-$E$11)*($G$11-$F$11))))</f>
        <v>0</v>
      </c>
      <c r="H572" s="39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0</v>
      </c>
      <c r="I572" s="39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0</v>
      </c>
      <c r="J572" s="39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0</v>
      </c>
      <c r="K572" s="39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0</v>
      </c>
      <c r="L572" s="39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0</v>
      </c>
      <c r="M572" s="39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0</v>
      </c>
      <c r="N572" s="39" t="str">
        <f aca="false">IF(COUNT('Business Case'!B11:G11)=0,"",H572+NPV(G572,I572:M572))</f>
        <v/>
      </c>
      <c r="P572" s="40" t="n">
        <f aca="true">RAND()</f>
        <v>0.773397198819479</v>
      </c>
      <c r="Q572" s="40" t="n">
        <f aca="true">RAND()</f>
        <v>0.913130059277523</v>
      </c>
      <c r="R572" s="40" t="n">
        <f aca="true">RAND()</f>
        <v>0.434918603857309</v>
      </c>
      <c r="S572" s="40" t="n">
        <f aca="true">RAND()</f>
        <v>0.667029059155895</v>
      </c>
      <c r="T572" s="40" t="n">
        <f aca="true">RAND()</f>
        <v>0.224220955087701</v>
      </c>
      <c r="U572" s="40" t="n">
        <f aca="true">RAND()</f>
        <v>0.703550375383984</v>
      </c>
    </row>
    <row r="573" customFormat="false" ht="15" hidden="false" customHeight="false" outlineLevel="0" collapsed="false">
      <c r="A573" s="36" t="n">
        <v>493</v>
      </c>
      <c r="B573" s="37" t="n">
        <f aca="false">1+IF($G$6=$E$6,$F$6,IF(P573&lt;($F$6-$E$6)/($G$6-$E$6),$E$6+SQRT(P573*($G$6-$E$6)*($F$6-$E$6)),$G$6-SQRT((1-P573)*($G$6-$E$6)*($G$6-$F$6))))</f>
        <v>1</v>
      </c>
      <c r="C573" s="37" t="n">
        <f aca="false">1+IF($G$7=$E$7,$F$7,IF(Q573&lt;($F$7-$E$7)/($G$7-$E$7),$E$7+SQRT(Q573*($G$7-$E$7)*($F$7-$E$7)),$G$7-SQRT((1-Q573)*($G$7-$E$7)*($G$7-$F$7))))</f>
        <v>1</v>
      </c>
      <c r="D573" s="37" t="n">
        <f aca="false">1+IF($G$8=$E$8,$F$8,IF(R573&lt;($F$8-$E$8)/($G$8-$E$8),$E$8+SQRT(R573*($G$8-$E$8)*($F$8-$E$8)),$G$8-SQRT((1-R573)*($G$8-$E$8)*($G$8-$F$8))))</f>
        <v>1</v>
      </c>
      <c r="E573" s="37" t="n">
        <f aca="false">1+IF($G$9=$E$9,$F$9,IF(S573&lt;($F$9-$E$9)/($G$9-$E$9),$E$9+SQRT(S573*($G$9-$E$9)*($F$9-$E$9)),$G$9-SQRT((1-S573)*($G$9-$E$9)*($G$9-$F$9))))</f>
        <v>1</v>
      </c>
      <c r="F573" s="37" t="n">
        <f aca="false">1+IF($G$10=$E$10,$F$10,IF(T573&lt;($F$10-$E$10)/($G$10-$E$10),$E$10+SQRT(T573*($G$10-$E$10)*($F$10-$E$10)),$G$10-SQRT((1-T573)*($G$10-$E$10)*($G$10-$F$10))))</f>
        <v>1</v>
      </c>
      <c r="G573" s="38" t="n">
        <f aca="false">IF($G$11=$E$11,$F$11,IF(U573&lt;($F$11-$E$11)/($G$11-$E$11),$E$11+SQRT(U573*($G$11-$E$11)*($F$11-$E$11)),$G$11-SQRT((1-U573)*($G$11-$E$11)*($G$11-$F$11))))</f>
        <v>0</v>
      </c>
      <c r="H573" s="39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0</v>
      </c>
      <c r="I573" s="39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0</v>
      </c>
      <c r="J573" s="39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0</v>
      </c>
      <c r="K573" s="39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0</v>
      </c>
      <c r="L573" s="39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0</v>
      </c>
      <c r="M573" s="39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0</v>
      </c>
      <c r="N573" s="39" t="str">
        <f aca="false">IF(COUNT('Business Case'!B11:G11)=0,"",H573+NPV(G573,I573:M573))</f>
        <v/>
      </c>
      <c r="P573" s="40" t="n">
        <f aca="true">RAND()</f>
        <v>0.383778781606807</v>
      </c>
      <c r="Q573" s="40" t="n">
        <f aca="true">RAND()</f>
        <v>0.945079912876228</v>
      </c>
      <c r="R573" s="40" t="n">
        <f aca="true">RAND()</f>
        <v>0.0617263168270813</v>
      </c>
      <c r="S573" s="40" t="n">
        <f aca="true">RAND()</f>
        <v>0.14843283904211</v>
      </c>
      <c r="T573" s="40" t="n">
        <f aca="true">RAND()</f>
        <v>0.080390037941237</v>
      </c>
      <c r="U573" s="40" t="n">
        <f aca="true">RAND()</f>
        <v>0.439364043161446</v>
      </c>
    </row>
    <row r="574" customFormat="false" ht="15" hidden="false" customHeight="false" outlineLevel="0" collapsed="false">
      <c r="A574" s="36" t="n">
        <v>494</v>
      </c>
      <c r="B574" s="37" t="n">
        <f aca="false">1+IF($G$6=$E$6,$F$6,IF(P574&lt;($F$6-$E$6)/($G$6-$E$6),$E$6+SQRT(P574*($G$6-$E$6)*($F$6-$E$6)),$G$6-SQRT((1-P574)*($G$6-$E$6)*($G$6-$F$6))))</f>
        <v>1</v>
      </c>
      <c r="C574" s="37" t="n">
        <f aca="false">1+IF($G$7=$E$7,$F$7,IF(Q574&lt;($F$7-$E$7)/($G$7-$E$7),$E$7+SQRT(Q574*($G$7-$E$7)*($F$7-$E$7)),$G$7-SQRT((1-Q574)*($G$7-$E$7)*($G$7-$F$7))))</f>
        <v>1</v>
      </c>
      <c r="D574" s="37" t="n">
        <f aca="false">1+IF($G$8=$E$8,$F$8,IF(R574&lt;($F$8-$E$8)/($G$8-$E$8),$E$8+SQRT(R574*($G$8-$E$8)*($F$8-$E$8)),$G$8-SQRT((1-R574)*($G$8-$E$8)*($G$8-$F$8))))</f>
        <v>1</v>
      </c>
      <c r="E574" s="37" t="n">
        <f aca="false">1+IF($G$9=$E$9,$F$9,IF(S574&lt;($F$9-$E$9)/($G$9-$E$9),$E$9+SQRT(S574*($G$9-$E$9)*($F$9-$E$9)),$G$9-SQRT((1-S574)*($G$9-$E$9)*($G$9-$F$9))))</f>
        <v>1</v>
      </c>
      <c r="F574" s="37" t="n">
        <f aca="false">1+IF($G$10=$E$10,$F$10,IF(T574&lt;($F$10-$E$10)/($G$10-$E$10),$E$10+SQRT(T574*($G$10-$E$10)*($F$10-$E$10)),$G$10-SQRT((1-T574)*($G$10-$E$10)*($G$10-$F$10))))</f>
        <v>1</v>
      </c>
      <c r="G574" s="38" t="n">
        <f aca="false">IF($G$11=$E$11,$F$11,IF(U574&lt;($F$11-$E$11)/($G$11-$E$11),$E$11+SQRT(U574*($G$11-$E$11)*($F$11-$E$11)),$G$11-SQRT((1-U574)*($G$11-$E$11)*($G$11-$F$11))))</f>
        <v>0</v>
      </c>
      <c r="H574" s="39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0</v>
      </c>
      <c r="I574" s="39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0</v>
      </c>
      <c r="J574" s="39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0</v>
      </c>
      <c r="K574" s="39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0</v>
      </c>
      <c r="L574" s="39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0</v>
      </c>
      <c r="M574" s="39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0</v>
      </c>
      <c r="N574" s="39" t="str">
        <f aca="false">IF(COUNT('Business Case'!B11:G11)=0,"",H574+NPV(G574,I574:M574))</f>
        <v/>
      </c>
      <c r="P574" s="40" t="n">
        <f aca="true">RAND()</f>
        <v>0.537324429380381</v>
      </c>
      <c r="Q574" s="40" t="n">
        <f aca="true">RAND()</f>
        <v>0.136650359231519</v>
      </c>
      <c r="R574" s="40" t="n">
        <f aca="true">RAND()</f>
        <v>0.869266864176167</v>
      </c>
      <c r="S574" s="40" t="n">
        <f aca="true">RAND()</f>
        <v>0.193041246942208</v>
      </c>
      <c r="T574" s="40" t="n">
        <f aca="true">RAND()</f>
        <v>0.763276916360237</v>
      </c>
      <c r="U574" s="40" t="n">
        <f aca="true">RAND()</f>
        <v>0.0589281481476787</v>
      </c>
    </row>
    <row r="575" customFormat="false" ht="15" hidden="false" customHeight="false" outlineLevel="0" collapsed="false">
      <c r="A575" s="36" t="n">
        <v>495</v>
      </c>
      <c r="B575" s="37" t="n">
        <f aca="false">1+IF($G$6=$E$6,$F$6,IF(P575&lt;($F$6-$E$6)/($G$6-$E$6),$E$6+SQRT(P575*($G$6-$E$6)*($F$6-$E$6)),$G$6-SQRT((1-P575)*($G$6-$E$6)*($G$6-$F$6))))</f>
        <v>1</v>
      </c>
      <c r="C575" s="37" t="n">
        <f aca="false">1+IF($G$7=$E$7,$F$7,IF(Q575&lt;($F$7-$E$7)/($G$7-$E$7),$E$7+SQRT(Q575*($G$7-$E$7)*($F$7-$E$7)),$G$7-SQRT((1-Q575)*($G$7-$E$7)*($G$7-$F$7))))</f>
        <v>1</v>
      </c>
      <c r="D575" s="37" t="n">
        <f aca="false">1+IF($G$8=$E$8,$F$8,IF(R575&lt;($F$8-$E$8)/($G$8-$E$8),$E$8+SQRT(R575*($G$8-$E$8)*($F$8-$E$8)),$G$8-SQRT((1-R575)*($G$8-$E$8)*($G$8-$F$8))))</f>
        <v>1</v>
      </c>
      <c r="E575" s="37" t="n">
        <f aca="false">1+IF($G$9=$E$9,$F$9,IF(S575&lt;($F$9-$E$9)/($G$9-$E$9),$E$9+SQRT(S575*($G$9-$E$9)*($F$9-$E$9)),$G$9-SQRT((1-S575)*($G$9-$E$9)*($G$9-$F$9))))</f>
        <v>1</v>
      </c>
      <c r="F575" s="37" t="n">
        <f aca="false">1+IF($G$10=$E$10,$F$10,IF(T575&lt;($F$10-$E$10)/($G$10-$E$10),$E$10+SQRT(T575*($G$10-$E$10)*($F$10-$E$10)),$G$10-SQRT((1-T575)*($G$10-$E$10)*($G$10-$F$10))))</f>
        <v>1</v>
      </c>
      <c r="G575" s="38" t="n">
        <f aca="false">IF($G$11=$E$11,$F$11,IF(U575&lt;($F$11-$E$11)/($G$11-$E$11),$E$11+SQRT(U575*($G$11-$E$11)*($F$11-$E$11)),$G$11-SQRT((1-U575)*($G$11-$E$11)*($G$11-$F$11))))</f>
        <v>0</v>
      </c>
      <c r="H575" s="39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0</v>
      </c>
      <c r="I575" s="39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0</v>
      </c>
      <c r="J575" s="39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0</v>
      </c>
      <c r="K575" s="39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0</v>
      </c>
      <c r="L575" s="39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0</v>
      </c>
      <c r="M575" s="39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0</v>
      </c>
      <c r="N575" s="39" t="str">
        <f aca="false">IF(COUNT('Business Case'!B11:G11)=0,"",H575+NPV(G575,I575:M575))</f>
        <v/>
      </c>
      <c r="P575" s="40" t="n">
        <f aca="true">RAND()</f>
        <v>0.899855665278693</v>
      </c>
      <c r="Q575" s="40" t="n">
        <f aca="true">RAND()</f>
        <v>0.153362812130597</v>
      </c>
      <c r="R575" s="40" t="n">
        <f aca="true">RAND()</f>
        <v>0.570420240009108</v>
      </c>
      <c r="S575" s="40" t="n">
        <f aca="true">RAND()</f>
        <v>0.676789430794337</v>
      </c>
      <c r="T575" s="40" t="n">
        <f aca="true">RAND()</f>
        <v>0.719457701111963</v>
      </c>
      <c r="U575" s="40" t="n">
        <f aca="true">RAND()</f>
        <v>0.392823405267269</v>
      </c>
    </row>
    <row r="576" customFormat="false" ht="15" hidden="false" customHeight="false" outlineLevel="0" collapsed="false">
      <c r="A576" s="36" t="n">
        <v>496</v>
      </c>
      <c r="B576" s="37" t="n">
        <f aca="false">1+IF($G$6=$E$6,$F$6,IF(P576&lt;($F$6-$E$6)/($G$6-$E$6),$E$6+SQRT(P576*($G$6-$E$6)*($F$6-$E$6)),$G$6-SQRT((1-P576)*($G$6-$E$6)*($G$6-$F$6))))</f>
        <v>1</v>
      </c>
      <c r="C576" s="37" t="n">
        <f aca="false">1+IF($G$7=$E$7,$F$7,IF(Q576&lt;($F$7-$E$7)/($G$7-$E$7),$E$7+SQRT(Q576*($G$7-$E$7)*($F$7-$E$7)),$G$7-SQRT((1-Q576)*($G$7-$E$7)*($G$7-$F$7))))</f>
        <v>1</v>
      </c>
      <c r="D576" s="37" t="n">
        <f aca="false">1+IF($G$8=$E$8,$F$8,IF(R576&lt;($F$8-$E$8)/($G$8-$E$8),$E$8+SQRT(R576*($G$8-$E$8)*($F$8-$E$8)),$G$8-SQRT((1-R576)*($G$8-$E$8)*($G$8-$F$8))))</f>
        <v>1</v>
      </c>
      <c r="E576" s="37" t="n">
        <f aca="false">1+IF($G$9=$E$9,$F$9,IF(S576&lt;($F$9-$E$9)/($G$9-$E$9),$E$9+SQRT(S576*($G$9-$E$9)*($F$9-$E$9)),$G$9-SQRT((1-S576)*($G$9-$E$9)*($G$9-$F$9))))</f>
        <v>1</v>
      </c>
      <c r="F576" s="37" t="n">
        <f aca="false">1+IF($G$10=$E$10,$F$10,IF(T576&lt;($F$10-$E$10)/($G$10-$E$10),$E$10+SQRT(T576*($G$10-$E$10)*($F$10-$E$10)),$G$10-SQRT((1-T576)*($G$10-$E$10)*($G$10-$F$10))))</f>
        <v>1</v>
      </c>
      <c r="G576" s="38" t="n">
        <f aca="false">IF($G$11=$E$11,$F$11,IF(U576&lt;($F$11-$E$11)/($G$11-$E$11),$E$11+SQRT(U576*($G$11-$E$11)*($F$11-$E$11)),$G$11-SQRT((1-U576)*($G$11-$E$11)*($G$11-$F$11))))</f>
        <v>0</v>
      </c>
      <c r="H576" s="39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0</v>
      </c>
      <c r="I576" s="39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0</v>
      </c>
      <c r="J576" s="39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0</v>
      </c>
      <c r="K576" s="39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0</v>
      </c>
      <c r="L576" s="39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0</v>
      </c>
      <c r="M576" s="39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0</v>
      </c>
      <c r="N576" s="39" t="str">
        <f aca="false">IF(COUNT('Business Case'!B11:G11)=0,"",H576+NPV(G576,I576:M576))</f>
        <v/>
      </c>
      <c r="P576" s="40" t="n">
        <f aca="true">RAND()</f>
        <v>0.0137793375211896</v>
      </c>
      <c r="Q576" s="40" t="n">
        <f aca="true">RAND()</f>
        <v>0.321761365280683</v>
      </c>
      <c r="R576" s="40" t="n">
        <f aca="true">RAND()</f>
        <v>0.0249631142465793</v>
      </c>
      <c r="S576" s="40" t="n">
        <f aca="true">RAND()</f>
        <v>0.153772526188849</v>
      </c>
      <c r="T576" s="40" t="n">
        <f aca="true">RAND()</f>
        <v>0.89435924797141</v>
      </c>
      <c r="U576" s="40" t="n">
        <f aca="true">RAND()</f>
        <v>0.33532703373325</v>
      </c>
    </row>
    <row r="577" customFormat="false" ht="15" hidden="false" customHeight="false" outlineLevel="0" collapsed="false">
      <c r="A577" s="36" t="n">
        <v>497</v>
      </c>
      <c r="B577" s="37" t="n">
        <f aca="false">1+IF($G$6=$E$6,$F$6,IF(P577&lt;($F$6-$E$6)/($G$6-$E$6),$E$6+SQRT(P577*($G$6-$E$6)*($F$6-$E$6)),$G$6-SQRT((1-P577)*($G$6-$E$6)*($G$6-$F$6))))</f>
        <v>1</v>
      </c>
      <c r="C577" s="37" t="n">
        <f aca="false">1+IF($G$7=$E$7,$F$7,IF(Q577&lt;($F$7-$E$7)/($G$7-$E$7),$E$7+SQRT(Q577*($G$7-$E$7)*($F$7-$E$7)),$G$7-SQRT((1-Q577)*($G$7-$E$7)*($G$7-$F$7))))</f>
        <v>1</v>
      </c>
      <c r="D577" s="37" t="n">
        <f aca="false">1+IF($G$8=$E$8,$F$8,IF(R577&lt;($F$8-$E$8)/($G$8-$E$8),$E$8+SQRT(R577*($G$8-$E$8)*($F$8-$E$8)),$G$8-SQRT((1-R577)*($G$8-$E$8)*($G$8-$F$8))))</f>
        <v>1</v>
      </c>
      <c r="E577" s="37" t="n">
        <f aca="false">1+IF($G$9=$E$9,$F$9,IF(S577&lt;($F$9-$E$9)/($G$9-$E$9),$E$9+SQRT(S577*($G$9-$E$9)*($F$9-$E$9)),$G$9-SQRT((1-S577)*($G$9-$E$9)*($G$9-$F$9))))</f>
        <v>1</v>
      </c>
      <c r="F577" s="37" t="n">
        <f aca="false">1+IF($G$10=$E$10,$F$10,IF(T577&lt;($F$10-$E$10)/($G$10-$E$10),$E$10+SQRT(T577*($G$10-$E$10)*($F$10-$E$10)),$G$10-SQRT((1-T577)*($G$10-$E$10)*($G$10-$F$10))))</f>
        <v>1</v>
      </c>
      <c r="G577" s="38" t="n">
        <f aca="false">IF($G$11=$E$11,$F$11,IF(U577&lt;($F$11-$E$11)/($G$11-$E$11),$E$11+SQRT(U577*($G$11-$E$11)*($F$11-$E$11)),$G$11-SQRT((1-U577)*($G$11-$E$11)*($G$11-$F$11))))</f>
        <v>0</v>
      </c>
      <c r="H577" s="39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0</v>
      </c>
      <c r="I577" s="39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0</v>
      </c>
      <c r="J577" s="39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0</v>
      </c>
      <c r="K577" s="39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0</v>
      </c>
      <c r="L577" s="39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0</v>
      </c>
      <c r="M577" s="39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0</v>
      </c>
      <c r="N577" s="39" t="str">
        <f aca="false">IF(COUNT('Business Case'!B11:G11)=0,"",H577+NPV(G577,I577:M577))</f>
        <v/>
      </c>
      <c r="P577" s="40" t="n">
        <f aca="true">RAND()</f>
        <v>0.979968538854417</v>
      </c>
      <c r="Q577" s="40" t="n">
        <f aca="true">RAND()</f>
        <v>0.170416786931883</v>
      </c>
      <c r="R577" s="40" t="n">
        <f aca="true">RAND()</f>
        <v>0.189839888316073</v>
      </c>
      <c r="S577" s="40" t="n">
        <f aca="true">RAND()</f>
        <v>0.674584678133789</v>
      </c>
      <c r="T577" s="40" t="n">
        <f aca="true">RAND()</f>
        <v>0.569842645307723</v>
      </c>
      <c r="U577" s="40" t="n">
        <f aca="true">RAND()</f>
        <v>0.675979940937026</v>
      </c>
    </row>
    <row r="578" customFormat="false" ht="15" hidden="false" customHeight="false" outlineLevel="0" collapsed="false">
      <c r="A578" s="36" t="n">
        <v>498</v>
      </c>
      <c r="B578" s="37" t="n">
        <f aca="false">1+IF($G$6=$E$6,$F$6,IF(P578&lt;($F$6-$E$6)/($G$6-$E$6),$E$6+SQRT(P578*($G$6-$E$6)*($F$6-$E$6)),$G$6-SQRT((1-P578)*($G$6-$E$6)*($G$6-$F$6))))</f>
        <v>1</v>
      </c>
      <c r="C578" s="37" t="n">
        <f aca="false">1+IF($G$7=$E$7,$F$7,IF(Q578&lt;($F$7-$E$7)/($G$7-$E$7),$E$7+SQRT(Q578*($G$7-$E$7)*($F$7-$E$7)),$G$7-SQRT((1-Q578)*($G$7-$E$7)*($G$7-$F$7))))</f>
        <v>1</v>
      </c>
      <c r="D578" s="37" t="n">
        <f aca="false">1+IF($G$8=$E$8,$F$8,IF(R578&lt;($F$8-$E$8)/($G$8-$E$8),$E$8+SQRT(R578*($G$8-$E$8)*($F$8-$E$8)),$G$8-SQRT((1-R578)*($G$8-$E$8)*($G$8-$F$8))))</f>
        <v>1</v>
      </c>
      <c r="E578" s="37" t="n">
        <f aca="false">1+IF($G$9=$E$9,$F$9,IF(S578&lt;($F$9-$E$9)/($G$9-$E$9),$E$9+SQRT(S578*($G$9-$E$9)*($F$9-$E$9)),$G$9-SQRT((1-S578)*($G$9-$E$9)*($G$9-$F$9))))</f>
        <v>1</v>
      </c>
      <c r="F578" s="37" t="n">
        <f aca="false">1+IF($G$10=$E$10,$F$10,IF(T578&lt;($F$10-$E$10)/($G$10-$E$10),$E$10+SQRT(T578*($G$10-$E$10)*($F$10-$E$10)),$G$10-SQRT((1-T578)*($G$10-$E$10)*($G$10-$F$10))))</f>
        <v>1</v>
      </c>
      <c r="G578" s="38" t="n">
        <f aca="false">IF($G$11=$E$11,$F$11,IF(U578&lt;($F$11-$E$11)/($G$11-$E$11),$E$11+SQRT(U578*($G$11-$E$11)*($F$11-$E$11)),$G$11-SQRT((1-U578)*($G$11-$E$11)*($G$11-$F$11))))</f>
        <v>0</v>
      </c>
      <c r="H578" s="39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0</v>
      </c>
      <c r="I578" s="39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0</v>
      </c>
      <c r="J578" s="39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0</v>
      </c>
      <c r="K578" s="39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0</v>
      </c>
      <c r="L578" s="39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0</v>
      </c>
      <c r="M578" s="39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0</v>
      </c>
      <c r="N578" s="39" t="str">
        <f aca="false">IF(COUNT('Business Case'!B11:G11)=0,"",H578+NPV(G578,I578:M578))</f>
        <v/>
      </c>
      <c r="P578" s="40" t="n">
        <f aca="true">RAND()</f>
        <v>0.928260960104024</v>
      </c>
      <c r="Q578" s="40" t="n">
        <f aca="true">RAND()</f>
        <v>0.284306221592314</v>
      </c>
      <c r="R578" s="40" t="n">
        <f aca="true">RAND()</f>
        <v>0.377001256165098</v>
      </c>
      <c r="S578" s="40" t="n">
        <f aca="true">RAND()</f>
        <v>0.214827064014055</v>
      </c>
      <c r="T578" s="40" t="n">
        <f aca="true">RAND()</f>
        <v>0.515298214021633</v>
      </c>
      <c r="U578" s="40" t="n">
        <f aca="true">RAND()</f>
        <v>0.564900373045579</v>
      </c>
    </row>
    <row r="579" customFormat="false" ht="15" hidden="false" customHeight="false" outlineLevel="0" collapsed="false">
      <c r="A579" s="36" t="n">
        <v>499</v>
      </c>
      <c r="B579" s="37" t="n">
        <f aca="false">1+IF($G$6=$E$6,$F$6,IF(P579&lt;($F$6-$E$6)/($G$6-$E$6),$E$6+SQRT(P579*($G$6-$E$6)*($F$6-$E$6)),$G$6-SQRT((1-P579)*($G$6-$E$6)*($G$6-$F$6))))</f>
        <v>1</v>
      </c>
      <c r="C579" s="37" t="n">
        <f aca="false">1+IF($G$7=$E$7,$F$7,IF(Q579&lt;($F$7-$E$7)/($G$7-$E$7),$E$7+SQRT(Q579*($G$7-$E$7)*($F$7-$E$7)),$G$7-SQRT((1-Q579)*($G$7-$E$7)*($G$7-$F$7))))</f>
        <v>1</v>
      </c>
      <c r="D579" s="37" t="n">
        <f aca="false">1+IF($G$8=$E$8,$F$8,IF(R579&lt;($F$8-$E$8)/($G$8-$E$8),$E$8+SQRT(R579*($G$8-$E$8)*($F$8-$E$8)),$G$8-SQRT((1-R579)*($G$8-$E$8)*($G$8-$F$8))))</f>
        <v>1</v>
      </c>
      <c r="E579" s="37" t="n">
        <f aca="false">1+IF($G$9=$E$9,$F$9,IF(S579&lt;($F$9-$E$9)/($G$9-$E$9),$E$9+SQRT(S579*($G$9-$E$9)*($F$9-$E$9)),$G$9-SQRT((1-S579)*($G$9-$E$9)*($G$9-$F$9))))</f>
        <v>1</v>
      </c>
      <c r="F579" s="37" t="n">
        <f aca="false">1+IF($G$10=$E$10,$F$10,IF(T579&lt;($F$10-$E$10)/($G$10-$E$10),$E$10+SQRT(T579*($G$10-$E$10)*($F$10-$E$10)),$G$10-SQRT((1-T579)*($G$10-$E$10)*($G$10-$F$10))))</f>
        <v>1</v>
      </c>
      <c r="G579" s="38" t="n">
        <f aca="false">IF($G$11=$E$11,$F$11,IF(U579&lt;($F$11-$E$11)/($G$11-$E$11),$E$11+SQRT(U579*($G$11-$E$11)*($F$11-$E$11)),$G$11-SQRT((1-U579)*($G$11-$E$11)*($G$11-$F$11))))</f>
        <v>0</v>
      </c>
      <c r="H579" s="39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0</v>
      </c>
      <c r="I579" s="39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0</v>
      </c>
      <c r="J579" s="39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0</v>
      </c>
      <c r="K579" s="39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0</v>
      </c>
      <c r="L579" s="39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0</v>
      </c>
      <c r="M579" s="39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0</v>
      </c>
      <c r="N579" s="39" t="str">
        <f aca="false">IF(COUNT('Business Case'!B11:G11)=0,"",H579+NPV(G579,I579:M579))</f>
        <v/>
      </c>
      <c r="P579" s="40" t="n">
        <f aca="true">RAND()</f>
        <v>0.151030297952256</v>
      </c>
      <c r="Q579" s="40" t="n">
        <f aca="true">RAND()</f>
        <v>0.812727102591695</v>
      </c>
      <c r="R579" s="40" t="n">
        <f aca="true">RAND()</f>
        <v>0.560890713236615</v>
      </c>
      <c r="S579" s="40" t="n">
        <f aca="true">RAND()</f>
        <v>0.121730935537647</v>
      </c>
      <c r="T579" s="40" t="n">
        <f aca="true">RAND()</f>
        <v>0.076292193039061</v>
      </c>
      <c r="U579" s="40" t="n">
        <f aca="true">RAND()</f>
        <v>0.92356153126502</v>
      </c>
    </row>
    <row r="580" customFormat="false" ht="15" hidden="false" customHeight="false" outlineLevel="0" collapsed="false">
      <c r="A580" s="36" t="n">
        <v>500</v>
      </c>
      <c r="B580" s="37" t="n">
        <f aca="false">1+IF($G$6=$E$6,$F$6,IF(P580&lt;($F$6-$E$6)/($G$6-$E$6),$E$6+SQRT(P580*($G$6-$E$6)*($F$6-$E$6)),$G$6-SQRT((1-P580)*($G$6-$E$6)*($G$6-$F$6))))</f>
        <v>1</v>
      </c>
      <c r="C580" s="37" t="n">
        <f aca="false">1+IF($G$7=$E$7,$F$7,IF(Q580&lt;($F$7-$E$7)/($G$7-$E$7),$E$7+SQRT(Q580*($G$7-$E$7)*($F$7-$E$7)),$G$7-SQRT((1-Q580)*($G$7-$E$7)*($G$7-$F$7))))</f>
        <v>1</v>
      </c>
      <c r="D580" s="37" t="n">
        <f aca="false">1+IF($G$8=$E$8,$F$8,IF(R580&lt;($F$8-$E$8)/($G$8-$E$8),$E$8+SQRT(R580*($G$8-$E$8)*($F$8-$E$8)),$G$8-SQRT((1-R580)*($G$8-$E$8)*($G$8-$F$8))))</f>
        <v>1</v>
      </c>
      <c r="E580" s="37" t="n">
        <f aca="false">1+IF($G$9=$E$9,$F$9,IF(S580&lt;($F$9-$E$9)/($G$9-$E$9),$E$9+SQRT(S580*($G$9-$E$9)*($F$9-$E$9)),$G$9-SQRT((1-S580)*($G$9-$E$9)*($G$9-$F$9))))</f>
        <v>1</v>
      </c>
      <c r="F580" s="37" t="n">
        <f aca="false">1+IF($G$10=$E$10,$F$10,IF(T580&lt;($F$10-$E$10)/($G$10-$E$10),$E$10+SQRT(T580*($G$10-$E$10)*($F$10-$E$10)),$G$10-SQRT((1-T580)*($G$10-$E$10)*($G$10-$F$10))))</f>
        <v>1</v>
      </c>
      <c r="G580" s="38" t="n">
        <f aca="false">IF($G$11=$E$11,$F$11,IF(U580&lt;($F$11-$E$11)/($G$11-$E$11),$E$11+SQRT(U580*($G$11-$E$11)*($F$11-$E$11)),$G$11-SQRT((1-U580)*($G$11-$E$11)*($G$11-$F$11))))</f>
        <v>0</v>
      </c>
      <c r="H580" s="39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0</v>
      </c>
      <c r="I580" s="39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0</v>
      </c>
      <c r="J580" s="39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0</v>
      </c>
      <c r="K580" s="39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0</v>
      </c>
      <c r="L580" s="39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0</v>
      </c>
      <c r="M580" s="39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0</v>
      </c>
      <c r="N580" s="39" t="str">
        <f aca="false">IF(COUNT('Business Case'!B11:G11)=0,"",H580+NPV(G580,I580:M580))</f>
        <v/>
      </c>
      <c r="P580" s="40" t="n">
        <f aca="true">RAND()</f>
        <v>0.0339257966675759</v>
      </c>
      <c r="Q580" s="40" t="n">
        <f aca="true">RAND()</f>
        <v>0.997951097946778</v>
      </c>
      <c r="R580" s="40" t="n">
        <f aca="true">RAND()</f>
        <v>0.398444315822643</v>
      </c>
      <c r="S580" s="40" t="n">
        <f aca="true">RAND()</f>
        <v>0.983791166687527</v>
      </c>
      <c r="T580" s="40" t="n">
        <f aca="true">RAND()</f>
        <v>0.0662622132296386</v>
      </c>
      <c r="U580" s="40" t="n">
        <f aca="true">RAND()</f>
        <v>0.0187440024297367</v>
      </c>
    </row>
    <row r="581" customFormat="false" ht="15" hidden="false" customHeight="false" outlineLevel="0" collapsed="false">
      <c r="A581" s="36" t="n">
        <v>501</v>
      </c>
      <c r="B581" s="37" t="n">
        <f aca="false">1+IF($G$6=$E$6,$F$6,IF(P581&lt;($F$6-$E$6)/($G$6-$E$6),$E$6+SQRT(P581*($G$6-$E$6)*($F$6-$E$6)),$G$6-SQRT((1-P581)*($G$6-$E$6)*($G$6-$F$6))))</f>
        <v>1</v>
      </c>
      <c r="C581" s="37" t="n">
        <f aca="false">1+IF($G$7=$E$7,$F$7,IF(Q581&lt;($F$7-$E$7)/($G$7-$E$7),$E$7+SQRT(Q581*($G$7-$E$7)*($F$7-$E$7)),$G$7-SQRT((1-Q581)*($G$7-$E$7)*($G$7-$F$7))))</f>
        <v>1</v>
      </c>
      <c r="D581" s="37" t="n">
        <f aca="false">1+IF($G$8=$E$8,$F$8,IF(R581&lt;($F$8-$E$8)/($G$8-$E$8),$E$8+SQRT(R581*($G$8-$E$8)*($F$8-$E$8)),$G$8-SQRT((1-R581)*($G$8-$E$8)*($G$8-$F$8))))</f>
        <v>1</v>
      </c>
      <c r="E581" s="37" t="n">
        <f aca="false">1+IF($G$9=$E$9,$F$9,IF(S581&lt;($F$9-$E$9)/($G$9-$E$9),$E$9+SQRT(S581*($G$9-$E$9)*($F$9-$E$9)),$G$9-SQRT((1-S581)*($G$9-$E$9)*($G$9-$F$9))))</f>
        <v>1</v>
      </c>
      <c r="F581" s="37" t="n">
        <f aca="false">1+IF($G$10=$E$10,$F$10,IF(T581&lt;($F$10-$E$10)/($G$10-$E$10),$E$10+SQRT(T581*($G$10-$E$10)*($F$10-$E$10)),$G$10-SQRT((1-T581)*($G$10-$E$10)*($G$10-$F$10))))</f>
        <v>1</v>
      </c>
      <c r="G581" s="38" t="n">
        <f aca="false">IF($G$11=$E$11,$F$11,IF(U581&lt;($F$11-$E$11)/($G$11-$E$11),$E$11+SQRT(U581*($G$11-$E$11)*($F$11-$E$11)),$G$11-SQRT((1-U581)*($G$11-$E$11)*($G$11-$F$11))))</f>
        <v>0</v>
      </c>
      <c r="H581" s="39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0</v>
      </c>
      <c r="I581" s="39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0</v>
      </c>
      <c r="J581" s="39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0</v>
      </c>
      <c r="K581" s="39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0</v>
      </c>
      <c r="L581" s="39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0</v>
      </c>
      <c r="M581" s="39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0</v>
      </c>
      <c r="N581" s="39" t="str">
        <f aca="false">IF(COUNT('Business Case'!B11:G11)=0,"",H581+NPV(G581,I581:M581))</f>
        <v/>
      </c>
      <c r="P581" s="40" t="n">
        <f aca="true">RAND()</f>
        <v>0.738396380736342</v>
      </c>
      <c r="Q581" s="40" t="n">
        <f aca="true">RAND()</f>
        <v>0.176197917893613</v>
      </c>
      <c r="R581" s="40" t="n">
        <f aca="true">RAND()</f>
        <v>0.290296099386398</v>
      </c>
      <c r="S581" s="40" t="n">
        <f aca="true">RAND()</f>
        <v>0.697735378761489</v>
      </c>
      <c r="T581" s="40" t="n">
        <f aca="true">RAND()</f>
        <v>0.865608816140496</v>
      </c>
      <c r="U581" s="40" t="n">
        <f aca="true">RAND()</f>
        <v>0.523959129376382</v>
      </c>
    </row>
    <row r="582" customFormat="false" ht="15" hidden="false" customHeight="false" outlineLevel="0" collapsed="false">
      <c r="A582" s="36" t="n">
        <v>502</v>
      </c>
      <c r="B582" s="37" t="n">
        <f aca="false">1+IF($G$6=$E$6,$F$6,IF(P582&lt;($F$6-$E$6)/($G$6-$E$6),$E$6+SQRT(P582*($G$6-$E$6)*($F$6-$E$6)),$G$6-SQRT((1-P582)*($G$6-$E$6)*($G$6-$F$6))))</f>
        <v>1</v>
      </c>
      <c r="C582" s="37" t="n">
        <f aca="false">1+IF($G$7=$E$7,$F$7,IF(Q582&lt;($F$7-$E$7)/($G$7-$E$7),$E$7+SQRT(Q582*($G$7-$E$7)*($F$7-$E$7)),$G$7-SQRT((1-Q582)*($G$7-$E$7)*($G$7-$F$7))))</f>
        <v>1</v>
      </c>
      <c r="D582" s="37" t="n">
        <f aca="false">1+IF($G$8=$E$8,$F$8,IF(R582&lt;($F$8-$E$8)/($G$8-$E$8),$E$8+SQRT(R582*($G$8-$E$8)*($F$8-$E$8)),$G$8-SQRT((1-R582)*($G$8-$E$8)*($G$8-$F$8))))</f>
        <v>1</v>
      </c>
      <c r="E582" s="37" t="n">
        <f aca="false">1+IF($G$9=$E$9,$F$9,IF(S582&lt;($F$9-$E$9)/($G$9-$E$9),$E$9+SQRT(S582*($G$9-$E$9)*($F$9-$E$9)),$G$9-SQRT((1-S582)*($G$9-$E$9)*($G$9-$F$9))))</f>
        <v>1</v>
      </c>
      <c r="F582" s="37" t="n">
        <f aca="false">1+IF($G$10=$E$10,$F$10,IF(T582&lt;($F$10-$E$10)/($G$10-$E$10),$E$10+SQRT(T582*($G$10-$E$10)*($F$10-$E$10)),$G$10-SQRT((1-T582)*($G$10-$E$10)*($G$10-$F$10))))</f>
        <v>1</v>
      </c>
      <c r="G582" s="38" t="n">
        <f aca="false">IF($G$11=$E$11,$F$11,IF(U582&lt;($F$11-$E$11)/($G$11-$E$11),$E$11+SQRT(U582*($G$11-$E$11)*($F$11-$E$11)),$G$11-SQRT((1-U582)*($G$11-$E$11)*($G$11-$F$11))))</f>
        <v>0</v>
      </c>
      <c r="H582" s="39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0</v>
      </c>
      <c r="I582" s="39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0</v>
      </c>
      <c r="J582" s="39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0</v>
      </c>
      <c r="K582" s="39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0</v>
      </c>
      <c r="L582" s="39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0</v>
      </c>
      <c r="M582" s="39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0</v>
      </c>
      <c r="N582" s="39" t="str">
        <f aca="false">IF(COUNT('Business Case'!B11:G11)=0,"",H582+NPV(G582,I582:M582))</f>
        <v/>
      </c>
      <c r="P582" s="40" t="n">
        <f aca="true">RAND()</f>
        <v>0.953462631188736</v>
      </c>
      <c r="Q582" s="40" t="n">
        <f aca="true">RAND()</f>
        <v>0.299464474804793</v>
      </c>
      <c r="R582" s="40" t="n">
        <f aca="true">RAND()</f>
        <v>0.682762592238405</v>
      </c>
      <c r="S582" s="40" t="n">
        <f aca="true">RAND()</f>
        <v>0.695653498794289</v>
      </c>
      <c r="T582" s="40" t="n">
        <f aca="true">RAND()</f>
        <v>0.132990508639057</v>
      </c>
      <c r="U582" s="40" t="n">
        <f aca="true">RAND()</f>
        <v>0.464365309430398</v>
      </c>
    </row>
    <row r="583" customFormat="false" ht="15" hidden="false" customHeight="false" outlineLevel="0" collapsed="false">
      <c r="A583" s="36" t="n">
        <v>503</v>
      </c>
      <c r="B583" s="37" t="n">
        <f aca="false">1+IF($G$6=$E$6,$F$6,IF(P583&lt;($F$6-$E$6)/($G$6-$E$6),$E$6+SQRT(P583*($G$6-$E$6)*($F$6-$E$6)),$G$6-SQRT((1-P583)*($G$6-$E$6)*($G$6-$F$6))))</f>
        <v>1</v>
      </c>
      <c r="C583" s="37" t="n">
        <f aca="false">1+IF($G$7=$E$7,$F$7,IF(Q583&lt;($F$7-$E$7)/($G$7-$E$7),$E$7+SQRT(Q583*($G$7-$E$7)*($F$7-$E$7)),$G$7-SQRT((1-Q583)*($G$7-$E$7)*($G$7-$F$7))))</f>
        <v>1</v>
      </c>
      <c r="D583" s="37" t="n">
        <f aca="false">1+IF($G$8=$E$8,$F$8,IF(R583&lt;($F$8-$E$8)/($G$8-$E$8),$E$8+SQRT(R583*($G$8-$E$8)*($F$8-$E$8)),$G$8-SQRT((1-R583)*($G$8-$E$8)*($G$8-$F$8))))</f>
        <v>1</v>
      </c>
      <c r="E583" s="37" t="n">
        <f aca="false">1+IF($G$9=$E$9,$F$9,IF(S583&lt;($F$9-$E$9)/($G$9-$E$9),$E$9+SQRT(S583*($G$9-$E$9)*($F$9-$E$9)),$G$9-SQRT((1-S583)*($G$9-$E$9)*($G$9-$F$9))))</f>
        <v>1</v>
      </c>
      <c r="F583" s="37" t="n">
        <f aca="false">1+IF($G$10=$E$10,$F$10,IF(T583&lt;($F$10-$E$10)/($G$10-$E$10),$E$10+SQRT(T583*($G$10-$E$10)*($F$10-$E$10)),$G$10-SQRT((1-T583)*($G$10-$E$10)*($G$10-$F$10))))</f>
        <v>1</v>
      </c>
      <c r="G583" s="38" t="n">
        <f aca="false">IF($G$11=$E$11,$F$11,IF(U583&lt;($F$11-$E$11)/($G$11-$E$11),$E$11+SQRT(U583*($G$11-$E$11)*($F$11-$E$11)),$G$11-SQRT((1-U583)*($G$11-$E$11)*($G$11-$F$11))))</f>
        <v>0</v>
      </c>
      <c r="H583" s="39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0</v>
      </c>
      <c r="I583" s="39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0</v>
      </c>
      <c r="J583" s="39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0</v>
      </c>
      <c r="K583" s="39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0</v>
      </c>
      <c r="L583" s="39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0</v>
      </c>
      <c r="M583" s="39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0</v>
      </c>
      <c r="N583" s="39" t="str">
        <f aca="false">IF(COUNT('Business Case'!B11:G11)=0,"",H583+NPV(G583,I583:M583))</f>
        <v/>
      </c>
      <c r="P583" s="40" t="n">
        <f aca="true">RAND()</f>
        <v>0.0697223775304314</v>
      </c>
      <c r="Q583" s="40" t="n">
        <f aca="true">RAND()</f>
        <v>0.723253151954562</v>
      </c>
      <c r="R583" s="40" t="n">
        <f aca="true">RAND()</f>
        <v>0.937256930938776</v>
      </c>
      <c r="S583" s="40" t="n">
        <f aca="true">RAND()</f>
        <v>0.891492997796967</v>
      </c>
      <c r="T583" s="40" t="n">
        <f aca="true">RAND()</f>
        <v>0.624799575807965</v>
      </c>
      <c r="U583" s="40" t="n">
        <f aca="true">RAND()</f>
        <v>0.228665574349339</v>
      </c>
    </row>
    <row r="584" customFormat="false" ht="15" hidden="false" customHeight="false" outlineLevel="0" collapsed="false">
      <c r="A584" s="36" t="n">
        <v>504</v>
      </c>
      <c r="B584" s="37" t="n">
        <f aca="false">1+IF($G$6=$E$6,$F$6,IF(P584&lt;($F$6-$E$6)/($G$6-$E$6),$E$6+SQRT(P584*($G$6-$E$6)*($F$6-$E$6)),$G$6-SQRT((1-P584)*($G$6-$E$6)*($G$6-$F$6))))</f>
        <v>1</v>
      </c>
      <c r="C584" s="37" t="n">
        <f aca="false">1+IF($G$7=$E$7,$F$7,IF(Q584&lt;($F$7-$E$7)/($G$7-$E$7),$E$7+SQRT(Q584*($G$7-$E$7)*($F$7-$E$7)),$G$7-SQRT((1-Q584)*($G$7-$E$7)*($G$7-$F$7))))</f>
        <v>1</v>
      </c>
      <c r="D584" s="37" t="n">
        <f aca="false">1+IF($G$8=$E$8,$F$8,IF(R584&lt;($F$8-$E$8)/($G$8-$E$8),$E$8+SQRT(R584*($G$8-$E$8)*($F$8-$E$8)),$G$8-SQRT((1-R584)*($G$8-$E$8)*($G$8-$F$8))))</f>
        <v>1</v>
      </c>
      <c r="E584" s="37" t="n">
        <f aca="false">1+IF($G$9=$E$9,$F$9,IF(S584&lt;($F$9-$E$9)/($G$9-$E$9),$E$9+SQRT(S584*($G$9-$E$9)*($F$9-$E$9)),$G$9-SQRT((1-S584)*($G$9-$E$9)*($G$9-$F$9))))</f>
        <v>1</v>
      </c>
      <c r="F584" s="37" t="n">
        <f aca="false">1+IF($G$10=$E$10,$F$10,IF(T584&lt;($F$10-$E$10)/($G$10-$E$10),$E$10+SQRT(T584*($G$10-$E$10)*($F$10-$E$10)),$G$10-SQRT((1-T584)*($G$10-$E$10)*($G$10-$F$10))))</f>
        <v>1</v>
      </c>
      <c r="G584" s="38" t="n">
        <f aca="false">IF($G$11=$E$11,$F$11,IF(U584&lt;($F$11-$E$11)/($G$11-$E$11),$E$11+SQRT(U584*($G$11-$E$11)*($F$11-$E$11)),$G$11-SQRT((1-U584)*($G$11-$E$11)*($G$11-$F$11))))</f>
        <v>0</v>
      </c>
      <c r="H584" s="39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0</v>
      </c>
      <c r="I584" s="39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0</v>
      </c>
      <c r="J584" s="39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0</v>
      </c>
      <c r="K584" s="39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0</v>
      </c>
      <c r="L584" s="39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0</v>
      </c>
      <c r="M584" s="39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0</v>
      </c>
      <c r="N584" s="39" t="str">
        <f aca="false">IF(COUNT('Business Case'!B11:G11)=0,"",H584+NPV(G584,I584:M584))</f>
        <v/>
      </c>
      <c r="P584" s="40" t="n">
        <f aca="true">RAND()</f>
        <v>0.837719296246367</v>
      </c>
      <c r="Q584" s="40" t="n">
        <f aca="true">RAND()</f>
        <v>0.230989428344559</v>
      </c>
      <c r="R584" s="40" t="n">
        <f aca="true">RAND()</f>
        <v>0.360900148365146</v>
      </c>
      <c r="S584" s="40" t="n">
        <f aca="true">RAND()</f>
        <v>0.970925486842269</v>
      </c>
      <c r="T584" s="40" t="n">
        <f aca="true">RAND()</f>
        <v>0.311678791848048</v>
      </c>
      <c r="U584" s="40" t="n">
        <f aca="true">RAND()</f>
        <v>0.819582814281391</v>
      </c>
    </row>
    <row r="585" customFormat="false" ht="15" hidden="false" customHeight="false" outlineLevel="0" collapsed="false">
      <c r="A585" s="36" t="n">
        <v>505</v>
      </c>
      <c r="B585" s="37" t="n">
        <f aca="false">1+IF($G$6=$E$6,$F$6,IF(P585&lt;($F$6-$E$6)/($G$6-$E$6),$E$6+SQRT(P585*($G$6-$E$6)*($F$6-$E$6)),$G$6-SQRT((1-P585)*($G$6-$E$6)*($G$6-$F$6))))</f>
        <v>1</v>
      </c>
      <c r="C585" s="37" t="n">
        <f aca="false">1+IF($G$7=$E$7,$F$7,IF(Q585&lt;($F$7-$E$7)/($G$7-$E$7),$E$7+SQRT(Q585*($G$7-$E$7)*($F$7-$E$7)),$G$7-SQRT((1-Q585)*($G$7-$E$7)*($G$7-$F$7))))</f>
        <v>1</v>
      </c>
      <c r="D585" s="37" t="n">
        <f aca="false">1+IF($G$8=$E$8,$F$8,IF(R585&lt;($F$8-$E$8)/($G$8-$E$8),$E$8+SQRT(R585*($G$8-$E$8)*($F$8-$E$8)),$G$8-SQRT((1-R585)*($G$8-$E$8)*($G$8-$F$8))))</f>
        <v>1</v>
      </c>
      <c r="E585" s="37" t="n">
        <f aca="false">1+IF($G$9=$E$9,$F$9,IF(S585&lt;($F$9-$E$9)/($G$9-$E$9),$E$9+SQRT(S585*($G$9-$E$9)*($F$9-$E$9)),$G$9-SQRT((1-S585)*($G$9-$E$9)*($G$9-$F$9))))</f>
        <v>1</v>
      </c>
      <c r="F585" s="37" t="n">
        <f aca="false">1+IF($G$10=$E$10,$F$10,IF(T585&lt;($F$10-$E$10)/($G$10-$E$10),$E$10+SQRT(T585*($G$10-$E$10)*($F$10-$E$10)),$G$10-SQRT((1-T585)*($G$10-$E$10)*($G$10-$F$10))))</f>
        <v>1</v>
      </c>
      <c r="G585" s="38" t="n">
        <f aca="false">IF($G$11=$E$11,$F$11,IF(U585&lt;($F$11-$E$11)/($G$11-$E$11),$E$11+SQRT(U585*($G$11-$E$11)*($F$11-$E$11)),$G$11-SQRT((1-U585)*($G$11-$E$11)*($G$11-$F$11))))</f>
        <v>0</v>
      </c>
      <c r="H585" s="39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0</v>
      </c>
      <c r="I585" s="39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0</v>
      </c>
      <c r="J585" s="39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0</v>
      </c>
      <c r="K585" s="39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0</v>
      </c>
      <c r="L585" s="39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0</v>
      </c>
      <c r="M585" s="39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0</v>
      </c>
      <c r="N585" s="39" t="str">
        <f aca="false">IF(COUNT('Business Case'!B11:G11)=0,"",H585+NPV(G585,I585:M585))</f>
        <v/>
      </c>
      <c r="P585" s="40" t="n">
        <f aca="true">RAND()</f>
        <v>0.153516009746258</v>
      </c>
      <c r="Q585" s="40" t="n">
        <f aca="true">RAND()</f>
        <v>0.546820345450698</v>
      </c>
      <c r="R585" s="40" t="n">
        <f aca="true">RAND()</f>
        <v>0.407477591684029</v>
      </c>
      <c r="S585" s="40" t="n">
        <f aca="true">RAND()</f>
        <v>0.574128004002566</v>
      </c>
      <c r="T585" s="40" t="n">
        <f aca="true">RAND()</f>
        <v>0.493671340527662</v>
      </c>
      <c r="U585" s="40" t="n">
        <f aca="true">RAND()</f>
        <v>0.763603404596931</v>
      </c>
    </row>
    <row r="586" customFormat="false" ht="15" hidden="false" customHeight="false" outlineLevel="0" collapsed="false">
      <c r="A586" s="36" t="n">
        <v>506</v>
      </c>
      <c r="B586" s="37" t="n">
        <f aca="false">1+IF($G$6=$E$6,$F$6,IF(P586&lt;($F$6-$E$6)/($G$6-$E$6),$E$6+SQRT(P586*($G$6-$E$6)*($F$6-$E$6)),$G$6-SQRT((1-P586)*($G$6-$E$6)*($G$6-$F$6))))</f>
        <v>1</v>
      </c>
      <c r="C586" s="37" t="n">
        <f aca="false">1+IF($G$7=$E$7,$F$7,IF(Q586&lt;($F$7-$E$7)/($G$7-$E$7),$E$7+SQRT(Q586*($G$7-$E$7)*($F$7-$E$7)),$G$7-SQRT((1-Q586)*($G$7-$E$7)*($G$7-$F$7))))</f>
        <v>1</v>
      </c>
      <c r="D586" s="37" t="n">
        <f aca="false">1+IF($G$8=$E$8,$F$8,IF(R586&lt;($F$8-$E$8)/($G$8-$E$8),$E$8+SQRT(R586*($G$8-$E$8)*($F$8-$E$8)),$G$8-SQRT((1-R586)*($G$8-$E$8)*($G$8-$F$8))))</f>
        <v>1</v>
      </c>
      <c r="E586" s="37" t="n">
        <f aca="false">1+IF($G$9=$E$9,$F$9,IF(S586&lt;($F$9-$E$9)/($G$9-$E$9),$E$9+SQRT(S586*($G$9-$E$9)*($F$9-$E$9)),$G$9-SQRT((1-S586)*($G$9-$E$9)*($G$9-$F$9))))</f>
        <v>1</v>
      </c>
      <c r="F586" s="37" t="n">
        <f aca="false">1+IF($G$10=$E$10,$F$10,IF(T586&lt;($F$10-$E$10)/($G$10-$E$10),$E$10+SQRT(T586*($G$10-$E$10)*($F$10-$E$10)),$G$10-SQRT((1-T586)*($G$10-$E$10)*($G$10-$F$10))))</f>
        <v>1</v>
      </c>
      <c r="G586" s="38" t="n">
        <f aca="false">IF($G$11=$E$11,$F$11,IF(U586&lt;($F$11-$E$11)/($G$11-$E$11),$E$11+SQRT(U586*($G$11-$E$11)*($F$11-$E$11)),$G$11-SQRT((1-U586)*($G$11-$E$11)*($G$11-$F$11))))</f>
        <v>0</v>
      </c>
      <c r="H586" s="39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0</v>
      </c>
      <c r="I586" s="39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0</v>
      </c>
      <c r="J586" s="39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0</v>
      </c>
      <c r="K586" s="39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0</v>
      </c>
      <c r="L586" s="39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0</v>
      </c>
      <c r="M586" s="39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0</v>
      </c>
      <c r="N586" s="39" t="str">
        <f aca="false">IF(COUNT('Business Case'!B11:G11)=0,"",H586+NPV(G586,I586:M586))</f>
        <v/>
      </c>
      <c r="P586" s="40" t="n">
        <f aca="true">RAND()</f>
        <v>0.627314663312624</v>
      </c>
      <c r="Q586" s="40" t="n">
        <f aca="true">RAND()</f>
        <v>0.392167117693829</v>
      </c>
      <c r="R586" s="40" t="n">
        <f aca="true">RAND()</f>
        <v>0.625991750044693</v>
      </c>
      <c r="S586" s="40" t="n">
        <f aca="true">RAND()</f>
        <v>0.899861795734603</v>
      </c>
      <c r="T586" s="40" t="n">
        <f aca="true">RAND()</f>
        <v>0.786316591680832</v>
      </c>
      <c r="U586" s="40" t="n">
        <f aca="true">RAND()</f>
        <v>0.797719472641283</v>
      </c>
    </row>
    <row r="587" customFormat="false" ht="15" hidden="false" customHeight="false" outlineLevel="0" collapsed="false">
      <c r="A587" s="36" t="n">
        <v>507</v>
      </c>
      <c r="B587" s="37" t="n">
        <f aca="false">1+IF($G$6=$E$6,$F$6,IF(P587&lt;($F$6-$E$6)/($G$6-$E$6),$E$6+SQRT(P587*($G$6-$E$6)*($F$6-$E$6)),$G$6-SQRT((1-P587)*($G$6-$E$6)*($G$6-$F$6))))</f>
        <v>1</v>
      </c>
      <c r="C587" s="37" t="n">
        <f aca="false">1+IF($G$7=$E$7,$F$7,IF(Q587&lt;($F$7-$E$7)/($G$7-$E$7),$E$7+SQRT(Q587*($G$7-$E$7)*($F$7-$E$7)),$G$7-SQRT((1-Q587)*($G$7-$E$7)*($G$7-$F$7))))</f>
        <v>1</v>
      </c>
      <c r="D587" s="37" t="n">
        <f aca="false">1+IF($G$8=$E$8,$F$8,IF(R587&lt;($F$8-$E$8)/($G$8-$E$8),$E$8+SQRT(R587*($G$8-$E$8)*($F$8-$E$8)),$G$8-SQRT((1-R587)*($G$8-$E$8)*($G$8-$F$8))))</f>
        <v>1</v>
      </c>
      <c r="E587" s="37" t="n">
        <f aca="false">1+IF($G$9=$E$9,$F$9,IF(S587&lt;($F$9-$E$9)/($G$9-$E$9),$E$9+SQRT(S587*($G$9-$E$9)*($F$9-$E$9)),$G$9-SQRT((1-S587)*($G$9-$E$9)*($G$9-$F$9))))</f>
        <v>1</v>
      </c>
      <c r="F587" s="37" t="n">
        <f aca="false">1+IF($G$10=$E$10,$F$10,IF(T587&lt;($F$10-$E$10)/($G$10-$E$10),$E$10+SQRT(T587*($G$10-$E$10)*($F$10-$E$10)),$G$10-SQRT((1-T587)*($G$10-$E$10)*($G$10-$F$10))))</f>
        <v>1</v>
      </c>
      <c r="G587" s="38" t="n">
        <f aca="false">IF($G$11=$E$11,$F$11,IF(U587&lt;($F$11-$E$11)/($G$11-$E$11),$E$11+SQRT(U587*($G$11-$E$11)*($F$11-$E$11)),$G$11-SQRT((1-U587)*($G$11-$E$11)*($G$11-$F$11))))</f>
        <v>0</v>
      </c>
      <c r="H587" s="39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0</v>
      </c>
      <c r="I587" s="39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0</v>
      </c>
      <c r="J587" s="39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0</v>
      </c>
      <c r="K587" s="39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0</v>
      </c>
      <c r="L587" s="39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0</v>
      </c>
      <c r="M587" s="39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0</v>
      </c>
      <c r="N587" s="39" t="str">
        <f aca="false">IF(COUNT('Business Case'!B11:G11)=0,"",H587+NPV(G587,I587:M587))</f>
        <v/>
      </c>
      <c r="P587" s="40" t="n">
        <f aca="true">RAND()</f>
        <v>0.675070431032716</v>
      </c>
      <c r="Q587" s="40" t="n">
        <f aca="true">RAND()</f>
        <v>0.632302349027199</v>
      </c>
      <c r="R587" s="40" t="n">
        <f aca="true">RAND()</f>
        <v>0.685276409831819</v>
      </c>
      <c r="S587" s="40" t="n">
        <f aca="true">RAND()</f>
        <v>0.696730224934056</v>
      </c>
      <c r="T587" s="40" t="n">
        <f aca="true">RAND()</f>
        <v>0.434921373209162</v>
      </c>
      <c r="U587" s="40" t="n">
        <f aca="true">RAND()</f>
        <v>0.99996103932651</v>
      </c>
    </row>
    <row r="588" customFormat="false" ht="15" hidden="false" customHeight="false" outlineLevel="0" collapsed="false">
      <c r="A588" s="36" t="n">
        <v>508</v>
      </c>
      <c r="B588" s="37" t="n">
        <f aca="false">1+IF($G$6=$E$6,$F$6,IF(P588&lt;($F$6-$E$6)/($G$6-$E$6),$E$6+SQRT(P588*($G$6-$E$6)*($F$6-$E$6)),$G$6-SQRT((1-P588)*($G$6-$E$6)*($G$6-$F$6))))</f>
        <v>1</v>
      </c>
      <c r="C588" s="37" t="n">
        <f aca="false">1+IF($G$7=$E$7,$F$7,IF(Q588&lt;($F$7-$E$7)/($G$7-$E$7),$E$7+SQRT(Q588*($G$7-$E$7)*($F$7-$E$7)),$G$7-SQRT((1-Q588)*($G$7-$E$7)*($G$7-$F$7))))</f>
        <v>1</v>
      </c>
      <c r="D588" s="37" t="n">
        <f aca="false">1+IF($G$8=$E$8,$F$8,IF(R588&lt;($F$8-$E$8)/($G$8-$E$8),$E$8+SQRT(R588*($G$8-$E$8)*($F$8-$E$8)),$G$8-SQRT((1-R588)*($G$8-$E$8)*($G$8-$F$8))))</f>
        <v>1</v>
      </c>
      <c r="E588" s="37" t="n">
        <f aca="false">1+IF($G$9=$E$9,$F$9,IF(S588&lt;($F$9-$E$9)/($G$9-$E$9),$E$9+SQRT(S588*($G$9-$E$9)*($F$9-$E$9)),$G$9-SQRT((1-S588)*($G$9-$E$9)*($G$9-$F$9))))</f>
        <v>1</v>
      </c>
      <c r="F588" s="37" t="n">
        <f aca="false">1+IF($G$10=$E$10,$F$10,IF(T588&lt;($F$10-$E$10)/($G$10-$E$10),$E$10+SQRT(T588*($G$10-$E$10)*($F$10-$E$10)),$G$10-SQRT((1-T588)*($G$10-$E$10)*($G$10-$F$10))))</f>
        <v>1</v>
      </c>
      <c r="G588" s="38" t="n">
        <f aca="false">IF($G$11=$E$11,$F$11,IF(U588&lt;($F$11-$E$11)/($G$11-$E$11),$E$11+SQRT(U588*($G$11-$E$11)*($F$11-$E$11)),$G$11-SQRT((1-U588)*($G$11-$E$11)*($G$11-$F$11))))</f>
        <v>0</v>
      </c>
      <c r="H588" s="39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0</v>
      </c>
      <c r="I588" s="39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0</v>
      </c>
      <c r="J588" s="39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0</v>
      </c>
      <c r="K588" s="39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0</v>
      </c>
      <c r="L588" s="39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0</v>
      </c>
      <c r="M588" s="39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0</v>
      </c>
      <c r="N588" s="39" t="str">
        <f aca="false">IF(COUNT('Business Case'!B11:G11)=0,"",H588+NPV(G588,I588:M588))</f>
        <v/>
      </c>
      <c r="P588" s="40" t="n">
        <f aca="true">RAND()</f>
        <v>0.483679651292072</v>
      </c>
      <c r="Q588" s="40" t="n">
        <f aca="true">RAND()</f>
        <v>0.688756996077523</v>
      </c>
      <c r="R588" s="40" t="n">
        <f aca="true">RAND()</f>
        <v>0.67356677567181</v>
      </c>
      <c r="S588" s="40" t="n">
        <f aca="true">RAND()</f>
        <v>0.666539552860648</v>
      </c>
      <c r="T588" s="40" t="n">
        <f aca="true">RAND()</f>
        <v>0.757796980078749</v>
      </c>
      <c r="U588" s="40" t="n">
        <f aca="true">RAND()</f>
        <v>0.65102746135158</v>
      </c>
    </row>
    <row r="589" customFormat="false" ht="15" hidden="false" customHeight="false" outlineLevel="0" collapsed="false">
      <c r="A589" s="36" t="n">
        <v>509</v>
      </c>
      <c r="B589" s="37" t="n">
        <f aca="false">1+IF($G$6=$E$6,$F$6,IF(P589&lt;($F$6-$E$6)/($G$6-$E$6),$E$6+SQRT(P589*($G$6-$E$6)*($F$6-$E$6)),$G$6-SQRT((1-P589)*($G$6-$E$6)*($G$6-$F$6))))</f>
        <v>1</v>
      </c>
      <c r="C589" s="37" t="n">
        <f aca="false">1+IF($G$7=$E$7,$F$7,IF(Q589&lt;($F$7-$E$7)/($G$7-$E$7),$E$7+SQRT(Q589*($G$7-$E$7)*($F$7-$E$7)),$G$7-SQRT((1-Q589)*($G$7-$E$7)*($G$7-$F$7))))</f>
        <v>1</v>
      </c>
      <c r="D589" s="37" t="n">
        <f aca="false">1+IF($G$8=$E$8,$F$8,IF(R589&lt;($F$8-$E$8)/($G$8-$E$8),$E$8+SQRT(R589*($G$8-$E$8)*($F$8-$E$8)),$G$8-SQRT((1-R589)*($G$8-$E$8)*($G$8-$F$8))))</f>
        <v>1</v>
      </c>
      <c r="E589" s="37" t="n">
        <f aca="false">1+IF($G$9=$E$9,$F$9,IF(S589&lt;($F$9-$E$9)/($G$9-$E$9),$E$9+SQRT(S589*($G$9-$E$9)*($F$9-$E$9)),$G$9-SQRT((1-S589)*($G$9-$E$9)*($G$9-$F$9))))</f>
        <v>1</v>
      </c>
      <c r="F589" s="37" t="n">
        <f aca="false">1+IF($G$10=$E$10,$F$10,IF(T589&lt;($F$10-$E$10)/($G$10-$E$10),$E$10+SQRT(T589*($G$10-$E$10)*($F$10-$E$10)),$G$10-SQRT((1-T589)*($G$10-$E$10)*($G$10-$F$10))))</f>
        <v>1</v>
      </c>
      <c r="G589" s="38" t="n">
        <f aca="false">IF($G$11=$E$11,$F$11,IF(U589&lt;($F$11-$E$11)/($G$11-$E$11),$E$11+SQRT(U589*($G$11-$E$11)*($F$11-$E$11)),$G$11-SQRT((1-U589)*($G$11-$E$11)*($G$11-$F$11))))</f>
        <v>0</v>
      </c>
      <c r="H589" s="39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0</v>
      </c>
      <c r="I589" s="39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0</v>
      </c>
      <c r="J589" s="39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0</v>
      </c>
      <c r="K589" s="39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0</v>
      </c>
      <c r="L589" s="39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0</v>
      </c>
      <c r="M589" s="39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0</v>
      </c>
      <c r="N589" s="39" t="str">
        <f aca="false">IF(COUNT('Business Case'!B11:G11)=0,"",H589+NPV(G589,I589:M589))</f>
        <v/>
      </c>
      <c r="P589" s="40" t="n">
        <f aca="true">RAND()</f>
        <v>0.375745347377357</v>
      </c>
      <c r="Q589" s="40" t="n">
        <f aca="true">RAND()</f>
        <v>0.971122048993335</v>
      </c>
      <c r="R589" s="40" t="n">
        <f aca="true">RAND()</f>
        <v>0.363665136700977</v>
      </c>
      <c r="S589" s="40" t="n">
        <f aca="true">RAND()</f>
        <v>0.856201460773494</v>
      </c>
      <c r="T589" s="40" t="n">
        <f aca="true">RAND()</f>
        <v>0.502244220817599</v>
      </c>
      <c r="U589" s="40" t="n">
        <f aca="true">RAND()</f>
        <v>0.911720727198802</v>
      </c>
    </row>
    <row r="590" customFormat="false" ht="15" hidden="false" customHeight="false" outlineLevel="0" collapsed="false">
      <c r="A590" s="36" t="n">
        <v>510</v>
      </c>
      <c r="B590" s="37" t="n">
        <f aca="false">1+IF($G$6=$E$6,$F$6,IF(P590&lt;($F$6-$E$6)/($G$6-$E$6),$E$6+SQRT(P590*($G$6-$E$6)*($F$6-$E$6)),$G$6-SQRT((1-P590)*($G$6-$E$6)*($G$6-$F$6))))</f>
        <v>1</v>
      </c>
      <c r="C590" s="37" t="n">
        <f aca="false">1+IF($G$7=$E$7,$F$7,IF(Q590&lt;($F$7-$E$7)/($G$7-$E$7),$E$7+SQRT(Q590*($G$7-$E$7)*($F$7-$E$7)),$G$7-SQRT((1-Q590)*($G$7-$E$7)*($G$7-$F$7))))</f>
        <v>1</v>
      </c>
      <c r="D590" s="37" t="n">
        <f aca="false">1+IF($G$8=$E$8,$F$8,IF(R590&lt;($F$8-$E$8)/($G$8-$E$8),$E$8+SQRT(R590*($G$8-$E$8)*($F$8-$E$8)),$G$8-SQRT((1-R590)*($G$8-$E$8)*($G$8-$F$8))))</f>
        <v>1</v>
      </c>
      <c r="E590" s="37" t="n">
        <f aca="false">1+IF($G$9=$E$9,$F$9,IF(S590&lt;($F$9-$E$9)/($G$9-$E$9),$E$9+SQRT(S590*($G$9-$E$9)*($F$9-$E$9)),$G$9-SQRT((1-S590)*($G$9-$E$9)*($G$9-$F$9))))</f>
        <v>1</v>
      </c>
      <c r="F590" s="37" t="n">
        <f aca="false">1+IF($G$10=$E$10,$F$10,IF(T590&lt;($F$10-$E$10)/($G$10-$E$10),$E$10+SQRT(T590*($G$10-$E$10)*($F$10-$E$10)),$G$10-SQRT((1-T590)*($G$10-$E$10)*($G$10-$F$10))))</f>
        <v>1</v>
      </c>
      <c r="G590" s="38" t="n">
        <f aca="false">IF($G$11=$E$11,$F$11,IF(U590&lt;($F$11-$E$11)/($G$11-$E$11),$E$11+SQRT(U590*($G$11-$E$11)*($F$11-$E$11)),$G$11-SQRT((1-U590)*($G$11-$E$11)*($G$11-$F$11))))</f>
        <v>0</v>
      </c>
      <c r="H590" s="39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0</v>
      </c>
      <c r="I590" s="39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0</v>
      </c>
      <c r="J590" s="39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0</v>
      </c>
      <c r="K590" s="39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0</v>
      </c>
      <c r="L590" s="39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0</v>
      </c>
      <c r="M590" s="39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0</v>
      </c>
      <c r="N590" s="39" t="str">
        <f aca="false">IF(COUNT('Business Case'!B11:G11)=0,"",H590+NPV(G590,I590:M590))</f>
        <v/>
      </c>
      <c r="P590" s="40" t="n">
        <f aca="true">RAND()</f>
        <v>0.298309321011978</v>
      </c>
      <c r="Q590" s="40" t="n">
        <f aca="true">RAND()</f>
        <v>0.242682043264232</v>
      </c>
      <c r="R590" s="40" t="n">
        <f aca="true">RAND()</f>
        <v>0.702318188950324</v>
      </c>
      <c r="S590" s="40" t="n">
        <f aca="true">RAND()</f>
        <v>0.470378624663191</v>
      </c>
      <c r="T590" s="40" t="n">
        <f aca="true">RAND()</f>
        <v>0.0719142148863372</v>
      </c>
      <c r="U590" s="40" t="n">
        <f aca="true">RAND()</f>
        <v>0.650266398963322</v>
      </c>
    </row>
    <row r="591" customFormat="false" ht="15" hidden="false" customHeight="false" outlineLevel="0" collapsed="false">
      <c r="A591" s="36" t="n">
        <v>511</v>
      </c>
      <c r="B591" s="37" t="n">
        <f aca="false">1+IF($G$6=$E$6,$F$6,IF(P591&lt;($F$6-$E$6)/($G$6-$E$6),$E$6+SQRT(P591*($G$6-$E$6)*($F$6-$E$6)),$G$6-SQRT((1-P591)*($G$6-$E$6)*($G$6-$F$6))))</f>
        <v>1</v>
      </c>
      <c r="C591" s="37" t="n">
        <f aca="false">1+IF($G$7=$E$7,$F$7,IF(Q591&lt;($F$7-$E$7)/($G$7-$E$7),$E$7+SQRT(Q591*($G$7-$E$7)*($F$7-$E$7)),$G$7-SQRT((1-Q591)*($G$7-$E$7)*($G$7-$F$7))))</f>
        <v>1</v>
      </c>
      <c r="D591" s="37" t="n">
        <f aca="false">1+IF($G$8=$E$8,$F$8,IF(R591&lt;($F$8-$E$8)/($G$8-$E$8),$E$8+SQRT(R591*($G$8-$E$8)*($F$8-$E$8)),$G$8-SQRT((1-R591)*($G$8-$E$8)*($G$8-$F$8))))</f>
        <v>1</v>
      </c>
      <c r="E591" s="37" t="n">
        <f aca="false">1+IF($G$9=$E$9,$F$9,IF(S591&lt;($F$9-$E$9)/($G$9-$E$9),$E$9+SQRT(S591*($G$9-$E$9)*($F$9-$E$9)),$G$9-SQRT((1-S591)*($G$9-$E$9)*($G$9-$F$9))))</f>
        <v>1</v>
      </c>
      <c r="F591" s="37" t="n">
        <f aca="false">1+IF($G$10=$E$10,$F$10,IF(T591&lt;($F$10-$E$10)/($G$10-$E$10),$E$10+SQRT(T591*($G$10-$E$10)*($F$10-$E$10)),$G$10-SQRT((1-T591)*($G$10-$E$10)*($G$10-$F$10))))</f>
        <v>1</v>
      </c>
      <c r="G591" s="38" t="n">
        <f aca="false">IF($G$11=$E$11,$F$11,IF(U591&lt;($F$11-$E$11)/($G$11-$E$11),$E$11+SQRT(U591*($G$11-$E$11)*($F$11-$E$11)),$G$11-SQRT((1-U591)*($G$11-$E$11)*($G$11-$F$11))))</f>
        <v>0</v>
      </c>
      <c r="H591" s="39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0</v>
      </c>
      <c r="I591" s="39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0</v>
      </c>
      <c r="J591" s="39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0</v>
      </c>
      <c r="K591" s="39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0</v>
      </c>
      <c r="L591" s="39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0</v>
      </c>
      <c r="M591" s="39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0</v>
      </c>
      <c r="N591" s="39" t="str">
        <f aca="false">IF(COUNT('Business Case'!B11:G11)=0,"",H591+NPV(G591,I591:M591))</f>
        <v/>
      </c>
      <c r="P591" s="40" t="n">
        <f aca="true">RAND()</f>
        <v>0.713331175402599</v>
      </c>
      <c r="Q591" s="40" t="n">
        <f aca="true">RAND()</f>
        <v>0.780825306564703</v>
      </c>
      <c r="R591" s="40" t="n">
        <f aca="true">RAND()</f>
        <v>0.417422849420345</v>
      </c>
      <c r="S591" s="40" t="n">
        <f aca="true">RAND()</f>
        <v>0.243718288986147</v>
      </c>
      <c r="T591" s="40" t="n">
        <f aca="true">RAND()</f>
        <v>0.505166586115565</v>
      </c>
      <c r="U591" s="40" t="n">
        <f aca="true">RAND()</f>
        <v>0.656584780553773</v>
      </c>
    </row>
    <row r="592" customFormat="false" ht="15" hidden="false" customHeight="false" outlineLevel="0" collapsed="false">
      <c r="A592" s="36" t="n">
        <v>512</v>
      </c>
      <c r="B592" s="37" t="n">
        <f aca="false">1+IF($G$6=$E$6,$F$6,IF(P592&lt;($F$6-$E$6)/($G$6-$E$6),$E$6+SQRT(P592*($G$6-$E$6)*($F$6-$E$6)),$G$6-SQRT((1-P592)*($G$6-$E$6)*($G$6-$F$6))))</f>
        <v>1</v>
      </c>
      <c r="C592" s="37" t="n">
        <f aca="false">1+IF($G$7=$E$7,$F$7,IF(Q592&lt;($F$7-$E$7)/($G$7-$E$7),$E$7+SQRT(Q592*($G$7-$E$7)*($F$7-$E$7)),$G$7-SQRT((1-Q592)*($G$7-$E$7)*($G$7-$F$7))))</f>
        <v>1</v>
      </c>
      <c r="D592" s="37" t="n">
        <f aca="false">1+IF($G$8=$E$8,$F$8,IF(R592&lt;($F$8-$E$8)/($G$8-$E$8),$E$8+SQRT(R592*($G$8-$E$8)*($F$8-$E$8)),$G$8-SQRT((1-R592)*($G$8-$E$8)*($G$8-$F$8))))</f>
        <v>1</v>
      </c>
      <c r="E592" s="37" t="n">
        <f aca="false">1+IF($G$9=$E$9,$F$9,IF(S592&lt;($F$9-$E$9)/($G$9-$E$9),$E$9+SQRT(S592*($G$9-$E$9)*($F$9-$E$9)),$G$9-SQRT((1-S592)*($G$9-$E$9)*($G$9-$F$9))))</f>
        <v>1</v>
      </c>
      <c r="F592" s="37" t="n">
        <f aca="false">1+IF($G$10=$E$10,$F$10,IF(T592&lt;($F$10-$E$10)/($G$10-$E$10),$E$10+SQRT(T592*($G$10-$E$10)*($F$10-$E$10)),$G$10-SQRT((1-T592)*($G$10-$E$10)*($G$10-$F$10))))</f>
        <v>1</v>
      </c>
      <c r="G592" s="38" t="n">
        <f aca="false">IF($G$11=$E$11,$F$11,IF(U592&lt;($F$11-$E$11)/($G$11-$E$11),$E$11+SQRT(U592*($G$11-$E$11)*($F$11-$E$11)),$G$11-SQRT((1-U592)*($G$11-$E$11)*($G$11-$F$11))))</f>
        <v>0</v>
      </c>
      <c r="H592" s="39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0</v>
      </c>
      <c r="I592" s="39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0</v>
      </c>
      <c r="J592" s="39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0</v>
      </c>
      <c r="K592" s="39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0</v>
      </c>
      <c r="L592" s="39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0</v>
      </c>
      <c r="M592" s="39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0</v>
      </c>
      <c r="N592" s="39" t="str">
        <f aca="false">IF(COUNT('Business Case'!B11:G11)=0,"",H592+NPV(G592,I592:M592))</f>
        <v/>
      </c>
      <c r="P592" s="40" t="n">
        <f aca="true">RAND()</f>
        <v>0.807397262102469</v>
      </c>
      <c r="Q592" s="40" t="n">
        <f aca="true">RAND()</f>
        <v>0.523094405849649</v>
      </c>
      <c r="R592" s="40" t="n">
        <f aca="true">RAND()</f>
        <v>0.441592810179314</v>
      </c>
      <c r="S592" s="40" t="n">
        <f aca="true">RAND()</f>
        <v>0.43802303751432</v>
      </c>
      <c r="T592" s="40" t="n">
        <f aca="true">RAND()</f>
        <v>0.0191342873611342</v>
      </c>
      <c r="U592" s="40" t="n">
        <f aca="true">RAND()</f>
        <v>0.033950342119549</v>
      </c>
    </row>
    <row r="593" customFormat="false" ht="15" hidden="false" customHeight="false" outlineLevel="0" collapsed="false">
      <c r="A593" s="36" t="n">
        <v>513</v>
      </c>
      <c r="B593" s="37" t="n">
        <f aca="false">1+IF($G$6=$E$6,$F$6,IF(P593&lt;($F$6-$E$6)/($G$6-$E$6),$E$6+SQRT(P593*($G$6-$E$6)*($F$6-$E$6)),$G$6-SQRT((1-P593)*($G$6-$E$6)*($G$6-$F$6))))</f>
        <v>1</v>
      </c>
      <c r="C593" s="37" t="n">
        <f aca="false">1+IF($G$7=$E$7,$F$7,IF(Q593&lt;($F$7-$E$7)/($G$7-$E$7),$E$7+SQRT(Q593*($G$7-$E$7)*($F$7-$E$7)),$G$7-SQRT((1-Q593)*($G$7-$E$7)*($G$7-$F$7))))</f>
        <v>1</v>
      </c>
      <c r="D593" s="37" t="n">
        <f aca="false">1+IF($G$8=$E$8,$F$8,IF(R593&lt;($F$8-$E$8)/($G$8-$E$8),$E$8+SQRT(R593*($G$8-$E$8)*($F$8-$E$8)),$G$8-SQRT((1-R593)*($G$8-$E$8)*($G$8-$F$8))))</f>
        <v>1</v>
      </c>
      <c r="E593" s="37" t="n">
        <f aca="false">1+IF($G$9=$E$9,$F$9,IF(S593&lt;($F$9-$E$9)/($G$9-$E$9),$E$9+SQRT(S593*($G$9-$E$9)*($F$9-$E$9)),$G$9-SQRT((1-S593)*($G$9-$E$9)*($G$9-$F$9))))</f>
        <v>1</v>
      </c>
      <c r="F593" s="37" t="n">
        <f aca="false">1+IF($G$10=$E$10,$F$10,IF(T593&lt;($F$10-$E$10)/($G$10-$E$10),$E$10+SQRT(T593*($G$10-$E$10)*($F$10-$E$10)),$G$10-SQRT((1-T593)*($G$10-$E$10)*($G$10-$F$10))))</f>
        <v>1</v>
      </c>
      <c r="G593" s="38" t="n">
        <f aca="false">IF($G$11=$E$11,$F$11,IF(U593&lt;($F$11-$E$11)/($G$11-$E$11),$E$11+SQRT(U593*($G$11-$E$11)*($F$11-$E$11)),$G$11-SQRT((1-U593)*($G$11-$E$11)*($G$11-$F$11))))</f>
        <v>0</v>
      </c>
      <c r="H593" s="39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0</v>
      </c>
      <c r="I593" s="39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0</v>
      </c>
      <c r="J593" s="39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0</v>
      </c>
      <c r="K593" s="39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0</v>
      </c>
      <c r="L593" s="39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0</v>
      </c>
      <c r="M593" s="39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0</v>
      </c>
      <c r="N593" s="39" t="str">
        <f aca="false">IF(COUNT('Business Case'!B11:G11)=0,"",H593+NPV(G593,I593:M593))</f>
        <v/>
      </c>
      <c r="P593" s="40" t="n">
        <f aca="true">RAND()</f>
        <v>0.591916692052183</v>
      </c>
      <c r="Q593" s="40" t="n">
        <f aca="true">RAND()</f>
        <v>0.411042018046111</v>
      </c>
      <c r="R593" s="40" t="n">
        <f aca="true">RAND()</f>
        <v>0.0673270471654364</v>
      </c>
      <c r="S593" s="40" t="n">
        <f aca="true">RAND()</f>
        <v>0.394701956014257</v>
      </c>
      <c r="T593" s="40" t="n">
        <f aca="true">RAND()</f>
        <v>0.549896609276524</v>
      </c>
      <c r="U593" s="40" t="n">
        <f aca="true">RAND()</f>
        <v>0.224542342143456</v>
      </c>
    </row>
    <row r="594" customFormat="false" ht="15" hidden="false" customHeight="false" outlineLevel="0" collapsed="false">
      <c r="A594" s="36" t="n">
        <v>514</v>
      </c>
      <c r="B594" s="37" t="n">
        <f aca="false">1+IF($G$6=$E$6,$F$6,IF(P594&lt;($F$6-$E$6)/($G$6-$E$6),$E$6+SQRT(P594*($G$6-$E$6)*($F$6-$E$6)),$G$6-SQRT((1-P594)*($G$6-$E$6)*($G$6-$F$6))))</f>
        <v>1</v>
      </c>
      <c r="C594" s="37" t="n">
        <f aca="false">1+IF($G$7=$E$7,$F$7,IF(Q594&lt;($F$7-$E$7)/($G$7-$E$7),$E$7+SQRT(Q594*($G$7-$E$7)*($F$7-$E$7)),$G$7-SQRT((1-Q594)*($G$7-$E$7)*($G$7-$F$7))))</f>
        <v>1</v>
      </c>
      <c r="D594" s="37" t="n">
        <f aca="false">1+IF($G$8=$E$8,$F$8,IF(R594&lt;($F$8-$E$8)/($G$8-$E$8),$E$8+SQRT(R594*($G$8-$E$8)*($F$8-$E$8)),$G$8-SQRT((1-R594)*($G$8-$E$8)*($G$8-$F$8))))</f>
        <v>1</v>
      </c>
      <c r="E594" s="37" t="n">
        <f aca="false">1+IF($G$9=$E$9,$F$9,IF(S594&lt;($F$9-$E$9)/($G$9-$E$9),$E$9+SQRT(S594*($G$9-$E$9)*($F$9-$E$9)),$G$9-SQRT((1-S594)*($G$9-$E$9)*($G$9-$F$9))))</f>
        <v>1</v>
      </c>
      <c r="F594" s="37" t="n">
        <f aca="false">1+IF($G$10=$E$10,$F$10,IF(T594&lt;($F$10-$E$10)/($G$10-$E$10),$E$10+SQRT(T594*($G$10-$E$10)*($F$10-$E$10)),$G$10-SQRT((1-T594)*($G$10-$E$10)*($G$10-$F$10))))</f>
        <v>1</v>
      </c>
      <c r="G594" s="38" t="n">
        <f aca="false">IF($G$11=$E$11,$F$11,IF(U594&lt;($F$11-$E$11)/($G$11-$E$11),$E$11+SQRT(U594*($G$11-$E$11)*($F$11-$E$11)),$G$11-SQRT((1-U594)*($G$11-$E$11)*($G$11-$F$11))))</f>
        <v>0</v>
      </c>
      <c r="H594" s="39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0</v>
      </c>
      <c r="I594" s="39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0</v>
      </c>
      <c r="J594" s="39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0</v>
      </c>
      <c r="K594" s="39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0</v>
      </c>
      <c r="L594" s="39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0</v>
      </c>
      <c r="M594" s="39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0</v>
      </c>
      <c r="N594" s="39" t="str">
        <f aca="false">IF(COUNT('Business Case'!B11:G11)=0,"",H594+NPV(G594,I594:M594))</f>
        <v/>
      </c>
      <c r="P594" s="40" t="n">
        <f aca="true">RAND()</f>
        <v>0.974407728184395</v>
      </c>
      <c r="Q594" s="40" t="n">
        <f aca="true">RAND()</f>
        <v>0.636395137664005</v>
      </c>
      <c r="R594" s="40" t="n">
        <f aca="true">RAND()</f>
        <v>0.344622940779442</v>
      </c>
      <c r="S594" s="40" t="n">
        <f aca="true">RAND()</f>
        <v>0.87405138084268</v>
      </c>
      <c r="T594" s="40" t="n">
        <f aca="true">RAND()</f>
        <v>0.310260056926576</v>
      </c>
      <c r="U594" s="40" t="n">
        <f aca="true">RAND()</f>
        <v>0.217729866876852</v>
      </c>
    </row>
    <row r="595" customFormat="false" ht="15" hidden="false" customHeight="false" outlineLevel="0" collapsed="false">
      <c r="A595" s="36" t="n">
        <v>515</v>
      </c>
      <c r="B595" s="37" t="n">
        <f aca="false">1+IF($G$6=$E$6,$F$6,IF(P595&lt;($F$6-$E$6)/($G$6-$E$6),$E$6+SQRT(P595*($G$6-$E$6)*($F$6-$E$6)),$G$6-SQRT((1-P595)*($G$6-$E$6)*($G$6-$F$6))))</f>
        <v>1</v>
      </c>
      <c r="C595" s="37" t="n">
        <f aca="false">1+IF($G$7=$E$7,$F$7,IF(Q595&lt;($F$7-$E$7)/($G$7-$E$7),$E$7+SQRT(Q595*($G$7-$E$7)*($F$7-$E$7)),$G$7-SQRT((1-Q595)*($G$7-$E$7)*($G$7-$F$7))))</f>
        <v>1</v>
      </c>
      <c r="D595" s="37" t="n">
        <f aca="false">1+IF($G$8=$E$8,$F$8,IF(R595&lt;($F$8-$E$8)/($G$8-$E$8),$E$8+SQRT(R595*($G$8-$E$8)*($F$8-$E$8)),$G$8-SQRT((1-R595)*($G$8-$E$8)*($G$8-$F$8))))</f>
        <v>1</v>
      </c>
      <c r="E595" s="37" t="n">
        <f aca="false">1+IF($G$9=$E$9,$F$9,IF(S595&lt;($F$9-$E$9)/($G$9-$E$9),$E$9+SQRT(S595*($G$9-$E$9)*($F$9-$E$9)),$G$9-SQRT((1-S595)*($G$9-$E$9)*($G$9-$F$9))))</f>
        <v>1</v>
      </c>
      <c r="F595" s="37" t="n">
        <f aca="false">1+IF($G$10=$E$10,$F$10,IF(T595&lt;($F$10-$E$10)/($G$10-$E$10),$E$10+SQRT(T595*($G$10-$E$10)*($F$10-$E$10)),$G$10-SQRT((1-T595)*($G$10-$E$10)*($G$10-$F$10))))</f>
        <v>1</v>
      </c>
      <c r="G595" s="38" t="n">
        <f aca="false">IF($G$11=$E$11,$F$11,IF(U595&lt;($F$11-$E$11)/($G$11-$E$11),$E$11+SQRT(U595*($G$11-$E$11)*($F$11-$E$11)),$G$11-SQRT((1-U595)*($G$11-$E$11)*($G$11-$F$11))))</f>
        <v>0</v>
      </c>
      <c r="H595" s="39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0</v>
      </c>
      <c r="I595" s="39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0</v>
      </c>
      <c r="J595" s="39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0</v>
      </c>
      <c r="K595" s="39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0</v>
      </c>
      <c r="L595" s="39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0</v>
      </c>
      <c r="M595" s="39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0</v>
      </c>
      <c r="N595" s="39" t="str">
        <f aca="false">IF(COUNT('Business Case'!B11:G11)=0,"",H595+NPV(G595,I595:M595))</f>
        <v/>
      </c>
      <c r="P595" s="40" t="n">
        <f aca="true">RAND()</f>
        <v>0.776241927354367</v>
      </c>
      <c r="Q595" s="40" t="n">
        <f aca="true">RAND()</f>
        <v>0.755501577561054</v>
      </c>
      <c r="R595" s="40" t="n">
        <f aca="true">RAND()</f>
        <v>0.870602425567613</v>
      </c>
      <c r="S595" s="40" t="n">
        <f aca="true">RAND()</f>
        <v>0.782189437474941</v>
      </c>
      <c r="T595" s="40" t="n">
        <f aca="true">RAND()</f>
        <v>0.0543828237276552</v>
      </c>
      <c r="U595" s="40" t="n">
        <f aca="true">RAND()</f>
        <v>0.892709996847262</v>
      </c>
    </row>
    <row r="596" customFormat="false" ht="15" hidden="false" customHeight="false" outlineLevel="0" collapsed="false">
      <c r="A596" s="36" t="n">
        <v>516</v>
      </c>
      <c r="B596" s="37" t="n">
        <f aca="false">1+IF($G$6=$E$6,$F$6,IF(P596&lt;($F$6-$E$6)/($G$6-$E$6),$E$6+SQRT(P596*($G$6-$E$6)*($F$6-$E$6)),$G$6-SQRT((1-P596)*($G$6-$E$6)*($G$6-$F$6))))</f>
        <v>1</v>
      </c>
      <c r="C596" s="37" t="n">
        <f aca="false">1+IF($G$7=$E$7,$F$7,IF(Q596&lt;($F$7-$E$7)/($G$7-$E$7),$E$7+SQRT(Q596*($G$7-$E$7)*($F$7-$E$7)),$G$7-SQRT((1-Q596)*($G$7-$E$7)*($G$7-$F$7))))</f>
        <v>1</v>
      </c>
      <c r="D596" s="37" t="n">
        <f aca="false">1+IF($G$8=$E$8,$F$8,IF(R596&lt;($F$8-$E$8)/($G$8-$E$8),$E$8+SQRT(R596*($G$8-$E$8)*($F$8-$E$8)),$G$8-SQRT((1-R596)*($G$8-$E$8)*($G$8-$F$8))))</f>
        <v>1</v>
      </c>
      <c r="E596" s="37" t="n">
        <f aca="false">1+IF($G$9=$E$9,$F$9,IF(S596&lt;($F$9-$E$9)/($G$9-$E$9),$E$9+SQRT(S596*($G$9-$E$9)*($F$9-$E$9)),$G$9-SQRT((1-S596)*($G$9-$E$9)*($G$9-$F$9))))</f>
        <v>1</v>
      </c>
      <c r="F596" s="37" t="n">
        <f aca="false">1+IF($G$10=$E$10,$F$10,IF(T596&lt;($F$10-$E$10)/($G$10-$E$10),$E$10+SQRT(T596*($G$10-$E$10)*($F$10-$E$10)),$G$10-SQRT((1-T596)*($G$10-$E$10)*($G$10-$F$10))))</f>
        <v>1</v>
      </c>
      <c r="G596" s="38" t="n">
        <f aca="false">IF($G$11=$E$11,$F$11,IF(U596&lt;($F$11-$E$11)/($G$11-$E$11),$E$11+SQRT(U596*($G$11-$E$11)*($F$11-$E$11)),$G$11-SQRT((1-U596)*($G$11-$E$11)*($G$11-$F$11))))</f>
        <v>0</v>
      </c>
      <c r="H596" s="39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0</v>
      </c>
      <c r="I596" s="39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0</v>
      </c>
      <c r="J596" s="39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0</v>
      </c>
      <c r="K596" s="39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0</v>
      </c>
      <c r="L596" s="39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0</v>
      </c>
      <c r="M596" s="39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0</v>
      </c>
      <c r="N596" s="39" t="str">
        <f aca="false">IF(COUNT('Business Case'!B11:G11)=0,"",H596+NPV(G596,I596:M596))</f>
        <v/>
      </c>
      <c r="P596" s="40" t="n">
        <f aca="true">RAND()</f>
        <v>0.137226933235257</v>
      </c>
      <c r="Q596" s="40" t="n">
        <f aca="true">RAND()</f>
        <v>0.826004643399829</v>
      </c>
      <c r="R596" s="40" t="n">
        <f aca="true">RAND()</f>
        <v>0.597580124062691</v>
      </c>
      <c r="S596" s="40" t="n">
        <f aca="true">RAND()</f>
        <v>0.434128283698261</v>
      </c>
      <c r="T596" s="40" t="n">
        <f aca="true">RAND()</f>
        <v>0.532744936658953</v>
      </c>
      <c r="U596" s="40" t="n">
        <f aca="true">RAND()</f>
        <v>0.601314307573173</v>
      </c>
    </row>
    <row r="597" customFormat="false" ht="15" hidden="false" customHeight="false" outlineLevel="0" collapsed="false">
      <c r="A597" s="36" t="n">
        <v>517</v>
      </c>
      <c r="B597" s="37" t="n">
        <f aca="false">1+IF($G$6=$E$6,$F$6,IF(P597&lt;($F$6-$E$6)/($G$6-$E$6),$E$6+SQRT(P597*($G$6-$E$6)*($F$6-$E$6)),$G$6-SQRT((1-P597)*($G$6-$E$6)*($G$6-$F$6))))</f>
        <v>1</v>
      </c>
      <c r="C597" s="37" t="n">
        <f aca="false">1+IF($G$7=$E$7,$F$7,IF(Q597&lt;($F$7-$E$7)/($G$7-$E$7),$E$7+SQRT(Q597*($G$7-$E$7)*($F$7-$E$7)),$G$7-SQRT((1-Q597)*($G$7-$E$7)*($G$7-$F$7))))</f>
        <v>1</v>
      </c>
      <c r="D597" s="37" t="n">
        <f aca="false">1+IF($G$8=$E$8,$F$8,IF(R597&lt;($F$8-$E$8)/($G$8-$E$8),$E$8+SQRT(R597*($G$8-$E$8)*($F$8-$E$8)),$G$8-SQRT((1-R597)*($G$8-$E$8)*($G$8-$F$8))))</f>
        <v>1</v>
      </c>
      <c r="E597" s="37" t="n">
        <f aca="false">1+IF($G$9=$E$9,$F$9,IF(S597&lt;($F$9-$E$9)/($G$9-$E$9),$E$9+SQRT(S597*($G$9-$E$9)*($F$9-$E$9)),$G$9-SQRT((1-S597)*($G$9-$E$9)*($G$9-$F$9))))</f>
        <v>1</v>
      </c>
      <c r="F597" s="37" t="n">
        <f aca="false">1+IF($G$10=$E$10,$F$10,IF(T597&lt;($F$10-$E$10)/($G$10-$E$10),$E$10+SQRT(T597*($G$10-$E$10)*($F$10-$E$10)),$G$10-SQRT((1-T597)*($G$10-$E$10)*($G$10-$F$10))))</f>
        <v>1</v>
      </c>
      <c r="G597" s="38" t="n">
        <f aca="false">IF($G$11=$E$11,$F$11,IF(U597&lt;($F$11-$E$11)/($G$11-$E$11),$E$11+SQRT(U597*($G$11-$E$11)*($F$11-$E$11)),$G$11-SQRT((1-U597)*($G$11-$E$11)*($G$11-$F$11))))</f>
        <v>0</v>
      </c>
      <c r="H597" s="39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0</v>
      </c>
      <c r="I597" s="39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0</v>
      </c>
      <c r="J597" s="39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0</v>
      </c>
      <c r="K597" s="39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0</v>
      </c>
      <c r="L597" s="39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0</v>
      </c>
      <c r="M597" s="39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0</v>
      </c>
      <c r="N597" s="39" t="str">
        <f aca="false">IF(COUNT('Business Case'!B11:G11)=0,"",H597+NPV(G597,I597:M597))</f>
        <v/>
      </c>
      <c r="P597" s="40" t="n">
        <f aca="true">RAND()</f>
        <v>0.808086677418264</v>
      </c>
      <c r="Q597" s="40" t="n">
        <f aca="true">RAND()</f>
        <v>0.237145019304071</v>
      </c>
      <c r="R597" s="40" t="n">
        <f aca="true">RAND()</f>
        <v>0.717927069747038</v>
      </c>
      <c r="S597" s="40" t="n">
        <f aca="true">RAND()</f>
        <v>0.542081254537477</v>
      </c>
      <c r="T597" s="40" t="n">
        <f aca="true">RAND()</f>
        <v>0.432018345033665</v>
      </c>
      <c r="U597" s="40" t="n">
        <f aca="true">RAND()</f>
        <v>0.730163213673966</v>
      </c>
    </row>
    <row r="598" customFormat="false" ht="15" hidden="false" customHeight="false" outlineLevel="0" collapsed="false">
      <c r="A598" s="36" t="n">
        <v>518</v>
      </c>
      <c r="B598" s="37" t="n">
        <f aca="false">1+IF($G$6=$E$6,$F$6,IF(P598&lt;($F$6-$E$6)/($G$6-$E$6),$E$6+SQRT(P598*($G$6-$E$6)*($F$6-$E$6)),$G$6-SQRT((1-P598)*($G$6-$E$6)*($G$6-$F$6))))</f>
        <v>1</v>
      </c>
      <c r="C598" s="37" t="n">
        <f aca="false">1+IF($G$7=$E$7,$F$7,IF(Q598&lt;($F$7-$E$7)/($G$7-$E$7),$E$7+SQRT(Q598*($G$7-$E$7)*($F$7-$E$7)),$G$7-SQRT((1-Q598)*($G$7-$E$7)*($G$7-$F$7))))</f>
        <v>1</v>
      </c>
      <c r="D598" s="37" t="n">
        <f aca="false">1+IF($G$8=$E$8,$F$8,IF(R598&lt;($F$8-$E$8)/($G$8-$E$8),$E$8+SQRT(R598*($G$8-$E$8)*($F$8-$E$8)),$G$8-SQRT((1-R598)*($G$8-$E$8)*($G$8-$F$8))))</f>
        <v>1</v>
      </c>
      <c r="E598" s="37" t="n">
        <f aca="false">1+IF($G$9=$E$9,$F$9,IF(S598&lt;($F$9-$E$9)/($G$9-$E$9),$E$9+SQRT(S598*($G$9-$E$9)*($F$9-$E$9)),$G$9-SQRT((1-S598)*($G$9-$E$9)*($G$9-$F$9))))</f>
        <v>1</v>
      </c>
      <c r="F598" s="37" t="n">
        <f aca="false">1+IF($G$10=$E$10,$F$10,IF(T598&lt;($F$10-$E$10)/($G$10-$E$10),$E$10+SQRT(T598*($G$10-$E$10)*($F$10-$E$10)),$G$10-SQRT((1-T598)*($G$10-$E$10)*($G$10-$F$10))))</f>
        <v>1</v>
      </c>
      <c r="G598" s="38" t="n">
        <f aca="false">IF($G$11=$E$11,$F$11,IF(U598&lt;($F$11-$E$11)/($G$11-$E$11),$E$11+SQRT(U598*($G$11-$E$11)*($F$11-$E$11)),$G$11-SQRT((1-U598)*($G$11-$E$11)*($G$11-$F$11))))</f>
        <v>0</v>
      </c>
      <c r="H598" s="39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0</v>
      </c>
      <c r="I598" s="39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0</v>
      </c>
      <c r="J598" s="39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0</v>
      </c>
      <c r="K598" s="39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0</v>
      </c>
      <c r="L598" s="39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0</v>
      </c>
      <c r="M598" s="39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0</v>
      </c>
      <c r="N598" s="39" t="str">
        <f aca="false">IF(COUNT('Business Case'!B11:G11)=0,"",H598+NPV(G598,I598:M598))</f>
        <v/>
      </c>
      <c r="P598" s="40" t="n">
        <f aca="true">RAND()</f>
        <v>0.116692125067661</v>
      </c>
      <c r="Q598" s="40" t="n">
        <f aca="true">RAND()</f>
        <v>0.38041270179739</v>
      </c>
      <c r="R598" s="40" t="n">
        <f aca="true">RAND()</f>
        <v>0.242250681193243</v>
      </c>
      <c r="S598" s="40" t="n">
        <f aca="true">RAND()</f>
        <v>0.409157695280835</v>
      </c>
      <c r="T598" s="40" t="n">
        <f aca="true">RAND()</f>
        <v>0.209706245136558</v>
      </c>
      <c r="U598" s="40" t="n">
        <f aca="true">RAND()</f>
        <v>0.77054665024836</v>
      </c>
    </row>
    <row r="599" customFormat="false" ht="15" hidden="false" customHeight="false" outlineLevel="0" collapsed="false">
      <c r="A599" s="36" t="n">
        <v>519</v>
      </c>
      <c r="B599" s="37" t="n">
        <f aca="false">1+IF($G$6=$E$6,$F$6,IF(P599&lt;($F$6-$E$6)/($G$6-$E$6),$E$6+SQRT(P599*($G$6-$E$6)*($F$6-$E$6)),$G$6-SQRT((1-P599)*($G$6-$E$6)*($G$6-$F$6))))</f>
        <v>1</v>
      </c>
      <c r="C599" s="37" t="n">
        <f aca="false">1+IF($G$7=$E$7,$F$7,IF(Q599&lt;($F$7-$E$7)/($G$7-$E$7),$E$7+SQRT(Q599*($G$7-$E$7)*($F$7-$E$7)),$G$7-SQRT((1-Q599)*($G$7-$E$7)*($G$7-$F$7))))</f>
        <v>1</v>
      </c>
      <c r="D599" s="37" t="n">
        <f aca="false">1+IF($G$8=$E$8,$F$8,IF(R599&lt;($F$8-$E$8)/($G$8-$E$8),$E$8+SQRT(R599*($G$8-$E$8)*($F$8-$E$8)),$G$8-SQRT((1-R599)*($G$8-$E$8)*($G$8-$F$8))))</f>
        <v>1</v>
      </c>
      <c r="E599" s="37" t="n">
        <f aca="false">1+IF($G$9=$E$9,$F$9,IF(S599&lt;($F$9-$E$9)/($G$9-$E$9),$E$9+SQRT(S599*($G$9-$E$9)*($F$9-$E$9)),$G$9-SQRT((1-S599)*($G$9-$E$9)*($G$9-$F$9))))</f>
        <v>1</v>
      </c>
      <c r="F599" s="37" t="n">
        <f aca="false">1+IF($G$10=$E$10,$F$10,IF(T599&lt;($F$10-$E$10)/($G$10-$E$10),$E$10+SQRT(T599*($G$10-$E$10)*($F$10-$E$10)),$G$10-SQRT((1-T599)*($G$10-$E$10)*($G$10-$F$10))))</f>
        <v>1</v>
      </c>
      <c r="G599" s="38" t="n">
        <f aca="false">IF($G$11=$E$11,$F$11,IF(U599&lt;($F$11-$E$11)/($G$11-$E$11),$E$11+SQRT(U599*($G$11-$E$11)*($F$11-$E$11)),$G$11-SQRT((1-U599)*($G$11-$E$11)*($G$11-$F$11))))</f>
        <v>0</v>
      </c>
      <c r="H599" s="39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0</v>
      </c>
      <c r="I599" s="39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0</v>
      </c>
      <c r="J599" s="39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0</v>
      </c>
      <c r="K599" s="39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0</v>
      </c>
      <c r="L599" s="39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0</v>
      </c>
      <c r="M599" s="39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0</v>
      </c>
      <c r="N599" s="39" t="str">
        <f aca="false">IF(COUNT('Business Case'!B11:G11)=0,"",H599+NPV(G599,I599:M599))</f>
        <v/>
      </c>
      <c r="P599" s="40" t="n">
        <f aca="true">RAND()</f>
        <v>0.0477577862871978</v>
      </c>
      <c r="Q599" s="40" t="n">
        <f aca="true">RAND()</f>
        <v>0.605757237425819</v>
      </c>
      <c r="R599" s="40" t="n">
        <f aca="true">RAND()</f>
        <v>0.690922135410616</v>
      </c>
      <c r="S599" s="40" t="n">
        <f aca="true">RAND()</f>
        <v>0.881438934394251</v>
      </c>
      <c r="T599" s="40" t="n">
        <f aca="true">RAND()</f>
        <v>0.838896864801015</v>
      </c>
      <c r="U599" s="40" t="n">
        <f aca="true">RAND()</f>
        <v>0.439265627011735</v>
      </c>
    </row>
    <row r="600" customFormat="false" ht="15" hidden="false" customHeight="false" outlineLevel="0" collapsed="false">
      <c r="A600" s="36" t="n">
        <v>520</v>
      </c>
      <c r="B600" s="37" t="n">
        <f aca="false">1+IF($G$6=$E$6,$F$6,IF(P600&lt;($F$6-$E$6)/($G$6-$E$6),$E$6+SQRT(P600*($G$6-$E$6)*($F$6-$E$6)),$G$6-SQRT((1-P600)*($G$6-$E$6)*($G$6-$F$6))))</f>
        <v>1</v>
      </c>
      <c r="C600" s="37" t="n">
        <f aca="false">1+IF($G$7=$E$7,$F$7,IF(Q600&lt;($F$7-$E$7)/($G$7-$E$7),$E$7+SQRT(Q600*($G$7-$E$7)*($F$7-$E$7)),$G$7-SQRT((1-Q600)*($G$7-$E$7)*($G$7-$F$7))))</f>
        <v>1</v>
      </c>
      <c r="D600" s="37" t="n">
        <f aca="false">1+IF($G$8=$E$8,$F$8,IF(R600&lt;($F$8-$E$8)/($G$8-$E$8),$E$8+SQRT(R600*($G$8-$E$8)*($F$8-$E$8)),$G$8-SQRT((1-R600)*($G$8-$E$8)*($G$8-$F$8))))</f>
        <v>1</v>
      </c>
      <c r="E600" s="37" t="n">
        <f aca="false">1+IF($G$9=$E$9,$F$9,IF(S600&lt;($F$9-$E$9)/($G$9-$E$9),$E$9+SQRT(S600*($G$9-$E$9)*($F$9-$E$9)),$G$9-SQRT((1-S600)*($G$9-$E$9)*($G$9-$F$9))))</f>
        <v>1</v>
      </c>
      <c r="F600" s="37" t="n">
        <f aca="false">1+IF($G$10=$E$10,$F$10,IF(T600&lt;($F$10-$E$10)/($G$10-$E$10),$E$10+SQRT(T600*($G$10-$E$10)*($F$10-$E$10)),$G$10-SQRT((1-T600)*($G$10-$E$10)*($G$10-$F$10))))</f>
        <v>1</v>
      </c>
      <c r="G600" s="38" t="n">
        <f aca="false">IF($G$11=$E$11,$F$11,IF(U600&lt;($F$11-$E$11)/($G$11-$E$11),$E$11+SQRT(U600*($G$11-$E$11)*($F$11-$E$11)),$G$11-SQRT((1-U600)*($G$11-$E$11)*($G$11-$F$11))))</f>
        <v>0</v>
      </c>
      <c r="H600" s="39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0</v>
      </c>
      <c r="I600" s="39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0</v>
      </c>
      <c r="J600" s="39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0</v>
      </c>
      <c r="K600" s="39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0</v>
      </c>
      <c r="L600" s="39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0</v>
      </c>
      <c r="M600" s="39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0</v>
      </c>
      <c r="N600" s="39" t="str">
        <f aca="false">IF(COUNT('Business Case'!B11:G11)=0,"",H600+NPV(G600,I600:M600))</f>
        <v/>
      </c>
      <c r="P600" s="40" t="n">
        <f aca="true">RAND()</f>
        <v>0.966863178002353</v>
      </c>
      <c r="Q600" s="40" t="n">
        <f aca="true">RAND()</f>
        <v>0.606652573917021</v>
      </c>
      <c r="R600" s="40" t="n">
        <f aca="true">RAND()</f>
        <v>0.984310861513663</v>
      </c>
      <c r="S600" s="40" t="n">
        <f aca="true">RAND()</f>
        <v>0.536346721116316</v>
      </c>
      <c r="T600" s="40" t="n">
        <f aca="true">RAND()</f>
        <v>0.482644999129516</v>
      </c>
      <c r="U600" s="40" t="n">
        <f aca="true">RAND()</f>
        <v>0.0663892302152199</v>
      </c>
    </row>
    <row r="601" customFormat="false" ht="15" hidden="false" customHeight="false" outlineLevel="0" collapsed="false">
      <c r="A601" s="36" t="n">
        <v>521</v>
      </c>
      <c r="B601" s="37" t="n">
        <f aca="false">1+IF($G$6=$E$6,$F$6,IF(P601&lt;($F$6-$E$6)/($G$6-$E$6),$E$6+SQRT(P601*($G$6-$E$6)*($F$6-$E$6)),$G$6-SQRT((1-P601)*($G$6-$E$6)*($G$6-$F$6))))</f>
        <v>1</v>
      </c>
      <c r="C601" s="37" t="n">
        <f aca="false">1+IF($G$7=$E$7,$F$7,IF(Q601&lt;($F$7-$E$7)/($G$7-$E$7),$E$7+SQRT(Q601*($G$7-$E$7)*($F$7-$E$7)),$G$7-SQRT((1-Q601)*($G$7-$E$7)*($G$7-$F$7))))</f>
        <v>1</v>
      </c>
      <c r="D601" s="37" t="n">
        <f aca="false">1+IF($G$8=$E$8,$F$8,IF(R601&lt;($F$8-$E$8)/($G$8-$E$8),$E$8+SQRT(R601*($G$8-$E$8)*($F$8-$E$8)),$G$8-SQRT((1-R601)*($G$8-$E$8)*($G$8-$F$8))))</f>
        <v>1</v>
      </c>
      <c r="E601" s="37" t="n">
        <f aca="false">1+IF($G$9=$E$9,$F$9,IF(S601&lt;($F$9-$E$9)/($G$9-$E$9),$E$9+SQRT(S601*($G$9-$E$9)*($F$9-$E$9)),$G$9-SQRT((1-S601)*($G$9-$E$9)*($G$9-$F$9))))</f>
        <v>1</v>
      </c>
      <c r="F601" s="37" t="n">
        <f aca="false">1+IF($G$10=$E$10,$F$10,IF(T601&lt;($F$10-$E$10)/($G$10-$E$10),$E$10+SQRT(T601*($G$10-$E$10)*($F$10-$E$10)),$G$10-SQRT((1-T601)*($G$10-$E$10)*($G$10-$F$10))))</f>
        <v>1</v>
      </c>
      <c r="G601" s="38" t="n">
        <f aca="false">IF($G$11=$E$11,$F$11,IF(U601&lt;($F$11-$E$11)/($G$11-$E$11),$E$11+SQRT(U601*($G$11-$E$11)*($F$11-$E$11)),$G$11-SQRT((1-U601)*($G$11-$E$11)*($G$11-$F$11))))</f>
        <v>0</v>
      </c>
      <c r="H601" s="39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0</v>
      </c>
      <c r="I601" s="39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0</v>
      </c>
      <c r="J601" s="39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0</v>
      </c>
      <c r="K601" s="39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0</v>
      </c>
      <c r="L601" s="39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0</v>
      </c>
      <c r="M601" s="39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0</v>
      </c>
      <c r="N601" s="39" t="str">
        <f aca="false">IF(COUNT('Business Case'!B11:G11)=0,"",H601+NPV(G601,I601:M601))</f>
        <v/>
      </c>
      <c r="P601" s="40" t="n">
        <f aca="true">RAND()</f>
        <v>0.344680860810122</v>
      </c>
      <c r="Q601" s="40" t="n">
        <f aca="true">RAND()</f>
        <v>0.941930510352171</v>
      </c>
      <c r="R601" s="40" t="n">
        <f aca="true">RAND()</f>
        <v>0.369344623138808</v>
      </c>
      <c r="S601" s="40" t="n">
        <f aca="true">RAND()</f>
        <v>0.43272347053798</v>
      </c>
      <c r="T601" s="40" t="n">
        <f aca="true">RAND()</f>
        <v>0.557254283816938</v>
      </c>
      <c r="U601" s="40" t="n">
        <f aca="true">RAND()</f>
        <v>0.655315423990924</v>
      </c>
    </row>
    <row r="602" customFormat="false" ht="15" hidden="false" customHeight="false" outlineLevel="0" collapsed="false">
      <c r="A602" s="36" t="n">
        <v>522</v>
      </c>
      <c r="B602" s="37" t="n">
        <f aca="false">1+IF($G$6=$E$6,$F$6,IF(P602&lt;($F$6-$E$6)/($G$6-$E$6),$E$6+SQRT(P602*($G$6-$E$6)*($F$6-$E$6)),$G$6-SQRT((1-P602)*($G$6-$E$6)*($G$6-$F$6))))</f>
        <v>1</v>
      </c>
      <c r="C602" s="37" t="n">
        <f aca="false">1+IF($G$7=$E$7,$F$7,IF(Q602&lt;($F$7-$E$7)/($G$7-$E$7),$E$7+SQRT(Q602*($G$7-$E$7)*($F$7-$E$7)),$G$7-SQRT((1-Q602)*($G$7-$E$7)*($G$7-$F$7))))</f>
        <v>1</v>
      </c>
      <c r="D602" s="37" t="n">
        <f aca="false">1+IF($G$8=$E$8,$F$8,IF(R602&lt;($F$8-$E$8)/($G$8-$E$8),$E$8+SQRT(R602*($G$8-$E$8)*($F$8-$E$8)),$G$8-SQRT((1-R602)*($G$8-$E$8)*($G$8-$F$8))))</f>
        <v>1</v>
      </c>
      <c r="E602" s="37" t="n">
        <f aca="false">1+IF($G$9=$E$9,$F$9,IF(S602&lt;($F$9-$E$9)/($G$9-$E$9),$E$9+SQRT(S602*($G$9-$E$9)*($F$9-$E$9)),$G$9-SQRT((1-S602)*($G$9-$E$9)*($G$9-$F$9))))</f>
        <v>1</v>
      </c>
      <c r="F602" s="37" t="n">
        <f aca="false">1+IF($G$10=$E$10,$F$10,IF(T602&lt;($F$10-$E$10)/($G$10-$E$10),$E$10+SQRT(T602*($G$10-$E$10)*($F$10-$E$10)),$G$10-SQRT((1-T602)*($G$10-$E$10)*($G$10-$F$10))))</f>
        <v>1</v>
      </c>
      <c r="G602" s="38" t="n">
        <f aca="false">IF($G$11=$E$11,$F$11,IF(U602&lt;($F$11-$E$11)/($G$11-$E$11),$E$11+SQRT(U602*($G$11-$E$11)*($F$11-$E$11)),$G$11-SQRT((1-U602)*($G$11-$E$11)*($G$11-$F$11))))</f>
        <v>0</v>
      </c>
      <c r="H602" s="39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0</v>
      </c>
      <c r="I602" s="39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0</v>
      </c>
      <c r="J602" s="39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0</v>
      </c>
      <c r="K602" s="39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0</v>
      </c>
      <c r="L602" s="39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0</v>
      </c>
      <c r="M602" s="39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0</v>
      </c>
      <c r="N602" s="39" t="str">
        <f aca="false">IF(COUNT('Business Case'!B11:G11)=0,"",H602+NPV(G602,I602:M602))</f>
        <v/>
      </c>
      <c r="P602" s="40" t="n">
        <f aca="true">RAND()</f>
        <v>0.967824901239471</v>
      </c>
      <c r="Q602" s="40" t="n">
        <f aca="true">RAND()</f>
        <v>0.00418218503927721</v>
      </c>
      <c r="R602" s="40" t="n">
        <f aca="true">RAND()</f>
        <v>0.29395172656855</v>
      </c>
      <c r="S602" s="40" t="n">
        <f aca="true">RAND()</f>
        <v>0.165836524485219</v>
      </c>
      <c r="T602" s="40" t="n">
        <f aca="true">RAND()</f>
        <v>0.332117913260177</v>
      </c>
      <c r="U602" s="40" t="n">
        <f aca="true">RAND()</f>
        <v>0.616184273912529</v>
      </c>
    </row>
    <row r="603" customFormat="false" ht="15" hidden="false" customHeight="false" outlineLevel="0" collapsed="false">
      <c r="A603" s="36" t="n">
        <v>523</v>
      </c>
      <c r="B603" s="37" t="n">
        <f aca="false">1+IF($G$6=$E$6,$F$6,IF(P603&lt;($F$6-$E$6)/($G$6-$E$6),$E$6+SQRT(P603*($G$6-$E$6)*($F$6-$E$6)),$G$6-SQRT((1-P603)*($G$6-$E$6)*($G$6-$F$6))))</f>
        <v>1</v>
      </c>
      <c r="C603" s="37" t="n">
        <f aca="false">1+IF($G$7=$E$7,$F$7,IF(Q603&lt;($F$7-$E$7)/($G$7-$E$7),$E$7+SQRT(Q603*($G$7-$E$7)*($F$7-$E$7)),$G$7-SQRT((1-Q603)*($G$7-$E$7)*($G$7-$F$7))))</f>
        <v>1</v>
      </c>
      <c r="D603" s="37" t="n">
        <f aca="false">1+IF($G$8=$E$8,$F$8,IF(R603&lt;($F$8-$E$8)/($G$8-$E$8),$E$8+SQRT(R603*($G$8-$E$8)*($F$8-$E$8)),$G$8-SQRT((1-R603)*($G$8-$E$8)*($G$8-$F$8))))</f>
        <v>1</v>
      </c>
      <c r="E603" s="37" t="n">
        <f aca="false">1+IF($G$9=$E$9,$F$9,IF(S603&lt;($F$9-$E$9)/($G$9-$E$9),$E$9+SQRT(S603*($G$9-$E$9)*($F$9-$E$9)),$G$9-SQRT((1-S603)*($G$9-$E$9)*($G$9-$F$9))))</f>
        <v>1</v>
      </c>
      <c r="F603" s="37" t="n">
        <f aca="false">1+IF($G$10=$E$10,$F$10,IF(T603&lt;($F$10-$E$10)/($G$10-$E$10),$E$10+SQRT(T603*($G$10-$E$10)*($F$10-$E$10)),$G$10-SQRT((1-T603)*($G$10-$E$10)*($G$10-$F$10))))</f>
        <v>1</v>
      </c>
      <c r="G603" s="38" t="n">
        <f aca="false">IF($G$11=$E$11,$F$11,IF(U603&lt;($F$11-$E$11)/($G$11-$E$11),$E$11+SQRT(U603*($G$11-$E$11)*($F$11-$E$11)),$G$11-SQRT((1-U603)*($G$11-$E$11)*($G$11-$F$11))))</f>
        <v>0</v>
      </c>
      <c r="H603" s="39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0</v>
      </c>
      <c r="I603" s="39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0</v>
      </c>
      <c r="J603" s="39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0</v>
      </c>
      <c r="K603" s="39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0</v>
      </c>
      <c r="L603" s="39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0</v>
      </c>
      <c r="M603" s="39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0</v>
      </c>
      <c r="N603" s="39" t="str">
        <f aca="false">IF(COUNT('Business Case'!B11:G11)=0,"",H603+NPV(G603,I603:M603))</f>
        <v/>
      </c>
      <c r="P603" s="40" t="n">
        <f aca="true">RAND()</f>
        <v>0.0532085457888559</v>
      </c>
      <c r="Q603" s="40" t="n">
        <f aca="true">RAND()</f>
        <v>0.563328680936754</v>
      </c>
      <c r="R603" s="40" t="n">
        <f aca="true">RAND()</f>
        <v>0.333180292804353</v>
      </c>
      <c r="S603" s="40" t="n">
        <f aca="true">RAND()</f>
        <v>0.57580011715156</v>
      </c>
      <c r="T603" s="40" t="n">
        <f aca="true">RAND()</f>
        <v>0.653587083706573</v>
      </c>
      <c r="U603" s="40" t="n">
        <f aca="true">RAND()</f>
        <v>0.417694599411691</v>
      </c>
    </row>
    <row r="604" customFormat="false" ht="15" hidden="false" customHeight="false" outlineLevel="0" collapsed="false">
      <c r="A604" s="36" t="n">
        <v>524</v>
      </c>
      <c r="B604" s="37" t="n">
        <f aca="false">1+IF($G$6=$E$6,$F$6,IF(P604&lt;($F$6-$E$6)/($G$6-$E$6),$E$6+SQRT(P604*($G$6-$E$6)*($F$6-$E$6)),$G$6-SQRT((1-P604)*($G$6-$E$6)*($G$6-$F$6))))</f>
        <v>1</v>
      </c>
      <c r="C604" s="37" t="n">
        <f aca="false">1+IF($G$7=$E$7,$F$7,IF(Q604&lt;($F$7-$E$7)/($G$7-$E$7),$E$7+SQRT(Q604*($G$7-$E$7)*($F$7-$E$7)),$G$7-SQRT((1-Q604)*($G$7-$E$7)*($G$7-$F$7))))</f>
        <v>1</v>
      </c>
      <c r="D604" s="37" t="n">
        <f aca="false">1+IF($G$8=$E$8,$F$8,IF(R604&lt;($F$8-$E$8)/($G$8-$E$8),$E$8+SQRT(R604*($G$8-$E$8)*($F$8-$E$8)),$G$8-SQRT((1-R604)*($G$8-$E$8)*($G$8-$F$8))))</f>
        <v>1</v>
      </c>
      <c r="E604" s="37" t="n">
        <f aca="false">1+IF($G$9=$E$9,$F$9,IF(S604&lt;($F$9-$E$9)/($G$9-$E$9),$E$9+SQRT(S604*($G$9-$E$9)*($F$9-$E$9)),$G$9-SQRT((1-S604)*($G$9-$E$9)*($G$9-$F$9))))</f>
        <v>1</v>
      </c>
      <c r="F604" s="37" t="n">
        <f aca="false">1+IF($G$10=$E$10,$F$10,IF(T604&lt;($F$10-$E$10)/($G$10-$E$10),$E$10+SQRT(T604*($G$10-$E$10)*($F$10-$E$10)),$G$10-SQRT((1-T604)*($G$10-$E$10)*($G$10-$F$10))))</f>
        <v>1</v>
      </c>
      <c r="G604" s="38" t="n">
        <f aca="false">IF($G$11=$E$11,$F$11,IF(U604&lt;($F$11-$E$11)/($G$11-$E$11),$E$11+SQRT(U604*($G$11-$E$11)*($F$11-$E$11)),$G$11-SQRT((1-U604)*($G$11-$E$11)*($G$11-$F$11))))</f>
        <v>0</v>
      </c>
      <c r="H604" s="39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0</v>
      </c>
      <c r="I604" s="39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0</v>
      </c>
      <c r="J604" s="39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0</v>
      </c>
      <c r="K604" s="39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0</v>
      </c>
      <c r="L604" s="39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0</v>
      </c>
      <c r="M604" s="39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0</v>
      </c>
      <c r="N604" s="39" t="str">
        <f aca="false">IF(COUNT('Business Case'!B11:G11)=0,"",H604+NPV(G604,I604:M604))</f>
        <v/>
      </c>
      <c r="P604" s="40" t="n">
        <f aca="true">RAND()</f>
        <v>0.307424701304324</v>
      </c>
      <c r="Q604" s="40" t="n">
        <f aca="true">RAND()</f>
        <v>0.0788172072239091</v>
      </c>
      <c r="R604" s="40" t="n">
        <f aca="true">RAND()</f>
        <v>0.530211653756499</v>
      </c>
      <c r="S604" s="40" t="n">
        <f aca="true">RAND()</f>
        <v>0.430354699127924</v>
      </c>
      <c r="T604" s="40" t="n">
        <f aca="true">RAND()</f>
        <v>0.823145040772623</v>
      </c>
      <c r="U604" s="40" t="n">
        <f aca="true">RAND()</f>
        <v>0.833735486395163</v>
      </c>
    </row>
    <row r="605" customFormat="false" ht="15" hidden="false" customHeight="false" outlineLevel="0" collapsed="false">
      <c r="A605" s="36" t="n">
        <v>525</v>
      </c>
      <c r="B605" s="37" t="n">
        <f aca="false">1+IF($G$6=$E$6,$F$6,IF(P605&lt;($F$6-$E$6)/($G$6-$E$6),$E$6+SQRT(P605*($G$6-$E$6)*($F$6-$E$6)),$G$6-SQRT((1-P605)*($G$6-$E$6)*($G$6-$F$6))))</f>
        <v>1</v>
      </c>
      <c r="C605" s="37" t="n">
        <f aca="false">1+IF($G$7=$E$7,$F$7,IF(Q605&lt;($F$7-$E$7)/($G$7-$E$7),$E$7+SQRT(Q605*($G$7-$E$7)*($F$7-$E$7)),$G$7-SQRT((1-Q605)*($G$7-$E$7)*($G$7-$F$7))))</f>
        <v>1</v>
      </c>
      <c r="D605" s="37" t="n">
        <f aca="false">1+IF($G$8=$E$8,$F$8,IF(R605&lt;($F$8-$E$8)/($G$8-$E$8),$E$8+SQRT(R605*($G$8-$E$8)*($F$8-$E$8)),$G$8-SQRT((1-R605)*($G$8-$E$8)*($G$8-$F$8))))</f>
        <v>1</v>
      </c>
      <c r="E605" s="37" t="n">
        <f aca="false">1+IF($G$9=$E$9,$F$9,IF(S605&lt;($F$9-$E$9)/($G$9-$E$9),$E$9+SQRT(S605*($G$9-$E$9)*($F$9-$E$9)),$G$9-SQRT((1-S605)*($G$9-$E$9)*($G$9-$F$9))))</f>
        <v>1</v>
      </c>
      <c r="F605" s="37" t="n">
        <f aca="false">1+IF($G$10=$E$10,$F$10,IF(T605&lt;($F$10-$E$10)/($G$10-$E$10),$E$10+SQRT(T605*($G$10-$E$10)*($F$10-$E$10)),$G$10-SQRT((1-T605)*($G$10-$E$10)*($G$10-$F$10))))</f>
        <v>1</v>
      </c>
      <c r="G605" s="38" t="n">
        <f aca="false">IF($G$11=$E$11,$F$11,IF(U605&lt;($F$11-$E$11)/($G$11-$E$11),$E$11+SQRT(U605*($G$11-$E$11)*($F$11-$E$11)),$G$11-SQRT((1-U605)*($G$11-$E$11)*($G$11-$F$11))))</f>
        <v>0</v>
      </c>
      <c r="H605" s="39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0</v>
      </c>
      <c r="I605" s="39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0</v>
      </c>
      <c r="J605" s="39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0</v>
      </c>
      <c r="K605" s="39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0</v>
      </c>
      <c r="L605" s="39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0</v>
      </c>
      <c r="M605" s="39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0</v>
      </c>
      <c r="N605" s="39" t="str">
        <f aca="false">IF(COUNT('Business Case'!B11:G11)=0,"",H605+NPV(G605,I605:M605))</f>
        <v/>
      </c>
      <c r="P605" s="40" t="n">
        <f aca="true">RAND()</f>
        <v>0.401989783931354</v>
      </c>
      <c r="Q605" s="40" t="n">
        <f aca="true">RAND()</f>
        <v>0.84158132971824</v>
      </c>
      <c r="R605" s="40" t="n">
        <f aca="true">RAND()</f>
        <v>0.682615329161893</v>
      </c>
      <c r="S605" s="40" t="n">
        <f aca="true">RAND()</f>
        <v>0.742125395474933</v>
      </c>
      <c r="T605" s="40" t="n">
        <f aca="true">RAND()</f>
        <v>0.425382482495461</v>
      </c>
      <c r="U605" s="40" t="n">
        <f aca="true">RAND()</f>
        <v>0.392246688614214</v>
      </c>
    </row>
    <row r="606" customFormat="false" ht="15" hidden="false" customHeight="false" outlineLevel="0" collapsed="false">
      <c r="A606" s="36" t="n">
        <v>526</v>
      </c>
      <c r="B606" s="37" t="n">
        <f aca="false">1+IF($G$6=$E$6,$F$6,IF(P606&lt;($F$6-$E$6)/($G$6-$E$6),$E$6+SQRT(P606*($G$6-$E$6)*($F$6-$E$6)),$G$6-SQRT((1-P606)*($G$6-$E$6)*($G$6-$F$6))))</f>
        <v>1</v>
      </c>
      <c r="C606" s="37" t="n">
        <f aca="false">1+IF($G$7=$E$7,$F$7,IF(Q606&lt;($F$7-$E$7)/($G$7-$E$7),$E$7+SQRT(Q606*($G$7-$E$7)*($F$7-$E$7)),$G$7-SQRT((1-Q606)*($G$7-$E$7)*($G$7-$F$7))))</f>
        <v>1</v>
      </c>
      <c r="D606" s="37" t="n">
        <f aca="false">1+IF($G$8=$E$8,$F$8,IF(R606&lt;($F$8-$E$8)/($G$8-$E$8),$E$8+SQRT(R606*($G$8-$E$8)*($F$8-$E$8)),$G$8-SQRT((1-R606)*($G$8-$E$8)*($G$8-$F$8))))</f>
        <v>1</v>
      </c>
      <c r="E606" s="37" t="n">
        <f aca="false">1+IF($G$9=$E$9,$F$9,IF(S606&lt;($F$9-$E$9)/($G$9-$E$9),$E$9+SQRT(S606*($G$9-$E$9)*($F$9-$E$9)),$G$9-SQRT((1-S606)*($G$9-$E$9)*($G$9-$F$9))))</f>
        <v>1</v>
      </c>
      <c r="F606" s="37" t="n">
        <f aca="false">1+IF($G$10=$E$10,$F$10,IF(T606&lt;($F$10-$E$10)/($G$10-$E$10),$E$10+SQRT(T606*($G$10-$E$10)*($F$10-$E$10)),$G$10-SQRT((1-T606)*($G$10-$E$10)*($G$10-$F$10))))</f>
        <v>1</v>
      </c>
      <c r="G606" s="38" t="n">
        <f aca="false">IF($G$11=$E$11,$F$11,IF(U606&lt;($F$11-$E$11)/($G$11-$E$11),$E$11+SQRT(U606*($G$11-$E$11)*($F$11-$E$11)),$G$11-SQRT((1-U606)*($G$11-$E$11)*($G$11-$F$11))))</f>
        <v>0</v>
      </c>
      <c r="H606" s="39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0</v>
      </c>
      <c r="I606" s="39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0</v>
      </c>
      <c r="J606" s="39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0</v>
      </c>
      <c r="K606" s="39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0</v>
      </c>
      <c r="L606" s="39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0</v>
      </c>
      <c r="M606" s="39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0</v>
      </c>
      <c r="N606" s="39" t="str">
        <f aca="false">IF(COUNT('Business Case'!B11:G11)=0,"",H606+NPV(G606,I606:M606))</f>
        <v/>
      </c>
      <c r="P606" s="40" t="n">
        <f aca="true">RAND()</f>
        <v>0.592980089124608</v>
      </c>
      <c r="Q606" s="40" t="n">
        <f aca="true">RAND()</f>
        <v>0.777088045029054</v>
      </c>
      <c r="R606" s="40" t="n">
        <f aca="true">RAND()</f>
        <v>0.0506134633170251</v>
      </c>
      <c r="S606" s="40" t="n">
        <f aca="true">RAND()</f>
        <v>0.0819337463353907</v>
      </c>
      <c r="T606" s="40" t="n">
        <f aca="true">RAND()</f>
        <v>0.884361194099005</v>
      </c>
      <c r="U606" s="40" t="n">
        <f aca="true">RAND()</f>
        <v>0.275379015274864</v>
      </c>
    </row>
    <row r="607" customFormat="false" ht="15" hidden="false" customHeight="false" outlineLevel="0" collapsed="false">
      <c r="A607" s="36" t="n">
        <v>527</v>
      </c>
      <c r="B607" s="37" t="n">
        <f aca="false">1+IF($G$6=$E$6,$F$6,IF(P607&lt;($F$6-$E$6)/($G$6-$E$6),$E$6+SQRT(P607*($G$6-$E$6)*($F$6-$E$6)),$G$6-SQRT((1-P607)*($G$6-$E$6)*($G$6-$F$6))))</f>
        <v>1</v>
      </c>
      <c r="C607" s="37" t="n">
        <f aca="false">1+IF($G$7=$E$7,$F$7,IF(Q607&lt;($F$7-$E$7)/($G$7-$E$7),$E$7+SQRT(Q607*($G$7-$E$7)*($F$7-$E$7)),$G$7-SQRT((1-Q607)*($G$7-$E$7)*($G$7-$F$7))))</f>
        <v>1</v>
      </c>
      <c r="D607" s="37" t="n">
        <f aca="false">1+IF($G$8=$E$8,$F$8,IF(R607&lt;($F$8-$E$8)/($G$8-$E$8),$E$8+SQRT(R607*($G$8-$E$8)*($F$8-$E$8)),$G$8-SQRT((1-R607)*($G$8-$E$8)*($G$8-$F$8))))</f>
        <v>1</v>
      </c>
      <c r="E607" s="37" t="n">
        <f aca="false">1+IF($G$9=$E$9,$F$9,IF(S607&lt;($F$9-$E$9)/($G$9-$E$9),$E$9+SQRT(S607*($G$9-$E$9)*($F$9-$E$9)),$G$9-SQRT((1-S607)*($G$9-$E$9)*($G$9-$F$9))))</f>
        <v>1</v>
      </c>
      <c r="F607" s="37" t="n">
        <f aca="false">1+IF($G$10=$E$10,$F$10,IF(T607&lt;($F$10-$E$10)/($G$10-$E$10),$E$10+SQRT(T607*($G$10-$E$10)*($F$10-$E$10)),$G$10-SQRT((1-T607)*($G$10-$E$10)*($G$10-$F$10))))</f>
        <v>1</v>
      </c>
      <c r="G607" s="38" t="n">
        <f aca="false">IF($G$11=$E$11,$F$11,IF(U607&lt;($F$11-$E$11)/($G$11-$E$11),$E$11+SQRT(U607*($G$11-$E$11)*($F$11-$E$11)),$G$11-SQRT((1-U607)*($G$11-$E$11)*($G$11-$F$11))))</f>
        <v>0</v>
      </c>
      <c r="H607" s="39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0</v>
      </c>
      <c r="I607" s="39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0</v>
      </c>
      <c r="J607" s="39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0</v>
      </c>
      <c r="K607" s="39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0</v>
      </c>
      <c r="L607" s="39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0</v>
      </c>
      <c r="M607" s="39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0</v>
      </c>
      <c r="N607" s="39" t="str">
        <f aca="false">IF(COUNT('Business Case'!B11:G11)=0,"",H607+NPV(G607,I607:M607))</f>
        <v/>
      </c>
      <c r="P607" s="40" t="n">
        <f aca="true">RAND()</f>
        <v>0.0873020038736056</v>
      </c>
      <c r="Q607" s="40" t="n">
        <f aca="true">RAND()</f>
        <v>0.0951043977025193</v>
      </c>
      <c r="R607" s="40" t="n">
        <f aca="true">RAND()</f>
        <v>0.887874398799695</v>
      </c>
      <c r="S607" s="40" t="n">
        <f aca="true">RAND()</f>
        <v>0.949956681429445</v>
      </c>
      <c r="T607" s="40" t="n">
        <f aca="true">RAND()</f>
        <v>0.882518947731606</v>
      </c>
      <c r="U607" s="40" t="n">
        <f aca="true">RAND()</f>
        <v>0.6352074303627</v>
      </c>
    </row>
    <row r="608" customFormat="false" ht="15" hidden="false" customHeight="false" outlineLevel="0" collapsed="false">
      <c r="A608" s="36" t="n">
        <v>528</v>
      </c>
      <c r="B608" s="37" t="n">
        <f aca="false">1+IF($G$6=$E$6,$F$6,IF(P608&lt;($F$6-$E$6)/($G$6-$E$6),$E$6+SQRT(P608*($G$6-$E$6)*($F$6-$E$6)),$G$6-SQRT((1-P608)*($G$6-$E$6)*($G$6-$F$6))))</f>
        <v>1</v>
      </c>
      <c r="C608" s="37" t="n">
        <f aca="false">1+IF($G$7=$E$7,$F$7,IF(Q608&lt;($F$7-$E$7)/($G$7-$E$7),$E$7+SQRT(Q608*($G$7-$E$7)*($F$7-$E$7)),$G$7-SQRT((1-Q608)*($G$7-$E$7)*($G$7-$F$7))))</f>
        <v>1</v>
      </c>
      <c r="D608" s="37" t="n">
        <f aca="false">1+IF($G$8=$E$8,$F$8,IF(R608&lt;($F$8-$E$8)/($G$8-$E$8),$E$8+SQRT(R608*($G$8-$E$8)*($F$8-$E$8)),$G$8-SQRT((1-R608)*($G$8-$E$8)*($G$8-$F$8))))</f>
        <v>1</v>
      </c>
      <c r="E608" s="37" t="n">
        <f aca="false">1+IF($G$9=$E$9,$F$9,IF(S608&lt;($F$9-$E$9)/($G$9-$E$9),$E$9+SQRT(S608*($G$9-$E$9)*($F$9-$E$9)),$G$9-SQRT((1-S608)*($G$9-$E$9)*($G$9-$F$9))))</f>
        <v>1</v>
      </c>
      <c r="F608" s="37" t="n">
        <f aca="false">1+IF($G$10=$E$10,$F$10,IF(T608&lt;($F$10-$E$10)/($G$10-$E$10),$E$10+SQRT(T608*($G$10-$E$10)*($F$10-$E$10)),$G$10-SQRT((1-T608)*($G$10-$E$10)*($G$10-$F$10))))</f>
        <v>1</v>
      </c>
      <c r="G608" s="38" t="n">
        <f aca="false">IF($G$11=$E$11,$F$11,IF(U608&lt;($F$11-$E$11)/($G$11-$E$11),$E$11+SQRT(U608*($G$11-$E$11)*($F$11-$E$11)),$G$11-SQRT((1-U608)*($G$11-$E$11)*($G$11-$F$11))))</f>
        <v>0</v>
      </c>
      <c r="H608" s="39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0</v>
      </c>
      <c r="I608" s="39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0</v>
      </c>
      <c r="J608" s="39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0</v>
      </c>
      <c r="K608" s="39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0</v>
      </c>
      <c r="L608" s="39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0</v>
      </c>
      <c r="M608" s="39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0</v>
      </c>
      <c r="N608" s="39" t="str">
        <f aca="false">IF(COUNT('Business Case'!B11:G11)=0,"",H608+NPV(G608,I608:M608))</f>
        <v/>
      </c>
      <c r="P608" s="40" t="n">
        <f aca="true">RAND()</f>
        <v>0.968623615995782</v>
      </c>
      <c r="Q608" s="40" t="n">
        <f aca="true">RAND()</f>
        <v>0.600720852369017</v>
      </c>
      <c r="R608" s="40" t="n">
        <f aca="true">RAND()</f>
        <v>0.420928299354824</v>
      </c>
      <c r="S608" s="40" t="n">
        <f aca="true">RAND()</f>
        <v>0.428818782264079</v>
      </c>
      <c r="T608" s="40" t="n">
        <f aca="true">RAND()</f>
        <v>0.137055331722435</v>
      </c>
      <c r="U608" s="40" t="n">
        <f aca="true">RAND()</f>
        <v>0.892028120678592</v>
      </c>
    </row>
    <row r="609" customFormat="false" ht="15" hidden="false" customHeight="false" outlineLevel="0" collapsed="false">
      <c r="A609" s="36" t="n">
        <v>529</v>
      </c>
      <c r="B609" s="37" t="n">
        <f aca="false">1+IF($G$6=$E$6,$F$6,IF(P609&lt;($F$6-$E$6)/($G$6-$E$6),$E$6+SQRT(P609*($G$6-$E$6)*($F$6-$E$6)),$G$6-SQRT((1-P609)*($G$6-$E$6)*($G$6-$F$6))))</f>
        <v>1</v>
      </c>
      <c r="C609" s="37" t="n">
        <f aca="false">1+IF($G$7=$E$7,$F$7,IF(Q609&lt;($F$7-$E$7)/($G$7-$E$7),$E$7+SQRT(Q609*($G$7-$E$7)*($F$7-$E$7)),$G$7-SQRT((1-Q609)*($G$7-$E$7)*($G$7-$F$7))))</f>
        <v>1</v>
      </c>
      <c r="D609" s="37" t="n">
        <f aca="false">1+IF($G$8=$E$8,$F$8,IF(R609&lt;($F$8-$E$8)/($G$8-$E$8),$E$8+SQRT(R609*($G$8-$E$8)*($F$8-$E$8)),$G$8-SQRT((1-R609)*($G$8-$E$8)*($G$8-$F$8))))</f>
        <v>1</v>
      </c>
      <c r="E609" s="37" t="n">
        <f aca="false">1+IF($G$9=$E$9,$F$9,IF(S609&lt;($F$9-$E$9)/($G$9-$E$9),$E$9+SQRT(S609*($G$9-$E$9)*($F$9-$E$9)),$G$9-SQRT((1-S609)*($G$9-$E$9)*($G$9-$F$9))))</f>
        <v>1</v>
      </c>
      <c r="F609" s="37" t="n">
        <f aca="false">1+IF($G$10=$E$10,$F$10,IF(T609&lt;($F$10-$E$10)/($G$10-$E$10),$E$10+SQRT(T609*($G$10-$E$10)*($F$10-$E$10)),$G$10-SQRT((1-T609)*($G$10-$E$10)*($G$10-$F$10))))</f>
        <v>1</v>
      </c>
      <c r="G609" s="38" t="n">
        <f aca="false">IF($G$11=$E$11,$F$11,IF(U609&lt;($F$11-$E$11)/($G$11-$E$11),$E$11+SQRT(U609*($G$11-$E$11)*($F$11-$E$11)),$G$11-SQRT((1-U609)*($G$11-$E$11)*($G$11-$F$11))))</f>
        <v>0</v>
      </c>
      <c r="H609" s="39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0</v>
      </c>
      <c r="I609" s="39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0</v>
      </c>
      <c r="J609" s="39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0</v>
      </c>
      <c r="K609" s="39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0</v>
      </c>
      <c r="L609" s="39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0</v>
      </c>
      <c r="M609" s="39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0</v>
      </c>
      <c r="N609" s="39" t="str">
        <f aca="false">IF(COUNT('Business Case'!B11:G11)=0,"",H609+NPV(G609,I609:M609))</f>
        <v/>
      </c>
      <c r="P609" s="40" t="n">
        <f aca="true">RAND()</f>
        <v>0.990915693363051</v>
      </c>
      <c r="Q609" s="40" t="n">
        <f aca="true">RAND()</f>
        <v>0.549862934423932</v>
      </c>
      <c r="R609" s="40" t="n">
        <f aca="true">RAND()</f>
        <v>0.0227313608942366</v>
      </c>
      <c r="S609" s="40" t="n">
        <f aca="true">RAND()</f>
        <v>0.671123660590884</v>
      </c>
      <c r="T609" s="40" t="n">
        <f aca="true">RAND()</f>
        <v>0.306261699412403</v>
      </c>
      <c r="U609" s="40" t="n">
        <f aca="true">RAND()</f>
        <v>0.43002205986436</v>
      </c>
    </row>
    <row r="610" customFormat="false" ht="15" hidden="false" customHeight="false" outlineLevel="0" collapsed="false">
      <c r="A610" s="36" t="n">
        <v>530</v>
      </c>
      <c r="B610" s="37" t="n">
        <f aca="false">1+IF($G$6=$E$6,$F$6,IF(P610&lt;($F$6-$E$6)/($G$6-$E$6),$E$6+SQRT(P610*($G$6-$E$6)*($F$6-$E$6)),$G$6-SQRT((1-P610)*($G$6-$E$6)*($G$6-$F$6))))</f>
        <v>1</v>
      </c>
      <c r="C610" s="37" t="n">
        <f aca="false">1+IF($G$7=$E$7,$F$7,IF(Q610&lt;($F$7-$E$7)/($G$7-$E$7),$E$7+SQRT(Q610*($G$7-$E$7)*($F$7-$E$7)),$G$7-SQRT((1-Q610)*($G$7-$E$7)*($G$7-$F$7))))</f>
        <v>1</v>
      </c>
      <c r="D610" s="37" t="n">
        <f aca="false">1+IF($G$8=$E$8,$F$8,IF(R610&lt;($F$8-$E$8)/($G$8-$E$8),$E$8+SQRT(R610*($G$8-$E$8)*($F$8-$E$8)),$G$8-SQRT((1-R610)*($G$8-$E$8)*($G$8-$F$8))))</f>
        <v>1</v>
      </c>
      <c r="E610" s="37" t="n">
        <f aca="false">1+IF($G$9=$E$9,$F$9,IF(S610&lt;($F$9-$E$9)/($G$9-$E$9),$E$9+SQRT(S610*($G$9-$E$9)*($F$9-$E$9)),$G$9-SQRT((1-S610)*($G$9-$E$9)*($G$9-$F$9))))</f>
        <v>1</v>
      </c>
      <c r="F610" s="37" t="n">
        <f aca="false">1+IF($G$10=$E$10,$F$10,IF(T610&lt;($F$10-$E$10)/($G$10-$E$10),$E$10+SQRT(T610*($G$10-$E$10)*($F$10-$E$10)),$G$10-SQRT((1-T610)*($G$10-$E$10)*($G$10-$F$10))))</f>
        <v>1</v>
      </c>
      <c r="G610" s="38" t="n">
        <f aca="false">IF($G$11=$E$11,$F$11,IF(U610&lt;($F$11-$E$11)/($G$11-$E$11),$E$11+SQRT(U610*($G$11-$E$11)*($F$11-$E$11)),$G$11-SQRT((1-U610)*($G$11-$E$11)*($G$11-$F$11))))</f>
        <v>0</v>
      </c>
      <c r="H610" s="39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0</v>
      </c>
      <c r="I610" s="39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0</v>
      </c>
      <c r="J610" s="39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0</v>
      </c>
      <c r="K610" s="39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0</v>
      </c>
      <c r="L610" s="39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0</v>
      </c>
      <c r="M610" s="39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0</v>
      </c>
      <c r="N610" s="39" t="str">
        <f aca="false">IF(COUNT('Business Case'!B11:G11)=0,"",H610+NPV(G610,I610:M610))</f>
        <v/>
      </c>
      <c r="P610" s="40" t="n">
        <f aca="true">RAND()</f>
        <v>0.487866987594807</v>
      </c>
      <c r="Q610" s="40" t="n">
        <f aca="true">RAND()</f>
        <v>0.285625602991124</v>
      </c>
      <c r="R610" s="40" t="n">
        <f aca="true">RAND()</f>
        <v>0.513888980870892</v>
      </c>
      <c r="S610" s="40" t="n">
        <f aca="true">RAND()</f>
        <v>0.302396203458446</v>
      </c>
      <c r="T610" s="40" t="n">
        <f aca="true">RAND()</f>
        <v>3.11160293820072E-005</v>
      </c>
      <c r="U610" s="40" t="n">
        <f aca="true">RAND()</f>
        <v>0.209104463303058</v>
      </c>
    </row>
    <row r="611" customFormat="false" ht="15" hidden="false" customHeight="false" outlineLevel="0" collapsed="false">
      <c r="A611" s="36" t="n">
        <v>531</v>
      </c>
      <c r="B611" s="37" t="n">
        <f aca="false">1+IF($G$6=$E$6,$F$6,IF(P611&lt;($F$6-$E$6)/($G$6-$E$6),$E$6+SQRT(P611*($G$6-$E$6)*($F$6-$E$6)),$G$6-SQRT((1-P611)*($G$6-$E$6)*($G$6-$F$6))))</f>
        <v>1</v>
      </c>
      <c r="C611" s="37" t="n">
        <f aca="false">1+IF($G$7=$E$7,$F$7,IF(Q611&lt;($F$7-$E$7)/($G$7-$E$7),$E$7+SQRT(Q611*($G$7-$E$7)*($F$7-$E$7)),$G$7-SQRT((1-Q611)*($G$7-$E$7)*($G$7-$F$7))))</f>
        <v>1</v>
      </c>
      <c r="D611" s="37" t="n">
        <f aca="false">1+IF($G$8=$E$8,$F$8,IF(R611&lt;($F$8-$E$8)/($G$8-$E$8),$E$8+SQRT(R611*($G$8-$E$8)*($F$8-$E$8)),$G$8-SQRT((1-R611)*($G$8-$E$8)*($G$8-$F$8))))</f>
        <v>1</v>
      </c>
      <c r="E611" s="37" t="n">
        <f aca="false">1+IF($G$9=$E$9,$F$9,IF(S611&lt;($F$9-$E$9)/($G$9-$E$9),$E$9+SQRT(S611*($G$9-$E$9)*($F$9-$E$9)),$G$9-SQRT((1-S611)*($G$9-$E$9)*($G$9-$F$9))))</f>
        <v>1</v>
      </c>
      <c r="F611" s="37" t="n">
        <f aca="false">1+IF($G$10=$E$10,$F$10,IF(T611&lt;($F$10-$E$10)/($G$10-$E$10),$E$10+SQRT(T611*($G$10-$E$10)*($F$10-$E$10)),$G$10-SQRT((1-T611)*($G$10-$E$10)*($G$10-$F$10))))</f>
        <v>1</v>
      </c>
      <c r="G611" s="38" t="n">
        <f aca="false">IF($G$11=$E$11,$F$11,IF(U611&lt;($F$11-$E$11)/($G$11-$E$11),$E$11+SQRT(U611*($G$11-$E$11)*($F$11-$E$11)),$G$11-SQRT((1-U611)*($G$11-$E$11)*($G$11-$F$11))))</f>
        <v>0</v>
      </c>
      <c r="H611" s="39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0</v>
      </c>
      <c r="I611" s="39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0</v>
      </c>
      <c r="J611" s="39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0</v>
      </c>
      <c r="K611" s="39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0</v>
      </c>
      <c r="L611" s="39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0</v>
      </c>
      <c r="M611" s="39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0</v>
      </c>
      <c r="N611" s="39" t="str">
        <f aca="false">IF(COUNT('Business Case'!B11:G11)=0,"",H611+NPV(G611,I611:M611))</f>
        <v/>
      </c>
      <c r="P611" s="40" t="n">
        <f aca="true">RAND()</f>
        <v>0.868420679387716</v>
      </c>
      <c r="Q611" s="40" t="n">
        <f aca="true">RAND()</f>
        <v>0.0985430884679267</v>
      </c>
      <c r="R611" s="40" t="n">
        <f aca="true">RAND()</f>
        <v>0.0629785256229748</v>
      </c>
      <c r="S611" s="40" t="n">
        <f aca="true">RAND()</f>
        <v>0.666315645574871</v>
      </c>
      <c r="T611" s="40" t="n">
        <f aca="true">RAND()</f>
        <v>0.60459384059141</v>
      </c>
      <c r="U611" s="40" t="n">
        <f aca="true">RAND()</f>
        <v>0.439436638502287</v>
      </c>
    </row>
    <row r="612" customFormat="false" ht="15" hidden="false" customHeight="false" outlineLevel="0" collapsed="false">
      <c r="A612" s="36" t="n">
        <v>532</v>
      </c>
      <c r="B612" s="37" t="n">
        <f aca="false">1+IF($G$6=$E$6,$F$6,IF(P612&lt;($F$6-$E$6)/($G$6-$E$6),$E$6+SQRT(P612*($G$6-$E$6)*($F$6-$E$6)),$G$6-SQRT((1-P612)*($G$6-$E$6)*($G$6-$F$6))))</f>
        <v>1</v>
      </c>
      <c r="C612" s="37" t="n">
        <f aca="false">1+IF($G$7=$E$7,$F$7,IF(Q612&lt;($F$7-$E$7)/($G$7-$E$7),$E$7+SQRT(Q612*($G$7-$E$7)*($F$7-$E$7)),$G$7-SQRT((1-Q612)*($G$7-$E$7)*($G$7-$F$7))))</f>
        <v>1</v>
      </c>
      <c r="D612" s="37" t="n">
        <f aca="false">1+IF($G$8=$E$8,$F$8,IF(R612&lt;($F$8-$E$8)/($G$8-$E$8),$E$8+SQRT(R612*($G$8-$E$8)*($F$8-$E$8)),$G$8-SQRT((1-R612)*($G$8-$E$8)*($G$8-$F$8))))</f>
        <v>1</v>
      </c>
      <c r="E612" s="37" t="n">
        <f aca="false">1+IF($G$9=$E$9,$F$9,IF(S612&lt;($F$9-$E$9)/($G$9-$E$9),$E$9+SQRT(S612*($G$9-$E$9)*($F$9-$E$9)),$G$9-SQRT((1-S612)*($G$9-$E$9)*($G$9-$F$9))))</f>
        <v>1</v>
      </c>
      <c r="F612" s="37" t="n">
        <f aca="false">1+IF($G$10=$E$10,$F$10,IF(T612&lt;($F$10-$E$10)/($G$10-$E$10),$E$10+SQRT(T612*($G$10-$E$10)*($F$10-$E$10)),$G$10-SQRT((1-T612)*($G$10-$E$10)*($G$10-$F$10))))</f>
        <v>1</v>
      </c>
      <c r="G612" s="38" t="n">
        <f aca="false">IF($G$11=$E$11,$F$11,IF(U612&lt;($F$11-$E$11)/($G$11-$E$11),$E$11+SQRT(U612*($G$11-$E$11)*($F$11-$E$11)),$G$11-SQRT((1-U612)*($G$11-$E$11)*($G$11-$F$11))))</f>
        <v>0</v>
      </c>
      <c r="H612" s="39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0</v>
      </c>
      <c r="I612" s="39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0</v>
      </c>
      <c r="J612" s="39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0</v>
      </c>
      <c r="K612" s="39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0</v>
      </c>
      <c r="L612" s="39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0</v>
      </c>
      <c r="M612" s="39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0</v>
      </c>
      <c r="N612" s="39" t="str">
        <f aca="false">IF(COUNT('Business Case'!B11:G11)=0,"",H612+NPV(G612,I612:M612))</f>
        <v/>
      </c>
      <c r="P612" s="40" t="n">
        <f aca="true">RAND()</f>
        <v>0.77989898884756</v>
      </c>
      <c r="Q612" s="40" t="n">
        <f aca="true">RAND()</f>
        <v>0.986731547224695</v>
      </c>
      <c r="R612" s="40" t="n">
        <f aca="true">RAND()</f>
        <v>0.379585469262005</v>
      </c>
      <c r="S612" s="40" t="n">
        <f aca="true">RAND()</f>
        <v>0.603531647464662</v>
      </c>
      <c r="T612" s="40" t="n">
        <f aca="true">RAND()</f>
        <v>0.875871436717946</v>
      </c>
      <c r="U612" s="40" t="n">
        <f aca="true">RAND()</f>
        <v>0.478050895250079</v>
      </c>
    </row>
    <row r="613" customFormat="false" ht="15" hidden="false" customHeight="false" outlineLevel="0" collapsed="false">
      <c r="A613" s="36" t="n">
        <v>533</v>
      </c>
      <c r="B613" s="37" t="n">
        <f aca="false">1+IF($G$6=$E$6,$F$6,IF(P613&lt;($F$6-$E$6)/($G$6-$E$6),$E$6+SQRT(P613*($G$6-$E$6)*($F$6-$E$6)),$G$6-SQRT((1-P613)*($G$6-$E$6)*($G$6-$F$6))))</f>
        <v>1</v>
      </c>
      <c r="C613" s="37" t="n">
        <f aca="false">1+IF($G$7=$E$7,$F$7,IF(Q613&lt;($F$7-$E$7)/($G$7-$E$7),$E$7+SQRT(Q613*($G$7-$E$7)*($F$7-$E$7)),$G$7-SQRT((1-Q613)*($G$7-$E$7)*($G$7-$F$7))))</f>
        <v>1</v>
      </c>
      <c r="D613" s="37" t="n">
        <f aca="false">1+IF($G$8=$E$8,$F$8,IF(R613&lt;($F$8-$E$8)/($G$8-$E$8),$E$8+SQRT(R613*($G$8-$E$8)*($F$8-$E$8)),$G$8-SQRT((1-R613)*($G$8-$E$8)*($G$8-$F$8))))</f>
        <v>1</v>
      </c>
      <c r="E613" s="37" t="n">
        <f aca="false">1+IF($G$9=$E$9,$F$9,IF(S613&lt;($F$9-$E$9)/($G$9-$E$9),$E$9+SQRT(S613*($G$9-$E$9)*($F$9-$E$9)),$G$9-SQRT((1-S613)*($G$9-$E$9)*($G$9-$F$9))))</f>
        <v>1</v>
      </c>
      <c r="F613" s="37" t="n">
        <f aca="false">1+IF($G$10=$E$10,$F$10,IF(T613&lt;($F$10-$E$10)/($G$10-$E$10),$E$10+SQRT(T613*($G$10-$E$10)*($F$10-$E$10)),$G$10-SQRT((1-T613)*($G$10-$E$10)*($G$10-$F$10))))</f>
        <v>1</v>
      </c>
      <c r="G613" s="38" t="n">
        <f aca="false">IF($G$11=$E$11,$F$11,IF(U613&lt;($F$11-$E$11)/($G$11-$E$11),$E$11+SQRT(U613*($G$11-$E$11)*($F$11-$E$11)),$G$11-SQRT((1-U613)*($G$11-$E$11)*($G$11-$F$11))))</f>
        <v>0</v>
      </c>
      <c r="H613" s="39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0</v>
      </c>
      <c r="I613" s="39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0</v>
      </c>
      <c r="J613" s="39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0</v>
      </c>
      <c r="K613" s="39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0</v>
      </c>
      <c r="L613" s="39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0</v>
      </c>
      <c r="M613" s="39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0</v>
      </c>
      <c r="N613" s="39" t="str">
        <f aca="false">IF(COUNT('Business Case'!B11:G11)=0,"",H613+NPV(G613,I613:M613))</f>
        <v/>
      </c>
      <c r="P613" s="40" t="n">
        <f aca="true">RAND()</f>
        <v>0.442183776359704</v>
      </c>
      <c r="Q613" s="40" t="n">
        <f aca="true">RAND()</f>
        <v>0.758812450567928</v>
      </c>
      <c r="R613" s="40" t="n">
        <f aca="true">RAND()</f>
        <v>0.00578294564935417</v>
      </c>
      <c r="S613" s="40" t="n">
        <f aca="true">RAND()</f>
        <v>0.578811988432891</v>
      </c>
      <c r="T613" s="40" t="n">
        <f aca="true">RAND()</f>
        <v>0.606614512036205</v>
      </c>
      <c r="U613" s="40" t="n">
        <f aca="true">RAND()</f>
        <v>0.530586070923853</v>
      </c>
    </row>
    <row r="614" customFormat="false" ht="15" hidden="false" customHeight="false" outlineLevel="0" collapsed="false">
      <c r="A614" s="36" t="n">
        <v>534</v>
      </c>
      <c r="B614" s="37" t="n">
        <f aca="false">1+IF($G$6=$E$6,$F$6,IF(P614&lt;($F$6-$E$6)/($G$6-$E$6),$E$6+SQRT(P614*($G$6-$E$6)*($F$6-$E$6)),$G$6-SQRT((1-P614)*($G$6-$E$6)*($G$6-$F$6))))</f>
        <v>1</v>
      </c>
      <c r="C614" s="37" t="n">
        <f aca="false">1+IF($G$7=$E$7,$F$7,IF(Q614&lt;($F$7-$E$7)/($G$7-$E$7),$E$7+SQRT(Q614*($G$7-$E$7)*($F$7-$E$7)),$G$7-SQRT((1-Q614)*($G$7-$E$7)*($G$7-$F$7))))</f>
        <v>1</v>
      </c>
      <c r="D614" s="37" t="n">
        <f aca="false">1+IF($G$8=$E$8,$F$8,IF(R614&lt;($F$8-$E$8)/($G$8-$E$8),$E$8+SQRT(R614*($G$8-$E$8)*($F$8-$E$8)),$G$8-SQRT((1-R614)*($G$8-$E$8)*($G$8-$F$8))))</f>
        <v>1</v>
      </c>
      <c r="E614" s="37" t="n">
        <f aca="false">1+IF($G$9=$E$9,$F$9,IF(S614&lt;($F$9-$E$9)/($G$9-$E$9),$E$9+SQRT(S614*($G$9-$E$9)*($F$9-$E$9)),$G$9-SQRT((1-S614)*($G$9-$E$9)*($G$9-$F$9))))</f>
        <v>1</v>
      </c>
      <c r="F614" s="37" t="n">
        <f aca="false">1+IF($G$10=$E$10,$F$10,IF(T614&lt;($F$10-$E$10)/($G$10-$E$10),$E$10+SQRT(T614*($G$10-$E$10)*($F$10-$E$10)),$G$10-SQRT((1-T614)*($G$10-$E$10)*($G$10-$F$10))))</f>
        <v>1</v>
      </c>
      <c r="G614" s="38" t="n">
        <f aca="false">IF($G$11=$E$11,$F$11,IF(U614&lt;($F$11-$E$11)/($G$11-$E$11),$E$11+SQRT(U614*($G$11-$E$11)*($F$11-$E$11)),$G$11-SQRT((1-U614)*($G$11-$E$11)*($G$11-$F$11))))</f>
        <v>0</v>
      </c>
      <c r="H614" s="39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0</v>
      </c>
      <c r="I614" s="39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0</v>
      </c>
      <c r="J614" s="39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0</v>
      </c>
      <c r="K614" s="39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0</v>
      </c>
      <c r="L614" s="39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0</v>
      </c>
      <c r="M614" s="39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0</v>
      </c>
      <c r="N614" s="39" t="str">
        <f aca="false">IF(COUNT('Business Case'!B11:G11)=0,"",H614+NPV(G614,I614:M614))</f>
        <v/>
      </c>
      <c r="P614" s="40" t="n">
        <f aca="true">RAND()</f>
        <v>0.966956836910533</v>
      </c>
      <c r="Q614" s="40" t="n">
        <f aca="true">RAND()</f>
        <v>0.473822665353677</v>
      </c>
      <c r="R614" s="40" t="n">
        <f aca="true">RAND()</f>
        <v>0.257936616525086</v>
      </c>
      <c r="S614" s="40" t="n">
        <f aca="true">RAND()</f>
        <v>0.976353619317602</v>
      </c>
      <c r="T614" s="40" t="n">
        <f aca="true">RAND()</f>
        <v>0.819170071489602</v>
      </c>
      <c r="U614" s="40" t="n">
        <f aca="true">RAND()</f>
        <v>0.988127065899834</v>
      </c>
    </row>
    <row r="615" customFormat="false" ht="15" hidden="false" customHeight="false" outlineLevel="0" collapsed="false">
      <c r="A615" s="36" t="n">
        <v>535</v>
      </c>
      <c r="B615" s="37" t="n">
        <f aca="false">1+IF($G$6=$E$6,$F$6,IF(P615&lt;($F$6-$E$6)/($G$6-$E$6),$E$6+SQRT(P615*($G$6-$E$6)*($F$6-$E$6)),$G$6-SQRT((1-P615)*($G$6-$E$6)*($G$6-$F$6))))</f>
        <v>1</v>
      </c>
      <c r="C615" s="37" t="n">
        <f aca="false">1+IF($G$7=$E$7,$F$7,IF(Q615&lt;($F$7-$E$7)/($G$7-$E$7),$E$7+SQRT(Q615*($G$7-$E$7)*($F$7-$E$7)),$G$7-SQRT((1-Q615)*($G$7-$E$7)*($G$7-$F$7))))</f>
        <v>1</v>
      </c>
      <c r="D615" s="37" t="n">
        <f aca="false">1+IF($G$8=$E$8,$F$8,IF(R615&lt;($F$8-$E$8)/($G$8-$E$8),$E$8+SQRT(R615*($G$8-$E$8)*($F$8-$E$8)),$G$8-SQRT((1-R615)*($G$8-$E$8)*($G$8-$F$8))))</f>
        <v>1</v>
      </c>
      <c r="E615" s="37" t="n">
        <f aca="false">1+IF($G$9=$E$9,$F$9,IF(S615&lt;($F$9-$E$9)/($G$9-$E$9),$E$9+SQRT(S615*($G$9-$E$9)*($F$9-$E$9)),$G$9-SQRT((1-S615)*($G$9-$E$9)*($G$9-$F$9))))</f>
        <v>1</v>
      </c>
      <c r="F615" s="37" t="n">
        <f aca="false">1+IF($G$10=$E$10,$F$10,IF(T615&lt;($F$10-$E$10)/($G$10-$E$10),$E$10+SQRT(T615*($G$10-$E$10)*($F$10-$E$10)),$G$10-SQRT((1-T615)*($G$10-$E$10)*($G$10-$F$10))))</f>
        <v>1</v>
      </c>
      <c r="G615" s="38" t="n">
        <f aca="false">IF($G$11=$E$11,$F$11,IF(U615&lt;($F$11-$E$11)/($G$11-$E$11),$E$11+SQRT(U615*($G$11-$E$11)*($F$11-$E$11)),$G$11-SQRT((1-U615)*($G$11-$E$11)*($G$11-$F$11))))</f>
        <v>0</v>
      </c>
      <c r="H615" s="39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0</v>
      </c>
      <c r="I615" s="39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0</v>
      </c>
      <c r="J615" s="39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0</v>
      </c>
      <c r="K615" s="39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0</v>
      </c>
      <c r="L615" s="39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0</v>
      </c>
      <c r="M615" s="39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0</v>
      </c>
      <c r="N615" s="39" t="str">
        <f aca="false">IF(COUNT('Business Case'!B11:G11)=0,"",H615+NPV(G615,I615:M615))</f>
        <v/>
      </c>
      <c r="P615" s="40" t="n">
        <f aca="true">RAND()</f>
        <v>0.858272277908252</v>
      </c>
      <c r="Q615" s="40" t="n">
        <f aca="true">RAND()</f>
        <v>0.376639286303566</v>
      </c>
      <c r="R615" s="40" t="n">
        <f aca="true">RAND()</f>
        <v>0.482352894257119</v>
      </c>
      <c r="S615" s="40" t="n">
        <f aca="true">RAND()</f>
        <v>0.726821996930173</v>
      </c>
      <c r="T615" s="40" t="n">
        <f aca="true">RAND()</f>
        <v>0.960355819540659</v>
      </c>
      <c r="U615" s="40" t="n">
        <f aca="true">RAND()</f>
        <v>0.116267279439038</v>
      </c>
    </row>
    <row r="616" customFormat="false" ht="15" hidden="false" customHeight="false" outlineLevel="0" collapsed="false">
      <c r="A616" s="36" t="n">
        <v>536</v>
      </c>
      <c r="B616" s="37" t="n">
        <f aca="false">1+IF($G$6=$E$6,$F$6,IF(P616&lt;($F$6-$E$6)/($G$6-$E$6),$E$6+SQRT(P616*($G$6-$E$6)*($F$6-$E$6)),$G$6-SQRT((1-P616)*($G$6-$E$6)*($G$6-$F$6))))</f>
        <v>1</v>
      </c>
      <c r="C616" s="37" t="n">
        <f aca="false">1+IF($G$7=$E$7,$F$7,IF(Q616&lt;($F$7-$E$7)/($G$7-$E$7),$E$7+SQRT(Q616*($G$7-$E$7)*($F$7-$E$7)),$G$7-SQRT((1-Q616)*($G$7-$E$7)*($G$7-$F$7))))</f>
        <v>1</v>
      </c>
      <c r="D616" s="37" t="n">
        <f aca="false">1+IF($G$8=$E$8,$F$8,IF(R616&lt;($F$8-$E$8)/($G$8-$E$8),$E$8+SQRT(R616*($G$8-$E$8)*($F$8-$E$8)),$G$8-SQRT((1-R616)*($G$8-$E$8)*($G$8-$F$8))))</f>
        <v>1</v>
      </c>
      <c r="E616" s="37" t="n">
        <f aca="false">1+IF($G$9=$E$9,$F$9,IF(S616&lt;($F$9-$E$9)/($G$9-$E$9),$E$9+SQRT(S616*($G$9-$E$9)*($F$9-$E$9)),$G$9-SQRT((1-S616)*($G$9-$E$9)*($G$9-$F$9))))</f>
        <v>1</v>
      </c>
      <c r="F616" s="37" t="n">
        <f aca="false">1+IF($G$10=$E$10,$F$10,IF(T616&lt;($F$10-$E$10)/($G$10-$E$10),$E$10+SQRT(T616*($G$10-$E$10)*($F$10-$E$10)),$G$10-SQRT((1-T616)*($G$10-$E$10)*($G$10-$F$10))))</f>
        <v>1</v>
      </c>
      <c r="G616" s="38" t="n">
        <f aca="false">IF($G$11=$E$11,$F$11,IF(U616&lt;($F$11-$E$11)/($G$11-$E$11),$E$11+SQRT(U616*($G$11-$E$11)*($F$11-$E$11)),$G$11-SQRT((1-U616)*($G$11-$E$11)*($G$11-$F$11))))</f>
        <v>0</v>
      </c>
      <c r="H616" s="39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0</v>
      </c>
      <c r="I616" s="39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0</v>
      </c>
      <c r="J616" s="39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0</v>
      </c>
      <c r="K616" s="39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0</v>
      </c>
      <c r="L616" s="39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0</v>
      </c>
      <c r="M616" s="39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0</v>
      </c>
      <c r="N616" s="39" t="str">
        <f aca="false">IF(COUNT('Business Case'!B11:G11)=0,"",H616+NPV(G616,I616:M616))</f>
        <v/>
      </c>
      <c r="P616" s="40" t="n">
        <f aca="true">RAND()</f>
        <v>0.295022737810336</v>
      </c>
      <c r="Q616" s="40" t="n">
        <f aca="true">RAND()</f>
        <v>0.0107499142154684</v>
      </c>
      <c r="R616" s="40" t="n">
        <f aca="true">RAND()</f>
        <v>0.907165714719399</v>
      </c>
      <c r="S616" s="40" t="n">
        <f aca="true">RAND()</f>
        <v>0.0323592240485302</v>
      </c>
      <c r="T616" s="40" t="n">
        <f aca="true">RAND()</f>
        <v>0.736608893725409</v>
      </c>
      <c r="U616" s="40" t="n">
        <f aca="true">RAND()</f>
        <v>0.711287561773681</v>
      </c>
    </row>
    <row r="617" customFormat="false" ht="15" hidden="false" customHeight="false" outlineLevel="0" collapsed="false">
      <c r="A617" s="36" t="n">
        <v>537</v>
      </c>
      <c r="B617" s="37" t="n">
        <f aca="false">1+IF($G$6=$E$6,$F$6,IF(P617&lt;($F$6-$E$6)/($G$6-$E$6),$E$6+SQRT(P617*($G$6-$E$6)*($F$6-$E$6)),$G$6-SQRT((1-P617)*($G$6-$E$6)*($G$6-$F$6))))</f>
        <v>1</v>
      </c>
      <c r="C617" s="37" t="n">
        <f aca="false">1+IF($G$7=$E$7,$F$7,IF(Q617&lt;($F$7-$E$7)/($G$7-$E$7),$E$7+SQRT(Q617*($G$7-$E$7)*($F$7-$E$7)),$G$7-SQRT((1-Q617)*($G$7-$E$7)*($G$7-$F$7))))</f>
        <v>1</v>
      </c>
      <c r="D617" s="37" t="n">
        <f aca="false">1+IF($G$8=$E$8,$F$8,IF(R617&lt;($F$8-$E$8)/($G$8-$E$8),$E$8+SQRT(R617*($G$8-$E$8)*($F$8-$E$8)),$G$8-SQRT((1-R617)*($G$8-$E$8)*($G$8-$F$8))))</f>
        <v>1</v>
      </c>
      <c r="E617" s="37" t="n">
        <f aca="false">1+IF($G$9=$E$9,$F$9,IF(S617&lt;($F$9-$E$9)/($G$9-$E$9),$E$9+SQRT(S617*($G$9-$E$9)*($F$9-$E$9)),$G$9-SQRT((1-S617)*($G$9-$E$9)*($G$9-$F$9))))</f>
        <v>1</v>
      </c>
      <c r="F617" s="37" t="n">
        <f aca="false">1+IF($G$10=$E$10,$F$10,IF(T617&lt;($F$10-$E$10)/($G$10-$E$10),$E$10+SQRT(T617*($G$10-$E$10)*($F$10-$E$10)),$G$10-SQRT((1-T617)*($G$10-$E$10)*($G$10-$F$10))))</f>
        <v>1</v>
      </c>
      <c r="G617" s="38" t="n">
        <f aca="false">IF($G$11=$E$11,$F$11,IF(U617&lt;($F$11-$E$11)/($G$11-$E$11),$E$11+SQRT(U617*($G$11-$E$11)*($F$11-$E$11)),$G$11-SQRT((1-U617)*($G$11-$E$11)*($G$11-$F$11))))</f>
        <v>0</v>
      </c>
      <c r="H617" s="39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0</v>
      </c>
      <c r="I617" s="39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0</v>
      </c>
      <c r="J617" s="39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0</v>
      </c>
      <c r="K617" s="39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0</v>
      </c>
      <c r="L617" s="39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0</v>
      </c>
      <c r="M617" s="39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0</v>
      </c>
      <c r="N617" s="39" t="str">
        <f aca="false">IF(COUNT('Business Case'!B11:G11)=0,"",H617+NPV(G617,I617:M617))</f>
        <v/>
      </c>
      <c r="P617" s="40" t="n">
        <f aca="true">RAND()</f>
        <v>0.523648923353816</v>
      </c>
      <c r="Q617" s="40" t="n">
        <f aca="true">RAND()</f>
        <v>0.973608234787191</v>
      </c>
      <c r="R617" s="40" t="n">
        <f aca="true">RAND()</f>
        <v>0.659198610424701</v>
      </c>
      <c r="S617" s="40" t="n">
        <f aca="true">RAND()</f>
        <v>0.81850063130257</v>
      </c>
      <c r="T617" s="40" t="n">
        <f aca="true">RAND()</f>
        <v>0.187022506993593</v>
      </c>
      <c r="U617" s="40" t="n">
        <f aca="true">RAND()</f>
        <v>0.272885379464963</v>
      </c>
    </row>
    <row r="618" customFormat="false" ht="15" hidden="false" customHeight="false" outlineLevel="0" collapsed="false">
      <c r="A618" s="36" t="n">
        <v>538</v>
      </c>
      <c r="B618" s="37" t="n">
        <f aca="false">1+IF($G$6=$E$6,$F$6,IF(P618&lt;($F$6-$E$6)/($G$6-$E$6),$E$6+SQRT(P618*($G$6-$E$6)*($F$6-$E$6)),$G$6-SQRT((1-P618)*($G$6-$E$6)*($G$6-$F$6))))</f>
        <v>1</v>
      </c>
      <c r="C618" s="37" t="n">
        <f aca="false">1+IF($G$7=$E$7,$F$7,IF(Q618&lt;($F$7-$E$7)/($G$7-$E$7),$E$7+SQRT(Q618*($G$7-$E$7)*($F$7-$E$7)),$G$7-SQRT((1-Q618)*($G$7-$E$7)*($G$7-$F$7))))</f>
        <v>1</v>
      </c>
      <c r="D618" s="37" t="n">
        <f aca="false">1+IF($G$8=$E$8,$F$8,IF(R618&lt;($F$8-$E$8)/($G$8-$E$8),$E$8+SQRT(R618*($G$8-$E$8)*($F$8-$E$8)),$G$8-SQRT((1-R618)*($G$8-$E$8)*($G$8-$F$8))))</f>
        <v>1</v>
      </c>
      <c r="E618" s="37" t="n">
        <f aca="false">1+IF($G$9=$E$9,$F$9,IF(S618&lt;($F$9-$E$9)/($G$9-$E$9),$E$9+SQRT(S618*($G$9-$E$9)*($F$9-$E$9)),$G$9-SQRT((1-S618)*($G$9-$E$9)*($G$9-$F$9))))</f>
        <v>1</v>
      </c>
      <c r="F618" s="37" t="n">
        <f aca="false">1+IF($G$10=$E$10,$F$10,IF(T618&lt;($F$10-$E$10)/($G$10-$E$10),$E$10+SQRT(T618*($G$10-$E$10)*($F$10-$E$10)),$G$10-SQRT((1-T618)*($G$10-$E$10)*($G$10-$F$10))))</f>
        <v>1</v>
      </c>
      <c r="G618" s="38" t="n">
        <f aca="false">IF($G$11=$E$11,$F$11,IF(U618&lt;($F$11-$E$11)/($G$11-$E$11),$E$11+SQRT(U618*($G$11-$E$11)*($F$11-$E$11)),$G$11-SQRT((1-U618)*($G$11-$E$11)*($G$11-$F$11))))</f>
        <v>0</v>
      </c>
      <c r="H618" s="39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0</v>
      </c>
      <c r="I618" s="39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0</v>
      </c>
      <c r="J618" s="39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0</v>
      </c>
      <c r="K618" s="39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0</v>
      </c>
      <c r="L618" s="39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0</v>
      </c>
      <c r="M618" s="39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0</v>
      </c>
      <c r="N618" s="39" t="str">
        <f aca="false">IF(COUNT('Business Case'!B11:G11)=0,"",H618+NPV(G618,I618:M618))</f>
        <v/>
      </c>
      <c r="P618" s="40" t="n">
        <f aca="true">RAND()</f>
        <v>0.98711671499274</v>
      </c>
      <c r="Q618" s="40" t="n">
        <f aca="true">RAND()</f>
        <v>0.248975699871239</v>
      </c>
      <c r="R618" s="40" t="n">
        <f aca="true">RAND()</f>
        <v>0.589370801468194</v>
      </c>
      <c r="S618" s="40" t="n">
        <f aca="true">RAND()</f>
        <v>0.290227026111781</v>
      </c>
      <c r="T618" s="40" t="n">
        <f aca="true">RAND()</f>
        <v>0.74959977919668</v>
      </c>
      <c r="U618" s="40" t="n">
        <f aca="true">RAND()</f>
        <v>0.330456936057093</v>
      </c>
    </row>
    <row r="619" customFormat="false" ht="15" hidden="false" customHeight="false" outlineLevel="0" collapsed="false">
      <c r="A619" s="36" t="n">
        <v>539</v>
      </c>
      <c r="B619" s="37" t="n">
        <f aca="false">1+IF($G$6=$E$6,$F$6,IF(P619&lt;($F$6-$E$6)/($G$6-$E$6),$E$6+SQRT(P619*($G$6-$E$6)*($F$6-$E$6)),$G$6-SQRT((1-P619)*($G$6-$E$6)*($G$6-$F$6))))</f>
        <v>1</v>
      </c>
      <c r="C619" s="37" t="n">
        <f aca="false">1+IF($G$7=$E$7,$F$7,IF(Q619&lt;($F$7-$E$7)/($G$7-$E$7),$E$7+SQRT(Q619*($G$7-$E$7)*($F$7-$E$7)),$G$7-SQRT((1-Q619)*($G$7-$E$7)*($G$7-$F$7))))</f>
        <v>1</v>
      </c>
      <c r="D619" s="37" t="n">
        <f aca="false">1+IF($G$8=$E$8,$F$8,IF(R619&lt;($F$8-$E$8)/($G$8-$E$8),$E$8+SQRT(R619*($G$8-$E$8)*($F$8-$E$8)),$G$8-SQRT((1-R619)*($G$8-$E$8)*($G$8-$F$8))))</f>
        <v>1</v>
      </c>
      <c r="E619" s="37" t="n">
        <f aca="false">1+IF($G$9=$E$9,$F$9,IF(S619&lt;($F$9-$E$9)/($G$9-$E$9),$E$9+SQRT(S619*($G$9-$E$9)*($F$9-$E$9)),$G$9-SQRT((1-S619)*($G$9-$E$9)*($G$9-$F$9))))</f>
        <v>1</v>
      </c>
      <c r="F619" s="37" t="n">
        <f aca="false">1+IF($G$10=$E$10,$F$10,IF(T619&lt;($F$10-$E$10)/($G$10-$E$10),$E$10+SQRT(T619*($G$10-$E$10)*($F$10-$E$10)),$G$10-SQRT((1-T619)*($G$10-$E$10)*($G$10-$F$10))))</f>
        <v>1</v>
      </c>
      <c r="G619" s="38" t="n">
        <f aca="false">IF($G$11=$E$11,$F$11,IF(U619&lt;($F$11-$E$11)/($G$11-$E$11),$E$11+SQRT(U619*($G$11-$E$11)*($F$11-$E$11)),$G$11-SQRT((1-U619)*($G$11-$E$11)*($G$11-$F$11))))</f>
        <v>0</v>
      </c>
      <c r="H619" s="39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0</v>
      </c>
      <c r="I619" s="39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0</v>
      </c>
      <c r="J619" s="39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0</v>
      </c>
      <c r="K619" s="39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0</v>
      </c>
      <c r="L619" s="39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0</v>
      </c>
      <c r="M619" s="39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0</v>
      </c>
      <c r="N619" s="39" t="str">
        <f aca="false">IF(COUNT('Business Case'!B11:G11)=0,"",H619+NPV(G619,I619:M619))</f>
        <v/>
      </c>
      <c r="P619" s="40" t="n">
        <f aca="true">RAND()</f>
        <v>0.123771012397724</v>
      </c>
      <c r="Q619" s="40" t="n">
        <f aca="true">RAND()</f>
        <v>0.641084908644679</v>
      </c>
      <c r="R619" s="40" t="n">
        <f aca="true">RAND()</f>
        <v>0.881331669161111</v>
      </c>
      <c r="S619" s="40" t="n">
        <f aca="true">RAND()</f>
        <v>0.394122709254733</v>
      </c>
      <c r="T619" s="40" t="n">
        <f aca="true">RAND()</f>
        <v>0.164918541472544</v>
      </c>
      <c r="U619" s="40" t="n">
        <f aca="true">RAND()</f>
        <v>0.637845754912119</v>
      </c>
    </row>
    <row r="620" customFormat="false" ht="15" hidden="false" customHeight="false" outlineLevel="0" collapsed="false">
      <c r="A620" s="36" t="n">
        <v>540</v>
      </c>
      <c r="B620" s="37" t="n">
        <f aca="false">1+IF($G$6=$E$6,$F$6,IF(P620&lt;($F$6-$E$6)/($G$6-$E$6),$E$6+SQRT(P620*($G$6-$E$6)*($F$6-$E$6)),$G$6-SQRT((1-P620)*($G$6-$E$6)*($G$6-$F$6))))</f>
        <v>1</v>
      </c>
      <c r="C620" s="37" t="n">
        <f aca="false">1+IF($G$7=$E$7,$F$7,IF(Q620&lt;($F$7-$E$7)/($G$7-$E$7),$E$7+SQRT(Q620*($G$7-$E$7)*($F$7-$E$7)),$G$7-SQRT((1-Q620)*($G$7-$E$7)*($G$7-$F$7))))</f>
        <v>1</v>
      </c>
      <c r="D620" s="37" t="n">
        <f aca="false">1+IF($G$8=$E$8,$F$8,IF(R620&lt;($F$8-$E$8)/($G$8-$E$8),$E$8+SQRT(R620*($G$8-$E$8)*($F$8-$E$8)),$G$8-SQRT((1-R620)*($G$8-$E$8)*($G$8-$F$8))))</f>
        <v>1</v>
      </c>
      <c r="E620" s="37" t="n">
        <f aca="false">1+IF($G$9=$E$9,$F$9,IF(S620&lt;($F$9-$E$9)/($G$9-$E$9),$E$9+SQRT(S620*($G$9-$E$9)*($F$9-$E$9)),$G$9-SQRT((1-S620)*($G$9-$E$9)*($G$9-$F$9))))</f>
        <v>1</v>
      </c>
      <c r="F620" s="37" t="n">
        <f aca="false">1+IF($G$10=$E$10,$F$10,IF(T620&lt;($F$10-$E$10)/($G$10-$E$10),$E$10+SQRT(T620*($G$10-$E$10)*($F$10-$E$10)),$G$10-SQRT((1-T620)*($G$10-$E$10)*($G$10-$F$10))))</f>
        <v>1</v>
      </c>
      <c r="G620" s="38" t="n">
        <f aca="false">IF($G$11=$E$11,$F$11,IF(U620&lt;($F$11-$E$11)/($G$11-$E$11),$E$11+SQRT(U620*($G$11-$E$11)*($F$11-$E$11)),$G$11-SQRT((1-U620)*($G$11-$E$11)*($G$11-$F$11))))</f>
        <v>0</v>
      </c>
      <c r="H620" s="39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0</v>
      </c>
      <c r="I620" s="39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0</v>
      </c>
      <c r="J620" s="39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0</v>
      </c>
      <c r="K620" s="39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0</v>
      </c>
      <c r="L620" s="39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0</v>
      </c>
      <c r="M620" s="39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0</v>
      </c>
      <c r="N620" s="39" t="str">
        <f aca="false">IF(COUNT('Business Case'!B11:G11)=0,"",H620+NPV(G620,I620:M620))</f>
        <v/>
      </c>
      <c r="P620" s="40" t="n">
        <f aca="true">RAND()</f>
        <v>0.430370374617391</v>
      </c>
      <c r="Q620" s="40" t="n">
        <f aca="true">RAND()</f>
        <v>0.36470368315293</v>
      </c>
      <c r="R620" s="40" t="n">
        <f aca="true">RAND()</f>
        <v>0.505571585742148</v>
      </c>
      <c r="S620" s="40" t="n">
        <f aca="true">RAND()</f>
        <v>0.736681599285365</v>
      </c>
      <c r="T620" s="40" t="n">
        <f aca="true">RAND()</f>
        <v>0.840293355216463</v>
      </c>
      <c r="U620" s="40" t="n">
        <f aca="true">RAND()</f>
        <v>0.634904291433867</v>
      </c>
    </row>
    <row r="621" customFormat="false" ht="15" hidden="false" customHeight="false" outlineLevel="0" collapsed="false">
      <c r="A621" s="36" t="n">
        <v>541</v>
      </c>
      <c r="B621" s="37" t="n">
        <f aca="false">1+IF($G$6=$E$6,$F$6,IF(P621&lt;($F$6-$E$6)/($G$6-$E$6),$E$6+SQRT(P621*($G$6-$E$6)*($F$6-$E$6)),$G$6-SQRT((1-P621)*($G$6-$E$6)*($G$6-$F$6))))</f>
        <v>1</v>
      </c>
      <c r="C621" s="37" t="n">
        <f aca="false">1+IF($G$7=$E$7,$F$7,IF(Q621&lt;($F$7-$E$7)/($G$7-$E$7),$E$7+SQRT(Q621*($G$7-$E$7)*($F$7-$E$7)),$G$7-SQRT((1-Q621)*($G$7-$E$7)*($G$7-$F$7))))</f>
        <v>1</v>
      </c>
      <c r="D621" s="37" t="n">
        <f aca="false">1+IF($G$8=$E$8,$F$8,IF(R621&lt;($F$8-$E$8)/($G$8-$E$8),$E$8+SQRT(R621*($G$8-$E$8)*($F$8-$E$8)),$G$8-SQRT((1-R621)*($G$8-$E$8)*($G$8-$F$8))))</f>
        <v>1</v>
      </c>
      <c r="E621" s="37" t="n">
        <f aca="false">1+IF($G$9=$E$9,$F$9,IF(S621&lt;($F$9-$E$9)/($G$9-$E$9),$E$9+SQRT(S621*($G$9-$E$9)*($F$9-$E$9)),$G$9-SQRT((1-S621)*($G$9-$E$9)*($G$9-$F$9))))</f>
        <v>1</v>
      </c>
      <c r="F621" s="37" t="n">
        <f aca="false">1+IF($G$10=$E$10,$F$10,IF(T621&lt;($F$10-$E$10)/($G$10-$E$10),$E$10+SQRT(T621*($G$10-$E$10)*($F$10-$E$10)),$G$10-SQRT((1-T621)*($G$10-$E$10)*($G$10-$F$10))))</f>
        <v>1</v>
      </c>
      <c r="G621" s="38" t="n">
        <f aca="false">IF($G$11=$E$11,$F$11,IF(U621&lt;($F$11-$E$11)/($G$11-$E$11),$E$11+SQRT(U621*($G$11-$E$11)*($F$11-$E$11)),$G$11-SQRT((1-U621)*($G$11-$E$11)*($G$11-$F$11))))</f>
        <v>0</v>
      </c>
      <c r="H621" s="39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0</v>
      </c>
      <c r="I621" s="39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0</v>
      </c>
      <c r="J621" s="39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0</v>
      </c>
      <c r="K621" s="39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0</v>
      </c>
      <c r="L621" s="39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0</v>
      </c>
      <c r="M621" s="39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0</v>
      </c>
      <c r="N621" s="39" t="str">
        <f aca="false">IF(COUNT('Business Case'!B11:G11)=0,"",H621+NPV(G621,I621:M621))</f>
        <v/>
      </c>
      <c r="P621" s="40" t="n">
        <f aca="true">RAND()</f>
        <v>0.390443949621109</v>
      </c>
      <c r="Q621" s="40" t="n">
        <f aca="true">RAND()</f>
        <v>0.883583578754153</v>
      </c>
      <c r="R621" s="40" t="n">
        <f aca="true">RAND()</f>
        <v>0.539508988465582</v>
      </c>
      <c r="S621" s="40" t="n">
        <f aca="true">RAND()</f>
        <v>0.378813444236326</v>
      </c>
      <c r="T621" s="40" t="n">
        <f aca="true">RAND()</f>
        <v>0.213510674952739</v>
      </c>
      <c r="U621" s="40" t="n">
        <f aca="true">RAND()</f>
        <v>0.912278550435074</v>
      </c>
    </row>
    <row r="622" customFormat="false" ht="15" hidden="false" customHeight="false" outlineLevel="0" collapsed="false">
      <c r="A622" s="36" t="n">
        <v>542</v>
      </c>
      <c r="B622" s="37" t="n">
        <f aca="false">1+IF($G$6=$E$6,$F$6,IF(P622&lt;($F$6-$E$6)/($G$6-$E$6),$E$6+SQRT(P622*($G$6-$E$6)*($F$6-$E$6)),$G$6-SQRT((1-P622)*($G$6-$E$6)*($G$6-$F$6))))</f>
        <v>1</v>
      </c>
      <c r="C622" s="37" t="n">
        <f aca="false">1+IF($G$7=$E$7,$F$7,IF(Q622&lt;($F$7-$E$7)/($G$7-$E$7),$E$7+SQRT(Q622*($G$7-$E$7)*($F$7-$E$7)),$G$7-SQRT((1-Q622)*($G$7-$E$7)*($G$7-$F$7))))</f>
        <v>1</v>
      </c>
      <c r="D622" s="37" t="n">
        <f aca="false">1+IF($G$8=$E$8,$F$8,IF(R622&lt;($F$8-$E$8)/($G$8-$E$8),$E$8+SQRT(R622*($G$8-$E$8)*($F$8-$E$8)),$G$8-SQRT((1-R622)*($G$8-$E$8)*($G$8-$F$8))))</f>
        <v>1</v>
      </c>
      <c r="E622" s="37" t="n">
        <f aca="false">1+IF($G$9=$E$9,$F$9,IF(S622&lt;($F$9-$E$9)/($G$9-$E$9),$E$9+SQRT(S622*($G$9-$E$9)*($F$9-$E$9)),$G$9-SQRT((1-S622)*($G$9-$E$9)*($G$9-$F$9))))</f>
        <v>1</v>
      </c>
      <c r="F622" s="37" t="n">
        <f aca="false">1+IF($G$10=$E$10,$F$10,IF(T622&lt;($F$10-$E$10)/($G$10-$E$10),$E$10+SQRT(T622*($G$10-$E$10)*($F$10-$E$10)),$G$10-SQRT((1-T622)*($G$10-$E$10)*($G$10-$F$10))))</f>
        <v>1</v>
      </c>
      <c r="G622" s="38" t="n">
        <f aca="false">IF($G$11=$E$11,$F$11,IF(U622&lt;($F$11-$E$11)/($G$11-$E$11),$E$11+SQRT(U622*($G$11-$E$11)*($F$11-$E$11)),$G$11-SQRT((1-U622)*($G$11-$E$11)*($G$11-$F$11))))</f>
        <v>0</v>
      </c>
      <c r="H622" s="39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0</v>
      </c>
      <c r="I622" s="39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0</v>
      </c>
      <c r="J622" s="39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0</v>
      </c>
      <c r="K622" s="39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0</v>
      </c>
      <c r="L622" s="39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0</v>
      </c>
      <c r="M622" s="39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0</v>
      </c>
      <c r="N622" s="39" t="str">
        <f aca="false">IF(COUNT('Business Case'!B11:G11)=0,"",H622+NPV(G622,I622:M622))</f>
        <v/>
      </c>
      <c r="P622" s="40" t="n">
        <f aca="true">RAND()</f>
        <v>0.71163815502291</v>
      </c>
      <c r="Q622" s="40" t="n">
        <f aca="true">RAND()</f>
        <v>0.777459354391548</v>
      </c>
      <c r="R622" s="40" t="n">
        <f aca="true">RAND()</f>
        <v>0.311953657544279</v>
      </c>
      <c r="S622" s="40" t="n">
        <f aca="true">RAND()</f>
        <v>0.422212373213934</v>
      </c>
      <c r="T622" s="40" t="n">
        <f aca="true">RAND()</f>
        <v>0.856884659839099</v>
      </c>
      <c r="U622" s="40" t="n">
        <f aca="true">RAND()</f>
        <v>0.202856962640102</v>
      </c>
    </row>
    <row r="623" customFormat="false" ht="15" hidden="false" customHeight="false" outlineLevel="0" collapsed="false">
      <c r="A623" s="36" t="n">
        <v>543</v>
      </c>
      <c r="B623" s="37" t="n">
        <f aca="false">1+IF($G$6=$E$6,$F$6,IF(P623&lt;($F$6-$E$6)/($G$6-$E$6),$E$6+SQRT(P623*($G$6-$E$6)*($F$6-$E$6)),$G$6-SQRT((1-P623)*($G$6-$E$6)*($G$6-$F$6))))</f>
        <v>1</v>
      </c>
      <c r="C623" s="37" t="n">
        <f aca="false">1+IF($G$7=$E$7,$F$7,IF(Q623&lt;($F$7-$E$7)/($G$7-$E$7),$E$7+SQRT(Q623*($G$7-$E$7)*($F$7-$E$7)),$G$7-SQRT((1-Q623)*($G$7-$E$7)*($G$7-$F$7))))</f>
        <v>1</v>
      </c>
      <c r="D623" s="37" t="n">
        <f aca="false">1+IF($G$8=$E$8,$F$8,IF(R623&lt;($F$8-$E$8)/($G$8-$E$8),$E$8+SQRT(R623*($G$8-$E$8)*($F$8-$E$8)),$G$8-SQRT((1-R623)*($G$8-$E$8)*($G$8-$F$8))))</f>
        <v>1</v>
      </c>
      <c r="E623" s="37" t="n">
        <f aca="false">1+IF($G$9=$E$9,$F$9,IF(S623&lt;($F$9-$E$9)/($G$9-$E$9),$E$9+SQRT(S623*($G$9-$E$9)*($F$9-$E$9)),$G$9-SQRT((1-S623)*($G$9-$E$9)*($G$9-$F$9))))</f>
        <v>1</v>
      </c>
      <c r="F623" s="37" t="n">
        <f aca="false">1+IF($G$10=$E$10,$F$10,IF(T623&lt;($F$10-$E$10)/($G$10-$E$10),$E$10+SQRT(T623*($G$10-$E$10)*($F$10-$E$10)),$G$10-SQRT((1-T623)*($G$10-$E$10)*($G$10-$F$10))))</f>
        <v>1</v>
      </c>
      <c r="G623" s="38" t="n">
        <f aca="false">IF($G$11=$E$11,$F$11,IF(U623&lt;($F$11-$E$11)/($G$11-$E$11),$E$11+SQRT(U623*($G$11-$E$11)*($F$11-$E$11)),$G$11-SQRT((1-U623)*($G$11-$E$11)*($G$11-$F$11))))</f>
        <v>0</v>
      </c>
      <c r="H623" s="39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0</v>
      </c>
      <c r="I623" s="39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0</v>
      </c>
      <c r="J623" s="39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0</v>
      </c>
      <c r="K623" s="39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0</v>
      </c>
      <c r="L623" s="39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0</v>
      </c>
      <c r="M623" s="39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0</v>
      </c>
      <c r="N623" s="39" t="str">
        <f aca="false">IF(COUNT('Business Case'!B11:G11)=0,"",H623+NPV(G623,I623:M623))</f>
        <v/>
      </c>
      <c r="P623" s="40" t="n">
        <f aca="true">RAND()</f>
        <v>0.494621494861834</v>
      </c>
      <c r="Q623" s="40" t="n">
        <f aca="true">RAND()</f>
        <v>0.585942359183915</v>
      </c>
      <c r="R623" s="40" t="n">
        <f aca="true">RAND()</f>
        <v>0.452290336896303</v>
      </c>
      <c r="S623" s="40" t="n">
        <f aca="true">RAND()</f>
        <v>0.572678675579891</v>
      </c>
      <c r="T623" s="40" t="n">
        <f aca="true">RAND()</f>
        <v>0.198064535707674</v>
      </c>
      <c r="U623" s="40" t="n">
        <f aca="true">RAND()</f>
        <v>0.962590921104525</v>
      </c>
    </row>
    <row r="624" customFormat="false" ht="15" hidden="false" customHeight="false" outlineLevel="0" collapsed="false">
      <c r="A624" s="36" t="n">
        <v>544</v>
      </c>
      <c r="B624" s="37" t="n">
        <f aca="false">1+IF($G$6=$E$6,$F$6,IF(P624&lt;($F$6-$E$6)/($G$6-$E$6),$E$6+SQRT(P624*($G$6-$E$6)*($F$6-$E$6)),$G$6-SQRT((1-P624)*($G$6-$E$6)*($G$6-$F$6))))</f>
        <v>1</v>
      </c>
      <c r="C624" s="37" t="n">
        <f aca="false">1+IF($G$7=$E$7,$F$7,IF(Q624&lt;($F$7-$E$7)/($G$7-$E$7),$E$7+SQRT(Q624*($G$7-$E$7)*($F$7-$E$7)),$G$7-SQRT((1-Q624)*($G$7-$E$7)*($G$7-$F$7))))</f>
        <v>1</v>
      </c>
      <c r="D624" s="37" t="n">
        <f aca="false">1+IF($G$8=$E$8,$F$8,IF(R624&lt;($F$8-$E$8)/($G$8-$E$8),$E$8+SQRT(R624*($G$8-$E$8)*($F$8-$E$8)),$G$8-SQRT((1-R624)*($G$8-$E$8)*($G$8-$F$8))))</f>
        <v>1</v>
      </c>
      <c r="E624" s="37" t="n">
        <f aca="false">1+IF($G$9=$E$9,$F$9,IF(S624&lt;($F$9-$E$9)/($G$9-$E$9),$E$9+SQRT(S624*($G$9-$E$9)*($F$9-$E$9)),$G$9-SQRT((1-S624)*($G$9-$E$9)*($G$9-$F$9))))</f>
        <v>1</v>
      </c>
      <c r="F624" s="37" t="n">
        <f aca="false">1+IF($G$10=$E$10,$F$10,IF(T624&lt;($F$10-$E$10)/($G$10-$E$10),$E$10+SQRT(T624*($G$10-$E$10)*($F$10-$E$10)),$G$10-SQRT((1-T624)*($G$10-$E$10)*($G$10-$F$10))))</f>
        <v>1</v>
      </c>
      <c r="G624" s="38" t="n">
        <f aca="false">IF($G$11=$E$11,$F$11,IF(U624&lt;($F$11-$E$11)/($G$11-$E$11),$E$11+SQRT(U624*($G$11-$E$11)*($F$11-$E$11)),$G$11-SQRT((1-U624)*($G$11-$E$11)*($G$11-$F$11))))</f>
        <v>0</v>
      </c>
      <c r="H624" s="39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0</v>
      </c>
      <c r="I624" s="39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0</v>
      </c>
      <c r="J624" s="39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0</v>
      </c>
      <c r="K624" s="39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0</v>
      </c>
      <c r="L624" s="39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0</v>
      </c>
      <c r="M624" s="39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0</v>
      </c>
      <c r="N624" s="39" t="str">
        <f aca="false">IF(COUNT('Business Case'!B11:G11)=0,"",H624+NPV(G624,I624:M624))</f>
        <v/>
      </c>
      <c r="P624" s="40" t="n">
        <f aca="true">RAND()</f>
        <v>0.512734973068556</v>
      </c>
      <c r="Q624" s="40" t="n">
        <f aca="true">RAND()</f>
        <v>0.163461643252233</v>
      </c>
      <c r="R624" s="40" t="n">
        <f aca="true">RAND()</f>
        <v>0.100928042008453</v>
      </c>
      <c r="S624" s="40" t="n">
        <f aca="true">RAND()</f>
        <v>0.391799561843764</v>
      </c>
      <c r="T624" s="40" t="n">
        <f aca="true">RAND()</f>
        <v>0.103139944791853</v>
      </c>
      <c r="U624" s="40" t="n">
        <f aca="true">RAND()</f>
        <v>0.965393180306536</v>
      </c>
    </row>
    <row r="625" customFormat="false" ht="15" hidden="false" customHeight="false" outlineLevel="0" collapsed="false">
      <c r="A625" s="36" t="n">
        <v>545</v>
      </c>
      <c r="B625" s="37" t="n">
        <f aca="false">1+IF($G$6=$E$6,$F$6,IF(P625&lt;($F$6-$E$6)/($G$6-$E$6),$E$6+SQRT(P625*($G$6-$E$6)*($F$6-$E$6)),$G$6-SQRT((1-P625)*($G$6-$E$6)*($G$6-$F$6))))</f>
        <v>1</v>
      </c>
      <c r="C625" s="37" t="n">
        <f aca="false">1+IF($G$7=$E$7,$F$7,IF(Q625&lt;($F$7-$E$7)/($G$7-$E$7),$E$7+SQRT(Q625*($G$7-$E$7)*($F$7-$E$7)),$G$7-SQRT((1-Q625)*($G$7-$E$7)*($G$7-$F$7))))</f>
        <v>1</v>
      </c>
      <c r="D625" s="37" t="n">
        <f aca="false">1+IF($G$8=$E$8,$F$8,IF(R625&lt;($F$8-$E$8)/($G$8-$E$8),$E$8+SQRT(R625*($G$8-$E$8)*($F$8-$E$8)),$G$8-SQRT((1-R625)*($G$8-$E$8)*($G$8-$F$8))))</f>
        <v>1</v>
      </c>
      <c r="E625" s="37" t="n">
        <f aca="false">1+IF($G$9=$E$9,$F$9,IF(S625&lt;($F$9-$E$9)/($G$9-$E$9),$E$9+SQRT(S625*($G$9-$E$9)*($F$9-$E$9)),$G$9-SQRT((1-S625)*($G$9-$E$9)*($G$9-$F$9))))</f>
        <v>1</v>
      </c>
      <c r="F625" s="37" t="n">
        <f aca="false">1+IF($G$10=$E$10,$F$10,IF(T625&lt;($F$10-$E$10)/($G$10-$E$10),$E$10+SQRT(T625*($G$10-$E$10)*($F$10-$E$10)),$G$10-SQRT((1-T625)*($G$10-$E$10)*($G$10-$F$10))))</f>
        <v>1</v>
      </c>
      <c r="G625" s="38" t="n">
        <f aca="false">IF($G$11=$E$11,$F$11,IF(U625&lt;($F$11-$E$11)/($G$11-$E$11),$E$11+SQRT(U625*($G$11-$E$11)*($F$11-$E$11)),$G$11-SQRT((1-U625)*($G$11-$E$11)*($G$11-$F$11))))</f>
        <v>0</v>
      </c>
      <c r="H625" s="39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0</v>
      </c>
      <c r="I625" s="39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0</v>
      </c>
      <c r="J625" s="39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0</v>
      </c>
      <c r="K625" s="39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0</v>
      </c>
      <c r="L625" s="39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0</v>
      </c>
      <c r="M625" s="39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0</v>
      </c>
      <c r="N625" s="39" t="str">
        <f aca="false">IF(COUNT('Business Case'!B11:G11)=0,"",H625+NPV(G625,I625:M625))</f>
        <v/>
      </c>
      <c r="P625" s="40" t="n">
        <f aca="true">RAND()</f>
        <v>0.170500502527104</v>
      </c>
      <c r="Q625" s="40" t="n">
        <f aca="true">RAND()</f>
        <v>0.474650560120648</v>
      </c>
      <c r="R625" s="40" t="n">
        <f aca="true">RAND()</f>
        <v>0.906050586546358</v>
      </c>
      <c r="S625" s="40" t="n">
        <f aca="true">RAND()</f>
        <v>0.483624175831208</v>
      </c>
      <c r="T625" s="40" t="n">
        <f aca="true">RAND()</f>
        <v>0.238521686456535</v>
      </c>
      <c r="U625" s="40" t="n">
        <f aca="true">RAND()</f>
        <v>0.609522164245696</v>
      </c>
    </row>
    <row r="626" customFormat="false" ht="15" hidden="false" customHeight="false" outlineLevel="0" collapsed="false">
      <c r="A626" s="36" t="n">
        <v>546</v>
      </c>
      <c r="B626" s="37" t="n">
        <f aca="false">1+IF($G$6=$E$6,$F$6,IF(P626&lt;($F$6-$E$6)/($G$6-$E$6),$E$6+SQRT(P626*($G$6-$E$6)*($F$6-$E$6)),$G$6-SQRT((1-P626)*($G$6-$E$6)*($G$6-$F$6))))</f>
        <v>1</v>
      </c>
      <c r="C626" s="37" t="n">
        <f aca="false">1+IF($G$7=$E$7,$F$7,IF(Q626&lt;($F$7-$E$7)/($G$7-$E$7),$E$7+SQRT(Q626*($G$7-$E$7)*($F$7-$E$7)),$G$7-SQRT((1-Q626)*($G$7-$E$7)*($G$7-$F$7))))</f>
        <v>1</v>
      </c>
      <c r="D626" s="37" t="n">
        <f aca="false">1+IF($G$8=$E$8,$F$8,IF(R626&lt;($F$8-$E$8)/($G$8-$E$8),$E$8+SQRT(R626*($G$8-$E$8)*($F$8-$E$8)),$G$8-SQRT((1-R626)*($G$8-$E$8)*($G$8-$F$8))))</f>
        <v>1</v>
      </c>
      <c r="E626" s="37" t="n">
        <f aca="false">1+IF($G$9=$E$9,$F$9,IF(S626&lt;($F$9-$E$9)/($G$9-$E$9),$E$9+SQRT(S626*($G$9-$E$9)*($F$9-$E$9)),$G$9-SQRT((1-S626)*($G$9-$E$9)*($G$9-$F$9))))</f>
        <v>1</v>
      </c>
      <c r="F626" s="37" t="n">
        <f aca="false">1+IF($G$10=$E$10,$F$10,IF(T626&lt;($F$10-$E$10)/($G$10-$E$10),$E$10+SQRT(T626*($G$10-$E$10)*($F$10-$E$10)),$G$10-SQRT((1-T626)*($G$10-$E$10)*($G$10-$F$10))))</f>
        <v>1</v>
      </c>
      <c r="G626" s="38" t="n">
        <f aca="false">IF($G$11=$E$11,$F$11,IF(U626&lt;($F$11-$E$11)/($G$11-$E$11),$E$11+SQRT(U626*($G$11-$E$11)*($F$11-$E$11)),$G$11-SQRT((1-U626)*($G$11-$E$11)*($G$11-$F$11))))</f>
        <v>0</v>
      </c>
      <c r="H626" s="39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0</v>
      </c>
      <c r="I626" s="39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0</v>
      </c>
      <c r="J626" s="39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0</v>
      </c>
      <c r="K626" s="39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0</v>
      </c>
      <c r="L626" s="39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0</v>
      </c>
      <c r="M626" s="39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0</v>
      </c>
      <c r="N626" s="39" t="str">
        <f aca="false">IF(COUNT('Business Case'!B11:G11)=0,"",H626+NPV(G626,I626:M626))</f>
        <v/>
      </c>
      <c r="P626" s="40" t="n">
        <f aca="true">RAND()</f>
        <v>0.128830219996127</v>
      </c>
      <c r="Q626" s="40" t="n">
        <f aca="true">RAND()</f>
        <v>0.11509183088213</v>
      </c>
      <c r="R626" s="40" t="n">
        <f aca="true">RAND()</f>
        <v>0.310683057716261</v>
      </c>
      <c r="S626" s="40" t="n">
        <f aca="true">RAND()</f>
        <v>0.71727928163948</v>
      </c>
      <c r="T626" s="40" t="n">
        <f aca="true">RAND()</f>
        <v>0.745945048984842</v>
      </c>
      <c r="U626" s="40" t="n">
        <f aca="true">RAND()</f>
        <v>0.590161095547477</v>
      </c>
    </row>
    <row r="627" customFormat="false" ht="15" hidden="false" customHeight="false" outlineLevel="0" collapsed="false">
      <c r="A627" s="36" t="n">
        <v>547</v>
      </c>
      <c r="B627" s="37" t="n">
        <f aca="false">1+IF($G$6=$E$6,$F$6,IF(P627&lt;($F$6-$E$6)/($G$6-$E$6),$E$6+SQRT(P627*($G$6-$E$6)*($F$6-$E$6)),$G$6-SQRT((1-P627)*($G$6-$E$6)*($G$6-$F$6))))</f>
        <v>1</v>
      </c>
      <c r="C627" s="37" t="n">
        <f aca="false">1+IF($G$7=$E$7,$F$7,IF(Q627&lt;($F$7-$E$7)/($G$7-$E$7),$E$7+SQRT(Q627*($G$7-$E$7)*($F$7-$E$7)),$G$7-SQRT((1-Q627)*($G$7-$E$7)*($G$7-$F$7))))</f>
        <v>1</v>
      </c>
      <c r="D627" s="37" t="n">
        <f aca="false">1+IF($G$8=$E$8,$F$8,IF(R627&lt;($F$8-$E$8)/($G$8-$E$8),$E$8+SQRT(R627*($G$8-$E$8)*($F$8-$E$8)),$G$8-SQRT((1-R627)*($G$8-$E$8)*($G$8-$F$8))))</f>
        <v>1</v>
      </c>
      <c r="E627" s="37" t="n">
        <f aca="false">1+IF($G$9=$E$9,$F$9,IF(S627&lt;($F$9-$E$9)/($G$9-$E$9),$E$9+SQRT(S627*($G$9-$E$9)*($F$9-$E$9)),$G$9-SQRT((1-S627)*($G$9-$E$9)*($G$9-$F$9))))</f>
        <v>1</v>
      </c>
      <c r="F627" s="37" t="n">
        <f aca="false">1+IF($G$10=$E$10,$F$10,IF(T627&lt;($F$10-$E$10)/($G$10-$E$10),$E$10+SQRT(T627*($G$10-$E$10)*($F$10-$E$10)),$G$10-SQRT((1-T627)*($G$10-$E$10)*($G$10-$F$10))))</f>
        <v>1</v>
      </c>
      <c r="G627" s="38" t="n">
        <f aca="false">IF($G$11=$E$11,$F$11,IF(U627&lt;($F$11-$E$11)/($G$11-$E$11),$E$11+SQRT(U627*($G$11-$E$11)*($F$11-$E$11)),$G$11-SQRT((1-U627)*($G$11-$E$11)*($G$11-$F$11))))</f>
        <v>0</v>
      </c>
      <c r="H627" s="39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0</v>
      </c>
      <c r="I627" s="39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0</v>
      </c>
      <c r="J627" s="39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0</v>
      </c>
      <c r="K627" s="39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0</v>
      </c>
      <c r="L627" s="39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0</v>
      </c>
      <c r="M627" s="39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0</v>
      </c>
      <c r="N627" s="39" t="str">
        <f aca="false">IF(COUNT('Business Case'!B11:G11)=0,"",H627+NPV(G627,I627:M627))</f>
        <v/>
      </c>
      <c r="P627" s="40" t="n">
        <f aca="true">RAND()</f>
        <v>0.104659293292131</v>
      </c>
      <c r="Q627" s="40" t="n">
        <f aca="true">RAND()</f>
        <v>0.524013922765208</v>
      </c>
      <c r="R627" s="40" t="n">
        <f aca="true">RAND()</f>
        <v>0.0178778303278068</v>
      </c>
      <c r="S627" s="40" t="n">
        <f aca="true">RAND()</f>
        <v>0.115256746508047</v>
      </c>
      <c r="T627" s="40" t="n">
        <f aca="true">RAND()</f>
        <v>0.0769981409346344</v>
      </c>
      <c r="U627" s="40" t="n">
        <f aca="true">RAND()</f>
        <v>0.0825304229123862</v>
      </c>
    </row>
    <row r="628" customFormat="false" ht="15" hidden="false" customHeight="false" outlineLevel="0" collapsed="false">
      <c r="A628" s="36" t="n">
        <v>548</v>
      </c>
      <c r="B628" s="37" t="n">
        <f aca="false">1+IF($G$6=$E$6,$F$6,IF(P628&lt;($F$6-$E$6)/($G$6-$E$6),$E$6+SQRT(P628*($G$6-$E$6)*($F$6-$E$6)),$G$6-SQRT((1-P628)*($G$6-$E$6)*($G$6-$F$6))))</f>
        <v>1</v>
      </c>
      <c r="C628" s="37" t="n">
        <f aca="false">1+IF($G$7=$E$7,$F$7,IF(Q628&lt;($F$7-$E$7)/($G$7-$E$7),$E$7+SQRT(Q628*($G$7-$E$7)*($F$7-$E$7)),$G$7-SQRT((1-Q628)*($G$7-$E$7)*($G$7-$F$7))))</f>
        <v>1</v>
      </c>
      <c r="D628" s="37" t="n">
        <f aca="false">1+IF($G$8=$E$8,$F$8,IF(R628&lt;($F$8-$E$8)/($G$8-$E$8),$E$8+SQRT(R628*($G$8-$E$8)*($F$8-$E$8)),$G$8-SQRT((1-R628)*($G$8-$E$8)*($G$8-$F$8))))</f>
        <v>1</v>
      </c>
      <c r="E628" s="37" t="n">
        <f aca="false">1+IF($G$9=$E$9,$F$9,IF(S628&lt;($F$9-$E$9)/($G$9-$E$9),$E$9+SQRT(S628*($G$9-$E$9)*($F$9-$E$9)),$G$9-SQRT((1-S628)*($G$9-$E$9)*($G$9-$F$9))))</f>
        <v>1</v>
      </c>
      <c r="F628" s="37" t="n">
        <f aca="false">1+IF($G$10=$E$10,$F$10,IF(T628&lt;($F$10-$E$10)/($G$10-$E$10),$E$10+SQRT(T628*($G$10-$E$10)*($F$10-$E$10)),$G$10-SQRT((1-T628)*($G$10-$E$10)*($G$10-$F$10))))</f>
        <v>1</v>
      </c>
      <c r="G628" s="38" t="n">
        <f aca="false">IF($G$11=$E$11,$F$11,IF(U628&lt;($F$11-$E$11)/($G$11-$E$11),$E$11+SQRT(U628*($G$11-$E$11)*($F$11-$E$11)),$G$11-SQRT((1-U628)*($G$11-$E$11)*($G$11-$F$11))))</f>
        <v>0</v>
      </c>
      <c r="H628" s="39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0</v>
      </c>
      <c r="I628" s="39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0</v>
      </c>
      <c r="J628" s="39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0</v>
      </c>
      <c r="K628" s="39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0</v>
      </c>
      <c r="L628" s="39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0</v>
      </c>
      <c r="M628" s="39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0</v>
      </c>
      <c r="N628" s="39" t="str">
        <f aca="false">IF(COUNT('Business Case'!B11:G11)=0,"",H628+NPV(G628,I628:M628))</f>
        <v/>
      </c>
      <c r="P628" s="40" t="n">
        <f aca="true">RAND()</f>
        <v>0.180522589088298</v>
      </c>
      <c r="Q628" s="40" t="n">
        <f aca="true">RAND()</f>
        <v>0.00964529314178684</v>
      </c>
      <c r="R628" s="40" t="n">
        <f aca="true">RAND()</f>
        <v>0.000947742000343396</v>
      </c>
      <c r="S628" s="40" t="n">
        <f aca="true">RAND()</f>
        <v>0.512573139079922</v>
      </c>
      <c r="T628" s="40" t="n">
        <f aca="true">RAND()</f>
        <v>0.468301041500843</v>
      </c>
      <c r="U628" s="40" t="n">
        <f aca="true">RAND()</f>
        <v>0.420250441492722</v>
      </c>
    </row>
    <row r="629" customFormat="false" ht="15" hidden="false" customHeight="false" outlineLevel="0" collapsed="false">
      <c r="A629" s="36" t="n">
        <v>549</v>
      </c>
      <c r="B629" s="37" t="n">
        <f aca="false">1+IF($G$6=$E$6,$F$6,IF(P629&lt;($F$6-$E$6)/($G$6-$E$6),$E$6+SQRT(P629*($G$6-$E$6)*($F$6-$E$6)),$G$6-SQRT((1-P629)*($G$6-$E$6)*($G$6-$F$6))))</f>
        <v>1</v>
      </c>
      <c r="C629" s="37" t="n">
        <f aca="false">1+IF($G$7=$E$7,$F$7,IF(Q629&lt;($F$7-$E$7)/($G$7-$E$7),$E$7+SQRT(Q629*($G$7-$E$7)*($F$7-$E$7)),$G$7-SQRT((1-Q629)*($G$7-$E$7)*($G$7-$F$7))))</f>
        <v>1</v>
      </c>
      <c r="D629" s="37" t="n">
        <f aca="false">1+IF($G$8=$E$8,$F$8,IF(R629&lt;($F$8-$E$8)/($G$8-$E$8),$E$8+SQRT(R629*($G$8-$E$8)*($F$8-$E$8)),$G$8-SQRT((1-R629)*($G$8-$E$8)*($G$8-$F$8))))</f>
        <v>1</v>
      </c>
      <c r="E629" s="37" t="n">
        <f aca="false">1+IF($G$9=$E$9,$F$9,IF(S629&lt;($F$9-$E$9)/($G$9-$E$9),$E$9+SQRT(S629*($G$9-$E$9)*($F$9-$E$9)),$G$9-SQRT((1-S629)*($G$9-$E$9)*($G$9-$F$9))))</f>
        <v>1</v>
      </c>
      <c r="F629" s="37" t="n">
        <f aca="false">1+IF($G$10=$E$10,$F$10,IF(T629&lt;($F$10-$E$10)/($G$10-$E$10),$E$10+SQRT(T629*($G$10-$E$10)*($F$10-$E$10)),$G$10-SQRT((1-T629)*($G$10-$E$10)*($G$10-$F$10))))</f>
        <v>1</v>
      </c>
      <c r="G629" s="38" t="n">
        <f aca="false">IF($G$11=$E$11,$F$11,IF(U629&lt;($F$11-$E$11)/($G$11-$E$11),$E$11+SQRT(U629*($G$11-$E$11)*($F$11-$E$11)),$G$11-SQRT((1-U629)*($G$11-$E$11)*($G$11-$F$11))))</f>
        <v>0</v>
      </c>
      <c r="H629" s="39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0</v>
      </c>
      <c r="I629" s="39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0</v>
      </c>
      <c r="J629" s="39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0</v>
      </c>
      <c r="K629" s="39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0</v>
      </c>
      <c r="L629" s="39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0</v>
      </c>
      <c r="M629" s="39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0</v>
      </c>
      <c r="N629" s="39" t="str">
        <f aca="false">IF(COUNT('Business Case'!B11:G11)=0,"",H629+NPV(G629,I629:M629))</f>
        <v/>
      </c>
      <c r="P629" s="40" t="n">
        <f aca="true">RAND()</f>
        <v>0.0974777048196489</v>
      </c>
      <c r="Q629" s="40" t="n">
        <f aca="true">RAND()</f>
        <v>0.817742585972956</v>
      </c>
      <c r="R629" s="40" t="n">
        <f aca="true">RAND()</f>
        <v>0.195231073531264</v>
      </c>
      <c r="S629" s="40" t="n">
        <f aca="true">RAND()</f>
        <v>0.133305030486981</v>
      </c>
      <c r="T629" s="40" t="n">
        <f aca="true">RAND()</f>
        <v>0.417683307210506</v>
      </c>
      <c r="U629" s="40" t="n">
        <f aca="true">RAND()</f>
        <v>0.0336232711489706</v>
      </c>
    </row>
    <row r="630" customFormat="false" ht="15" hidden="false" customHeight="false" outlineLevel="0" collapsed="false">
      <c r="A630" s="36" t="n">
        <v>550</v>
      </c>
      <c r="B630" s="37" t="n">
        <f aca="false">1+IF($G$6=$E$6,$F$6,IF(P630&lt;($F$6-$E$6)/($G$6-$E$6),$E$6+SQRT(P630*($G$6-$E$6)*($F$6-$E$6)),$G$6-SQRT((1-P630)*($G$6-$E$6)*($G$6-$F$6))))</f>
        <v>1</v>
      </c>
      <c r="C630" s="37" t="n">
        <f aca="false">1+IF($G$7=$E$7,$F$7,IF(Q630&lt;($F$7-$E$7)/($G$7-$E$7),$E$7+SQRT(Q630*($G$7-$E$7)*($F$7-$E$7)),$G$7-SQRT((1-Q630)*($G$7-$E$7)*($G$7-$F$7))))</f>
        <v>1</v>
      </c>
      <c r="D630" s="37" t="n">
        <f aca="false">1+IF($G$8=$E$8,$F$8,IF(R630&lt;($F$8-$E$8)/($G$8-$E$8),$E$8+SQRT(R630*($G$8-$E$8)*($F$8-$E$8)),$G$8-SQRT((1-R630)*($G$8-$E$8)*($G$8-$F$8))))</f>
        <v>1</v>
      </c>
      <c r="E630" s="37" t="n">
        <f aca="false">1+IF($G$9=$E$9,$F$9,IF(S630&lt;($F$9-$E$9)/($G$9-$E$9),$E$9+SQRT(S630*($G$9-$E$9)*($F$9-$E$9)),$G$9-SQRT((1-S630)*($G$9-$E$9)*($G$9-$F$9))))</f>
        <v>1</v>
      </c>
      <c r="F630" s="37" t="n">
        <f aca="false">1+IF($G$10=$E$10,$F$10,IF(T630&lt;($F$10-$E$10)/($G$10-$E$10),$E$10+SQRT(T630*($G$10-$E$10)*($F$10-$E$10)),$G$10-SQRT((1-T630)*($G$10-$E$10)*($G$10-$F$10))))</f>
        <v>1</v>
      </c>
      <c r="G630" s="38" t="n">
        <f aca="false">IF($G$11=$E$11,$F$11,IF(U630&lt;($F$11-$E$11)/($G$11-$E$11),$E$11+SQRT(U630*($G$11-$E$11)*($F$11-$E$11)),$G$11-SQRT((1-U630)*($G$11-$E$11)*($G$11-$F$11))))</f>
        <v>0</v>
      </c>
      <c r="H630" s="39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0</v>
      </c>
      <c r="I630" s="39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0</v>
      </c>
      <c r="J630" s="39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0</v>
      </c>
      <c r="K630" s="39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0</v>
      </c>
      <c r="L630" s="39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0</v>
      </c>
      <c r="M630" s="39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0</v>
      </c>
      <c r="N630" s="39" t="str">
        <f aca="false">IF(COUNT('Business Case'!B11:G11)=0,"",H630+NPV(G630,I630:M630))</f>
        <v/>
      </c>
      <c r="P630" s="40" t="n">
        <f aca="true">RAND()</f>
        <v>0.58396176291356</v>
      </c>
      <c r="Q630" s="40" t="n">
        <f aca="true">RAND()</f>
        <v>0.472193248764345</v>
      </c>
      <c r="R630" s="40" t="n">
        <f aca="true">RAND()</f>
        <v>0.391734583248531</v>
      </c>
      <c r="S630" s="40" t="n">
        <f aca="true">RAND()</f>
        <v>0.73790090554513</v>
      </c>
      <c r="T630" s="40" t="n">
        <f aca="true">RAND()</f>
        <v>0.743416417988278</v>
      </c>
      <c r="U630" s="40" t="n">
        <f aca="true">RAND()</f>
        <v>0.374802933162556</v>
      </c>
    </row>
    <row r="631" customFormat="false" ht="15" hidden="false" customHeight="false" outlineLevel="0" collapsed="false">
      <c r="A631" s="36" t="n">
        <v>551</v>
      </c>
      <c r="B631" s="37" t="n">
        <f aca="false">1+IF($G$6=$E$6,$F$6,IF(P631&lt;($F$6-$E$6)/($G$6-$E$6),$E$6+SQRT(P631*($G$6-$E$6)*($F$6-$E$6)),$G$6-SQRT((1-P631)*($G$6-$E$6)*($G$6-$F$6))))</f>
        <v>1</v>
      </c>
      <c r="C631" s="37" t="n">
        <f aca="false">1+IF($G$7=$E$7,$F$7,IF(Q631&lt;($F$7-$E$7)/($G$7-$E$7),$E$7+SQRT(Q631*($G$7-$E$7)*($F$7-$E$7)),$G$7-SQRT((1-Q631)*($G$7-$E$7)*($G$7-$F$7))))</f>
        <v>1</v>
      </c>
      <c r="D631" s="37" t="n">
        <f aca="false">1+IF($G$8=$E$8,$F$8,IF(R631&lt;($F$8-$E$8)/($G$8-$E$8),$E$8+SQRT(R631*($G$8-$E$8)*($F$8-$E$8)),$G$8-SQRT((1-R631)*($G$8-$E$8)*($G$8-$F$8))))</f>
        <v>1</v>
      </c>
      <c r="E631" s="37" t="n">
        <f aca="false">1+IF($G$9=$E$9,$F$9,IF(S631&lt;($F$9-$E$9)/($G$9-$E$9),$E$9+SQRT(S631*($G$9-$E$9)*($F$9-$E$9)),$G$9-SQRT((1-S631)*($G$9-$E$9)*($G$9-$F$9))))</f>
        <v>1</v>
      </c>
      <c r="F631" s="37" t="n">
        <f aca="false">1+IF($G$10=$E$10,$F$10,IF(T631&lt;($F$10-$E$10)/($G$10-$E$10),$E$10+SQRT(T631*($G$10-$E$10)*($F$10-$E$10)),$G$10-SQRT((1-T631)*($G$10-$E$10)*($G$10-$F$10))))</f>
        <v>1</v>
      </c>
      <c r="G631" s="38" t="n">
        <f aca="false">IF($G$11=$E$11,$F$11,IF(U631&lt;($F$11-$E$11)/($G$11-$E$11),$E$11+SQRT(U631*($G$11-$E$11)*($F$11-$E$11)),$G$11-SQRT((1-U631)*($G$11-$E$11)*($G$11-$F$11))))</f>
        <v>0</v>
      </c>
      <c r="H631" s="39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0</v>
      </c>
      <c r="I631" s="39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0</v>
      </c>
      <c r="J631" s="39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0</v>
      </c>
      <c r="K631" s="39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0</v>
      </c>
      <c r="L631" s="39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0</v>
      </c>
      <c r="M631" s="39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0</v>
      </c>
      <c r="N631" s="39" t="str">
        <f aca="false">IF(COUNT('Business Case'!B11:G11)=0,"",H631+NPV(G631,I631:M631))</f>
        <v/>
      </c>
      <c r="P631" s="40" t="n">
        <f aca="true">RAND()</f>
        <v>0.633237281475038</v>
      </c>
      <c r="Q631" s="40" t="n">
        <f aca="true">RAND()</f>
        <v>0.214937239806217</v>
      </c>
      <c r="R631" s="40" t="n">
        <f aca="true">RAND()</f>
        <v>0.740796856027625</v>
      </c>
      <c r="S631" s="40" t="n">
        <f aca="true">RAND()</f>
        <v>0.734010835914043</v>
      </c>
      <c r="T631" s="40" t="n">
        <f aca="true">RAND()</f>
        <v>0.0979718604660919</v>
      </c>
      <c r="U631" s="40" t="n">
        <f aca="true">RAND()</f>
        <v>0.940783213287609</v>
      </c>
    </row>
    <row r="632" customFormat="false" ht="15" hidden="false" customHeight="false" outlineLevel="0" collapsed="false">
      <c r="A632" s="36" t="n">
        <v>552</v>
      </c>
      <c r="B632" s="37" t="n">
        <f aca="false">1+IF($G$6=$E$6,$F$6,IF(P632&lt;($F$6-$E$6)/($G$6-$E$6),$E$6+SQRT(P632*($G$6-$E$6)*($F$6-$E$6)),$G$6-SQRT((1-P632)*($G$6-$E$6)*($G$6-$F$6))))</f>
        <v>1</v>
      </c>
      <c r="C632" s="37" t="n">
        <f aca="false">1+IF($G$7=$E$7,$F$7,IF(Q632&lt;($F$7-$E$7)/($G$7-$E$7),$E$7+SQRT(Q632*($G$7-$E$7)*($F$7-$E$7)),$G$7-SQRT((1-Q632)*($G$7-$E$7)*($G$7-$F$7))))</f>
        <v>1</v>
      </c>
      <c r="D632" s="37" t="n">
        <f aca="false">1+IF($G$8=$E$8,$F$8,IF(R632&lt;($F$8-$E$8)/($G$8-$E$8),$E$8+SQRT(R632*($G$8-$E$8)*($F$8-$E$8)),$G$8-SQRT((1-R632)*($G$8-$E$8)*($G$8-$F$8))))</f>
        <v>1</v>
      </c>
      <c r="E632" s="37" t="n">
        <f aca="false">1+IF($G$9=$E$9,$F$9,IF(S632&lt;($F$9-$E$9)/($G$9-$E$9),$E$9+SQRT(S632*($G$9-$E$9)*($F$9-$E$9)),$G$9-SQRT((1-S632)*($G$9-$E$9)*($G$9-$F$9))))</f>
        <v>1</v>
      </c>
      <c r="F632" s="37" t="n">
        <f aca="false">1+IF($G$10=$E$10,$F$10,IF(T632&lt;($F$10-$E$10)/($G$10-$E$10),$E$10+SQRT(T632*($G$10-$E$10)*($F$10-$E$10)),$G$10-SQRT((1-T632)*($G$10-$E$10)*($G$10-$F$10))))</f>
        <v>1</v>
      </c>
      <c r="G632" s="38" t="n">
        <f aca="false">IF($G$11=$E$11,$F$11,IF(U632&lt;($F$11-$E$11)/($G$11-$E$11),$E$11+SQRT(U632*($G$11-$E$11)*($F$11-$E$11)),$G$11-SQRT((1-U632)*($G$11-$E$11)*($G$11-$F$11))))</f>
        <v>0</v>
      </c>
      <c r="H632" s="39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0</v>
      </c>
      <c r="I632" s="39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0</v>
      </c>
      <c r="J632" s="39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0</v>
      </c>
      <c r="K632" s="39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0</v>
      </c>
      <c r="L632" s="39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0</v>
      </c>
      <c r="M632" s="39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0</v>
      </c>
      <c r="N632" s="39" t="str">
        <f aca="false">IF(COUNT('Business Case'!B11:G11)=0,"",H632+NPV(G632,I632:M632))</f>
        <v/>
      </c>
      <c r="P632" s="40" t="n">
        <f aca="true">RAND()</f>
        <v>0.239238413750494</v>
      </c>
      <c r="Q632" s="40" t="n">
        <f aca="true">RAND()</f>
        <v>0.77406824078728</v>
      </c>
      <c r="R632" s="40" t="n">
        <f aca="true">RAND()</f>
        <v>0.998658408619099</v>
      </c>
      <c r="S632" s="40" t="n">
        <f aca="true">RAND()</f>
        <v>0.303944195333021</v>
      </c>
      <c r="T632" s="40" t="n">
        <f aca="true">RAND()</f>
        <v>0.637301963907683</v>
      </c>
      <c r="U632" s="40" t="n">
        <f aca="true">RAND()</f>
        <v>0.687572422304793</v>
      </c>
    </row>
    <row r="633" customFormat="false" ht="15" hidden="false" customHeight="false" outlineLevel="0" collapsed="false">
      <c r="A633" s="36" t="n">
        <v>553</v>
      </c>
      <c r="B633" s="37" t="n">
        <f aca="false">1+IF($G$6=$E$6,$F$6,IF(P633&lt;($F$6-$E$6)/($G$6-$E$6),$E$6+SQRT(P633*($G$6-$E$6)*($F$6-$E$6)),$G$6-SQRT((1-P633)*($G$6-$E$6)*($G$6-$F$6))))</f>
        <v>1</v>
      </c>
      <c r="C633" s="37" t="n">
        <f aca="false">1+IF($G$7=$E$7,$F$7,IF(Q633&lt;($F$7-$E$7)/($G$7-$E$7),$E$7+SQRT(Q633*($G$7-$E$7)*($F$7-$E$7)),$G$7-SQRT((1-Q633)*($G$7-$E$7)*($G$7-$F$7))))</f>
        <v>1</v>
      </c>
      <c r="D633" s="37" t="n">
        <f aca="false">1+IF($G$8=$E$8,$F$8,IF(R633&lt;($F$8-$E$8)/($G$8-$E$8),$E$8+SQRT(R633*($G$8-$E$8)*($F$8-$E$8)),$G$8-SQRT((1-R633)*($G$8-$E$8)*($G$8-$F$8))))</f>
        <v>1</v>
      </c>
      <c r="E633" s="37" t="n">
        <f aca="false">1+IF($G$9=$E$9,$F$9,IF(S633&lt;($F$9-$E$9)/($G$9-$E$9),$E$9+SQRT(S633*($G$9-$E$9)*($F$9-$E$9)),$G$9-SQRT((1-S633)*($G$9-$E$9)*($G$9-$F$9))))</f>
        <v>1</v>
      </c>
      <c r="F633" s="37" t="n">
        <f aca="false">1+IF($G$10=$E$10,$F$10,IF(T633&lt;($F$10-$E$10)/($G$10-$E$10),$E$10+SQRT(T633*($G$10-$E$10)*($F$10-$E$10)),$G$10-SQRT((1-T633)*($G$10-$E$10)*($G$10-$F$10))))</f>
        <v>1</v>
      </c>
      <c r="G633" s="38" t="n">
        <f aca="false">IF($G$11=$E$11,$F$11,IF(U633&lt;($F$11-$E$11)/($G$11-$E$11),$E$11+SQRT(U633*($G$11-$E$11)*($F$11-$E$11)),$G$11-SQRT((1-U633)*($G$11-$E$11)*($G$11-$F$11))))</f>
        <v>0</v>
      </c>
      <c r="H633" s="39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0</v>
      </c>
      <c r="I633" s="39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0</v>
      </c>
      <c r="J633" s="39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0</v>
      </c>
      <c r="K633" s="39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0</v>
      </c>
      <c r="L633" s="39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0</v>
      </c>
      <c r="M633" s="39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0</v>
      </c>
      <c r="N633" s="39" t="str">
        <f aca="false">IF(COUNT('Business Case'!B11:G11)=0,"",H633+NPV(G633,I633:M633))</f>
        <v/>
      </c>
      <c r="P633" s="40" t="n">
        <f aca="true">RAND()</f>
        <v>0.467566732498022</v>
      </c>
      <c r="Q633" s="40" t="n">
        <f aca="true">RAND()</f>
        <v>0.997995777450322</v>
      </c>
      <c r="R633" s="40" t="n">
        <f aca="true">RAND()</f>
        <v>0.376255325422945</v>
      </c>
      <c r="S633" s="40" t="n">
        <f aca="true">RAND()</f>
        <v>0.105683915811252</v>
      </c>
      <c r="T633" s="40" t="n">
        <f aca="true">RAND()</f>
        <v>0.502947862884602</v>
      </c>
      <c r="U633" s="40" t="n">
        <f aca="true">RAND()</f>
        <v>0.382044529529145</v>
      </c>
    </row>
    <row r="634" customFormat="false" ht="15" hidden="false" customHeight="false" outlineLevel="0" collapsed="false">
      <c r="A634" s="36" t="n">
        <v>554</v>
      </c>
      <c r="B634" s="37" t="n">
        <f aca="false">1+IF($G$6=$E$6,$F$6,IF(P634&lt;($F$6-$E$6)/($G$6-$E$6),$E$6+SQRT(P634*($G$6-$E$6)*($F$6-$E$6)),$G$6-SQRT((1-P634)*($G$6-$E$6)*($G$6-$F$6))))</f>
        <v>1</v>
      </c>
      <c r="C634" s="37" t="n">
        <f aca="false">1+IF($G$7=$E$7,$F$7,IF(Q634&lt;($F$7-$E$7)/($G$7-$E$7),$E$7+SQRT(Q634*($G$7-$E$7)*($F$7-$E$7)),$G$7-SQRT((1-Q634)*($G$7-$E$7)*($G$7-$F$7))))</f>
        <v>1</v>
      </c>
      <c r="D634" s="37" t="n">
        <f aca="false">1+IF($G$8=$E$8,$F$8,IF(R634&lt;($F$8-$E$8)/($G$8-$E$8),$E$8+SQRT(R634*($G$8-$E$8)*($F$8-$E$8)),$G$8-SQRT((1-R634)*($G$8-$E$8)*($G$8-$F$8))))</f>
        <v>1</v>
      </c>
      <c r="E634" s="37" t="n">
        <f aca="false">1+IF($G$9=$E$9,$F$9,IF(S634&lt;($F$9-$E$9)/($G$9-$E$9),$E$9+SQRT(S634*($G$9-$E$9)*($F$9-$E$9)),$G$9-SQRT((1-S634)*($G$9-$E$9)*($G$9-$F$9))))</f>
        <v>1</v>
      </c>
      <c r="F634" s="37" t="n">
        <f aca="false">1+IF($G$10=$E$10,$F$10,IF(T634&lt;($F$10-$E$10)/($G$10-$E$10),$E$10+SQRT(T634*($G$10-$E$10)*($F$10-$E$10)),$G$10-SQRT((1-T634)*($G$10-$E$10)*($G$10-$F$10))))</f>
        <v>1</v>
      </c>
      <c r="G634" s="38" t="n">
        <f aca="false">IF($G$11=$E$11,$F$11,IF(U634&lt;($F$11-$E$11)/($G$11-$E$11),$E$11+SQRT(U634*($G$11-$E$11)*($F$11-$E$11)),$G$11-SQRT((1-U634)*($G$11-$E$11)*($G$11-$F$11))))</f>
        <v>0</v>
      </c>
      <c r="H634" s="39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0</v>
      </c>
      <c r="I634" s="39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0</v>
      </c>
      <c r="J634" s="39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0</v>
      </c>
      <c r="K634" s="39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0</v>
      </c>
      <c r="L634" s="39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0</v>
      </c>
      <c r="M634" s="39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0</v>
      </c>
      <c r="N634" s="39" t="str">
        <f aca="false">IF(COUNT('Business Case'!B11:G11)=0,"",H634+NPV(G634,I634:M634))</f>
        <v/>
      </c>
      <c r="P634" s="40" t="n">
        <f aca="true">RAND()</f>
        <v>0.185793158404245</v>
      </c>
      <c r="Q634" s="40" t="n">
        <f aca="true">RAND()</f>
        <v>0.0562064210323438</v>
      </c>
      <c r="R634" s="40" t="n">
        <f aca="true">RAND()</f>
        <v>0.739110165257387</v>
      </c>
      <c r="S634" s="40" t="n">
        <f aca="true">RAND()</f>
        <v>0.919920721106154</v>
      </c>
      <c r="T634" s="40" t="n">
        <f aca="true">RAND()</f>
        <v>0.612539640834106</v>
      </c>
      <c r="U634" s="40" t="n">
        <f aca="true">RAND()</f>
        <v>0.602260526379152</v>
      </c>
    </row>
    <row r="635" customFormat="false" ht="15" hidden="false" customHeight="false" outlineLevel="0" collapsed="false">
      <c r="A635" s="36" t="n">
        <v>555</v>
      </c>
      <c r="B635" s="37" t="n">
        <f aca="false">1+IF($G$6=$E$6,$F$6,IF(P635&lt;($F$6-$E$6)/($G$6-$E$6),$E$6+SQRT(P635*($G$6-$E$6)*($F$6-$E$6)),$G$6-SQRT((1-P635)*($G$6-$E$6)*($G$6-$F$6))))</f>
        <v>1</v>
      </c>
      <c r="C635" s="37" t="n">
        <f aca="false">1+IF($G$7=$E$7,$F$7,IF(Q635&lt;($F$7-$E$7)/($G$7-$E$7),$E$7+SQRT(Q635*($G$7-$E$7)*($F$7-$E$7)),$G$7-SQRT((1-Q635)*($G$7-$E$7)*($G$7-$F$7))))</f>
        <v>1</v>
      </c>
      <c r="D635" s="37" t="n">
        <f aca="false">1+IF($G$8=$E$8,$F$8,IF(R635&lt;($F$8-$E$8)/($G$8-$E$8),$E$8+SQRT(R635*($G$8-$E$8)*($F$8-$E$8)),$G$8-SQRT((1-R635)*($G$8-$E$8)*($G$8-$F$8))))</f>
        <v>1</v>
      </c>
      <c r="E635" s="37" t="n">
        <f aca="false">1+IF($G$9=$E$9,$F$9,IF(S635&lt;($F$9-$E$9)/($G$9-$E$9),$E$9+SQRT(S635*($G$9-$E$9)*($F$9-$E$9)),$G$9-SQRT((1-S635)*($G$9-$E$9)*($G$9-$F$9))))</f>
        <v>1</v>
      </c>
      <c r="F635" s="37" t="n">
        <f aca="false">1+IF($G$10=$E$10,$F$10,IF(T635&lt;($F$10-$E$10)/($G$10-$E$10),$E$10+SQRT(T635*($G$10-$E$10)*($F$10-$E$10)),$G$10-SQRT((1-T635)*($G$10-$E$10)*($G$10-$F$10))))</f>
        <v>1</v>
      </c>
      <c r="G635" s="38" t="n">
        <f aca="false">IF($G$11=$E$11,$F$11,IF(U635&lt;($F$11-$E$11)/($G$11-$E$11),$E$11+SQRT(U635*($G$11-$E$11)*($F$11-$E$11)),$G$11-SQRT((1-U635)*($G$11-$E$11)*($G$11-$F$11))))</f>
        <v>0</v>
      </c>
      <c r="H635" s="39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0</v>
      </c>
      <c r="I635" s="39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0</v>
      </c>
      <c r="J635" s="39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0</v>
      </c>
      <c r="K635" s="39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0</v>
      </c>
      <c r="L635" s="39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0</v>
      </c>
      <c r="M635" s="39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0</v>
      </c>
      <c r="N635" s="39" t="str">
        <f aca="false">IF(COUNT('Business Case'!B11:G11)=0,"",H635+NPV(G635,I635:M635))</f>
        <v/>
      </c>
      <c r="P635" s="40" t="n">
        <f aca="true">RAND()</f>
        <v>0.0840969522309833</v>
      </c>
      <c r="Q635" s="40" t="n">
        <f aca="true">RAND()</f>
        <v>0.865772881196992</v>
      </c>
      <c r="R635" s="40" t="n">
        <f aca="true">RAND()</f>
        <v>0.914184394064918</v>
      </c>
      <c r="S635" s="40" t="n">
        <f aca="true">RAND()</f>
        <v>0.824593113723936</v>
      </c>
      <c r="T635" s="40" t="n">
        <f aca="true">RAND()</f>
        <v>0.0348362805089517</v>
      </c>
      <c r="U635" s="40" t="n">
        <f aca="true">RAND()</f>
        <v>0.21599893830027</v>
      </c>
    </row>
    <row r="636" customFormat="false" ht="15" hidden="false" customHeight="false" outlineLevel="0" collapsed="false">
      <c r="A636" s="36" t="n">
        <v>556</v>
      </c>
      <c r="B636" s="37" t="n">
        <f aca="false">1+IF($G$6=$E$6,$F$6,IF(P636&lt;($F$6-$E$6)/($G$6-$E$6),$E$6+SQRT(P636*($G$6-$E$6)*($F$6-$E$6)),$G$6-SQRT((1-P636)*($G$6-$E$6)*($G$6-$F$6))))</f>
        <v>1</v>
      </c>
      <c r="C636" s="37" t="n">
        <f aca="false">1+IF($G$7=$E$7,$F$7,IF(Q636&lt;($F$7-$E$7)/($G$7-$E$7),$E$7+SQRT(Q636*($G$7-$E$7)*($F$7-$E$7)),$G$7-SQRT((1-Q636)*($G$7-$E$7)*($G$7-$F$7))))</f>
        <v>1</v>
      </c>
      <c r="D636" s="37" t="n">
        <f aca="false">1+IF($G$8=$E$8,$F$8,IF(R636&lt;($F$8-$E$8)/($G$8-$E$8),$E$8+SQRT(R636*($G$8-$E$8)*($F$8-$E$8)),$G$8-SQRT((1-R636)*($G$8-$E$8)*($G$8-$F$8))))</f>
        <v>1</v>
      </c>
      <c r="E636" s="37" t="n">
        <f aca="false">1+IF($G$9=$E$9,$F$9,IF(S636&lt;($F$9-$E$9)/($G$9-$E$9),$E$9+SQRT(S636*($G$9-$E$9)*($F$9-$E$9)),$G$9-SQRT((1-S636)*($G$9-$E$9)*($G$9-$F$9))))</f>
        <v>1</v>
      </c>
      <c r="F636" s="37" t="n">
        <f aca="false">1+IF($G$10=$E$10,$F$10,IF(T636&lt;($F$10-$E$10)/($G$10-$E$10),$E$10+SQRT(T636*($G$10-$E$10)*($F$10-$E$10)),$G$10-SQRT((1-T636)*($G$10-$E$10)*($G$10-$F$10))))</f>
        <v>1</v>
      </c>
      <c r="G636" s="38" t="n">
        <f aca="false">IF($G$11=$E$11,$F$11,IF(U636&lt;($F$11-$E$11)/($G$11-$E$11),$E$11+SQRT(U636*($G$11-$E$11)*($F$11-$E$11)),$G$11-SQRT((1-U636)*($G$11-$E$11)*($G$11-$F$11))))</f>
        <v>0</v>
      </c>
      <c r="H636" s="39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0</v>
      </c>
      <c r="I636" s="39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0</v>
      </c>
      <c r="J636" s="39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0</v>
      </c>
      <c r="K636" s="39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0</v>
      </c>
      <c r="L636" s="39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0</v>
      </c>
      <c r="M636" s="39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0</v>
      </c>
      <c r="N636" s="39" t="str">
        <f aca="false">IF(COUNT('Business Case'!B11:G11)=0,"",H636+NPV(G636,I636:M636))</f>
        <v/>
      </c>
      <c r="P636" s="40" t="n">
        <f aca="true">RAND()</f>
        <v>0.0448917444777272</v>
      </c>
      <c r="Q636" s="40" t="n">
        <f aca="true">RAND()</f>
        <v>0.309694779716494</v>
      </c>
      <c r="R636" s="40" t="n">
        <f aca="true">RAND()</f>
        <v>0.816438227874823</v>
      </c>
      <c r="S636" s="40" t="n">
        <f aca="true">RAND()</f>
        <v>0.153002933212859</v>
      </c>
      <c r="T636" s="40" t="n">
        <f aca="true">RAND()</f>
        <v>0.498748229952252</v>
      </c>
      <c r="U636" s="40" t="n">
        <f aca="true">RAND()</f>
        <v>0.0647185506132126</v>
      </c>
    </row>
    <row r="637" customFormat="false" ht="15" hidden="false" customHeight="false" outlineLevel="0" collapsed="false">
      <c r="A637" s="36" t="n">
        <v>557</v>
      </c>
      <c r="B637" s="37" t="n">
        <f aca="false">1+IF($G$6=$E$6,$F$6,IF(P637&lt;($F$6-$E$6)/($G$6-$E$6),$E$6+SQRT(P637*($G$6-$E$6)*($F$6-$E$6)),$G$6-SQRT((1-P637)*($G$6-$E$6)*($G$6-$F$6))))</f>
        <v>1</v>
      </c>
      <c r="C637" s="37" t="n">
        <f aca="false">1+IF($G$7=$E$7,$F$7,IF(Q637&lt;($F$7-$E$7)/($G$7-$E$7),$E$7+SQRT(Q637*($G$7-$E$7)*($F$7-$E$7)),$G$7-SQRT((1-Q637)*($G$7-$E$7)*($G$7-$F$7))))</f>
        <v>1</v>
      </c>
      <c r="D637" s="37" t="n">
        <f aca="false">1+IF($G$8=$E$8,$F$8,IF(R637&lt;($F$8-$E$8)/($G$8-$E$8),$E$8+SQRT(R637*($G$8-$E$8)*($F$8-$E$8)),$G$8-SQRT((1-R637)*($G$8-$E$8)*($G$8-$F$8))))</f>
        <v>1</v>
      </c>
      <c r="E637" s="37" t="n">
        <f aca="false">1+IF($G$9=$E$9,$F$9,IF(S637&lt;($F$9-$E$9)/($G$9-$E$9),$E$9+SQRT(S637*($G$9-$E$9)*($F$9-$E$9)),$G$9-SQRT((1-S637)*($G$9-$E$9)*($G$9-$F$9))))</f>
        <v>1</v>
      </c>
      <c r="F637" s="37" t="n">
        <f aca="false">1+IF($G$10=$E$10,$F$10,IF(T637&lt;($F$10-$E$10)/($G$10-$E$10),$E$10+SQRT(T637*($G$10-$E$10)*($F$10-$E$10)),$G$10-SQRT((1-T637)*($G$10-$E$10)*($G$10-$F$10))))</f>
        <v>1</v>
      </c>
      <c r="G637" s="38" t="n">
        <f aca="false">IF($G$11=$E$11,$F$11,IF(U637&lt;($F$11-$E$11)/($G$11-$E$11),$E$11+SQRT(U637*($G$11-$E$11)*($F$11-$E$11)),$G$11-SQRT((1-U637)*($G$11-$E$11)*($G$11-$F$11))))</f>
        <v>0</v>
      </c>
      <c r="H637" s="39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0</v>
      </c>
      <c r="I637" s="39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0</v>
      </c>
      <c r="J637" s="39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0</v>
      </c>
      <c r="K637" s="39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0</v>
      </c>
      <c r="L637" s="39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0</v>
      </c>
      <c r="M637" s="39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0</v>
      </c>
      <c r="N637" s="39" t="str">
        <f aca="false">IF(COUNT('Business Case'!B11:G11)=0,"",H637+NPV(G637,I637:M637))</f>
        <v/>
      </c>
      <c r="P637" s="40" t="n">
        <f aca="true">RAND()</f>
        <v>0.542512652309937</v>
      </c>
      <c r="Q637" s="40" t="n">
        <f aca="true">RAND()</f>
        <v>0.576000453298664</v>
      </c>
      <c r="R637" s="40" t="n">
        <f aca="true">RAND()</f>
        <v>0.26566207153324</v>
      </c>
      <c r="S637" s="40" t="n">
        <f aca="true">RAND()</f>
        <v>0.458308844834207</v>
      </c>
      <c r="T637" s="40" t="n">
        <f aca="true">RAND()</f>
        <v>0.113269423343304</v>
      </c>
      <c r="U637" s="40" t="n">
        <f aca="true">RAND()</f>
        <v>0.718958137096408</v>
      </c>
    </row>
    <row r="638" customFormat="false" ht="15" hidden="false" customHeight="false" outlineLevel="0" collapsed="false">
      <c r="A638" s="36" t="n">
        <v>558</v>
      </c>
      <c r="B638" s="37" t="n">
        <f aca="false">1+IF($G$6=$E$6,$F$6,IF(P638&lt;($F$6-$E$6)/($G$6-$E$6),$E$6+SQRT(P638*($G$6-$E$6)*($F$6-$E$6)),$G$6-SQRT((1-P638)*($G$6-$E$6)*($G$6-$F$6))))</f>
        <v>1</v>
      </c>
      <c r="C638" s="37" t="n">
        <f aca="false">1+IF($G$7=$E$7,$F$7,IF(Q638&lt;($F$7-$E$7)/($G$7-$E$7),$E$7+SQRT(Q638*($G$7-$E$7)*($F$7-$E$7)),$G$7-SQRT((1-Q638)*($G$7-$E$7)*($G$7-$F$7))))</f>
        <v>1</v>
      </c>
      <c r="D638" s="37" t="n">
        <f aca="false">1+IF($G$8=$E$8,$F$8,IF(R638&lt;($F$8-$E$8)/($G$8-$E$8),$E$8+SQRT(R638*($G$8-$E$8)*($F$8-$E$8)),$G$8-SQRT((1-R638)*($G$8-$E$8)*($G$8-$F$8))))</f>
        <v>1</v>
      </c>
      <c r="E638" s="37" t="n">
        <f aca="false">1+IF($G$9=$E$9,$F$9,IF(S638&lt;($F$9-$E$9)/($G$9-$E$9),$E$9+SQRT(S638*($G$9-$E$9)*($F$9-$E$9)),$G$9-SQRT((1-S638)*($G$9-$E$9)*($G$9-$F$9))))</f>
        <v>1</v>
      </c>
      <c r="F638" s="37" t="n">
        <f aca="false">1+IF($G$10=$E$10,$F$10,IF(T638&lt;($F$10-$E$10)/($G$10-$E$10),$E$10+SQRT(T638*($G$10-$E$10)*($F$10-$E$10)),$G$10-SQRT((1-T638)*($G$10-$E$10)*($G$10-$F$10))))</f>
        <v>1</v>
      </c>
      <c r="G638" s="38" t="n">
        <f aca="false">IF($G$11=$E$11,$F$11,IF(U638&lt;($F$11-$E$11)/($G$11-$E$11),$E$11+SQRT(U638*($G$11-$E$11)*($F$11-$E$11)),$G$11-SQRT((1-U638)*($G$11-$E$11)*($G$11-$F$11))))</f>
        <v>0</v>
      </c>
      <c r="H638" s="39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0</v>
      </c>
      <c r="I638" s="39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0</v>
      </c>
      <c r="J638" s="39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0</v>
      </c>
      <c r="K638" s="39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0</v>
      </c>
      <c r="L638" s="39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0</v>
      </c>
      <c r="M638" s="39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0</v>
      </c>
      <c r="N638" s="39" t="str">
        <f aca="false">IF(COUNT('Business Case'!B11:G11)=0,"",H638+NPV(G638,I638:M638))</f>
        <v/>
      </c>
      <c r="P638" s="40" t="n">
        <f aca="true">RAND()</f>
        <v>0.157052277609477</v>
      </c>
      <c r="Q638" s="40" t="n">
        <f aca="true">RAND()</f>
        <v>0.544066763110298</v>
      </c>
      <c r="R638" s="40" t="n">
        <f aca="true">RAND()</f>
        <v>0.315867621981624</v>
      </c>
      <c r="S638" s="40" t="n">
        <f aca="true">RAND()</f>
        <v>0.788082035049119</v>
      </c>
      <c r="T638" s="40" t="n">
        <f aca="true">RAND()</f>
        <v>0.689414429523458</v>
      </c>
      <c r="U638" s="40" t="n">
        <f aca="true">RAND()</f>
        <v>0.337114662351801</v>
      </c>
    </row>
    <row r="639" customFormat="false" ht="15" hidden="false" customHeight="false" outlineLevel="0" collapsed="false">
      <c r="A639" s="36" t="n">
        <v>559</v>
      </c>
      <c r="B639" s="37" t="n">
        <f aca="false">1+IF($G$6=$E$6,$F$6,IF(P639&lt;($F$6-$E$6)/($G$6-$E$6),$E$6+SQRT(P639*($G$6-$E$6)*($F$6-$E$6)),$G$6-SQRT((1-P639)*($G$6-$E$6)*($G$6-$F$6))))</f>
        <v>1</v>
      </c>
      <c r="C639" s="37" t="n">
        <f aca="false">1+IF($G$7=$E$7,$F$7,IF(Q639&lt;($F$7-$E$7)/($G$7-$E$7),$E$7+SQRT(Q639*($G$7-$E$7)*($F$7-$E$7)),$G$7-SQRT((1-Q639)*($G$7-$E$7)*($G$7-$F$7))))</f>
        <v>1</v>
      </c>
      <c r="D639" s="37" t="n">
        <f aca="false">1+IF($G$8=$E$8,$F$8,IF(R639&lt;($F$8-$E$8)/($G$8-$E$8),$E$8+SQRT(R639*($G$8-$E$8)*($F$8-$E$8)),$G$8-SQRT((1-R639)*($G$8-$E$8)*($G$8-$F$8))))</f>
        <v>1</v>
      </c>
      <c r="E639" s="37" t="n">
        <f aca="false">1+IF($G$9=$E$9,$F$9,IF(S639&lt;($F$9-$E$9)/($G$9-$E$9),$E$9+SQRT(S639*($G$9-$E$9)*($F$9-$E$9)),$G$9-SQRT((1-S639)*($G$9-$E$9)*($G$9-$F$9))))</f>
        <v>1</v>
      </c>
      <c r="F639" s="37" t="n">
        <f aca="false">1+IF($G$10=$E$10,$F$10,IF(T639&lt;($F$10-$E$10)/($G$10-$E$10),$E$10+SQRT(T639*($G$10-$E$10)*($F$10-$E$10)),$G$10-SQRT((1-T639)*($G$10-$E$10)*($G$10-$F$10))))</f>
        <v>1</v>
      </c>
      <c r="G639" s="38" t="n">
        <f aca="false">IF($G$11=$E$11,$F$11,IF(U639&lt;($F$11-$E$11)/($G$11-$E$11),$E$11+SQRT(U639*($G$11-$E$11)*($F$11-$E$11)),$G$11-SQRT((1-U639)*($G$11-$E$11)*($G$11-$F$11))))</f>
        <v>0</v>
      </c>
      <c r="H639" s="39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0</v>
      </c>
      <c r="I639" s="39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0</v>
      </c>
      <c r="J639" s="39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0</v>
      </c>
      <c r="K639" s="39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0</v>
      </c>
      <c r="L639" s="39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0</v>
      </c>
      <c r="M639" s="39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0</v>
      </c>
      <c r="N639" s="39" t="str">
        <f aca="false">IF(COUNT('Business Case'!B11:G11)=0,"",H639+NPV(G639,I639:M639))</f>
        <v/>
      </c>
      <c r="P639" s="40" t="n">
        <f aca="true">RAND()</f>
        <v>0.576262665746555</v>
      </c>
      <c r="Q639" s="40" t="n">
        <f aca="true">RAND()</f>
        <v>0.769113098356614</v>
      </c>
      <c r="R639" s="40" t="n">
        <f aca="true">RAND()</f>
        <v>0.42282576871306</v>
      </c>
      <c r="S639" s="40" t="n">
        <f aca="true">RAND()</f>
        <v>0.00564210506441511</v>
      </c>
      <c r="T639" s="40" t="n">
        <f aca="true">RAND()</f>
        <v>0.431628896573656</v>
      </c>
      <c r="U639" s="40" t="n">
        <f aca="true">RAND()</f>
        <v>0.258220645349965</v>
      </c>
    </row>
    <row r="640" customFormat="false" ht="15" hidden="false" customHeight="false" outlineLevel="0" collapsed="false">
      <c r="A640" s="36" t="n">
        <v>560</v>
      </c>
      <c r="B640" s="37" t="n">
        <f aca="false">1+IF($G$6=$E$6,$F$6,IF(P640&lt;($F$6-$E$6)/($G$6-$E$6),$E$6+SQRT(P640*($G$6-$E$6)*($F$6-$E$6)),$G$6-SQRT((1-P640)*($G$6-$E$6)*($G$6-$F$6))))</f>
        <v>1</v>
      </c>
      <c r="C640" s="37" t="n">
        <f aca="false">1+IF($G$7=$E$7,$F$7,IF(Q640&lt;($F$7-$E$7)/($G$7-$E$7),$E$7+SQRT(Q640*($G$7-$E$7)*($F$7-$E$7)),$G$7-SQRT((1-Q640)*($G$7-$E$7)*($G$7-$F$7))))</f>
        <v>1</v>
      </c>
      <c r="D640" s="37" t="n">
        <f aca="false">1+IF($G$8=$E$8,$F$8,IF(R640&lt;($F$8-$E$8)/($G$8-$E$8),$E$8+SQRT(R640*($G$8-$E$8)*($F$8-$E$8)),$G$8-SQRT((1-R640)*($G$8-$E$8)*($G$8-$F$8))))</f>
        <v>1</v>
      </c>
      <c r="E640" s="37" t="n">
        <f aca="false">1+IF($G$9=$E$9,$F$9,IF(S640&lt;($F$9-$E$9)/($G$9-$E$9),$E$9+SQRT(S640*($G$9-$E$9)*($F$9-$E$9)),$G$9-SQRT((1-S640)*($G$9-$E$9)*($G$9-$F$9))))</f>
        <v>1</v>
      </c>
      <c r="F640" s="37" t="n">
        <f aca="false">1+IF($G$10=$E$10,$F$10,IF(T640&lt;($F$10-$E$10)/($G$10-$E$10),$E$10+SQRT(T640*($G$10-$E$10)*($F$10-$E$10)),$G$10-SQRT((1-T640)*($G$10-$E$10)*($G$10-$F$10))))</f>
        <v>1</v>
      </c>
      <c r="G640" s="38" t="n">
        <f aca="false">IF($G$11=$E$11,$F$11,IF(U640&lt;($F$11-$E$11)/($G$11-$E$11),$E$11+SQRT(U640*($G$11-$E$11)*($F$11-$E$11)),$G$11-SQRT((1-U640)*($G$11-$E$11)*($G$11-$F$11))))</f>
        <v>0</v>
      </c>
      <c r="H640" s="39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0</v>
      </c>
      <c r="I640" s="39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0</v>
      </c>
      <c r="J640" s="39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0</v>
      </c>
      <c r="K640" s="39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0</v>
      </c>
      <c r="L640" s="39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0</v>
      </c>
      <c r="M640" s="39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0</v>
      </c>
      <c r="N640" s="39" t="str">
        <f aca="false">IF(COUNT('Business Case'!B11:G11)=0,"",H640+NPV(G640,I640:M640))</f>
        <v/>
      </c>
      <c r="P640" s="40" t="n">
        <f aca="true">RAND()</f>
        <v>0.630165336566709</v>
      </c>
      <c r="Q640" s="40" t="n">
        <f aca="true">RAND()</f>
        <v>0.986247120130892</v>
      </c>
      <c r="R640" s="40" t="n">
        <f aca="true">RAND()</f>
        <v>0.746747241533867</v>
      </c>
      <c r="S640" s="40" t="n">
        <f aca="true">RAND()</f>
        <v>0.59469485187334</v>
      </c>
      <c r="T640" s="40" t="n">
        <f aca="true">RAND()</f>
        <v>0.808394838523856</v>
      </c>
      <c r="U640" s="40" t="n">
        <f aca="true">RAND()</f>
        <v>0.277663235168427</v>
      </c>
    </row>
    <row r="641" customFormat="false" ht="15" hidden="false" customHeight="false" outlineLevel="0" collapsed="false">
      <c r="A641" s="36" t="n">
        <v>561</v>
      </c>
      <c r="B641" s="37" t="n">
        <f aca="false">1+IF($G$6=$E$6,$F$6,IF(P641&lt;($F$6-$E$6)/($G$6-$E$6),$E$6+SQRT(P641*($G$6-$E$6)*($F$6-$E$6)),$G$6-SQRT((1-P641)*($G$6-$E$6)*($G$6-$F$6))))</f>
        <v>1</v>
      </c>
      <c r="C641" s="37" t="n">
        <f aca="false">1+IF($G$7=$E$7,$F$7,IF(Q641&lt;($F$7-$E$7)/($G$7-$E$7),$E$7+SQRT(Q641*($G$7-$E$7)*($F$7-$E$7)),$G$7-SQRT((1-Q641)*($G$7-$E$7)*($G$7-$F$7))))</f>
        <v>1</v>
      </c>
      <c r="D641" s="37" t="n">
        <f aca="false">1+IF($G$8=$E$8,$F$8,IF(R641&lt;($F$8-$E$8)/($G$8-$E$8),$E$8+SQRT(R641*($G$8-$E$8)*($F$8-$E$8)),$G$8-SQRT((1-R641)*($G$8-$E$8)*($G$8-$F$8))))</f>
        <v>1</v>
      </c>
      <c r="E641" s="37" t="n">
        <f aca="false">1+IF($G$9=$E$9,$F$9,IF(S641&lt;($F$9-$E$9)/($G$9-$E$9),$E$9+SQRT(S641*($G$9-$E$9)*($F$9-$E$9)),$G$9-SQRT((1-S641)*($G$9-$E$9)*($G$9-$F$9))))</f>
        <v>1</v>
      </c>
      <c r="F641" s="37" t="n">
        <f aca="false">1+IF($G$10=$E$10,$F$10,IF(T641&lt;($F$10-$E$10)/($G$10-$E$10),$E$10+SQRT(T641*($G$10-$E$10)*($F$10-$E$10)),$G$10-SQRT((1-T641)*($G$10-$E$10)*($G$10-$F$10))))</f>
        <v>1</v>
      </c>
      <c r="G641" s="38" t="n">
        <f aca="false">IF($G$11=$E$11,$F$11,IF(U641&lt;($F$11-$E$11)/($G$11-$E$11),$E$11+SQRT(U641*($G$11-$E$11)*($F$11-$E$11)),$G$11-SQRT((1-U641)*($G$11-$E$11)*($G$11-$F$11))))</f>
        <v>0</v>
      </c>
      <c r="H641" s="39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0</v>
      </c>
      <c r="I641" s="39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0</v>
      </c>
      <c r="J641" s="39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0</v>
      </c>
      <c r="K641" s="39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0</v>
      </c>
      <c r="L641" s="39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0</v>
      </c>
      <c r="M641" s="39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0</v>
      </c>
      <c r="N641" s="39" t="str">
        <f aca="false">IF(COUNT('Business Case'!B11:G11)=0,"",H641+NPV(G641,I641:M641))</f>
        <v/>
      </c>
      <c r="P641" s="40" t="n">
        <f aca="true">RAND()</f>
        <v>0.353117637808822</v>
      </c>
      <c r="Q641" s="40" t="n">
        <f aca="true">RAND()</f>
        <v>0.324817668351218</v>
      </c>
      <c r="R641" s="40" t="n">
        <f aca="true">RAND()</f>
        <v>0.631245182494224</v>
      </c>
      <c r="S641" s="40" t="n">
        <f aca="true">RAND()</f>
        <v>0.8413999605972</v>
      </c>
      <c r="T641" s="40" t="n">
        <f aca="true">RAND()</f>
        <v>0.0494898177630382</v>
      </c>
      <c r="U641" s="40" t="n">
        <f aca="true">RAND()</f>
        <v>0.52871031715108</v>
      </c>
    </row>
    <row r="642" customFormat="false" ht="15" hidden="false" customHeight="false" outlineLevel="0" collapsed="false">
      <c r="A642" s="36" t="n">
        <v>562</v>
      </c>
      <c r="B642" s="37" t="n">
        <f aca="false">1+IF($G$6=$E$6,$F$6,IF(P642&lt;($F$6-$E$6)/($G$6-$E$6),$E$6+SQRT(P642*($G$6-$E$6)*($F$6-$E$6)),$G$6-SQRT((1-P642)*($G$6-$E$6)*($G$6-$F$6))))</f>
        <v>1</v>
      </c>
      <c r="C642" s="37" t="n">
        <f aca="false">1+IF($G$7=$E$7,$F$7,IF(Q642&lt;($F$7-$E$7)/($G$7-$E$7),$E$7+SQRT(Q642*($G$7-$E$7)*($F$7-$E$7)),$G$7-SQRT((1-Q642)*($G$7-$E$7)*($G$7-$F$7))))</f>
        <v>1</v>
      </c>
      <c r="D642" s="37" t="n">
        <f aca="false">1+IF($G$8=$E$8,$F$8,IF(R642&lt;($F$8-$E$8)/($G$8-$E$8),$E$8+SQRT(R642*($G$8-$E$8)*($F$8-$E$8)),$G$8-SQRT((1-R642)*($G$8-$E$8)*($G$8-$F$8))))</f>
        <v>1</v>
      </c>
      <c r="E642" s="37" t="n">
        <f aca="false">1+IF($G$9=$E$9,$F$9,IF(S642&lt;($F$9-$E$9)/($G$9-$E$9),$E$9+SQRT(S642*($G$9-$E$9)*($F$9-$E$9)),$G$9-SQRT((1-S642)*($G$9-$E$9)*($G$9-$F$9))))</f>
        <v>1</v>
      </c>
      <c r="F642" s="37" t="n">
        <f aca="false">1+IF($G$10=$E$10,$F$10,IF(T642&lt;($F$10-$E$10)/($G$10-$E$10),$E$10+SQRT(T642*($G$10-$E$10)*($F$10-$E$10)),$G$10-SQRT((1-T642)*($G$10-$E$10)*($G$10-$F$10))))</f>
        <v>1</v>
      </c>
      <c r="G642" s="38" t="n">
        <f aca="false">IF($G$11=$E$11,$F$11,IF(U642&lt;($F$11-$E$11)/($G$11-$E$11),$E$11+SQRT(U642*($G$11-$E$11)*($F$11-$E$11)),$G$11-SQRT((1-U642)*($G$11-$E$11)*($G$11-$F$11))))</f>
        <v>0</v>
      </c>
      <c r="H642" s="39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0</v>
      </c>
      <c r="I642" s="39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0</v>
      </c>
      <c r="J642" s="39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0</v>
      </c>
      <c r="K642" s="39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0</v>
      </c>
      <c r="L642" s="39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0</v>
      </c>
      <c r="M642" s="39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0</v>
      </c>
      <c r="N642" s="39" t="str">
        <f aca="false">IF(COUNT('Business Case'!B11:G11)=0,"",H642+NPV(G642,I642:M642))</f>
        <v/>
      </c>
      <c r="P642" s="40" t="n">
        <f aca="true">RAND()</f>
        <v>0.176484428297397</v>
      </c>
      <c r="Q642" s="40" t="n">
        <f aca="true">RAND()</f>
        <v>0.507272618030869</v>
      </c>
      <c r="R642" s="40" t="n">
        <f aca="true">RAND()</f>
        <v>0.464235771764294</v>
      </c>
      <c r="S642" s="40" t="n">
        <f aca="true">RAND()</f>
        <v>0.141653199331094</v>
      </c>
      <c r="T642" s="40" t="n">
        <f aca="true">RAND()</f>
        <v>0.958467837638804</v>
      </c>
      <c r="U642" s="40" t="n">
        <f aca="true">RAND()</f>
        <v>0.632007333585716</v>
      </c>
    </row>
    <row r="643" customFormat="false" ht="15" hidden="false" customHeight="false" outlineLevel="0" collapsed="false">
      <c r="A643" s="36" t="n">
        <v>563</v>
      </c>
      <c r="B643" s="37" t="n">
        <f aca="false">1+IF($G$6=$E$6,$F$6,IF(P643&lt;($F$6-$E$6)/($G$6-$E$6),$E$6+SQRT(P643*($G$6-$E$6)*($F$6-$E$6)),$G$6-SQRT((1-P643)*($G$6-$E$6)*($G$6-$F$6))))</f>
        <v>1</v>
      </c>
      <c r="C643" s="37" t="n">
        <f aca="false">1+IF($G$7=$E$7,$F$7,IF(Q643&lt;($F$7-$E$7)/($G$7-$E$7),$E$7+SQRT(Q643*($G$7-$E$7)*($F$7-$E$7)),$G$7-SQRT((1-Q643)*($G$7-$E$7)*($G$7-$F$7))))</f>
        <v>1</v>
      </c>
      <c r="D643" s="37" t="n">
        <f aca="false">1+IF($G$8=$E$8,$F$8,IF(R643&lt;($F$8-$E$8)/($G$8-$E$8),$E$8+SQRT(R643*($G$8-$E$8)*($F$8-$E$8)),$G$8-SQRT((1-R643)*($G$8-$E$8)*($G$8-$F$8))))</f>
        <v>1</v>
      </c>
      <c r="E643" s="37" t="n">
        <f aca="false">1+IF($G$9=$E$9,$F$9,IF(S643&lt;($F$9-$E$9)/($G$9-$E$9),$E$9+SQRT(S643*($G$9-$E$9)*($F$9-$E$9)),$G$9-SQRT((1-S643)*($G$9-$E$9)*($G$9-$F$9))))</f>
        <v>1</v>
      </c>
      <c r="F643" s="37" t="n">
        <f aca="false">1+IF($G$10=$E$10,$F$10,IF(T643&lt;($F$10-$E$10)/($G$10-$E$10),$E$10+SQRT(T643*($G$10-$E$10)*($F$10-$E$10)),$G$10-SQRT((1-T643)*($G$10-$E$10)*($G$10-$F$10))))</f>
        <v>1</v>
      </c>
      <c r="G643" s="38" t="n">
        <f aca="false">IF($G$11=$E$11,$F$11,IF(U643&lt;($F$11-$E$11)/($G$11-$E$11),$E$11+SQRT(U643*($G$11-$E$11)*($F$11-$E$11)),$G$11-SQRT((1-U643)*($G$11-$E$11)*($G$11-$F$11))))</f>
        <v>0</v>
      </c>
      <c r="H643" s="39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0</v>
      </c>
      <c r="I643" s="39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0</v>
      </c>
      <c r="J643" s="39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0</v>
      </c>
      <c r="K643" s="39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0</v>
      </c>
      <c r="L643" s="39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0</v>
      </c>
      <c r="M643" s="39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0</v>
      </c>
      <c r="N643" s="39" t="str">
        <f aca="false">IF(COUNT('Business Case'!B11:G11)=0,"",H643+NPV(G643,I643:M643))</f>
        <v/>
      </c>
      <c r="P643" s="40" t="n">
        <f aca="true">RAND()</f>
        <v>0.549662376873316</v>
      </c>
      <c r="Q643" s="40" t="n">
        <f aca="true">RAND()</f>
        <v>0.42235423591392</v>
      </c>
      <c r="R643" s="40" t="n">
        <f aca="true">RAND()</f>
        <v>0.790702896219051</v>
      </c>
      <c r="S643" s="40" t="n">
        <f aca="true">RAND()</f>
        <v>0.0851099836439556</v>
      </c>
      <c r="T643" s="40" t="n">
        <f aca="true">RAND()</f>
        <v>0.361350439251307</v>
      </c>
      <c r="U643" s="40" t="n">
        <f aca="true">RAND()</f>
        <v>0.266339027098486</v>
      </c>
    </row>
    <row r="644" customFormat="false" ht="15" hidden="false" customHeight="false" outlineLevel="0" collapsed="false">
      <c r="A644" s="36" t="n">
        <v>564</v>
      </c>
      <c r="B644" s="37" t="n">
        <f aca="false">1+IF($G$6=$E$6,$F$6,IF(P644&lt;($F$6-$E$6)/($G$6-$E$6),$E$6+SQRT(P644*($G$6-$E$6)*($F$6-$E$6)),$G$6-SQRT((1-P644)*($G$6-$E$6)*($G$6-$F$6))))</f>
        <v>1</v>
      </c>
      <c r="C644" s="37" t="n">
        <f aca="false">1+IF($G$7=$E$7,$F$7,IF(Q644&lt;($F$7-$E$7)/($G$7-$E$7),$E$7+SQRT(Q644*($G$7-$E$7)*($F$7-$E$7)),$G$7-SQRT((1-Q644)*($G$7-$E$7)*($G$7-$F$7))))</f>
        <v>1</v>
      </c>
      <c r="D644" s="37" t="n">
        <f aca="false">1+IF($G$8=$E$8,$F$8,IF(R644&lt;($F$8-$E$8)/($G$8-$E$8),$E$8+SQRT(R644*($G$8-$E$8)*($F$8-$E$8)),$G$8-SQRT((1-R644)*($G$8-$E$8)*($G$8-$F$8))))</f>
        <v>1</v>
      </c>
      <c r="E644" s="37" t="n">
        <f aca="false">1+IF($G$9=$E$9,$F$9,IF(S644&lt;($F$9-$E$9)/($G$9-$E$9),$E$9+SQRT(S644*($G$9-$E$9)*($F$9-$E$9)),$G$9-SQRT((1-S644)*($G$9-$E$9)*($G$9-$F$9))))</f>
        <v>1</v>
      </c>
      <c r="F644" s="37" t="n">
        <f aca="false">1+IF($G$10=$E$10,$F$10,IF(T644&lt;($F$10-$E$10)/($G$10-$E$10),$E$10+SQRT(T644*($G$10-$E$10)*($F$10-$E$10)),$G$10-SQRT((1-T644)*($G$10-$E$10)*($G$10-$F$10))))</f>
        <v>1</v>
      </c>
      <c r="G644" s="38" t="n">
        <f aca="false">IF($G$11=$E$11,$F$11,IF(U644&lt;($F$11-$E$11)/($G$11-$E$11),$E$11+SQRT(U644*($G$11-$E$11)*($F$11-$E$11)),$G$11-SQRT((1-U644)*($G$11-$E$11)*($G$11-$F$11))))</f>
        <v>0</v>
      </c>
      <c r="H644" s="39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0</v>
      </c>
      <c r="I644" s="39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0</v>
      </c>
      <c r="J644" s="39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0</v>
      </c>
      <c r="K644" s="39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0</v>
      </c>
      <c r="L644" s="39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0</v>
      </c>
      <c r="M644" s="39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0</v>
      </c>
      <c r="N644" s="39" t="str">
        <f aca="false">IF(COUNT('Business Case'!B11:G11)=0,"",H644+NPV(G644,I644:M644))</f>
        <v/>
      </c>
      <c r="P644" s="40" t="n">
        <f aca="true">RAND()</f>
        <v>0.597402256046205</v>
      </c>
      <c r="Q644" s="40" t="n">
        <f aca="true">RAND()</f>
        <v>0.411151047068497</v>
      </c>
      <c r="R644" s="40" t="n">
        <f aca="true">RAND()</f>
        <v>0.522428984082224</v>
      </c>
      <c r="S644" s="40" t="n">
        <f aca="true">RAND()</f>
        <v>0.895621962851798</v>
      </c>
      <c r="T644" s="40" t="n">
        <f aca="true">RAND()</f>
        <v>0.521365582897295</v>
      </c>
      <c r="U644" s="40" t="n">
        <f aca="true">RAND()</f>
        <v>0.898232688059326</v>
      </c>
    </row>
    <row r="645" customFormat="false" ht="15" hidden="false" customHeight="false" outlineLevel="0" collapsed="false">
      <c r="A645" s="36" t="n">
        <v>565</v>
      </c>
      <c r="B645" s="37" t="n">
        <f aca="false">1+IF($G$6=$E$6,$F$6,IF(P645&lt;($F$6-$E$6)/($G$6-$E$6),$E$6+SQRT(P645*($G$6-$E$6)*($F$6-$E$6)),$G$6-SQRT((1-P645)*($G$6-$E$6)*($G$6-$F$6))))</f>
        <v>1</v>
      </c>
      <c r="C645" s="37" t="n">
        <f aca="false">1+IF($G$7=$E$7,$F$7,IF(Q645&lt;($F$7-$E$7)/($G$7-$E$7),$E$7+SQRT(Q645*($G$7-$E$7)*($F$7-$E$7)),$G$7-SQRT((1-Q645)*($G$7-$E$7)*($G$7-$F$7))))</f>
        <v>1</v>
      </c>
      <c r="D645" s="37" t="n">
        <f aca="false">1+IF($G$8=$E$8,$F$8,IF(R645&lt;($F$8-$E$8)/($G$8-$E$8),$E$8+SQRT(R645*($G$8-$E$8)*($F$8-$E$8)),$G$8-SQRT((1-R645)*($G$8-$E$8)*($G$8-$F$8))))</f>
        <v>1</v>
      </c>
      <c r="E645" s="37" t="n">
        <f aca="false">1+IF($G$9=$E$9,$F$9,IF(S645&lt;($F$9-$E$9)/($G$9-$E$9),$E$9+SQRT(S645*($G$9-$E$9)*($F$9-$E$9)),$G$9-SQRT((1-S645)*($G$9-$E$9)*($G$9-$F$9))))</f>
        <v>1</v>
      </c>
      <c r="F645" s="37" t="n">
        <f aca="false">1+IF($G$10=$E$10,$F$10,IF(T645&lt;($F$10-$E$10)/($G$10-$E$10),$E$10+SQRT(T645*($G$10-$E$10)*($F$10-$E$10)),$G$10-SQRT((1-T645)*($G$10-$E$10)*($G$10-$F$10))))</f>
        <v>1</v>
      </c>
      <c r="G645" s="38" t="n">
        <f aca="false">IF($G$11=$E$11,$F$11,IF(U645&lt;($F$11-$E$11)/($G$11-$E$11),$E$11+SQRT(U645*($G$11-$E$11)*($F$11-$E$11)),$G$11-SQRT((1-U645)*($G$11-$E$11)*($G$11-$F$11))))</f>
        <v>0</v>
      </c>
      <c r="H645" s="39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0</v>
      </c>
      <c r="I645" s="39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0</v>
      </c>
      <c r="J645" s="39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0</v>
      </c>
      <c r="K645" s="39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0</v>
      </c>
      <c r="L645" s="39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0</v>
      </c>
      <c r="M645" s="39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0</v>
      </c>
      <c r="N645" s="39" t="str">
        <f aca="false">IF(COUNT('Business Case'!B11:G11)=0,"",H645+NPV(G645,I645:M645))</f>
        <v/>
      </c>
      <c r="P645" s="40" t="n">
        <f aca="true">RAND()</f>
        <v>0.853194099372914</v>
      </c>
      <c r="Q645" s="40" t="n">
        <f aca="true">RAND()</f>
        <v>0.364656686786839</v>
      </c>
      <c r="R645" s="40" t="n">
        <f aca="true">RAND()</f>
        <v>0.909958770689362</v>
      </c>
      <c r="S645" s="40" t="n">
        <f aca="true">RAND()</f>
        <v>0.0616015796267539</v>
      </c>
      <c r="T645" s="40" t="n">
        <f aca="true">RAND()</f>
        <v>0.236186209913675</v>
      </c>
      <c r="U645" s="40" t="n">
        <f aca="true">RAND()</f>
        <v>0.532036420628713</v>
      </c>
    </row>
    <row r="646" customFormat="false" ht="15" hidden="false" customHeight="false" outlineLevel="0" collapsed="false">
      <c r="A646" s="36" t="n">
        <v>566</v>
      </c>
      <c r="B646" s="37" t="n">
        <f aca="false">1+IF($G$6=$E$6,$F$6,IF(P646&lt;($F$6-$E$6)/($G$6-$E$6),$E$6+SQRT(P646*($G$6-$E$6)*($F$6-$E$6)),$G$6-SQRT((1-P646)*($G$6-$E$6)*($G$6-$F$6))))</f>
        <v>1</v>
      </c>
      <c r="C646" s="37" t="n">
        <f aca="false">1+IF($G$7=$E$7,$F$7,IF(Q646&lt;($F$7-$E$7)/($G$7-$E$7),$E$7+SQRT(Q646*($G$7-$E$7)*($F$7-$E$7)),$G$7-SQRT((1-Q646)*($G$7-$E$7)*($G$7-$F$7))))</f>
        <v>1</v>
      </c>
      <c r="D646" s="37" t="n">
        <f aca="false">1+IF($G$8=$E$8,$F$8,IF(R646&lt;($F$8-$E$8)/($G$8-$E$8),$E$8+SQRT(R646*($G$8-$E$8)*($F$8-$E$8)),$G$8-SQRT((1-R646)*($G$8-$E$8)*($G$8-$F$8))))</f>
        <v>1</v>
      </c>
      <c r="E646" s="37" t="n">
        <f aca="false">1+IF($G$9=$E$9,$F$9,IF(S646&lt;($F$9-$E$9)/($G$9-$E$9),$E$9+SQRT(S646*($G$9-$E$9)*($F$9-$E$9)),$G$9-SQRT((1-S646)*($G$9-$E$9)*($G$9-$F$9))))</f>
        <v>1</v>
      </c>
      <c r="F646" s="37" t="n">
        <f aca="false">1+IF($G$10=$E$10,$F$10,IF(T646&lt;($F$10-$E$10)/($G$10-$E$10),$E$10+SQRT(T646*($G$10-$E$10)*($F$10-$E$10)),$G$10-SQRT((1-T646)*($G$10-$E$10)*($G$10-$F$10))))</f>
        <v>1</v>
      </c>
      <c r="G646" s="38" t="n">
        <f aca="false">IF($G$11=$E$11,$F$11,IF(U646&lt;($F$11-$E$11)/($G$11-$E$11),$E$11+SQRT(U646*($G$11-$E$11)*($F$11-$E$11)),$G$11-SQRT((1-U646)*($G$11-$E$11)*($G$11-$F$11))))</f>
        <v>0</v>
      </c>
      <c r="H646" s="39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0</v>
      </c>
      <c r="I646" s="39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0</v>
      </c>
      <c r="J646" s="39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0</v>
      </c>
      <c r="K646" s="39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0</v>
      </c>
      <c r="L646" s="39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0</v>
      </c>
      <c r="M646" s="39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0</v>
      </c>
      <c r="N646" s="39" t="str">
        <f aca="false">IF(COUNT('Business Case'!B11:G11)=0,"",H646+NPV(G646,I646:M646))</f>
        <v/>
      </c>
      <c r="P646" s="40" t="n">
        <f aca="true">RAND()</f>
        <v>0.773886928567892</v>
      </c>
      <c r="Q646" s="40" t="n">
        <f aca="true">RAND()</f>
        <v>0.739061716073503</v>
      </c>
      <c r="R646" s="40" t="n">
        <f aca="true">RAND()</f>
        <v>0.787565388478252</v>
      </c>
      <c r="S646" s="40" t="n">
        <f aca="true">RAND()</f>
        <v>0.636897850732418</v>
      </c>
      <c r="T646" s="40" t="n">
        <f aca="true">RAND()</f>
        <v>0.106789598450721</v>
      </c>
      <c r="U646" s="40" t="n">
        <f aca="true">RAND()</f>
        <v>0.731759978382672</v>
      </c>
    </row>
    <row r="647" customFormat="false" ht="15" hidden="false" customHeight="false" outlineLevel="0" collapsed="false">
      <c r="A647" s="36" t="n">
        <v>567</v>
      </c>
      <c r="B647" s="37" t="n">
        <f aca="false">1+IF($G$6=$E$6,$F$6,IF(P647&lt;($F$6-$E$6)/($G$6-$E$6),$E$6+SQRT(P647*($G$6-$E$6)*($F$6-$E$6)),$G$6-SQRT((1-P647)*($G$6-$E$6)*($G$6-$F$6))))</f>
        <v>1</v>
      </c>
      <c r="C647" s="37" t="n">
        <f aca="false">1+IF($G$7=$E$7,$F$7,IF(Q647&lt;($F$7-$E$7)/($G$7-$E$7),$E$7+SQRT(Q647*($G$7-$E$7)*($F$7-$E$7)),$G$7-SQRT((1-Q647)*($G$7-$E$7)*($G$7-$F$7))))</f>
        <v>1</v>
      </c>
      <c r="D647" s="37" t="n">
        <f aca="false">1+IF($G$8=$E$8,$F$8,IF(R647&lt;($F$8-$E$8)/($G$8-$E$8),$E$8+SQRT(R647*($G$8-$E$8)*($F$8-$E$8)),$G$8-SQRT((1-R647)*($G$8-$E$8)*($G$8-$F$8))))</f>
        <v>1</v>
      </c>
      <c r="E647" s="37" t="n">
        <f aca="false">1+IF($G$9=$E$9,$F$9,IF(S647&lt;($F$9-$E$9)/($G$9-$E$9),$E$9+SQRT(S647*($G$9-$E$9)*($F$9-$E$9)),$G$9-SQRT((1-S647)*($G$9-$E$9)*($G$9-$F$9))))</f>
        <v>1</v>
      </c>
      <c r="F647" s="37" t="n">
        <f aca="false">1+IF($G$10=$E$10,$F$10,IF(T647&lt;($F$10-$E$10)/($G$10-$E$10),$E$10+SQRT(T647*($G$10-$E$10)*($F$10-$E$10)),$G$10-SQRT((1-T647)*($G$10-$E$10)*($G$10-$F$10))))</f>
        <v>1</v>
      </c>
      <c r="G647" s="38" t="n">
        <f aca="false">IF($G$11=$E$11,$F$11,IF(U647&lt;($F$11-$E$11)/($G$11-$E$11),$E$11+SQRT(U647*($G$11-$E$11)*($F$11-$E$11)),$G$11-SQRT((1-U647)*($G$11-$E$11)*($G$11-$F$11))))</f>
        <v>0</v>
      </c>
      <c r="H647" s="39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0</v>
      </c>
      <c r="I647" s="39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0</v>
      </c>
      <c r="J647" s="39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0</v>
      </c>
      <c r="K647" s="39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0</v>
      </c>
      <c r="L647" s="39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0</v>
      </c>
      <c r="M647" s="39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0</v>
      </c>
      <c r="N647" s="39" t="str">
        <f aca="false">IF(COUNT('Business Case'!B11:G11)=0,"",H647+NPV(G647,I647:M647))</f>
        <v/>
      </c>
      <c r="P647" s="40" t="n">
        <f aca="true">RAND()</f>
        <v>0.860099633592097</v>
      </c>
      <c r="Q647" s="40" t="n">
        <f aca="true">RAND()</f>
        <v>0.393805499564813</v>
      </c>
      <c r="R647" s="40" t="n">
        <f aca="true">RAND()</f>
        <v>0.169216652346255</v>
      </c>
      <c r="S647" s="40" t="n">
        <f aca="true">RAND()</f>
        <v>0.421903063563953</v>
      </c>
      <c r="T647" s="40" t="n">
        <f aca="true">RAND()</f>
        <v>0.47302053913229</v>
      </c>
      <c r="U647" s="40" t="n">
        <f aca="true">RAND()</f>
        <v>0.0331553978602277</v>
      </c>
    </row>
    <row r="648" customFormat="false" ht="15" hidden="false" customHeight="false" outlineLevel="0" collapsed="false">
      <c r="A648" s="36" t="n">
        <v>568</v>
      </c>
      <c r="B648" s="37" t="n">
        <f aca="false">1+IF($G$6=$E$6,$F$6,IF(P648&lt;($F$6-$E$6)/($G$6-$E$6),$E$6+SQRT(P648*($G$6-$E$6)*($F$6-$E$6)),$G$6-SQRT((1-P648)*($G$6-$E$6)*($G$6-$F$6))))</f>
        <v>1</v>
      </c>
      <c r="C648" s="37" t="n">
        <f aca="false">1+IF($G$7=$E$7,$F$7,IF(Q648&lt;($F$7-$E$7)/($G$7-$E$7),$E$7+SQRT(Q648*($G$7-$E$7)*($F$7-$E$7)),$G$7-SQRT((1-Q648)*($G$7-$E$7)*($G$7-$F$7))))</f>
        <v>1</v>
      </c>
      <c r="D648" s="37" t="n">
        <f aca="false">1+IF($G$8=$E$8,$F$8,IF(R648&lt;($F$8-$E$8)/($G$8-$E$8),$E$8+SQRT(R648*($G$8-$E$8)*($F$8-$E$8)),$G$8-SQRT((1-R648)*($G$8-$E$8)*($G$8-$F$8))))</f>
        <v>1</v>
      </c>
      <c r="E648" s="37" t="n">
        <f aca="false">1+IF($G$9=$E$9,$F$9,IF(S648&lt;($F$9-$E$9)/($G$9-$E$9),$E$9+SQRT(S648*($G$9-$E$9)*($F$9-$E$9)),$G$9-SQRT((1-S648)*($G$9-$E$9)*($G$9-$F$9))))</f>
        <v>1</v>
      </c>
      <c r="F648" s="37" t="n">
        <f aca="false">1+IF($G$10=$E$10,$F$10,IF(T648&lt;($F$10-$E$10)/($G$10-$E$10),$E$10+SQRT(T648*($G$10-$E$10)*($F$10-$E$10)),$G$10-SQRT((1-T648)*($G$10-$E$10)*($G$10-$F$10))))</f>
        <v>1</v>
      </c>
      <c r="G648" s="38" t="n">
        <f aca="false">IF($G$11=$E$11,$F$11,IF(U648&lt;($F$11-$E$11)/($G$11-$E$11),$E$11+SQRT(U648*($G$11-$E$11)*($F$11-$E$11)),$G$11-SQRT((1-U648)*($G$11-$E$11)*($G$11-$F$11))))</f>
        <v>0</v>
      </c>
      <c r="H648" s="39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0</v>
      </c>
      <c r="I648" s="39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0</v>
      </c>
      <c r="J648" s="39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0</v>
      </c>
      <c r="K648" s="39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0</v>
      </c>
      <c r="L648" s="39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0</v>
      </c>
      <c r="M648" s="39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0</v>
      </c>
      <c r="N648" s="39" t="str">
        <f aca="false">IF(COUNT('Business Case'!B11:G11)=0,"",H648+NPV(G648,I648:M648))</f>
        <v/>
      </c>
      <c r="P648" s="40" t="n">
        <f aca="true">RAND()</f>
        <v>0.27332051479983</v>
      </c>
      <c r="Q648" s="40" t="n">
        <f aca="true">RAND()</f>
        <v>0.385930710224279</v>
      </c>
      <c r="R648" s="40" t="n">
        <f aca="true">RAND()</f>
        <v>0.704649783516457</v>
      </c>
      <c r="S648" s="40" t="n">
        <f aca="true">RAND()</f>
        <v>0.241934471838831</v>
      </c>
      <c r="T648" s="40" t="n">
        <f aca="true">RAND()</f>
        <v>0.927521491396192</v>
      </c>
      <c r="U648" s="40" t="n">
        <f aca="true">RAND()</f>
        <v>0.0867896015675224</v>
      </c>
    </row>
    <row r="649" customFormat="false" ht="15" hidden="false" customHeight="false" outlineLevel="0" collapsed="false">
      <c r="A649" s="36" t="n">
        <v>569</v>
      </c>
      <c r="B649" s="37" t="n">
        <f aca="false">1+IF($G$6=$E$6,$F$6,IF(P649&lt;($F$6-$E$6)/($G$6-$E$6),$E$6+SQRT(P649*($G$6-$E$6)*($F$6-$E$6)),$G$6-SQRT((1-P649)*($G$6-$E$6)*($G$6-$F$6))))</f>
        <v>1</v>
      </c>
      <c r="C649" s="37" t="n">
        <f aca="false">1+IF($G$7=$E$7,$F$7,IF(Q649&lt;($F$7-$E$7)/($G$7-$E$7),$E$7+SQRT(Q649*($G$7-$E$7)*($F$7-$E$7)),$G$7-SQRT((1-Q649)*($G$7-$E$7)*($G$7-$F$7))))</f>
        <v>1</v>
      </c>
      <c r="D649" s="37" t="n">
        <f aca="false">1+IF($G$8=$E$8,$F$8,IF(R649&lt;($F$8-$E$8)/($G$8-$E$8),$E$8+SQRT(R649*($G$8-$E$8)*($F$8-$E$8)),$G$8-SQRT((1-R649)*($G$8-$E$8)*($G$8-$F$8))))</f>
        <v>1</v>
      </c>
      <c r="E649" s="37" t="n">
        <f aca="false">1+IF($G$9=$E$9,$F$9,IF(S649&lt;($F$9-$E$9)/($G$9-$E$9),$E$9+SQRT(S649*($G$9-$E$9)*($F$9-$E$9)),$G$9-SQRT((1-S649)*($G$9-$E$9)*($G$9-$F$9))))</f>
        <v>1</v>
      </c>
      <c r="F649" s="37" t="n">
        <f aca="false">1+IF($G$10=$E$10,$F$10,IF(T649&lt;($F$10-$E$10)/($G$10-$E$10),$E$10+SQRT(T649*($G$10-$E$10)*($F$10-$E$10)),$G$10-SQRT((1-T649)*($G$10-$E$10)*($G$10-$F$10))))</f>
        <v>1</v>
      </c>
      <c r="G649" s="38" t="n">
        <f aca="false">IF($G$11=$E$11,$F$11,IF(U649&lt;($F$11-$E$11)/($G$11-$E$11),$E$11+SQRT(U649*($G$11-$E$11)*($F$11-$E$11)),$G$11-SQRT((1-U649)*($G$11-$E$11)*($G$11-$F$11))))</f>
        <v>0</v>
      </c>
      <c r="H649" s="39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0</v>
      </c>
      <c r="I649" s="39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0</v>
      </c>
      <c r="J649" s="39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0</v>
      </c>
      <c r="K649" s="39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0</v>
      </c>
      <c r="L649" s="39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0</v>
      </c>
      <c r="M649" s="39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0</v>
      </c>
      <c r="N649" s="39" t="str">
        <f aca="false">IF(COUNT('Business Case'!B11:G11)=0,"",H649+NPV(G649,I649:M649))</f>
        <v/>
      </c>
      <c r="P649" s="40" t="n">
        <f aca="true">RAND()</f>
        <v>0.583077693916023</v>
      </c>
      <c r="Q649" s="40" t="n">
        <f aca="true">RAND()</f>
        <v>0.0345472216759204</v>
      </c>
      <c r="R649" s="40" t="n">
        <f aca="true">RAND()</f>
        <v>0.690618115682123</v>
      </c>
      <c r="S649" s="40" t="n">
        <f aca="true">RAND()</f>
        <v>0.27020797331019</v>
      </c>
      <c r="T649" s="40" t="n">
        <f aca="true">RAND()</f>
        <v>0.0241209862565701</v>
      </c>
      <c r="U649" s="40" t="n">
        <f aca="true">RAND()</f>
        <v>0.864062534916421</v>
      </c>
    </row>
    <row r="650" customFormat="false" ht="15" hidden="false" customHeight="false" outlineLevel="0" collapsed="false">
      <c r="A650" s="36" t="n">
        <v>570</v>
      </c>
      <c r="B650" s="37" t="n">
        <f aca="false">1+IF($G$6=$E$6,$F$6,IF(P650&lt;($F$6-$E$6)/($G$6-$E$6),$E$6+SQRT(P650*($G$6-$E$6)*($F$6-$E$6)),$G$6-SQRT((1-P650)*($G$6-$E$6)*($G$6-$F$6))))</f>
        <v>1</v>
      </c>
      <c r="C650" s="37" t="n">
        <f aca="false">1+IF($G$7=$E$7,$F$7,IF(Q650&lt;($F$7-$E$7)/($G$7-$E$7),$E$7+SQRT(Q650*($G$7-$E$7)*($F$7-$E$7)),$G$7-SQRT((1-Q650)*($G$7-$E$7)*($G$7-$F$7))))</f>
        <v>1</v>
      </c>
      <c r="D650" s="37" t="n">
        <f aca="false">1+IF($G$8=$E$8,$F$8,IF(R650&lt;($F$8-$E$8)/($G$8-$E$8),$E$8+SQRT(R650*($G$8-$E$8)*($F$8-$E$8)),$G$8-SQRT((1-R650)*($G$8-$E$8)*($G$8-$F$8))))</f>
        <v>1</v>
      </c>
      <c r="E650" s="37" t="n">
        <f aca="false">1+IF($G$9=$E$9,$F$9,IF(S650&lt;($F$9-$E$9)/($G$9-$E$9),$E$9+SQRT(S650*($G$9-$E$9)*($F$9-$E$9)),$G$9-SQRT((1-S650)*($G$9-$E$9)*($G$9-$F$9))))</f>
        <v>1</v>
      </c>
      <c r="F650" s="37" t="n">
        <f aca="false">1+IF($G$10=$E$10,$F$10,IF(T650&lt;($F$10-$E$10)/($G$10-$E$10),$E$10+SQRT(T650*($G$10-$E$10)*($F$10-$E$10)),$G$10-SQRT((1-T650)*($G$10-$E$10)*($G$10-$F$10))))</f>
        <v>1</v>
      </c>
      <c r="G650" s="38" t="n">
        <f aca="false">IF($G$11=$E$11,$F$11,IF(U650&lt;($F$11-$E$11)/($G$11-$E$11),$E$11+SQRT(U650*($G$11-$E$11)*($F$11-$E$11)),$G$11-SQRT((1-U650)*($G$11-$E$11)*($G$11-$F$11))))</f>
        <v>0</v>
      </c>
      <c r="H650" s="39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0</v>
      </c>
      <c r="I650" s="39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0</v>
      </c>
      <c r="J650" s="39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0</v>
      </c>
      <c r="K650" s="39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0</v>
      </c>
      <c r="L650" s="39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0</v>
      </c>
      <c r="M650" s="39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0</v>
      </c>
      <c r="N650" s="39" t="str">
        <f aca="false">IF(COUNT('Business Case'!B11:G11)=0,"",H650+NPV(G650,I650:M650))</f>
        <v/>
      </c>
      <c r="P650" s="40" t="n">
        <f aca="true">RAND()</f>
        <v>0.0438858000982883</v>
      </c>
      <c r="Q650" s="40" t="n">
        <f aca="true">RAND()</f>
        <v>0.0165270069790025</v>
      </c>
      <c r="R650" s="40" t="n">
        <f aca="true">RAND()</f>
        <v>0.967200179886541</v>
      </c>
      <c r="S650" s="40" t="n">
        <f aca="true">RAND()</f>
        <v>0.618941279449394</v>
      </c>
      <c r="T650" s="40" t="n">
        <f aca="true">RAND()</f>
        <v>0.452214060290176</v>
      </c>
      <c r="U650" s="40" t="n">
        <f aca="true">RAND()</f>
        <v>0.0265961494002011</v>
      </c>
    </row>
    <row r="651" customFormat="false" ht="15" hidden="false" customHeight="false" outlineLevel="0" collapsed="false">
      <c r="A651" s="36" t="n">
        <v>571</v>
      </c>
      <c r="B651" s="37" t="n">
        <f aca="false">1+IF($G$6=$E$6,$F$6,IF(P651&lt;($F$6-$E$6)/($G$6-$E$6),$E$6+SQRT(P651*($G$6-$E$6)*($F$6-$E$6)),$G$6-SQRT((1-P651)*($G$6-$E$6)*($G$6-$F$6))))</f>
        <v>1</v>
      </c>
      <c r="C651" s="37" t="n">
        <f aca="false">1+IF($G$7=$E$7,$F$7,IF(Q651&lt;($F$7-$E$7)/($G$7-$E$7),$E$7+SQRT(Q651*($G$7-$E$7)*($F$7-$E$7)),$G$7-SQRT((1-Q651)*($G$7-$E$7)*($G$7-$F$7))))</f>
        <v>1</v>
      </c>
      <c r="D651" s="37" t="n">
        <f aca="false">1+IF($G$8=$E$8,$F$8,IF(R651&lt;($F$8-$E$8)/($G$8-$E$8),$E$8+SQRT(R651*($G$8-$E$8)*($F$8-$E$8)),$G$8-SQRT((1-R651)*($G$8-$E$8)*($G$8-$F$8))))</f>
        <v>1</v>
      </c>
      <c r="E651" s="37" t="n">
        <f aca="false">1+IF($G$9=$E$9,$F$9,IF(S651&lt;($F$9-$E$9)/($G$9-$E$9),$E$9+SQRT(S651*($G$9-$E$9)*($F$9-$E$9)),$G$9-SQRT((1-S651)*($G$9-$E$9)*($G$9-$F$9))))</f>
        <v>1</v>
      </c>
      <c r="F651" s="37" t="n">
        <f aca="false">1+IF($G$10=$E$10,$F$10,IF(T651&lt;($F$10-$E$10)/($G$10-$E$10),$E$10+SQRT(T651*($G$10-$E$10)*($F$10-$E$10)),$G$10-SQRT((1-T651)*($G$10-$E$10)*($G$10-$F$10))))</f>
        <v>1</v>
      </c>
      <c r="G651" s="38" t="n">
        <f aca="false">IF($G$11=$E$11,$F$11,IF(U651&lt;($F$11-$E$11)/($G$11-$E$11),$E$11+SQRT(U651*($G$11-$E$11)*($F$11-$E$11)),$G$11-SQRT((1-U651)*($G$11-$E$11)*($G$11-$F$11))))</f>
        <v>0</v>
      </c>
      <c r="H651" s="39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0</v>
      </c>
      <c r="I651" s="39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0</v>
      </c>
      <c r="J651" s="39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0</v>
      </c>
      <c r="K651" s="39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0</v>
      </c>
      <c r="L651" s="39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0</v>
      </c>
      <c r="M651" s="39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0</v>
      </c>
      <c r="N651" s="39" t="str">
        <f aca="false">IF(COUNT('Business Case'!B11:G11)=0,"",H651+NPV(G651,I651:M651))</f>
        <v/>
      </c>
      <c r="P651" s="40" t="n">
        <f aca="true">RAND()</f>
        <v>0.475607165350511</v>
      </c>
      <c r="Q651" s="40" t="n">
        <f aca="true">RAND()</f>
        <v>0.0428027785473675</v>
      </c>
      <c r="R651" s="40" t="n">
        <f aca="true">RAND()</f>
        <v>0.140424247523994</v>
      </c>
      <c r="S651" s="40" t="n">
        <f aca="true">RAND()</f>
        <v>0.45523796557448</v>
      </c>
      <c r="T651" s="40" t="n">
        <f aca="true">RAND()</f>
        <v>0.676561949312144</v>
      </c>
      <c r="U651" s="40" t="n">
        <f aca="true">RAND()</f>
        <v>0.953535909901818</v>
      </c>
    </row>
    <row r="652" customFormat="false" ht="15" hidden="false" customHeight="false" outlineLevel="0" collapsed="false">
      <c r="A652" s="36" t="n">
        <v>572</v>
      </c>
      <c r="B652" s="37" t="n">
        <f aca="false">1+IF($G$6=$E$6,$F$6,IF(P652&lt;($F$6-$E$6)/($G$6-$E$6),$E$6+SQRT(P652*($G$6-$E$6)*($F$6-$E$6)),$G$6-SQRT((1-P652)*($G$6-$E$6)*($G$6-$F$6))))</f>
        <v>1</v>
      </c>
      <c r="C652" s="37" t="n">
        <f aca="false">1+IF($G$7=$E$7,$F$7,IF(Q652&lt;($F$7-$E$7)/($G$7-$E$7),$E$7+SQRT(Q652*($G$7-$E$7)*($F$7-$E$7)),$G$7-SQRT((1-Q652)*($G$7-$E$7)*($G$7-$F$7))))</f>
        <v>1</v>
      </c>
      <c r="D652" s="37" t="n">
        <f aca="false">1+IF($G$8=$E$8,$F$8,IF(R652&lt;($F$8-$E$8)/($G$8-$E$8),$E$8+SQRT(R652*($G$8-$E$8)*($F$8-$E$8)),$G$8-SQRT((1-R652)*($G$8-$E$8)*($G$8-$F$8))))</f>
        <v>1</v>
      </c>
      <c r="E652" s="37" t="n">
        <f aca="false">1+IF($G$9=$E$9,$F$9,IF(S652&lt;($F$9-$E$9)/($G$9-$E$9),$E$9+SQRT(S652*($G$9-$E$9)*($F$9-$E$9)),$G$9-SQRT((1-S652)*($G$9-$E$9)*($G$9-$F$9))))</f>
        <v>1</v>
      </c>
      <c r="F652" s="37" t="n">
        <f aca="false">1+IF($G$10=$E$10,$F$10,IF(T652&lt;($F$10-$E$10)/($G$10-$E$10),$E$10+SQRT(T652*($G$10-$E$10)*($F$10-$E$10)),$G$10-SQRT((1-T652)*($G$10-$E$10)*($G$10-$F$10))))</f>
        <v>1</v>
      </c>
      <c r="G652" s="38" t="n">
        <f aca="false">IF($G$11=$E$11,$F$11,IF(U652&lt;($F$11-$E$11)/($G$11-$E$11),$E$11+SQRT(U652*($G$11-$E$11)*($F$11-$E$11)),$G$11-SQRT((1-U652)*($G$11-$E$11)*($G$11-$F$11))))</f>
        <v>0</v>
      </c>
      <c r="H652" s="39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0</v>
      </c>
      <c r="I652" s="39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0</v>
      </c>
      <c r="J652" s="39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0</v>
      </c>
      <c r="K652" s="39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0</v>
      </c>
      <c r="L652" s="39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0</v>
      </c>
      <c r="M652" s="39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0</v>
      </c>
      <c r="N652" s="39" t="str">
        <f aca="false">IF(COUNT('Business Case'!B11:G11)=0,"",H652+NPV(G652,I652:M652))</f>
        <v/>
      </c>
      <c r="P652" s="40" t="n">
        <f aca="true">RAND()</f>
        <v>0.0160092874806019</v>
      </c>
      <c r="Q652" s="40" t="n">
        <f aca="true">RAND()</f>
        <v>0.506684640831677</v>
      </c>
      <c r="R652" s="40" t="n">
        <f aca="true">RAND()</f>
        <v>0.850745247253299</v>
      </c>
      <c r="S652" s="40" t="n">
        <f aca="true">RAND()</f>
        <v>0.753956126226006</v>
      </c>
      <c r="T652" s="40" t="n">
        <f aca="true">RAND()</f>
        <v>0.344758561416466</v>
      </c>
      <c r="U652" s="40" t="n">
        <f aca="true">RAND()</f>
        <v>0.936470969263205</v>
      </c>
    </row>
    <row r="653" customFormat="false" ht="15" hidden="false" customHeight="false" outlineLevel="0" collapsed="false">
      <c r="A653" s="36" t="n">
        <v>573</v>
      </c>
      <c r="B653" s="37" t="n">
        <f aca="false">1+IF($G$6=$E$6,$F$6,IF(P653&lt;($F$6-$E$6)/($G$6-$E$6),$E$6+SQRT(P653*($G$6-$E$6)*($F$6-$E$6)),$G$6-SQRT((1-P653)*($G$6-$E$6)*($G$6-$F$6))))</f>
        <v>1</v>
      </c>
      <c r="C653" s="37" t="n">
        <f aca="false">1+IF($G$7=$E$7,$F$7,IF(Q653&lt;($F$7-$E$7)/($G$7-$E$7),$E$7+SQRT(Q653*($G$7-$E$7)*($F$7-$E$7)),$G$7-SQRT((1-Q653)*($G$7-$E$7)*($G$7-$F$7))))</f>
        <v>1</v>
      </c>
      <c r="D653" s="37" t="n">
        <f aca="false">1+IF($G$8=$E$8,$F$8,IF(R653&lt;($F$8-$E$8)/($G$8-$E$8),$E$8+SQRT(R653*($G$8-$E$8)*($F$8-$E$8)),$G$8-SQRT((1-R653)*($G$8-$E$8)*($G$8-$F$8))))</f>
        <v>1</v>
      </c>
      <c r="E653" s="37" t="n">
        <f aca="false">1+IF($G$9=$E$9,$F$9,IF(S653&lt;($F$9-$E$9)/($G$9-$E$9),$E$9+SQRT(S653*($G$9-$E$9)*($F$9-$E$9)),$G$9-SQRT((1-S653)*($G$9-$E$9)*($G$9-$F$9))))</f>
        <v>1</v>
      </c>
      <c r="F653" s="37" t="n">
        <f aca="false">1+IF($G$10=$E$10,$F$10,IF(T653&lt;($F$10-$E$10)/($G$10-$E$10),$E$10+SQRT(T653*($G$10-$E$10)*($F$10-$E$10)),$G$10-SQRT((1-T653)*($G$10-$E$10)*($G$10-$F$10))))</f>
        <v>1</v>
      </c>
      <c r="G653" s="38" t="n">
        <f aca="false">IF($G$11=$E$11,$F$11,IF(U653&lt;($F$11-$E$11)/($G$11-$E$11),$E$11+SQRT(U653*($G$11-$E$11)*($F$11-$E$11)),$G$11-SQRT((1-U653)*($G$11-$E$11)*($G$11-$F$11))))</f>
        <v>0</v>
      </c>
      <c r="H653" s="39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0</v>
      </c>
      <c r="I653" s="39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0</v>
      </c>
      <c r="J653" s="39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0</v>
      </c>
      <c r="K653" s="39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0</v>
      </c>
      <c r="L653" s="39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0</v>
      </c>
      <c r="M653" s="39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0</v>
      </c>
      <c r="N653" s="39" t="str">
        <f aca="false">IF(COUNT('Business Case'!B11:G11)=0,"",H653+NPV(G653,I653:M653))</f>
        <v/>
      </c>
      <c r="P653" s="40" t="n">
        <f aca="true">RAND()</f>
        <v>0.762191013221034</v>
      </c>
      <c r="Q653" s="40" t="n">
        <f aca="true">RAND()</f>
        <v>0.961613929692153</v>
      </c>
      <c r="R653" s="40" t="n">
        <f aca="true">RAND()</f>
        <v>0.114296193004566</v>
      </c>
      <c r="S653" s="40" t="n">
        <f aca="true">RAND()</f>
        <v>0.0792924999766382</v>
      </c>
      <c r="T653" s="40" t="n">
        <f aca="true">RAND()</f>
        <v>0.309418382633562</v>
      </c>
      <c r="U653" s="40" t="n">
        <f aca="true">RAND()</f>
        <v>0.0293718955294096</v>
      </c>
    </row>
    <row r="654" customFormat="false" ht="15" hidden="false" customHeight="false" outlineLevel="0" collapsed="false">
      <c r="A654" s="36" t="n">
        <v>574</v>
      </c>
      <c r="B654" s="37" t="n">
        <f aca="false">1+IF($G$6=$E$6,$F$6,IF(P654&lt;($F$6-$E$6)/($G$6-$E$6),$E$6+SQRT(P654*($G$6-$E$6)*($F$6-$E$6)),$G$6-SQRT((1-P654)*($G$6-$E$6)*($G$6-$F$6))))</f>
        <v>1</v>
      </c>
      <c r="C654" s="37" t="n">
        <f aca="false">1+IF($G$7=$E$7,$F$7,IF(Q654&lt;($F$7-$E$7)/($G$7-$E$7),$E$7+SQRT(Q654*($G$7-$E$7)*($F$7-$E$7)),$G$7-SQRT((1-Q654)*($G$7-$E$7)*($G$7-$F$7))))</f>
        <v>1</v>
      </c>
      <c r="D654" s="37" t="n">
        <f aca="false">1+IF($G$8=$E$8,$F$8,IF(R654&lt;($F$8-$E$8)/($G$8-$E$8),$E$8+SQRT(R654*($G$8-$E$8)*($F$8-$E$8)),$G$8-SQRT((1-R654)*($G$8-$E$8)*($G$8-$F$8))))</f>
        <v>1</v>
      </c>
      <c r="E654" s="37" t="n">
        <f aca="false">1+IF($G$9=$E$9,$F$9,IF(S654&lt;($F$9-$E$9)/($G$9-$E$9),$E$9+SQRT(S654*($G$9-$E$9)*($F$9-$E$9)),$G$9-SQRT((1-S654)*($G$9-$E$9)*($G$9-$F$9))))</f>
        <v>1</v>
      </c>
      <c r="F654" s="37" t="n">
        <f aca="false">1+IF($G$10=$E$10,$F$10,IF(T654&lt;($F$10-$E$10)/($G$10-$E$10),$E$10+SQRT(T654*($G$10-$E$10)*($F$10-$E$10)),$G$10-SQRT((1-T654)*($G$10-$E$10)*($G$10-$F$10))))</f>
        <v>1</v>
      </c>
      <c r="G654" s="38" t="n">
        <f aca="false">IF($G$11=$E$11,$F$11,IF(U654&lt;($F$11-$E$11)/($G$11-$E$11),$E$11+SQRT(U654*($G$11-$E$11)*($F$11-$E$11)),$G$11-SQRT((1-U654)*($G$11-$E$11)*($G$11-$F$11))))</f>
        <v>0</v>
      </c>
      <c r="H654" s="39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0</v>
      </c>
      <c r="I654" s="39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0</v>
      </c>
      <c r="J654" s="39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0</v>
      </c>
      <c r="K654" s="39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0</v>
      </c>
      <c r="L654" s="39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0</v>
      </c>
      <c r="M654" s="39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0</v>
      </c>
      <c r="N654" s="39" t="str">
        <f aca="false">IF(COUNT('Business Case'!B11:G11)=0,"",H654+NPV(G654,I654:M654))</f>
        <v/>
      </c>
      <c r="P654" s="40" t="n">
        <f aca="true">RAND()</f>
        <v>0.506684085361275</v>
      </c>
      <c r="Q654" s="40" t="n">
        <f aca="true">RAND()</f>
        <v>0.0319128227710487</v>
      </c>
      <c r="R654" s="40" t="n">
        <f aca="true">RAND()</f>
        <v>0.378982866528251</v>
      </c>
      <c r="S654" s="40" t="n">
        <f aca="true">RAND()</f>
        <v>0.214020964019965</v>
      </c>
      <c r="T654" s="40" t="n">
        <f aca="true">RAND()</f>
        <v>0.30397448803459</v>
      </c>
      <c r="U654" s="40" t="n">
        <f aca="true">RAND()</f>
        <v>0.248073726350712</v>
      </c>
    </row>
    <row r="655" customFormat="false" ht="15" hidden="false" customHeight="false" outlineLevel="0" collapsed="false">
      <c r="A655" s="36" t="n">
        <v>575</v>
      </c>
      <c r="B655" s="37" t="n">
        <f aca="false">1+IF($G$6=$E$6,$F$6,IF(P655&lt;($F$6-$E$6)/($G$6-$E$6),$E$6+SQRT(P655*($G$6-$E$6)*($F$6-$E$6)),$G$6-SQRT((1-P655)*($G$6-$E$6)*($G$6-$F$6))))</f>
        <v>1</v>
      </c>
      <c r="C655" s="37" t="n">
        <f aca="false">1+IF($G$7=$E$7,$F$7,IF(Q655&lt;($F$7-$E$7)/($G$7-$E$7),$E$7+SQRT(Q655*($G$7-$E$7)*($F$7-$E$7)),$G$7-SQRT((1-Q655)*($G$7-$E$7)*($G$7-$F$7))))</f>
        <v>1</v>
      </c>
      <c r="D655" s="37" t="n">
        <f aca="false">1+IF($G$8=$E$8,$F$8,IF(R655&lt;($F$8-$E$8)/($G$8-$E$8),$E$8+SQRT(R655*($G$8-$E$8)*($F$8-$E$8)),$G$8-SQRT((1-R655)*($G$8-$E$8)*($G$8-$F$8))))</f>
        <v>1</v>
      </c>
      <c r="E655" s="37" t="n">
        <f aca="false">1+IF($G$9=$E$9,$F$9,IF(S655&lt;($F$9-$E$9)/($G$9-$E$9),$E$9+SQRT(S655*($G$9-$E$9)*($F$9-$E$9)),$G$9-SQRT((1-S655)*($G$9-$E$9)*($G$9-$F$9))))</f>
        <v>1</v>
      </c>
      <c r="F655" s="37" t="n">
        <f aca="false">1+IF($G$10=$E$10,$F$10,IF(T655&lt;($F$10-$E$10)/($G$10-$E$10),$E$10+SQRT(T655*($G$10-$E$10)*($F$10-$E$10)),$G$10-SQRT((1-T655)*($G$10-$E$10)*($G$10-$F$10))))</f>
        <v>1</v>
      </c>
      <c r="G655" s="38" t="n">
        <f aca="false">IF($G$11=$E$11,$F$11,IF(U655&lt;($F$11-$E$11)/($G$11-$E$11),$E$11+SQRT(U655*($G$11-$E$11)*($F$11-$E$11)),$G$11-SQRT((1-U655)*($G$11-$E$11)*($G$11-$F$11))))</f>
        <v>0</v>
      </c>
      <c r="H655" s="39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0</v>
      </c>
      <c r="I655" s="39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0</v>
      </c>
      <c r="J655" s="39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0</v>
      </c>
      <c r="K655" s="39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0</v>
      </c>
      <c r="L655" s="39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0</v>
      </c>
      <c r="M655" s="39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0</v>
      </c>
      <c r="N655" s="39" t="str">
        <f aca="false">IF(COUNT('Business Case'!B11:G11)=0,"",H655+NPV(G655,I655:M655))</f>
        <v/>
      </c>
      <c r="P655" s="40" t="n">
        <f aca="true">RAND()</f>
        <v>0.991367930903377</v>
      </c>
      <c r="Q655" s="40" t="n">
        <f aca="true">RAND()</f>
        <v>0.77951392748501</v>
      </c>
      <c r="R655" s="40" t="n">
        <f aca="true">RAND()</f>
        <v>0.259437230022991</v>
      </c>
      <c r="S655" s="40" t="n">
        <f aca="true">RAND()</f>
        <v>0.0778801355338874</v>
      </c>
      <c r="T655" s="40" t="n">
        <f aca="true">RAND()</f>
        <v>0.451923716897342</v>
      </c>
      <c r="U655" s="40" t="n">
        <f aca="true">RAND()</f>
        <v>0.53652380827615</v>
      </c>
    </row>
    <row r="656" customFormat="false" ht="15" hidden="false" customHeight="false" outlineLevel="0" collapsed="false">
      <c r="A656" s="36" t="n">
        <v>576</v>
      </c>
      <c r="B656" s="37" t="n">
        <f aca="false">1+IF($G$6=$E$6,$F$6,IF(P656&lt;($F$6-$E$6)/($G$6-$E$6),$E$6+SQRT(P656*($G$6-$E$6)*($F$6-$E$6)),$G$6-SQRT((1-P656)*($G$6-$E$6)*($G$6-$F$6))))</f>
        <v>1</v>
      </c>
      <c r="C656" s="37" t="n">
        <f aca="false">1+IF($G$7=$E$7,$F$7,IF(Q656&lt;($F$7-$E$7)/($G$7-$E$7),$E$7+SQRT(Q656*($G$7-$E$7)*($F$7-$E$7)),$G$7-SQRT((1-Q656)*($G$7-$E$7)*($G$7-$F$7))))</f>
        <v>1</v>
      </c>
      <c r="D656" s="37" t="n">
        <f aca="false">1+IF($G$8=$E$8,$F$8,IF(R656&lt;($F$8-$E$8)/($G$8-$E$8),$E$8+SQRT(R656*($G$8-$E$8)*($F$8-$E$8)),$G$8-SQRT((1-R656)*($G$8-$E$8)*($G$8-$F$8))))</f>
        <v>1</v>
      </c>
      <c r="E656" s="37" t="n">
        <f aca="false">1+IF($G$9=$E$9,$F$9,IF(S656&lt;($F$9-$E$9)/($G$9-$E$9),$E$9+SQRT(S656*($G$9-$E$9)*($F$9-$E$9)),$G$9-SQRT((1-S656)*($G$9-$E$9)*($G$9-$F$9))))</f>
        <v>1</v>
      </c>
      <c r="F656" s="37" t="n">
        <f aca="false">1+IF($G$10=$E$10,$F$10,IF(T656&lt;($F$10-$E$10)/($G$10-$E$10),$E$10+SQRT(T656*($G$10-$E$10)*($F$10-$E$10)),$G$10-SQRT((1-T656)*($G$10-$E$10)*($G$10-$F$10))))</f>
        <v>1</v>
      </c>
      <c r="G656" s="38" t="n">
        <f aca="false">IF($G$11=$E$11,$F$11,IF(U656&lt;($F$11-$E$11)/($G$11-$E$11),$E$11+SQRT(U656*($G$11-$E$11)*($F$11-$E$11)),$G$11-SQRT((1-U656)*($G$11-$E$11)*($G$11-$F$11))))</f>
        <v>0</v>
      </c>
      <c r="H656" s="39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0</v>
      </c>
      <c r="I656" s="39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0</v>
      </c>
      <c r="J656" s="39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0</v>
      </c>
      <c r="K656" s="39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0</v>
      </c>
      <c r="L656" s="39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0</v>
      </c>
      <c r="M656" s="39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0</v>
      </c>
      <c r="N656" s="39" t="str">
        <f aca="false">IF(COUNT('Business Case'!B11:G11)=0,"",H656+NPV(G656,I656:M656))</f>
        <v/>
      </c>
      <c r="P656" s="40" t="n">
        <f aca="true">RAND()</f>
        <v>0.847163845883207</v>
      </c>
      <c r="Q656" s="40" t="n">
        <f aca="true">RAND()</f>
        <v>0.281222331129978</v>
      </c>
      <c r="R656" s="40" t="n">
        <f aca="true">RAND()</f>
        <v>0.176793721028921</v>
      </c>
      <c r="S656" s="40" t="n">
        <f aca="true">RAND()</f>
        <v>0.0870179038653514</v>
      </c>
      <c r="T656" s="40" t="n">
        <f aca="true">RAND()</f>
        <v>0.307963618785947</v>
      </c>
      <c r="U656" s="40" t="n">
        <f aca="true">RAND()</f>
        <v>0.387348841815767</v>
      </c>
    </row>
    <row r="657" customFormat="false" ht="15" hidden="false" customHeight="false" outlineLevel="0" collapsed="false">
      <c r="A657" s="36" t="n">
        <v>577</v>
      </c>
      <c r="B657" s="37" t="n">
        <f aca="false">1+IF($G$6=$E$6,$F$6,IF(P657&lt;($F$6-$E$6)/($G$6-$E$6),$E$6+SQRT(P657*($G$6-$E$6)*($F$6-$E$6)),$G$6-SQRT((1-P657)*($G$6-$E$6)*($G$6-$F$6))))</f>
        <v>1</v>
      </c>
      <c r="C657" s="37" t="n">
        <f aca="false">1+IF($G$7=$E$7,$F$7,IF(Q657&lt;($F$7-$E$7)/($G$7-$E$7),$E$7+SQRT(Q657*($G$7-$E$7)*($F$7-$E$7)),$G$7-SQRT((1-Q657)*($G$7-$E$7)*($G$7-$F$7))))</f>
        <v>1</v>
      </c>
      <c r="D657" s="37" t="n">
        <f aca="false">1+IF($G$8=$E$8,$F$8,IF(R657&lt;($F$8-$E$8)/($G$8-$E$8),$E$8+SQRT(R657*($G$8-$E$8)*($F$8-$E$8)),$G$8-SQRT((1-R657)*($G$8-$E$8)*($G$8-$F$8))))</f>
        <v>1</v>
      </c>
      <c r="E657" s="37" t="n">
        <f aca="false">1+IF($G$9=$E$9,$F$9,IF(S657&lt;($F$9-$E$9)/($G$9-$E$9),$E$9+SQRT(S657*($G$9-$E$9)*($F$9-$E$9)),$G$9-SQRT((1-S657)*($G$9-$E$9)*($G$9-$F$9))))</f>
        <v>1</v>
      </c>
      <c r="F657" s="37" t="n">
        <f aca="false">1+IF($G$10=$E$10,$F$10,IF(T657&lt;($F$10-$E$10)/($G$10-$E$10),$E$10+SQRT(T657*($G$10-$E$10)*($F$10-$E$10)),$G$10-SQRT((1-T657)*($G$10-$E$10)*($G$10-$F$10))))</f>
        <v>1</v>
      </c>
      <c r="G657" s="38" t="n">
        <f aca="false">IF($G$11=$E$11,$F$11,IF(U657&lt;($F$11-$E$11)/($G$11-$E$11),$E$11+SQRT(U657*($G$11-$E$11)*($F$11-$E$11)),$G$11-SQRT((1-U657)*($G$11-$E$11)*($G$11-$F$11))))</f>
        <v>0</v>
      </c>
      <c r="H657" s="39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0</v>
      </c>
      <c r="I657" s="39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0</v>
      </c>
      <c r="J657" s="39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0</v>
      </c>
      <c r="K657" s="39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0</v>
      </c>
      <c r="L657" s="39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0</v>
      </c>
      <c r="M657" s="39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0</v>
      </c>
      <c r="N657" s="39" t="str">
        <f aca="false">IF(COUNT('Business Case'!B11:G11)=0,"",H657+NPV(G657,I657:M657))</f>
        <v/>
      </c>
      <c r="P657" s="40" t="n">
        <f aca="true">RAND()</f>
        <v>0.864072206041075</v>
      </c>
      <c r="Q657" s="40" t="n">
        <f aca="true">RAND()</f>
        <v>0.0146740138118645</v>
      </c>
      <c r="R657" s="40" t="n">
        <f aca="true">RAND()</f>
        <v>0.30448131715271</v>
      </c>
      <c r="S657" s="40" t="n">
        <f aca="true">RAND()</f>
        <v>0.20102249969357</v>
      </c>
      <c r="T657" s="40" t="n">
        <f aca="true">RAND()</f>
        <v>0.957083560171289</v>
      </c>
      <c r="U657" s="40" t="n">
        <f aca="true">RAND()</f>
        <v>0.282806073437882</v>
      </c>
    </row>
    <row r="658" customFormat="false" ht="15" hidden="false" customHeight="false" outlineLevel="0" collapsed="false">
      <c r="A658" s="36" t="n">
        <v>578</v>
      </c>
      <c r="B658" s="37" t="n">
        <f aca="false">1+IF($G$6=$E$6,$F$6,IF(P658&lt;($F$6-$E$6)/($G$6-$E$6),$E$6+SQRT(P658*($G$6-$E$6)*($F$6-$E$6)),$G$6-SQRT((1-P658)*($G$6-$E$6)*($G$6-$F$6))))</f>
        <v>1</v>
      </c>
      <c r="C658" s="37" t="n">
        <f aca="false">1+IF($G$7=$E$7,$F$7,IF(Q658&lt;($F$7-$E$7)/($G$7-$E$7),$E$7+SQRT(Q658*($G$7-$E$7)*($F$7-$E$7)),$G$7-SQRT((1-Q658)*($G$7-$E$7)*($G$7-$F$7))))</f>
        <v>1</v>
      </c>
      <c r="D658" s="37" t="n">
        <f aca="false">1+IF($G$8=$E$8,$F$8,IF(R658&lt;($F$8-$E$8)/($G$8-$E$8),$E$8+SQRT(R658*($G$8-$E$8)*($F$8-$E$8)),$G$8-SQRT((1-R658)*($G$8-$E$8)*($G$8-$F$8))))</f>
        <v>1</v>
      </c>
      <c r="E658" s="37" t="n">
        <f aca="false">1+IF($G$9=$E$9,$F$9,IF(S658&lt;($F$9-$E$9)/($G$9-$E$9),$E$9+SQRT(S658*($G$9-$E$9)*($F$9-$E$9)),$G$9-SQRT((1-S658)*($G$9-$E$9)*($G$9-$F$9))))</f>
        <v>1</v>
      </c>
      <c r="F658" s="37" t="n">
        <f aca="false">1+IF($G$10=$E$10,$F$10,IF(T658&lt;($F$10-$E$10)/($G$10-$E$10),$E$10+SQRT(T658*($G$10-$E$10)*($F$10-$E$10)),$G$10-SQRT((1-T658)*($G$10-$E$10)*($G$10-$F$10))))</f>
        <v>1</v>
      </c>
      <c r="G658" s="38" t="n">
        <f aca="false">IF($G$11=$E$11,$F$11,IF(U658&lt;($F$11-$E$11)/($G$11-$E$11),$E$11+SQRT(U658*($G$11-$E$11)*($F$11-$E$11)),$G$11-SQRT((1-U658)*($G$11-$E$11)*($G$11-$F$11))))</f>
        <v>0</v>
      </c>
      <c r="H658" s="39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0</v>
      </c>
      <c r="I658" s="39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0</v>
      </c>
      <c r="J658" s="39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0</v>
      </c>
      <c r="K658" s="39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0</v>
      </c>
      <c r="L658" s="39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0</v>
      </c>
      <c r="M658" s="39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0</v>
      </c>
      <c r="N658" s="39" t="str">
        <f aca="false">IF(COUNT('Business Case'!B11:G11)=0,"",H658+NPV(G658,I658:M658))</f>
        <v/>
      </c>
      <c r="P658" s="40" t="n">
        <f aca="true">RAND()</f>
        <v>0.424577354342226</v>
      </c>
      <c r="Q658" s="40" t="n">
        <f aca="true">RAND()</f>
        <v>0.10381368208482</v>
      </c>
      <c r="R658" s="40" t="n">
        <f aca="true">RAND()</f>
        <v>0.554530302349231</v>
      </c>
      <c r="S658" s="40" t="n">
        <f aca="true">RAND()</f>
        <v>0.468657859586834</v>
      </c>
      <c r="T658" s="40" t="n">
        <f aca="true">RAND()</f>
        <v>0.569062853203165</v>
      </c>
      <c r="U658" s="40" t="n">
        <f aca="true">RAND()</f>
        <v>0.823644157456323</v>
      </c>
    </row>
    <row r="659" customFormat="false" ht="15" hidden="false" customHeight="false" outlineLevel="0" collapsed="false">
      <c r="A659" s="36" t="n">
        <v>579</v>
      </c>
      <c r="B659" s="37" t="n">
        <f aca="false">1+IF($G$6=$E$6,$F$6,IF(P659&lt;($F$6-$E$6)/($G$6-$E$6),$E$6+SQRT(P659*($G$6-$E$6)*($F$6-$E$6)),$G$6-SQRT((1-P659)*($G$6-$E$6)*($G$6-$F$6))))</f>
        <v>1</v>
      </c>
      <c r="C659" s="37" t="n">
        <f aca="false">1+IF($G$7=$E$7,$F$7,IF(Q659&lt;($F$7-$E$7)/($G$7-$E$7),$E$7+SQRT(Q659*($G$7-$E$7)*($F$7-$E$7)),$G$7-SQRT((1-Q659)*($G$7-$E$7)*($G$7-$F$7))))</f>
        <v>1</v>
      </c>
      <c r="D659" s="37" t="n">
        <f aca="false">1+IF($G$8=$E$8,$F$8,IF(R659&lt;($F$8-$E$8)/($G$8-$E$8),$E$8+SQRT(R659*($G$8-$E$8)*($F$8-$E$8)),$G$8-SQRT((1-R659)*($G$8-$E$8)*($G$8-$F$8))))</f>
        <v>1</v>
      </c>
      <c r="E659" s="37" t="n">
        <f aca="false">1+IF($G$9=$E$9,$F$9,IF(S659&lt;($F$9-$E$9)/($G$9-$E$9),$E$9+SQRT(S659*($G$9-$E$9)*($F$9-$E$9)),$G$9-SQRT((1-S659)*($G$9-$E$9)*($G$9-$F$9))))</f>
        <v>1</v>
      </c>
      <c r="F659" s="37" t="n">
        <f aca="false">1+IF($G$10=$E$10,$F$10,IF(T659&lt;($F$10-$E$10)/($G$10-$E$10),$E$10+SQRT(T659*($G$10-$E$10)*($F$10-$E$10)),$G$10-SQRT((1-T659)*($G$10-$E$10)*($G$10-$F$10))))</f>
        <v>1</v>
      </c>
      <c r="G659" s="38" t="n">
        <f aca="false">IF($G$11=$E$11,$F$11,IF(U659&lt;($F$11-$E$11)/($G$11-$E$11),$E$11+SQRT(U659*($G$11-$E$11)*($F$11-$E$11)),$G$11-SQRT((1-U659)*($G$11-$E$11)*($G$11-$F$11))))</f>
        <v>0</v>
      </c>
      <c r="H659" s="39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0</v>
      </c>
      <c r="I659" s="39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0</v>
      </c>
      <c r="J659" s="39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0</v>
      </c>
      <c r="K659" s="39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0</v>
      </c>
      <c r="L659" s="39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0</v>
      </c>
      <c r="M659" s="39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0</v>
      </c>
      <c r="N659" s="39" t="str">
        <f aca="false">IF(COUNT('Business Case'!B11:G11)=0,"",H659+NPV(G659,I659:M659))</f>
        <v/>
      </c>
      <c r="P659" s="40" t="n">
        <f aca="true">RAND()</f>
        <v>0.987082738758417</v>
      </c>
      <c r="Q659" s="40" t="n">
        <f aca="true">RAND()</f>
        <v>0.702093864413717</v>
      </c>
      <c r="R659" s="40" t="n">
        <f aca="true">RAND()</f>
        <v>0.375084202417465</v>
      </c>
      <c r="S659" s="40" t="n">
        <f aca="true">RAND()</f>
        <v>0.0663886158338052</v>
      </c>
      <c r="T659" s="40" t="n">
        <f aca="true">RAND()</f>
        <v>0.157717983724523</v>
      </c>
      <c r="U659" s="40" t="n">
        <f aca="true">RAND()</f>
        <v>0.981665292460962</v>
      </c>
    </row>
    <row r="660" customFormat="false" ht="15" hidden="false" customHeight="false" outlineLevel="0" collapsed="false">
      <c r="A660" s="36" t="n">
        <v>580</v>
      </c>
      <c r="B660" s="37" t="n">
        <f aca="false">1+IF($G$6=$E$6,$F$6,IF(P660&lt;($F$6-$E$6)/($G$6-$E$6),$E$6+SQRT(P660*($G$6-$E$6)*($F$6-$E$6)),$G$6-SQRT((1-P660)*($G$6-$E$6)*($G$6-$F$6))))</f>
        <v>1</v>
      </c>
      <c r="C660" s="37" t="n">
        <f aca="false">1+IF($G$7=$E$7,$F$7,IF(Q660&lt;($F$7-$E$7)/($G$7-$E$7),$E$7+SQRT(Q660*($G$7-$E$7)*($F$7-$E$7)),$G$7-SQRT((1-Q660)*($G$7-$E$7)*($G$7-$F$7))))</f>
        <v>1</v>
      </c>
      <c r="D660" s="37" t="n">
        <f aca="false">1+IF($G$8=$E$8,$F$8,IF(R660&lt;($F$8-$E$8)/($G$8-$E$8),$E$8+SQRT(R660*($G$8-$E$8)*($F$8-$E$8)),$G$8-SQRT((1-R660)*($G$8-$E$8)*($G$8-$F$8))))</f>
        <v>1</v>
      </c>
      <c r="E660" s="37" t="n">
        <f aca="false">1+IF($G$9=$E$9,$F$9,IF(S660&lt;($F$9-$E$9)/($G$9-$E$9),$E$9+SQRT(S660*($G$9-$E$9)*($F$9-$E$9)),$G$9-SQRT((1-S660)*($G$9-$E$9)*($G$9-$F$9))))</f>
        <v>1</v>
      </c>
      <c r="F660" s="37" t="n">
        <f aca="false">1+IF($G$10=$E$10,$F$10,IF(T660&lt;($F$10-$E$10)/($G$10-$E$10),$E$10+SQRT(T660*($G$10-$E$10)*($F$10-$E$10)),$G$10-SQRT((1-T660)*($G$10-$E$10)*($G$10-$F$10))))</f>
        <v>1</v>
      </c>
      <c r="G660" s="38" t="n">
        <f aca="false">IF($G$11=$E$11,$F$11,IF(U660&lt;($F$11-$E$11)/($G$11-$E$11),$E$11+SQRT(U660*($G$11-$E$11)*($F$11-$E$11)),$G$11-SQRT((1-U660)*($G$11-$E$11)*($G$11-$F$11))))</f>
        <v>0</v>
      </c>
      <c r="H660" s="39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0</v>
      </c>
      <c r="I660" s="39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0</v>
      </c>
      <c r="J660" s="39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0</v>
      </c>
      <c r="K660" s="39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0</v>
      </c>
      <c r="L660" s="39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0</v>
      </c>
      <c r="M660" s="39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0</v>
      </c>
      <c r="N660" s="39" t="str">
        <f aca="false">IF(COUNT('Business Case'!B11:G11)=0,"",H660+NPV(G660,I660:M660))</f>
        <v/>
      </c>
      <c r="P660" s="40" t="n">
        <f aca="true">RAND()</f>
        <v>0.910573763229961</v>
      </c>
      <c r="Q660" s="40" t="n">
        <f aca="true">RAND()</f>
        <v>0.385875772505354</v>
      </c>
      <c r="R660" s="40" t="n">
        <f aca="true">RAND()</f>
        <v>0.0166991863819036</v>
      </c>
      <c r="S660" s="40" t="n">
        <f aca="true">RAND()</f>
        <v>0.853653230721653</v>
      </c>
      <c r="T660" s="40" t="n">
        <f aca="true">RAND()</f>
        <v>0.590375978614682</v>
      </c>
      <c r="U660" s="40" t="n">
        <f aca="true">RAND()</f>
        <v>0.459343834977747</v>
      </c>
    </row>
    <row r="661" customFormat="false" ht="15" hidden="false" customHeight="false" outlineLevel="0" collapsed="false">
      <c r="A661" s="36" t="n">
        <v>581</v>
      </c>
      <c r="B661" s="37" t="n">
        <f aca="false">1+IF($G$6=$E$6,$F$6,IF(P661&lt;($F$6-$E$6)/($G$6-$E$6),$E$6+SQRT(P661*($G$6-$E$6)*($F$6-$E$6)),$G$6-SQRT((1-P661)*($G$6-$E$6)*($G$6-$F$6))))</f>
        <v>1</v>
      </c>
      <c r="C661" s="37" t="n">
        <f aca="false">1+IF($G$7=$E$7,$F$7,IF(Q661&lt;($F$7-$E$7)/($G$7-$E$7),$E$7+SQRT(Q661*($G$7-$E$7)*($F$7-$E$7)),$G$7-SQRT((1-Q661)*($G$7-$E$7)*($G$7-$F$7))))</f>
        <v>1</v>
      </c>
      <c r="D661" s="37" t="n">
        <f aca="false">1+IF($G$8=$E$8,$F$8,IF(R661&lt;($F$8-$E$8)/($G$8-$E$8),$E$8+SQRT(R661*($G$8-$E$8)*($F$8-$E$8)),$G$8-SQRT((1-R661)*($G$8-$E$8)*($G$8-$F$8))))</f>
        <v>1</v>
      </c>
      <c r="E661" s="37" t="n">
        <f aca="false">1+IF($G$9=$E$9,$F$9,IF(S661&lt;($F$9-$E$9)/($G$9-$E$9),$E$9+SQRT(S661*($G$9-$E$9)*($F$9-$E$9)),$G$9-SQRT((1-S661)*($G$9-$E$9)*($G$9-$F$9))))</f>
        <v>1</v>
      </c>
      <c r="F661" s="37" t="n">
        <f aca="false">1+IF($G$10=$E$10,$F$10,IF(T661&lt;($F$10-$E$10)/($G$10-$E$10),$E$10+SQRT(T661*($G$10-$E$10)*($F$10-$E$10)),$G$10-SQRT((1-T661)*($G$10-$E$10)*($G$10-$F$10))))</f>
        <v>1</v>
      </c>
      <c r="G661" s="38" t="n">
        <f aca="false">IF($G$11=$E$11,$F$11,IF(U661&lt;($F$11-$E$11)/($G$11-$E$11),$E$11+SQRT(U661*($G$11-$E$11)*($F$11-$E$11)),$G$11-SQRT((1-U661)*($G$11-$E$11)*($G$11-$F$11))))</f>
        <v>0</v>
      </c>
      <c r="H661" s="39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0</v>
      </c>
      <c r="I661" s="39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0</v>
      </c>
      <c r="J661" s="39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0</v>
      </c>
      <c r="K661" s="39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0</v>
      </c>
      <c r="L661" s="39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0</v>
      </c>
      <c r="M661" s="39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0</v>
      </c>
      <c r="N661" s="39" t="str">
        <f aca="false">IF(COUNT('Business Case'!B11:G11)=0,"",H661+NPV(G661,I661:M661))</f>
        <v/>
      </c>
      <c r="P661" s="40" t="n">
        <f aca="true">RAND()</f>
        <v>0.0972971979244202</v>
      </c>
      <c r="Q661" s="40" t="n">
        <f aca="true">RAND()</f>
        <v>0.867817729545595</v>
      </c>
      <c r="R661" s="40" t="n">
        <f aca="true">RAND()</f>
        <v>0.546845908801755</v>
      </c>
      <c r="S661" s="40" t="n">
        <f aca="true">RAND()</f>
        <v>0.660888368032742</v>
      </c>
      <c r="T661" s="40" t="n">
        <f aca="true">RAND()</f>
        <v>0.875449930294502</v>
      </c>
      <c r="U661" s="40" t="n">
        <f aca="true">RAND()</f>
        <v>0.505420206827243</v>
      </c>
    </row>
    <row r="662" customFormat="false" ht="15" hidden="false" customHeight="false" outlineLevel="0" collapsed="false">
      <c r="A662" s="36" t="n">
        <v>582</v>
      </c>
      <c r="B662" s="37" t="n">
        <f aca="false">1+IF($G$6=$E$6,$F$6,IF(P662&lt;($F$6-$E$6)/($G$6-$E$6),$E$6+SQRT(P662*($G$6-$E$6)*($F$6-$E$6)),$G$6-SQRT((1-P662)*($G$6-$E$6)*($G$6-$F$6))))</f>
        <v>1</v>
      </c>
      <c r="C662" s="37" t="n">
        <f aca="false">1+IF($G$7=$E$7,$F$7,IF(Q662&lt;($F$7-$E$7)/($G$7-$E$7),$E$7+SQRT(Q662*($G$7-$E$7)*($F$7-$E$7)),$G$7-SQRT((1-Q662)*($G$7-$E$7)*($G$7-$F$7))))</f>
        <v>1</v>
      </c>
      <c r="D662" s="37" t="n">
        <f aca="false">1+IF($G$8=$E$8,$F$8,IF(R662&lt;($F$8-$E$8)/($G$8-$E$8),$E$8+SQRT(R662*($G$8-$E$8)*($F$8-$E$8)),$G$8-SQRT((1-R662)*($G$8-$E$8)*($G$8-$F$8))))</f>
        <v>1</v>
      </c>
      <c r="E662" s="37" t="n">
        <f aca="false">1+IF($G$9=$E$9,$F$9,IF(S662&lt;($F$9-$E$9)/($G$9-$E$9),$E$9+SQRT(S662*($G$9-$E$9)*($F$9-$E$9)),$G$9-SQRT((1-S662)*($G$9-$E$9)*($G$9-$F$9))))</f>
        <v>1</v>
      </c>
      <c r="F662" s="37" t="n">
        <f aca="false">1+IF($G$10=$E$10,$F$10,IF(T662&lt;($F$10-$E$10)/($G$10-$E$10),$E$10+SQRT(T662*($G$10-$E$10)*($F$10-$E$10)),$G$10-SQRT((1-T662)*($G$10-$E$10)*($G$10-$F$10))))</f>
        <v>1</v>
      </c>
      <c r="G662" s="38" t="n">
        <f aca="false">IF($G$11=$E$11,$F$11,IF(U662&lt;($F$11-$E$11)/($G$11-$E$11),$E$11+SQRT(U662*($G$11-$E$11)*($F$11-$E$11)),$G$11-SQRT((1-U662)*($G$11-$E$11)*($G$11-$F$11))))</f>
        <v>0</v>
      </c>
      <c r="H662" s="39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0</v>
      </c>
      <c r="I662" s="39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0</v>
      </c>
      <c r="J662" s="39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0</v>
      </c>
      <c r="K662" s="39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0</v>
      </c>
      <c r="L662" s="39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0</v>
      </c>
      <c r="M662" s="39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0</v>
      </c>
      <c r="N662" s="39" t="str">
        <f aca="false">IF(COUNT('Business Case'!B11:G11)=0,"",H662+NPV(G662,I662:M662))</f>
        <v/>
      </c>
      <c r="P662" s="40" t="n">
        <f aca="true">RAND()</f>
        <v>0.645452332296711</v>
      </c>
      <c r="Q662" s="40" t="n">
        <f aca="true">RAND()</f>
        <v>0.974690832162205</v>
      </c>
      <c r="R662" s="40" t="n">
        <f aca="true">RAND()</f>
        <v>0.749971279616374</v>
      </c>
      <c r="S662" s="40" t="n">
        <f aca="true">RAND()</f>
        <v>0.331174480607409</v>
      </c>
      <c r="T662" s="40" t="n">
        <f aca="true">RAND()</f>
        <v>0.691944728327722</v>
      </c>
      <c r="U662" s="40" t="n">
        <f aca="true">RAND()</f>
        <v>0.336818944948298</v>
      </c>
    </row>
    <row r="663" customFormat="false" ht="15" hidden="false" customHeight="false" outlineLevel="0" collapsed="false">
      <c r="A663" s="36" t="n">
        <v>583</v>
      </c>
      <c r="B663" s="37" t="n">
        <f aca="false">1+IF($G$6=$E$6,$F$6,IF(P663&lt;($F$6-$E$6)/($G$6-$E$6),$E$6+SQRT(P663*($G$6-$E$6)*($F$6-$E$6)),$G$6-SQRT((1-P663)*($G$6-$E$6)*($G$6-$F$6))))</f>
        <v>1</v>
      </c>
      <c r="C663" s="37" t="n">
        <f aca="false">1+IF($G$7=$E$7,$F$7,IF(Q663&lt;($F$7-$E$7)/($G$7-$E$7),$E$7+SQRT(Q663*($G$7-$E$7)*($F$7-$E$7)),$G$7-SQRT((1-Q663)*($G$7-$E$7)*($G$7-$F$7))))</f>
        <v>1</v>
      </c>
      <c r="D663" s="37" t="n">
        <f aca="false">1+IF($G$8=$E$8,$F$8,IF(R663&lt;($F$8-$E$8)/($G$8-$E$8),$E$8+SQRT(R663*($G$8-$E$8)*($F$8-$E$8)),$G$8-SQRT((1-R663)*($G$8-$E$8)*($G$8-$F$8))))</f>
        <v>1</v>
      </c>
      <c r="E663" s="37" t="n">
        <f aca="false">1+IF($G$9=$E$9,$F$9,IF(S663&lt;($F$9-$E$9)/($G$9-$E$9),$E$9+SQRT(S663*($G$9-$E$9)*($F$9-$E$9)),$G$9-SQRT((1-S663)*($G$9-$E$9)*($G$9-$F$9))))</f>
        <v>1</v>
      </c>
      <c r="F663" s="37" t="n">
        <f aca="false">1+IF($G$10=$E$10,$F$10,IF(T663&lt;($F$10-$E$10)/($G$10-$E$10),$E$10+SQRT(T663*($G$10-$E$10)*($F$10-$E$10)),$G$10-SQRT((1-T663)*($G$10-$E$10)*($G$10-$F$10))))</f>
        <v>1</v>
      </c>
      <c r="G663" s="38" t="n">
        <f aca="false">IF($G$11=$E$11,$F$11,IF(U663&lt;($F$11-$E$11)/($G$11-$E$11),$E$11+SQRT(U663*($G$11-$E$11)*($F$11-$E$11)),$G$11-SQRT((1-U663)*($G$11-$E$11)*($G$11-$F$11))))</f>
        <v>0</v>
      </c>
      <c r="H663" s="39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0</v>
      </c>
      <c r="I663" s="39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0</v>
      </c>
      <c r="J663" s="39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0</v>
      </c>
      <c r="K663" s="39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0</v>
      </c>
      <c r="L663" s="39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0</v>
      </c>
      <c r="M663" s="39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0</v>
      </c>
      <c r="N663" s="39" t="str">
        <f aca="false">IF(COUNT('Business Case'!B11:G11)=0,"",H663+NPV(G663,I663:M663))</f>
        <v/>
      </c>
      <c r="P663" s="40" t="n">
        <f aca="true">RAND()</f>
        <v>0.490520598600682</v>
      </c>
      <c r="Q663" s="40" t="n">
        <f aca="true">RAND()</f>
        <v>0.703977055496411</v>
      </c>
      <c r="R663" s="40" t="n">
        <f aca="true">RAND()</f>
        <v>0.315529504004919</v>
      </c>
      <c r="S663" s="40" t="n">
        <f aca="true">RAND()</f>
        <v>0.918631163723952</v>
      </c>
      <c r="T663" s="40" t="n">
        <f aca="true">RAND()</f>
        <v>0.874818650787108</v>
      </c>
      <c r="U663" s="40" t="n">
        <f aca="true">RAND()</f>
        <v>0.409524618783802</v>
      </c>
    </row>
    <row r="664" customFormat="false" ht="15" hidden="false" customHeight="false" outlineLevel="0" collapsed="false">
      <c r="A664" s="36" t="n">
        <v>584</v>
      </c>
      <c r="B664" s="37" t="n">
        <f aca="false">1+IF($G$6=$E$6,$F$6,IF(P664&lt;($F$6-$E$6)/($G$6-$E$6),$E$6+SQRT(P664*($G$6-$E$6)*($F$6-$E$6)),$G$6-SQRT((1-P664)*($G$6-$E$6)*($G$6-$F$6))))</f>
        <v>1</v>
      </c>
      <c r="C664" s="37" t="n">
        <f aca="false">1+IF($G$7=$E$7,$F$7,IF(Q664&lt;($F$7-$E$7)/($G$7-$E$7),$E$7+SQRT(Q664*($G$7-$E$7)*($F$7-$E$7)),$G$7-SQRT((1-Q664)*($G$7-$E$7)*($G$7-$F$7))))</f>
        <v>1</v>
      </c>
      <c r="D664" s="37" t="n">
        <f aca="false">1+IF($G$8=$E$8,$F$8,IF(R664&lt;($F$8-$E$8)/($G$8-$E$8),$E$8+SQRT(R664*($G$8-$E$8)*($F$8-$E$8)),$G$8-SQRT((1-R664)*($G$8-$E$8)*($G$8-$F$8))))</f>
        <v>1</v>
      </c>
      <c r="E664" s="37" t="n">
        <f aca="false">1+IF($G$9=$E$9,$F$9,IF(S664&lt;($F$9-$E$9)/($G$9-$E$9),$E$9+SQRT(S664*($G$9-$E$9)*($F$9-$E$9)),$G$9-SQRT((1-S664)*($G$9-$E$9)*($G$9-$F$9))))</f>
        <v>1</v>
      </c>
      <c r="F664" s="37" t="n">
        <f aca="false">1+IF($G$10=$E$10,$F$10,IF(T664&lt;($F$10-$E$10)/($G$10-$E$10),$E$10+SQRT(T664*($G$10-$E$10)*($F$10-$E$10)),$G$10-SQRT((1-T664)*($G$10-$E$10)*($G$10-$F$10))))</f>
        <v>1</v>
      </c>
      <c r="G664" s="38" t="n">
        <f aca="false">IF($G$11=$E$11,$F$11,IF(U664&lt;($F$11-$E$11)/($G$11-$E$11),$E$11+SQRT(U664*($G$11-$E$11)*($F$11-$E$11)),$G$11-SQRT((1-U664)*($G$11-$E$11)*($G$11-$F$11))))</f>
        <v>0</v>
      </c>
      <c r="H664" s="39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0</v>
      </c>
      <c r="I664" s="39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0</v>
      </c>
      <c r="J664" s="39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0</v>
      </c>
      <c r="K664" s="39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0</v>
      </c>
      <c r="L664" s="39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0</v>
      </c>
      <c r="M664" s="39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0</v>
      </c>
      <c r="N664" s="39" t="str">
        <f aca="false">IF(COUNT('Business Case'!B11:G11)=0,"",H664+NPV(G664,I664:M664))</f>
        <v/>
      </c>
      <c r="P664" s="40" t="n">
        <f aca="true">RAND()</f>
        <v>0.657276160652924</v>
      </c>
      <c r="Q664" s="40" t="n">
        <f aca="true">RAND()</f>
        <v>0.305459473252063</v>
      </c>
      <c r="R664" s="40" t="n">
        <f aca="true">RAND()</f>
        <v>0.634302599869157</v>
      </c>
      <c r="S664" s="40" t="n">
        <f aca="true">RAND()</f>
        <v>0.74087376989858</v>
      </c>
      <c r="T664" s="40" t="n">
        <f aca="true">RAND()</f>
        <v>0.779406212655358</v>
      </c>
      <c r="U664" s="40" t="n">
        <f aca="true">RAND()</f>
        <v>0.0184315906207905</v>
      </c>
    </row>
    <row r="665" customFormat="false" ht="15" hidden="false" customHeight="false" outlineLevel="0" collapsed="false">
      <c r="A665" s="36" t="n">
        <v>585</v>
      </c>
      <c r="B665" s="37" t="n">
        <f aca="false">1+IF($G$6=$E$6,$F$6,IF(P665&lt;($F$6-$E$6)/($G$6-$E$6),$E$6+SQRT(P665*($G$6-$E$6)*($F$6-$E$6)),$G$6-SQRT((1-P665)*($G$6-$E$6)*($G$6-$F$6))))</f>
        <v>1</v>
      </c>
      <c r="C665" s="37" t="n">
        <f aca="false">1+IF($G$7=$E$7,$F$7,IF(Q665&lt;($F$7-$E$7)/($G$7-$E$7),$E$7+SQRT(Q665*($G$7-$E$7)*($F$7-$E$7)),$G$7-SQRT((1-Q665)*($G$7-$E$7)*($G$7-$F$7))))</f>
        <v>1</v>
      </c>
      <c r="D665" s="37" t="n">
        <f aca="false">1+IF($G$8=$E$8,$F$8,IF(R665&lt;($F$8-$E$8)/($G$8-$E$8),$E$8+SQRT(R665*($G$8-$E$8)*($F$8-$E$8)),$G$8-SQRT((1-R665)*($G$8-$E$8)*($G$8-$F$8))))</f>
        <v>1</v>
      </c>
      <c r="E665" s="37" t="n">
        <f aca="false">1+IF($G$9=$E$9,$F$9,IF(S665&lt;($F$9-$E$9)/($G$9-$E$9),$E$9+SQRT(S665*($G$9-$E$9)*($F$9-$E$9)),$G$9-SQRT((1-S665)*($G$9-$E$9)*($G$9-$F$9))))</f>
        <v>1</v>
      </c>
      <c r="F665" s="37" t="n">
        <f aca="false">1+IF($G$10=$E$10,$F$10,IF(T665&lt;($F$10-$E$10)/($G$10-$E$10),$E$10+SQRT(T665*($G$10-$E$10)*($F$10-$E$10)),$G$10-SQRT((1-T665)*($G$10-$E$10)*($G$10-$F$10))))</f>
        <v>1</v>
      </c>
      <c r="G665" s="38" t="n">
        <f aca="false">IF($G$11=$E$11,$F$11,IF(U665&lt;($F$11-$E$11)/($G$11-$E$11),$E$11+SQRT(U665*($G$11-$E$11)*($F$11-$E$11)),$G$11-SQRT((1-U665)*($G$11-$E$11)*($G$11-$F$11))))</f>
        <v>0</v>
      </c>
      <c r="H665" s="39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0</v>
      </c>
      <c r="I665" s="39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0</v>
      </c>
      <c r="J665" s="39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0</v>
      </c>
      <c r="K665" s="39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0</v>
      </c>
      <c r="L665" s="39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0</v>
      </c>
      <c r="M665" s="39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0</v>
      </c>
      <c r="N665" s="39" t="str">
        <f aca="false">IF(COUNT('Business Case'!B11:G11)=0,"",H665+NPV(G665,I665:M665))</f>
        <v/>
      </c>
      <c r="P665" s="40" t="n">
        <f aca="true">RAND()</f>
        <v>0.0252545666578599</v>
      </c>
      <c r="Q665" s="40" t="n">
        <f aca="true">RAND()</f>
        <v>0.63223727089943</v>
      </c>
      <c r="R665" s="40" t="n">
        <f aca="true">RAND()</f>
        <v>0.593843018238384</v>
      </c>
      <c r="S665" s="40" t="n">
        <f aca="true">RAND()</f>
        <v>0.796695062056379</v>
      </c>
      <c r="T665" s="40" t="n">
        <f aca="true">RAND()</f>
        <v>0.193862398315915</v>
      </c>
      <c r="U665" s="40" t="n">
        <f aca="true">RAND()</f>
        <v>0.113933518449561</v>
      </c>
    </row>
    <row r="666" customFormat="false" ht="15" hidden="false" customHeight="false" outlineLevel="0" collapsed="false">
      <c r="A666" s="36" t="n">
        <v>586</v>
      </c>
      <c r="B666" s="37" t="n">
        <f aca="false">1+IF($G$6=$E$6,$F$6,IF(P666&lt;($F$6-$E$6)/($G$6-$E$6),$E$6+SQRT(P666*($G$6-$E$6)*($F$6-$E$6)),$G$6-SQRT((1-P666)*($G$6-$E$6)*($G$6-$F$6))))</f>
        <v>1</v>
      </c>
      <c r="C666" s="37" t="n">
        <f aca="false">1+IF($G$7=$E$7,$F$7,IF(Q666&lt;($F$7-$E$7)/($G$7-$E$7),$E$7+SQRT(Q666*($G$7-$E$7)*($F$7-$E$7)),$G$7-SQRT((1-Q666)*($G$7-$E$7)*($G$7-$F$7))))</f>
        <v>1</v>
      </c>
      <c r="D666" s="37" t="n">
        <f aca="false">1+IF($G$8=$E$8,$F$8,IF(R666&lt;($F$8-$E$8)/($G$8-$E$8),$E$8+SQRT(R666*($G$8-$E$8)*($F$8-$E$8)),$G$8-SQRT((1-R666)*($G$8-$E$8)*($G$8-$F$8))))</f>
        <v>1</v>
      </c>
      <c r="E666" s="37" t="n">
        <f aca="false">1+IF($G$9=$E$9,$F$9,IF(S666&lt;($F$9-$E$9)/($G$9-$E$9),$E$9+SQRT(S666*($G$9-$E$9)*($F$9-$E$9)),$G$9-SQRT((1-S666)*($G$9-$E$9)*($G$9-$F$9))))</f>
        <v>1</v>
      </c>
      <c r="F666" s="37" t="n">
        <f aca="false">1+IF($G$10=$E$10,$F$10,IF(T666&lt;($F$10-$E$10)/($G$10-$E$10),$E$10+SQRT(T666*($G$10-$E$10)*($F$10-$E$10)),$G$10-SQRT((1-T666)*($G$10-$E$10)*($G$10-$F$10))))</f>
        <v>1</v>
      </c>
      <c r="G666" s="38" t="n">
        <f aca="false">IF($G$11=$E$11,$F$11,IF(U666&lt;($F$11-$E$11)/($G$11-$E$11),$E$11+SQRT(U666*($G$11-$E$11)*($F$11-$E$11)),$G$11-SQRT((1-U666)*($G$11-$E$11)*($G$11-$F$11))))</f>
        <v>0</v>
      </c>
      <c r="H666" s="39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0</v>
      </c>
      <c r="I666" s="39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0</v>
      </c>
      <c r="J666" s="39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0</v>
      </c>
      <c r="K666" s="39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0</v>
      </c>
      <c r="L666" s="39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0</v>
      </c>
      <c r="M666" s="39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0</v>
      </c>
      <c r="N666" s="39" t="str">
        <f aca="false">IF(COUNT('Business Case'!B11:G11)=0,"",H666+NPV(G666,I666:M666))</f>
        <v/>
      </c>
      <c r="P666" s="40" t="n">
        <f aca="true">RAND()</f>
        <v>0.445793693899371</v>
      </c>
      <c r="Q666" s="40" t="n">
        <f aca="true">RAND()</f>
        <v>0.0191488003487632</v>
      </c>
      <c r="R666" s="40" t="n">
        <f aca="true">RAND()</f>
        <v>0.807513977371357</v>
      </c>
      <c r="S666" s="40" t="n">
        <f aca="true">RAND()</f>
        <v>0.901379858059156</v>
      </c>
      <c r="T666" s="40" t="n">
        <f aca="true">RAND()</f>
        <v>0.416625648038039</v>
      </c>
      <c r="U666" s="40" t="n">
        <f aca="true">RAND()</f>
        <v>0.38374961303014</v>
      </c>
    </row>
    <row r="667" customFormat="false" ht="15" hidden="false" customHeight="false" outlineLevel="0" collapsed="false">
      <c r="A667" s="36" t="n">
        <v>587</v>
      </c>
      <c r="B667" s="37" t="n">
        <f aca="false">1+IF($G$6=$E$6,$F$6,IF(P667&lt;($F$6-$E$6)/($G$6-$E$6),$E$6+SQRT(P667*($G$6-$E$6)*($F$6-$E$6)),$G$6-SQRT((1-P667)*($G$6-$E$6)*($G$6-$F$6))))</f>
        <v>1</v>
      </c>
      <c r="C667" s="37" t="n">
        <f aca="false">1+IF($G$7=$E$7,$F$7,IF(Q667&lt;($F$7-$E$7)/($G$7-$E$7),$E$7+SQRT(Q667*($G$7-$E$7)*($F$7-$E$7)),$G$7-SQRT((1-Q667)*($G$7-$E$7)*($G$7-$F$7))))</f>
        <v>1</v>
      </c>
      <c r="D667" s="37" t="n">
        <f aca="false">1+IF($G$8=$E$8,$F$8,IF(R667&lt;($F$8-$E$8)/($G$8-$E$8),$E$8+SQRT(R667*($G$8-$E$8)*($F$8-$E$8)),$G$8-SQRT((1-R667)*($G$8-$E$8)*($G$8-$F$8))))</f>
        <v>1</v>
      </c>
      <c r="E667" s="37" t="n">
        <f aca="false">1+IF($G$9=$E$9,$F$9,IF(S667&lt;($F$9-$E$9)/($G$9-$E$9),$E$9+SQRT(S667*($G$9-$E$9)*($F$9-$E$9)),$G$9-SQRT((1-S667)*($G$9-$E$9)*($G$9-$F$9))))</f>
        <v>1</v>
      </c>
      <c r="F667" s="37" t="n">
        <f aca="false">1+IF($G$10=$E$10,$F$10,IF(T667&lt;($F$10-$E$10)/($G$10-$E$10),$E$10+SQRT(T667*($G$10-$E$10)*($F$10-$E$10)),$G$10-SQRT((1-T667)*($G$10-$E$10)*($G$10-$F$10))))</f>
        <v>1</v>
      </c>
      <c r="G667" s="38" t="n">
        <f aca="false">IF($G$11=$E$11,$F$11,IF(U667&lt;($F$11-$E$11)/($G$11-$E$11),$E$11+SQRT(U667*($G$11-$E$11)*($F$11-$E$11)),$G$11-SQRT((1-U667)*($G$11-$E$11)*($G$11-$F$11))))</f>
        <v>0</v>
      </c>
      <c r="H667" s="39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0</v>
      </c>
      <c r="I667" s="39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0</v>
      </c>
      <c r="J667" s="39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0</v>
      </c>
      <c r="K667" s="39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0</v>
      </c>
      <c r="L667" s="39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0</v>
      </c>
      <c r="M667" s="39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0</v>
      </c>
      <c r="N667" s="39" t="str">
        <f aca="false">IF(COUNT('Business Case'!B11:G11)=0,"",H667+NPV(G667,I667:M667))</f>
        <v/>
      </c>
      <c r="P667" s="40" t="n">
        <f aca="true">RAND()</f>
        <v>0.977542579283812</v>
      </c>
      <c r="Q667" s="40" t="n">
        <f aca="true">RAND()</f>
        <v>0.13282091754763</v>
      </c>
      <c r="R667" s="40" t="n">
        <f aca="true">RAND()</f>
        <v>0.548148982070581</v>
      </c>
      <c r="S667" s="40" t="n">
        <f aca="true">RAND()</f>
        <v>0.755247640553587</v>
      </c>
      <c r="T667" s="40" t="n">
        <f aca="true">RAND()</f>
        <v>0.941500450726827</v>
      </c>
      <c r="U667" s="40" t="n">
        <f aca="true">RAND()</f>
        <v>0.255709645161387</v>
      </c>
    </row>
    <row r="668" customFormat="false" ht="15" hidden="false" customHeight="false" outlineLevel="0" collapsed="false">
      <c r="A668" s="36" t="n">
        <v>588</v>
      </c>
      <c r="B668" s="37" t="n">
        <f aca="false">1+IF($G$6=$E$6,$F$6,IF(P668&lt;($F$6-$E$6)/($G$6-$E$6),$E$6+SQRT(P668*($G$6-$E$6)*($F$6-$E$6)),$G$6-SQRT((1-P668)*($G$6-$E$6)*($G$6-$F$6))))</f>
        <v>1</v>
      </c>
      <c r="C668" s="37" t="n">
        <f aca="false">1+IF($G$7=$E$7,$F$7,IF(Q668&lt;($F$7-$E$7)/($G$7-$E$7),$E$7+SQRT(Q668*($G$7-$E$7)*($F$7-$E$7)),$G$7-SQRT((1-Q668)*($G$7-$E$7)*($G$7-$F$7))))</f>
        <v>1</v>
      </c>
      <c r="D668" s="37" t="n">
        <f aca="false">1+IF($G$8=$E$8,$F$8,IF(R668&lt;($F$8-$E$8)/($G$8-$E$8),$E$8+SQRT(R668*($G$8-$E$8)*($F$8-$E$8)),$G$8-SQRT((1-R668)*($G$8-$E$8)*($G$8-$F$8))))</f>
        <v>1</v>
      </c>
      <c r="E668" s="37" t="n">
        <f aca="false">1+IF($G$9=$E$9,$F$9,IF(S668&lt;($F$9-$E$9)/($G$9-$E$9),$E$9+SQRT(S668*($G$9-$E$9)*($F$9-$E$9)),$G$9-SQRT((1-S668)*($G$9-$E$9)*($G$9-$F$9))))</f>
        <v>1</v>
      </c>
      <c r="F668" s="37" t="n">
        <f aca="false">1+IF($G$10=$E$10,$F$10,IF(T668&lt;($F$10-$E$10)/($G$10-$E$10),$E$10+SQRT(T668*($G$10-$E$10)*($F$10-$E$10)),$G$10-SQRT((1-T668)*($G$10-$E$10)*($G$10-$F$10))))</f>
        <v>1</v>
      </c>
      <c r="G668" s="38" t="n">
        <f aca="false">IF($G$11=$E$11,$F$11,IF(U668&lt;($F$11-$E$11)/($G$11-$E$11),$E$11+SQRT(U668*($G$11-$E$11)*($F$11-$E$11)),$G$11-SQRT((1-U668)*($G$11-$E$11)*($G$11-$F$11))))</f>
        <v>0</v>
      </c>
      <c r="H668" s="39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0</v>
      </c>
      <c r="I668" s="39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0</v>
      </c>
      <c r="J668" s="39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0</v>
      </c>
      <c r="K668" s="39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0</v>
      </c>
      <c r="L668" s="39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0</v>
      </c>
      <c r="M668" s="39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0</v>
      </c>
      <c r="N668" s="39" t="str">
        <f aca="false">IF(COUNT('Business Case'!B11:G11)=0,"",H668+NPV(G668,I668:M668))</f>
        <v/>
      </c>
      <c r="P668" s="40" t="n">
        <f aca="true">RAND()</f>
        <v>0.672833990412869</v>
      </c>
      <c r="Q668" s="40" t="n">
        <f aca="true">RAND()</f>
        <v>0.82493427913457</v>
      </c>
      <c r="R668" s="40" t="n">
        <f aca="true">RAND()</f>
        <v>0.376608493893098</v>
      </c>
      <c r="S668" s="40" t="n">
        <f aca="true">RAND()</f>
        <v>0.13171286031446</v>
      </c>
      <c r="T668" s="40" t="n">
        <f aca="true">RAND()</f>
        <v>0.0426841852458867</v>
      </c>
      <c r="U668" s="40" t="n">
        <f aca="true">RAND()</f>
        <v>0.328626499073707</v>
      </c>
    </row>
    <row r="669" customFormat="false" ht="15" hidden="false" customHeight="false" outlineLevel="0" collapsed="false">
      <c r="A669" s="36" t="n">
        <v>589</v>
      </c>
      <c r="B669" s="37" t="n">
        <f aca="false">1+IF($G$6=$E$6,$F$6,IF(P669&lt;($F$6-$E$6)/($G$6-$E$6),$E$6+SQRT(P669*($G$6-$E$6)*($F$6-$E$6)),$G$6-SQRT((1-P669)*($G$6-$E$6)*($G$6-$F$6))))</f>
        <v>1</v>
      </c>
      <c r="C669" s="37" t="n">
        <f aca="false">1+IF($G$7=$E$7,$F$7,IF(Q669&lt;($F$7-$E$7)/($G$7-$E$7),$E$7+SQRT(Q669*($G$7-$E$7)*($F$7-$E$7)),$G$7-SQRT((1-Q669)*($G$7-$E$7)*($G$7-$F$7))))</f>
        <v>1</v>
      </c>
      <c r="D669" s="37" t="n">
        <f aca="false">1+IF($G$8=$E$8,$F$8,IF(R669&lt;($F$8-$E$8)/($G$8-$E$8),$E$8+SQRT(R669*($G$8-$E$8)*($F$8-$E$8)),$G$8-SQRT((1-R669)*($G$8-$E$8)*($G$8-$F$8))))</f>
        <v>1</v>
      </c>
      <c r="E669" s="37" t="n">
        <f aca="false">1+IF($G$9=$E$9,$F$9,IF(S669&lt;($F$9-$E$9)/($G$9-$E$9),$E$9+SQRT(S669*($G$9-$E$9)*($F$9-$E$9)),$G$9-SQRT((1-S669)*($G$9-$E$9)*($G$9-$F$9))))</f>
        <v>1</v>
      </c>
      <c r="F669" s="37" t="n">
        <f aca="false">1+IF($G$10=$E$10,$F$10,IF(T669&lt;($F$10-$E$10)/($G$10-$E$10),$E$10+SQRT(T669*($G$10-$E$10)*($F$10-$E$10)),$G$10-SQRT((1-T669)*($G$10-$E$10)*($G$10-$F$10))))</f>
        <v>1</v>
      </c>
      <c r="G669" s="38" t="n">
        <f aca="false">IF($G$11=$E$11,$F$11,IF(U669&lt;($F$11-$E$11)/($G$11-$E$11),$E$11+SQRT(U669*($G$11-$E$11)*($F$11-$E$11)),$G$11-SQRT((1-U669)*($G$11-$E$11)*($G$11-$F$11))))</f>
        <v>0</v>
      </c>
      <c r="H669" s="39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0</v>
      </c>
      <c r="I669" s="39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0</v>
      </c>
      <c r="J669" s="39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0</v>
      </c>
      <c r="K669" s="39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0</v>
      </c>
      <c r="L669" s="39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0</v>
      </c>
      <c r="M669" s="39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0</v>
      </c>
      <c r="N669" s="39" t="str">
        <f aca="false">IF(COUNT('Business Case'!B11:G11)=0,"",H669+NPV(G669,I669:M669))</f>
        <v/>
      </c>
      <c r="P669" s="40" t="n">
        <f aca="true">RAND()</f>
        <v>0.483025997883014</v>
      </c>
      <c r="Q669" s="40" t="n">
        <f aca="true">RAND()</f>
        <v>0.380264394762016</v>
      </c>
      <c r="R669" s="40" t="n">
        <f aca="true">RAND()</f>
        <v>0.911117939895754</v>
      </c>
      <c r="S669" s="40" t="n">
        <f aca="true">RAND()</f>
        <v>0.726470252447767</v>
      </c>
      <c r="T669" s="40" t="n">
        <f aca="true">RAND()</f>
        <v>0.868158714594484</v>
      </c>
      <c r="U669" s="40" t="n">
        <f aca="true">RAND()</f>
        <v>0.603728073238978</v>
      </c>
    </row>
    <row r="670" customFormat="false" ht="15" hidden="false" customHeight="false" outlineLevel="0" collapsed="false">
      <c r="A670" s="36" t="n">
        <v>590</v>
      </c>
      <c r="B670" s="37" t="n">
        <f aca="false">1+IF($G$6=$E$6,$F$6,IF(P670&lt;($F$6-$E$6)/($G$6-$E$6),$E$6+SQRT(P670*($G$6-$E$6)*($F$6-$E$6)),$G$6-SQRT((1-P670)*($G$6-$E$6)*($G$6-$F$6))))</f>
        <v>1</v>
      </c>
      <c r="C670" s="37" t="n">
        <f aca="false">1+IF($G$7=$E$7,$F$7,IF(Q670&lt;($F$7-$E$7)/($G$7-$E$7),$E$7+SQRT(Q670*($G$7-$E$7)*($F$7-$E$7)),$G$7-SQRT((1-Q670)*($G$7-$E$7)*($G$7-$F$7))))</f>
        <v>1</v>
      </c>
      <c r="D670" s="37" t="n">
        <f aca="false">1+IF($G$8=$E$8,$F$8,IF(R670&lt;($F$8-$E$8)/($G$8-$E$8),$E$8+SQRT(R670*($G$8-$E$8)*($F$8-$E$8)),$G$8-SQRT((1-R670)*($G$8-$E$8)*($G$8-$F$8))))</f>
        <v>1</v>
      </c>
      <c r="E670" s="37" t="n">
        <f aca="false">1+IF($G$9=$E$9,$F$9,IF(S670&lt;($F$9-$E$9)/($G$9-$E$9),$E$9+SQRT(S670*($G$9-$E$9)*($F$9-$E$9)),$G$9-SQRT((1-S670)*($G$9-$E$9)*($G$9-$F$9))))</f>
        <v>1</v>
      </c>
      <c r="F670" s="37" t="n">
        <f aca="false">1+IF($G$10=$E$10,$F$10,IF(T670&lt;($F$10-$E$10)/($G$10-$E$10),$E$10+SQRT(T670*($G$10-$E$10)*($F$10-$E$10)),$G$10-SQRT((1-T670)*($G$10-$E$10)*($G$10-$F$10))))</f>
        <v>1</v>
      </c>
      <c r="G670" s="38" t="n">
        <f aca="false">IF($G$11=$E$11,$F$11,IF(U670&lt;($F$11-$E$11)/($G$11-$E$11),$E$11+SQRT(U670*($G$11-$E$11)*($F$11-$E$11)),$G$11-SQRT((1-U670)*($G$11-$E$11)*($G$11-$F$11))))</f>
        <v>0</v>
      </c>
      <c r="H670" s="39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0</v>
      </c>
      <c r="I670" s="39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0</v>
      </c>
      <c r="J670" s="39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0</v>
      </c>
      <c r="K670" s="39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0</v>
      </c>
      <c r="L670" s="39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0</v>
      </c>
      <c r="M670" s="39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0</v>
      </c>
      <c r="N670" s="39" t="str">
        <f aca="false">IF(COUNT('Business Case'!B11:G11)=0,"",H670+NPV(G670,I670:M670))</f>
        <v/>
      </c>
      <c r="P670" s="40" t="n">
        <f aca="true">RAND()</f>
        <v>0.138016692946839</v>
      </c>
      <c r="Q670" s="40" t="n">
        <f aca="true">RAND()</f>
        <v>0.972644132197009</v>
      </c>
      <c r="R670" s="40" t="n">
        <f aca="true">RAND()</f>
        <v>0.362256506136427</v>
      </c>
      <c r="S670" s="40" t="n">
        <f aca="true">RAND()</f>
        <v>0.917223934952457</v>
      </c>
      <c r="T670" s="40" t="n">
        <f aca="true">RAND()</f>
        <v>0.162511253635916</v>
      </c>
      <c r="U670" s="40" t="n">
        <f aca="true">RAND()</f>
        <v>0.945015548802954</v>
      </c>
    </row>
    <row r="671" customFormat="false" ht="15" hidden="false" customHeight="false" outlineLevel="0" collapsed="false">
      <c r="A671" s="36" t="n">
        <v>591</v>
      </c>
      <c r="B671" s="37" t="n">
        <f aca="false">1+IF($G$6=$E$6,$F$6,IF(P671&lt;($F$6-$E$6)/($G$6-$E$6),$E$6+SQRT(P671*($G$6-$E$6)*($F$6-$E$6)),$G$6-SQRT((1-P671)*($G$6-$E$6)*($G$6-$F$6))))</f>
        <v>1</v>
      </c>
      <c r="C671" s="37" t="n">
        <f aca="false">1+IF($G$7=$E$7,$F$7,IF(Q671&lt;($F$7-$E$7)/($G$7-$E$7),$E$7+SQRT(Q671*($G$7-$E$7)*($F$7-$E$7)),$G$7-SQRT((1-Q671)*($G$7-$E$7)*($G$7-$F$7))))</f>
        <v>1</v>
      </c>
      <c r="D671" s="37" t="n">
        <f aca="false">1+IF($G$8=$E$8,$F$8,IF(R671&lt;($F$8-$E$8)/($G$8-$E$8),$E$8+SQRT(R671*($G$8-$E$8)*($F$8-$E$8)),$G$8-SQRT((1-R671)*($G$8-$E$8)*($G$8-$F$8))))</f>
        <v>1</v>
      </c>
      <c r="E671" s="37" t="n">
        <f aca="false">1+IF($G$9=$E$9,$F$9,IF(S671&lt;($F$9-$E$9)/($G$9-$E$9),$E$9+SQRT(S671*($G$9-$E$9)*($F$9-$E$9)),$G$9-SQRT((1-S671)*($G$9-$E$9)*($G$9-$F$9))))</f>
        <v>1</v>
      </c>
      <c r="F671" s="37" t="n">
        <f aca="false">1+IF($G$10=$E$10,$F$10,IF(T671&lt;($F$10-$E$10)/($G$10-$E$10),$E$10+SQRT(T671*($G$10-$E$10)*($F$10-$E$10)),$G$10-SQRT((1-T671)*($G$10-$E$10)*($G$10-$F$10))))</f>
        <v>1</v>
      </c>
      <c r="G671" s="38" t="n">
        <f aca="false">IF($G$11=$E$11,$F$11,IF(U671&lt;($F$11-$E$11)/($G$11-$E$11),$E$11+SQRT(U671*($G$11-$E$11)*($F$11-$E$11)),$G$11-SQRT((1-U671)*($G$11-$E$11)*($G$11-$F$11))))</f>
        <v>0</v>
      </c>
      <c r="H671" s="39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0</v>
      </c>
      <c r="I671" s="39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0</v>
      </c>
      <c r="J671" s="39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0</v>
      </c>
      <c r="K671" s="39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0</v>
      </c>
      <c r="L671" s="39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0</v>
      </c>
      <c r="M671" s="39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0</v>
      </c>
      <c r="N671" s="39" t="str">
        <f aca="false">IF(COUNT('Business Case'!B11:G11)=0,"",H671+NPV(G671,I671:M671))</f>
        <v/>
      </c>
      <c r="P671" s="40" t="n">
        <f aca="true">RAND()</f>
        <v>0.830430948567208</v>
      </c>
      <c r="Q671" s="40" t="n">
        <f aca="true">RAND()</f>
        <v>0.323525188997693</v>
      </c>
      <c r="R671" s="40" t="n">
        <f aca="true">RAND()</f>
        <v>0.845403853347537</v>
      </c>
      <c r="S671" s="40" t="n">
        <f aca="true">RAND()</f>
        <v>0.239632097146195</v>
      </c>
      <c r="T671" s="40" t="n">
        <f aca="true">RAND()</f>
        <v>0.0812481934343198</v>
      </c>
      <c r="U671" s="40" t="n">
        <f aca="true">RAND()</f>
        <v>0.716620365836428</v>
      </c>
    </row>
    <row r="672" customFormat="false" ht="15" hidden="false" customHeight="false" outlineLevel="0" collapsed="false">
      <c r="A672" s="36" t="n">
        <v>592</v>
      </c>
      <c r="B672" s="37" t="n">
        <f aca="false">1+IF($G$6=$E$6,$F$6,IF(P672&lt;($F$6-$E$6)/($G$6-$E$6),$E$6+SQRT(P672*($G$6-$E$6)*($F$6-$E$6)),$G$6-SQRT((1-P672)*($G$6-$E$6)*($G$6-$F$6))))</f>
        <v>1</v>
      </c>
      <c r="C672" s="37" t="n">
        <f aca="false">1+IF($G$7=$E$7,$F$7,IF(Q672&lt;($F$7-$E$7)/($G$7-$E$7),$E$7+SQRT(Q672*($G$7-$E$7)*($F$7-$E$7)),$G$7-SQRT((1-Q672)*($G$7-$E$7)*($G$7-$F$7))))</f>
        <v>1</v>
      </c>
      <c r="D672" s="37" t="n">
        <f aca="false">1+IF($G$8=$E$8,$F$8,IF(R672&lt;($F$8-$E$8)/($G$8-$E$8),$E$8+SQRT(R672*($G$8-$E$8)*($F$8-$E$8)),$G$8-SQRT((1-R672)*($G$8-$E$8)*($G$8-$F$8))))</f>
        <v>1</v>
      </c>
      <c r="E672" s="37" t="n">
        <f aca="false">1+IF($G$9=$E$9,$F$9,IF(S672&lt;($F$9-$E$9)/($G$9-$E$9),$E$9+SQRT(S672*($G$9-$E$9)*($F$9-$E$9)),$G$9-SQRT((1-S672)*($G$9-$E$9)*($G$9-$F$9))))</f>
        <v>1</v>
      </c>
      <c r="F672" s="37" t="n">
        <f aca="false">1+IF($G$10=$E$10,$F$10,IF(T672&lt;($F$10-$E$10)/($G$10-$E$10),$E$10+SQRT(T672*($G$10-$E$10)*($F$10-$E$10)),$G$10-SQRT((1-T672)*($G$10-$E$10)*($G$10-$F$10))))</f>
        <v>1</v>
      </c>
      <c r="G672" s="38" t="n">
        <f aca="false">IF($G$11=$E$11,$F$11,IF(U672&lt;($F$11-$E$11)/($G$11-$E$11),$E$11+SQRT(U672*($G$11-$E$11)*($F$11-$E$11)),$G$11-SQRT((1-U672)*($G$11-$E$11)*($G$11-$F$11))))</f>
        <v>0</v>
      </c>
      <c r="H672" s="39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0</v>
      </c>
      <c r="I672" s="39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0</v>
      </c>
      <c r="J672" s="39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0</v>
      </c>
      <c r="K672" s="39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0</v>
      </c>
      <c r="L672" s="39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0</v>
      </c>
      <c r="M672" s="39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0</v>
      </c>
      <c r="N672" s="39" t="str">
        <f aca="false">IF(COUNT('Business Case'!B11:G11)=0,"",H672+NPV(G672,I672:M672))</f>
        <v/>
      </c>
      <c r="P672" s="40" t="n">
        <f aca="true">RAND()</f>
        <v>0.777880913227956</v>
      </c>
      <c r="Q672" s="40" t="n">
        <f aca="true">RAND()</f>
        <v>0.95848241515594</v>
      </c>
      <c r="R672" s="40" t="n">
        <f aca="true">RAND()</f>
        <v>0.820898418756195</v>
      </c>
      <c r="S672" s="40" t="n">
        <f aca="true">RAND()</f>
        <v>0.570996431665098</v>
      </c>
      <c r="T672" s="40" t="n">
        <f aca="true">RAND()</f>
        <v>0.514538318296643</v>
      </c>
      <c r="U672" s="40" t="n">
        <f aca="true">RAND()</f>
        <v>0.110811998058481</v>
      </c>
    </row>
    <row r="673" customFormat="false" ht="15" hidden="false" customHeight="false" outlineLevel="0" collapsed="false">
      <c r="A673" s="36" t="n">
        <v>593</v>
      </c>
      <c r="B673" s="37" t="n">
        <f aca="false">1+IF($G$6=$E$6,$F$6,IF(P673&lt;($F$6-$E$6)/($G$6-$E$6),$E$6+SQRT(P673*($G$6-$E$6)*($F$6-$E$6)),$G$6-SQRT((1-P673)*($G$6-$E$6)*($G$6-$F$6))))</f>
        <v>1</v>
      </c>
      <c r="C673" s="37" t="n">
        <f aca="false">1+IF($G$7=$E$7,$F$7,IF(Q673&lt;($F$7-$E$7)/($G$7-$E$7),$E$7+SQRT(Q673*($G$7-$E$7)*($F$7-$E$7)),$G$7-SQRT((1-Q673)*($G$7-$E$7)*($G$7-$F$7))))</f>
        <v>1</v>
      </c>
      <c r="D673" s="37" t="n">
        <f aca="false">1+IF($G$8=$E$8,$F$8,IF(R673&lt;($F$8-$E$8)/($G$8-$E$8),$E$8+SQRT(R673*($G$8-$E$8)*($F$8-$E$8)),$G$8-SQRT((1-R673)*($G$8-$E$8)*($G$8-$F$8))))</f>
        <v>1</v>
      </c>
      <c r="E673" s="37" t="n">
        <f aca="false">1+IF($G$9=$E$9,$F$9,IF(S673&lt;($F$9-$E$9)/($G$9-$E$9),$E$9+SQRT(S673*($G$9-$E$9)*($F$9-$E$9)),$G$9-SQRT((1-S673)*($G$9-$E$9)*($G$9-$F$9))))</f>
        <v>1</v>
      </c>
      <c r="F673" s="37" t="n">
        <f aca="false">1+IF($G$10=$E$10,$F$10,IF(T673&lt;($F$10-$E$10)/($G$10-$E$10),$E$10+SQRT(T673*($G$10-$E$10)*($F$10-$E$10)),$G$10-SQRT((1-T673)*($G$10-$E$10)*($G$10-$F$10))))</f>
        <v>1</v>
      </c>
      <c r="G673" s="38" t="n">
        <f aca="false">IF($G$11=$E$11,$F$11,IF(U673&lt;($F$11-$E$11)/($G$11-$E$11),$E$11+SQRT(U673*($G$11-$E$11)*($F$11-$E$11)),$G$11-SQRT((1-U673)*($G$11-$E$11)*($G$11-$F$11))))</f>
        <v>0</v>
      </c>
      <c r="H673" s="39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0</v>
      </c>
      <c r="I673" s="39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0</v>
      </c>
      <c r="J673" s="39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0</v>
      </c>
      <c r="K673" s="39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0</v>
      </c>
      <c r="L673" s="39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0</v>
      </c>
      <c r="M673" s="39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0</v>
      </c>
      <c r="N673" s="39" t="str">
        <f aca="false">IF(COUNT('Business Case'!B11:G11)=0,"",H673+NPV(G673,I673:M673))</f>
        <v/>
      </c>
      <c r="P673" s="40" t="n">
        <f aca="true">RAND()</f>
        <v>0.530767588562252</v>
      </c>
      <c r="Q673" s="40" t="n">
        <f aca="true">RAND()</f>
        <v>0.864514003620433</v>
      </c>
      <c r="R673" s="40" t="n">
        <f aca="true">RAND()</f>
        <v>0.180235593084957</v>
      </c>
      <c r="S673" s="40" t="n">
        <f aca="true">RAND()</f>
        <v>0.190254249032107</v>
      </c>
      <c r="T673" s="40" t="n">
        <f aca="true">RAND()</f>
        <v>0.336567372011623</v>
      </c>
      <c r="U673" s="40" t="n">
        <f aca="true">RAND()</f>
        <v>0.417026082206645</v>
      </c>
    </row>
    <row r="674" customFormat="false" ht="15" hidden="false" customHeight="false" outlineLevel="0" collapsed="false">
      <c r="A674" s="36" t="n">
        <v>594</v>
      </c>
      <c r="B674" s="37" t="n">
        <f aca="false">1+IF($G$6=$E$6,$F$6,IF(P674&lt;($F$6-$E$6)/($G$6-$E$6),$E$6+SQRT(P674*($G$6-$E$6)*($F$6-$E$6)),$G$6-SQRT((1-P674)*($G$6-$E$6)*($G$6-$F$6))))</f>
        <v>1</v>
      </c>
      <c r="C674" s="37" t="n">
        <f aca="false">1+IF($G$7=$E$7,$F$7,IF(Q674&lt;($F$7-$E$7)/($G$7-$E$7),$E$7+SQRT(Q674*($G$7-$E$7)*($F$7-$E$7)),$G$7-SQRT((1-Q674)*($G$7-$E$7)*($G$7-$F$7))))</f>
        <v>1</v>
      </c>
      <c r="D674" s="37" t="n">
        <f aca="false">1+IF($G$8=$E$8,$F$8,IF(R674&lt;($F$8-$E$8)/($G$8-$E$8),$E$8+SQRT(R674*($G$8-$E$8)*($F$8-$E$8)),$G$8-SQRT((1-R674)*($G$8-$E$8)*($G$8-$F$8))))</f>
        <v>1</v>
      </c>
      <c r="E674" s="37" t="n">
        <f aca="false">1+IF($G$9=$E$9,$F$9,IF(S674&lt;($F$9-$E$9)/($G$9-$E$9),$E$9+SQRT(S674*($G$9-$E$9)*($F$9-$E$9)),$G$9-SQRT((1-S674)*($G$9-$E$9)*($G$9-$F$9))))</f>
        <v>1</v>
      </c>
      <c r="F674" s="37" t="n">
        <f aca="false">1+IF($G$10=$E$10,$F$10,IF(T674&lt;($F$10-$E$10)/($G$10-$E$10),$E$10+SQRT(T674*($G$10-$E$10)*($F$10-$E$10)),$G$10-SQRT((1-T674)*($G$10-$E$10)*($G$10-$F$10))))</f>
        <v>1</v>
      </c>
      <c r="G674" s="38" t="n">
        <f aca="false">IF($G$11=$E$11,$F$11,IF(U674&lt;($F$11-$E$11)/($G$11-$E$11),$E$11+SQRT(U674*($G$11-$E$11)*($F$11-$E$11)),$G$11-SQRT((1-U674)*($G$11-$E$11)*($G$11-$F$11))))</f>
        <v>0</v>
      </c>
      <c r="H674" s="39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0</v>
      </c>
      <c r="I674" s="39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0</v>
      </c>
      <c r="J674" s="39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0</v>
      </c>
      <c r="K674" s="39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0</v>
      </c>
      <c r="L674" s="39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0</v>
      </c>
      <c r="M674" s="39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0</v>
      </c>
      <c r="N674" s="39" t="str">
        <f aca="false">IF(COUNT('Business Case'!B11:G11)=0,"",H674+NPV(G674,I674:M674))</f>
        <v/>
      </c>
      <c r="P674" s="40" t="n">
        <f aca="true">RAND()</f>
        <v>0.566582839979739</v>
      </c>
      <c r="Q674" s="40" t="n">
        <f aca="true">RAND()</f>
        <v>0.40956556450979</v>
      </c>
      <c r="R674" s="40" t="n">
        <f aca="true">RAND()</f>
        <v>0.284641219504733</v>
      </c>
      <c r="S674" s="40" t="n">
        <f aca="true">RAND()</f>
        <v>0.290642393562833</v>
      </c>
      <c r="T674" s="40" t="n">
        <f aca="true">RAND()</f>
        <v>0.0703415680222804</v>
      </c>
      <c r="U674" s="40" t="n">
        <f aca="true">RAND()</f>
        <v>0.227022589864612</v>
      </c>
    </row>
    <row r="675" customFormat="false" ht="15" hidden="false" customHeight="false" outlineLevel="0" collapsed="false">
      <c r="A675" s="36" t="n">
        <v>595</v>
      </c>
      <c r="B675" s="37" t="n">
        <f aca="false">1+IF($G$6=$E$6,$F$6,IF(P675&lt;($F$6-$E$6)/($G$6-$E$6),$E$6+SQRT(P675*($G$6-$E$6)*($F$6-$E$6)),$G$6-SQRT((1-P675)*($G$6-$E$6)*($G$6-$F$6))))</f>
        <v>1</v>
      </c>
      <c r="C675" s="37" t="n">
        <f aca="false">1+IF($G$7=$E$7,$F$7,IF(Q675&lt;($F$7-$E$7)/($G$7-$E$7),$E$7+SQRT(Q675*($G$7-$E$7)*($F$7-$E$7)),$G$7-SQRT((1-Q675)*($G$7-$E$7)*($G$7-$F$7))))</f>
        <v>1</v>
      </c>
      <c r="D675" s="37" t="n">
        <f aca="false">1+IF($G$8=$E$8,$F$8,IF(R675&lt;($F$8-$E$8)/($G$8-$E$8),$E$8+SQRT(R675*($G$8-$E$8)*($F$8-$E$8)),$G$8-SQRT((1-R675)*($G$8-$E$8)*($G$8-$F$8))))</f>
        <v>1</v>
      </c>
      <c r="E675" s="37" t="n">
        <f aca="false">1+IF($G$9=$E$9,$F$9,IF(S675&lt;($F$9-$E$9)/($G$9-$E$9),$E$9+SQRT(S675*($G$9-$E$9)*($F$9-$E$9)),$G$9-SQRT((1-S675)*($G$9-$E$9)*($G$9-$F$9))))</f>
        <v>1</v>
      </c>
      <c r="F675" s="37" t="n">
        <f aca="false">1+IF($G$10=$E$10,$F$10,IF(T675&lt;($F$10-$E$10)/($G$10-$E$10),$E$10+SQRT(T675*($G$10-$E$10)*($F$10-$E$10)),$G$10-SQRT((1-T675)*($G$10-$E$10)*($G$10-$F$10))))</f>
        <v>1</v>
      </c>
      <c r="G675" s="38" t="n">
        <f aca="false">IF($G$11=$E$11,$F$11,IF(U675&lt;($F$11-$E$11)/($G$11-$E$11),$E$11+SQRT(U675*($G$11-$E$11)*($F$11-$E$11)),$G$11-SQRT((1-U675)*($G$11-$E$11)*($G$11-$F$11))))</f>
        <v>0</v>
      </c>
      <c r="H675" s="39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0</v>
      </c>
      <c r="I675" s="39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0</v>
      </c>
      <c r="J675" s="39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0</v>
      </c>
      <c r="K675" s="39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0</v>
      </c>
      <c r="L675" s="39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0</v>
      </c>
      <c r="M675" s="39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0</v>
      </c>
      <c r="N675" s="39" t="str">
        <f aca="false">IF(COUNT('Business Case'!B11:G11)=0,"",H675+NPV(G675,I675:M675))</f>
        <v/>
      </c>
      <c r="P675" s="40" t="n">
        <f aca="true">RAND()</f>
        <v>0.0702434378917867</v>
      </c>
      <c r="Q675" s="40" t="n">
        <f aca="true">RAND()</f>
        <v>0.779107191236745</v>
      </c>
      <c r="R675" s="40" t="n">
        <f aca="true">RAND()</f>
        <v>0.313204912842991</v>
      </c>
      <c r="S675" s="40" t="n">
        <f aca="true">RAND()</f>
        <v>0.423055852136919</v>
      </c>
      <c r="T675" s="40" t="n">
        <f aca="true">RAND()</f>
        <v>0.460701942128684</v>
      </c>
      <c r="U675" s="40" t="n">
        <f aca="true">RAND()</f>
        <v>0.0127969776847689</v>
      </c>
    </row>
    <row r="676" customFormat="false" ht="15" hidden="false" customHeight="false" outlineLevel="0" collapsed="false">
      <c r="A676" s="36" t="n">
        <v>596</v>
      </c>
      <c r="B676" s="37" t="n">
        <f aca="false">1+IF($G$6=$E$6,$F$6,IF(P676&lt;($F$6-$E$6)/($G$6-$E$6),$E$6+SQRT(P676*($G$6-$E$6)*($F$6-$E$6)),$G$6-SQRT((1-P676)*($G$6-$E$6)*($G$6-$F$6))))</f>
        <v>1</v>
      </c>
      <c r="C676" s="37" t="n">
        <f aca="false">1+IF($G$7=$E$7,$F$7,IF(Q676&lt;($F$7-$E$7)/($G$7-$E$7),$E$7+SQRT(Q676*($G$7-$E$7)*($F$7-$E$7)),$G$7-SQRT((1-Q676)*($G$7-$E$7)*($G$7-$F$7))))</f>
        <v>1</v>
      </c>
      <c r="D676" s="37" t="n">
        <f aca="false">1+IF($G$8=$E$8,$F$8,IF(R676&lt;($F$8-$E$8)/($G$8-$E$8),$E$8+SQRT(R676*($G$8-$E$8)*($F$8-$E$8)),$G$8-SQRT((1-R676)*($G$8-$E$8)*($G$8-$F$8))))</f>
        <v>1</v>
      </c>
      <c r="E676" s="37" t="n">
        <f aca="false">1+IF($G$9=$E$9,$F$9,IF(S676&lt;($F$9-$E$9)/($G$9-$E$9),$E$9+SQRT(S676*($G$9-$E$9)*($F$9-$E$9)),$G$9-SQRT((1-S676)*($G$9-$E$9)*($G$9-$F$9))))</f>
        <v>1</v>
      </c>
      <c r="F676" s="37" t="n">
        <f aca="false">1+IF($G$10=$E$10,$F$10,IF(T676&lt;($F$10-$E$10)/($G$10-$E$10),$E$10+SQRT(T676*($G$10-$E$10)*($F$10-$E$10)),$G$10-SQRT((1-T676)*($G$10-$E$10)*($G$10-$F$10))))</f>
        <v>1</v>
      </c>
      <c r="G676" s="38" t="n">
        <f aca="false">IF($G$11=$E$11,$F$11,IF(U676&lt;($F$11-$E$11)/($G$11-$E$11),$E$11+SQRT(U676*($G$11-$E$11)*($F$11-$E$11)),$G$11-SQRT((1-U676)*($G$11-$E$11)*($G$11-$F$11))))</f>
        <v>0</v>
      </c>
      <c r="H676" s="39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0</v>
      </c>
      <c r="I676" s="39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0</v>
      </c>
      <c r="J676" s="39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0</v>
      </c>
      <c r="K676" s="39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0</v>
      </c>
      <c r="L676" s="39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0</v>
      </c>
      <c r="M676" s="39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0</v>
      </c>
      <c r="N676" s="39" t="str">
        <f aca="false">IF(COUNT('Business Case'!B11:G11)=0,"",H676+NPV(G676,I676:M676))</f>
        <v/>
      </c>
      <c r="P676" s="40" t="n">
        <f aca="true">RAND()</f>
        <v>0.0108841413381313</v>
      </c>
      <c r="Q676" s="40" t="n">
        <f aca="true">RAND()</f>
        <v>0.939572120553192</v>
      </c>
      <c r="R676" s="40" t="n">
        <f aca="true">RAND()</f>
        <v>0.53860985668508</v>
      </c>
      <c r="S676" s="40" t="n">
        <f aca="true">RAND()</f>
        <v>0.658522129533773</v>
      </c>
      <c r="T676" s="40" t="n">
        <f aca="true">RAND()</f>
        <v>0.255573371624052</v>
      </c>
      <c r="U676" s="40" t="n">
        <f aca="true">RAND()</f>
        <v>0.695128379444707</v>
      </c>
    </row>
    <row r="677" customFormat="false" ht="15" hidden="false" customHeight="false" outlineLevel="0" collapsed="false">
      <c r="A677" s="36" t="n">
        <v>597</v>
      </c>
      <c r="B677" s="37" t="n">
        <f aca="false">1+IF($G$6=$E$6,$F$6,IF(P677&lt;($F$6-$E$6)/($G$6-$E$6),$E$6+SQRT(P677*($G$6-$E$6)*($F$6-$E$6)),$G$6-SQRT((1-P677)*($G$6-$E$6)*($G$6-$F$6))))</f>
        <v>1</v>
      </c>
      <c r="C677" s="37" t="n">
        <f aca="false">1+IF($G$7=$E$7,$F$7,IF(Q677&lt;($F$7-$E$7)/($G$7-$E$7),$E$7+SQRT(Q677*($G$7-$E$7)*($F$7-$E$7)),$G$7-SQRT((1-Q677)*($G$7-$E$7)*($G$7-$F$7))))</f>
        <v>1</v>
      </c>
      <c r="D677" s="37" t="n">
        <f aca="false">1+IF($G$8=$E$8,$F$8,IF(R677&lt;($F$8-$E$8)/($G$8-$E$8),$E$8+SQRT(R677*($G$8-$E$8)*($F$8-$E$8)),$G$8-SQRT((1-R677)*($G$8-$E$8)*($G$8-$F$8))))</f>
        <v>1</v>
      </c>
      <c r="E677" s="37" t="n">
        <f aca="false">1+IF($G$9=$E$9,$F$9,IF(S677&lt;($F$9-$E$9)/($G$9-$E$9),$E$9+SQRT(S677*($G$9-$E$9)*($F$9-$E$9)),$G$9-SQRT((1-S677)*($G$9-$E$9)*($G$9-$F$9))))</f>
        <v>1</v>
      </c>
      <c r="F677" s="37" t="n">
        <f aca="false">1+IF($G$10=$E$10,$F$10,IF(T677&lt;($F$10-$E$10)/($G$10-$E$10),$E$10+SQRT(T677*($G$10-$E$10)*($F$10-$E$10)),$G$10-SQRT((1-T677)*($G$10-$E$10)*($G$10-$F$10))))</f>
        <v>1</v>
      </c>
      <c r="G677" s="38" t="n">
        <f aca="false">IF($G$11=$E$11,$F$11,IF(U677&lt;($F$11-$E$11)/($G$11-$E$11),$E$11+SQRT(U677*($G$11-$E$11)*($F$11-$E$11)),$G$11-SQRT((1-U677)*($G$11-$E$11)*($G$11-$F$11))))</f>
        <v>0</v>
      </c>
      <c r="H677" s="39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0</v>
      </c>
      <c r="I677" s="39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0</v>
      </c>
      <c r="J677" s="39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0</v>
      </c>
      <c r="K677" s="39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0</v>
      </c>
      <c r="L677" s="39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0</v>
      </c>
      <c r="M677" s="39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0</v>
      </c>
      <c r="N677" s="39" t="str">
        <f aca="false">IF(COUNT('Business Case'!B11:G11)=0,"",H677+NPV(G677,I677:M677))</f>
        <v/>
      </c>
      <c r="P677" s="40" t="n">
        <f aca="true">RAND()</f>
        <v>0.208720245483098</v>
      </c>
      <c r="Q677" s="40" t="n">
        <f aca="true">RAND()</f>
        <v>0.707840742241272</v>
      </c>
      <c r="R677" s="40" t="n">
        <f aca="true">RAND()</f>
        <v>0.758088614847811</v>
      </c>
      <c r="S677" s="40" t="n">
        <f aca="true">RAND()</f>
        <v>0.805303565998266</v>
      </c>
      <c r="T677" s="40" t="n">
        <f aca="true">RAND()</f>
        <v>0.307796926973179</v>
      </c>
      <c r="U677" s="40" t="n">
        <f aca="true">RAND()</f>
        <v>0.396551305528309</v>
      </c>
    </row>
    <row r="678" customFormat="false" ht="15" hidden="false" customHeight="false" outlineLevel="0" collapsed="false">
      <c r="A678" s="36" t="n">
        <v>598</v>
      </c>
      <c r="B678" s="37" t="n">
        <f aca="false">1+IF($G$6=$E$6,$F$6,IF(P678&lt;($F$6-$E$6)/($G$6-$E$6),$E$6+SQRT(P678*($G$6-$E$6)*($F$6-$E$6)),$G$6-SQRT((1-P678)*($G$6-$E$6)*($G$6-$F$6))))</f>
        <v>1</v>
      </c>
      <c r="C678" s="37" t="n">
        <f aca="false">1+IF($G$7=$E$7,$F$7,IF(Q678&lt;($F$7-$E$7)/($G$7-$E$7),$E$7+SQRT(Q678*($G$7-$E$7)*($F$7-$E$7)),$G$7-SQRT((1-Q678)*($G$7-$E$7)*($G$7-$F$7))))</f>
        <v>1</v>
      </c>
      <c r="D678" s="37" t="n">
        <f aca="false">1+IF($G$8=$E$8,$F$8,IF(R678&lt;($F$8-$E$8)/($G$8-$E$8),$E$8+SQRT(R678*($G$8-$E$8)*($F$8-$E$8)),$G$8-SQRT((1-R678)*($G$8-$E$8)*($G$8-$F$8))))</f>
        <v>1</v>
      </c>
      <c r="E678" s="37" t="n">
        <f aca="false">1+IF($G$9=$E$9,$F$9,IF(S678&lt;($F$9-$E$9)/($G$9-$E$9),$E$9+SQRT(S678*($G$9-$E$9)*($F$9-$E$9)),$G$9-SQRT((1-S678)*($G$9-$E$9)*($G$9-$F$9))))</f>
        <v>1</v>
      </c>
      <c r="F678" s="37" t="n">
        <f aca="false">1+IF($G$10=$E$10,$F$10,IF(T678&lt;($F$10-$E$10)/($G$10-$E$10),$E$10+SQRT(T678*($G$10-$E$10)*($F$10-$E$10)),$G$10-SQRT((1-T678)*($G$10-$E$10)*($G$10-$F$10))))</f>
        <v>1</v>
      </c>
      <c r="G678" s="38" t="n">
        <f aca="false">IF($G$11=$E$11,$F$11,IF(U678&lt;($F$11-$E$11)/($G$11-$E$11),$E$11+SQRT(U678*($G$11-$E$11)*($F$11-$E$11)),$G$11-SQRT((1-U678)*($G$11-$E$11)*($G$11-$F$11))))</f>
        <v>0</v>
      </c>
      <c r="H678" s="39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0</v>
      </c>
      <c r="I678" s="39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0</v>
      </c>
      <c r="J678" s="39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0</v>
      </c>
      <c r="K678" s="39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0</v>
      </c>
      <c r="L678" s="39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0</v>
      </c>
      <c r="M678" s="39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0</v>
      </c>
      <c r="N678" s="39" t="str">
        <f aca="false">IF(COUNT('Business Case'!B11:G11)=0,"",H678+NPV(G678,I678:M678))</f>
        <v/>
      </c>
      <c r="P678" s="40" t="n">
        <f aca="true">RAND()</f>
        <v>0.842670324217487</v>
      </c>
      <c r="Q678" s="40" t="n">
        <f aca="true">RAND()</f>
        <v>0.274914588287315</v>
      </c>
      <c r="R678" s="40" t="n">
        <f aca="true">RAND()</f>
        <v>0.962803890558252</v>
      </c>
      <c r="S678" s="40" t="n">
        <f aca="true">RAND()</f>
        <v>0.344025208047225</v>
      </c>
      <c r="T678" s="40" t="n">
        <f aca="true">RAND()</f>
        <v>0.757152078551791</v>
      </c>
      <c r="U678" s="40" t="n">
        <f aca="true">RAND()</f>
        <v>0.460850985672038</v>
      </c>
    </row>
    <row r="679" customFormat="false" ht="15" hidden="false" customHeight="false" outlineLevel="0" collapsed="false">
      <c r="A679" s="36" t="n">
        <v>599</v>
      </c>
      <c r="B679" s="37" t="n">
        <f aca="false">1+IF($G$6=$E$6,$F$6,IF(P679&lt;($F$6-$E$6)/($G$6-$E$6),$E$6+SQRT(P679*($G$6-$E$6)*($F$6-$E$6)),$G$6-SQRT((1-P679)*($G$6-$E$6)*($G$6-$F$6))))</f>
        <v>1</v>
      </c>
      <c r="C679" s="37" t="n">
        <f aca="false">1+IF($G$7=$E$7,$F$7,IF(Q679&lt;($F$7-$E$7)/($G$7-$E$7),$E$7+SQRT(Q679*($G$7-$E$7)*($F$7-$E$7)),$G$7-SQRT((1-Q679)*($G$7-$E$7)*($G$7-$F$7))))</f>
        <v>1</v>
      </c>
      <c r="D679" s="37" t="n">
        <f aca="false">1+IF($G$8=$E$8,$F$8,IF(R679&lt;($F$8-$E$8)/($G$8-$E$8),$E$8+SQRT(R679*($G$8-$E$8)*($F$8-$E$8)),$G$8-SQRT((1-R679)*($G$8-$E$8)*($G$8-$F$8))))</f>
        <v>1</v>
      </c>
      <c r="E679" s="37" t="n">
        <f aca="false">1+IF($G$9=$E$9,$F$9,IF(S679&lt;($F$9-$E$9)/($G$9-$E$9),$E$9+SQRT(S679*($G$9-$E$9)*($F$9-$E$9)),$G$9-SQRT((1-S679)*($G$9-$E$9)*($G$9-$F$9))))</f>
        <v>1</v>
      </c>
      <c r="F679" s="37" t="n">
        <f aca="false">1+IF($G$10=$E$10,$F$10,IF(T679&lt;($F$10-$E$10)/($G$10-$E$10),$E$10+SQRT(T679*($G$10-$E$10)*($F$10-$E$10)),$G$10-SQRT((1-T679)*($G$10-$E$10)*($G$10-$F$10))))</f>
        <v>1</v>
      </c>
      <c r="G679" s="38" t="n">
        <f aca="false">IF($G$11=$E$11,$F$11,IF(U679&lt;($F$11-$E$11)/($G$11-$E$11),$E$11+SQRT(U679*($G$11-$E$11)*($F$11-$E$11)),$G$11-SQRT((1-U679)*($G$11-$E$11)*($G$11-$F$11))))</f>
        <v>0</v>
      </c>
      <c r="H679" s="39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0</v>
      </c>
      <c r="I679" s="39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0</v>
      </c>
      <c r="J679" s="39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0</v>
      </c>
      <c r="K679" s="39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0</v>
      </c>
      <c r="L679" s="39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0</v>
      </c>
      <c r="M679" s="39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0</v>
      </c>
      <c r="N679" s="39" t="str">
        <f aca="false">IF(COUNT('Business Case'!B11:G11)=0,"",H679+NPV(G679,I679:M679))</f>
        <v/>
      </c>
      <c r="P679" s="40" t="n">
        <f aca="true">RAND()</f>
        <v>0.605260750554796</v>
      </c>
      <c r="Q679" s="40" t="n">
        <f aca="true">RAND()</f>
        <v>0.162682525408692</v>
      </c>
      <c r="R679" s="40" t="n">
        <f aca="true">RAND()</f>
        <v>0.113096743574585</v>
      </c>
      <c r="S679" s="40" t="n">
        <f aca="true">RAND()</f>
        <v>0.432776087747691</v>
      </c>
      <c r="T679" s="40" t="n">
        <f aca="true">RAND()</f>
        <v>0.897979671204434</v>
      </c>
      <c r="U679" s="40" t="n">
        <f aca="true">RAND()</f>
        <v>0.347153650937237</v>
      </c>
    </row>
    <row r="680" customFormat="false" ht="15" hidden="false" customHeight="false" outlineLevel="0" collapsed="false">
      <c r="A680" s="36" t="n">
        <v>600</v>
      </c>
      <c r="B680" s="37" t="n">
        <f aca="false">1+IF($G$6=$E$6,$F$6,IF(P680&lt;($F$6-$E$6)/($G$6-$E$6),$E$6+SQRT(P680*($G$6-$E$6)*($F$6-$E$6)),$G$6-SQRT((1-P680)*($G$6-$E$6)*($G$6-$F$6))))</f>
        <v>1</v>
      </c>
      <c r="C680" s="37" t="n">
        <f aca="false">1+IF($G$7=$E$7,$F$7,IF(Q680&lt;($F$7-$E$7)/($G$7-$E$7),$E$7+SQRT(Q680*($G$7-$E$7)*($F$7-$E$7)),$G$7-SQRT((1-Q680)*($G$7-$E$7)*($G$7-$F$7))))</f>
        <v>1</v>
      </c>
      <c r="D680" s="37" t="n">
        <f aca="false">1+IF($G$8=$E$8,$F$8,IF(R680&lt;($F$8-$E$8)/($G$8-$E$8),$E$8+SQRT(R680*($G$8-$E$8)*($F$8-$E$8)),$G$8-SQRT((1-R680)*($G$8-$E$8)*($G$8-$F$8))))</f>
        <v>1</v>
      </c>
      <c r="E680" s="37" t="n">
        <f aca="false">1+IF($G$9=$E$9,$F$9,IF(S680&lt;($F$9-$E$9)/($G$9-$E$9),$E$9+SQRT(S680*($G$9-$E$9)*($F$9-$E$9)),$G$9-SQRT((1-S680)*($G$9-$E$9)*($G$9-$F$9))))</f>
        <v>1</v>
      </c>
      <c r="F680" s="37" t="n">
        <f aca="false">1+IF($G$10=$E$10,$F$10,IF(T680&lt;($F$10-$E$10)/($G$10-$E$10),$E$10+SQRT(T680*($G$10-$E$10)*($F$10-$E$10)),$G$10-SQRT((1-T680)*($G$10-$E$10)*($G$10-$F$10))))</f>
        <v>1</v>
      </c>
      <c r="G680" s="38" t="n">
        <f aca="false">IF($G$11=$E$11,$F$11,IF(U680&lt;($F$11-$E$11)/($G$11-$E$11),$E$11+SQRT(U680*($G$11-$E$11)*($F$11-$E$11)),$G$11-SQRT((1-U680)*($G$11-$E$11)*($G$11-$F$11))))</f>
        <v>0</v>
      </c>
      <c r="H680" s="39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0</v>
      </c>
      <c r="I680" s="39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0</v>
      </c>
      <c r="J680" s="39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0</v>
      </c>
      <c r="K680" s="39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0</v>
      </c>
      <c r="L680" s="39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0</v>
      </c>
      <c r="M680" s="39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0</v>
      </c>
      <c r="N680" s="39" t="str">
        <f aca="false">IF(COUNT('Business Case'!B11:G11)=0,"",H680+NPV(G680,I680:M680))</f>
        <v/>
      </c>
      <c r="P680" s="40" t="n">
        <f aca="true">RAND()</f>
        <v>0.696041416311713</v>
      </c>
      <c r="Q680" s="40" t="n">
        <f aca="true">RAND()</f>
        <v>0.990078975505488</v>
      </c>
      <c r="R680" s="40" t="n">
        <f aca="true">RAND()</f>
        <v>0.320206537691988</v>
      </c>
      <c r="S680" s="40" t="n">
        <f aca="true">RAND()</f>
        <v>0.7923234784704</v>
      </c>
      <c r="T680" s="40" t="n">
        <f aca="true">RAND()</f>
        <v>0.637468859867205</v>
      </c>
      <c r="U680" s="40" t="n">
        <f aca="true">RAND()</f>
        <v>0.290083274846194</v>
      </c>
    </row>
    <row r="681" customFormat="false" ht="15" hidden="false" customHeight="false" outlineLevel="0" collapsed="false">
      <c r="A681" s="36" t="n">
        <v>601</v>
      </c>
      <c r="B681" s="37" t="n">
        <f aca="false">1+IF($G$6=$E$6,$F$6,IF(P681&lt;($F$6-$E$6)/($G$6-$E$6),$E$6+SQRT(P681*($G$6-$E$6)*($F$6-$E$6)),$G$6-SQRT((1-P681)*($G$6-$E$6)*($G$6-$F$6))))</f>
        <v>1</v>
      </c>
      <c r="C681" s="37" t="n">
        <f aca="false">1+IF($G$7=$E$7,$F$7,IF(Q681&lt;($F$7-$E$7)/($G$7-$E$7),$E$7+SQRT(Q681*($G$7-$E$7)*($F$7-$E$7)),$G$7-SQRT((1-Q681)*($G$7-$E$7)*($G$7-$F$7))))</f>
        <v>1</v>
      </c>
      <c r="D681" s="37" t="n">
        <f aca="false">1+IF($G$8=$E$8,$F$8,IF(R681&lt;($F$8-$E$8)/($G$8-$E$8),$E$8+SQRT(R681*($G$8-$E$8)*($F$8-$E$8)),$G$8-SQRT((1-R681)*($G$8-$E$8)*($G$8-$F$8))))</f>
        <v>1</v>
      </c>
      <c r="E681" s="37" t="n">
        <f aca="false">1+IF($G$9=$E$9,$F$9,IF(S681&lt;($F$9-$E$9)/($G$9-$E$9),$E$9+SQRT(S681*($G$9-$E$9)*($F$9-$E$9)),$G$9-SQRT((1-S681)*($G$9-$E$9)*($G$9-$F$9))))</f>
        <v>1</v>
      </c>
      <c r="F681" s="37" t="n">
        <f aca="false">1+IF($G$10=$E$10,$F$10,IF(T681&lt;($F$10-$E$10)/($G$10-$E$10),$E$10+SQRT(T681*($G$10-$E$10)*($F$10-$E$10)),$G$10-SQRT((1-T681)*($G$10-$E$10)*($G$10-$F$10))))</f>
        <v>1</v>
      </c>
      <c r="G681" s="38" t="n">
        <f aca="false">IF($G$11=$E$11,$F$11,IF(U681&lt;($F$11-$E$11)/($G$11-$E$11),$E$11+SQRT(U681*($G$11-$E$11)*($F$11-$E$11)),$G$11-SQRT((1-U681)*($G$11-$E$11)*($G$11-$F$11))))</f>
        <v>0</v>
      </c>
      <c r="H681" s="39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0</v>
      </c>
      <c r="I681" s="39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0</v>
      </c>
      <c r="J681" s="39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0</v>
      </c>
      <c r="K681" s="39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0</v>
      </c>
      <c r="L681" s="39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0</v>
      </c>
      <c r="M681" s="39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0</v>
      </c>
      <c r="N681" s="39" t="str">
        <f aca="false">IF(COUNT('Business Case'!B11:G11)=0,"",H681+NPV(G681,I681:M681))</f>
        <v/>
      </c>
      <c r="P681" s="40" t="n">
        <f aca="true">RAND()</f>
        <v>0.171251336917287</v>
      </c>
      <c r="Q681" s="40" t="n">
        <f aca="true">RAND()</f>
        <v>0.183760368799035</v>
      </c>
      <c r="R681" s="40" t="n">
        <f aca="true">RAND()</f>
        <v>0.0051340432831388</v>
      </c>
      <c r="S681" s="40" t="n">
        <f aca="true">RAND()</f>
        <v>0.276311882998614</v>
      </c>
      <c r="T681" s="40" t="n">
        <f aca="true">RAND()</f>
        <v>0.865550348534765</v>
      </c>
      <c r="U681" s="40" t="n">
        <f aca="true">RAND()</f>
        <v>0.187515470876951</v>
      </c>
    </row>
    <row r="682" customFormat="false" ht="15" hidden="false" customHeight="false" outlineLevel="0" collapsed="false">
      <c r="A682" s="36" t="n">
        <v>602</v>
      </c>
      <c r="B682" s="37" t="n">
        <f aca="false">1+IF($G$6=$E$6,$F$6,IF(P682&lt;($F$6-$E$6)/($G$6-$E$6),$E$6+SQRT(P682*($G$6-$E$6)*($F$6-$E$6)),$G$6-SQRT((1-P682)*($G$6-$E$6)*($G$6-$F$6))))</f>
        <v>1</v>
      </c>
      <c r="C682" s="37" t="n">
        <f aca="false">1+IF($G$7=$E$7,$F$7,IF(Q682&lt;($F$7-$E$7)/($G$7-$E$7),$E$7+SQRT(Q682*($G$7-$E$7)*($F$7-$E$7)),$G$7-SQRT((1-Q682)*($G$7-$E$7)*($G$7-$F$7))))</f>
        <v>1</v>
      </c>
      <c r="D682" s="37" t="n">
        <f aca="false">1+IF($G$8=$E$8,$F$8,IF(R682&lt;($F$8-$E$8)/($G$8-$E$8),$E$8+SQRT(R682*($G$8-$E$8)*($F$8-$E$8)),$G$8-SQRT((1-R682)*($G$8-$E$8)*($G$8-$F$8))))</f>
        <v>1</v>
      </c>
      <c r="E682" s="37" t="n">
        <f aca="false">1+IF($G$9=$E$9,$F$9,IF(S682&lt;($F$9-$E$9)/($G$9-$E$9),$E$9+SQRT(S682*($G$9-$E$9)*($F$9-$E$9)),$G$9-SQRT((1-S682)*($G$9-$E$9)*($G$9-$F$9))))</f>
        <v>1</v>
      </c>
      <c r="F682" s="37" t="n">
        <f aca="false">1+IF($G$10=$E$10,$F$10,IF(T682&lt;($F$10-$E$10)/($G$10-$E$10),$E$10+SQRT(T682*($G$10-$E$10)*($F$10-$E$10)),$G$10-SQRT((1-T682)*($G$10-$E$10)*($G$10-$F$10))))</f>
        <v>1</v>
      </c>
      <c r="G682" s="38" t="n">
        <f aca="false">IF($G$11=$E$11,$F$11,IF(U682&lt;($F$11-$E$11)/($G$11-$E$11),$E$11+SQRT(U682*($G$11-$E$11)*($F$11-$E$11)),$G$11-SQRT((1-U682)*($G$11-$E$11)*($G$11-$F$11))))</f>
        <v>0</v>
      </c>
      <c r="H682" s="39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0</v>
      </c>
      <c r="I682" s="39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0</v>
      </c>
      <c r="J682" s="39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0</v>
      </c>
      <c r="K682" s="39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0</v>
      </c>
      <c r="L682" s="39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0</v>
      </c>
      <c r="M682" s="39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0</v>
      </c>
      <c r="N682" s="39" t="str">
        <f aca="false">IF(COUNT('Business Case'!B11:G11)=0,"",H682+NPV(G682,I682:M682))</f>
        <v/>
      </c>
      <c r="P682" s="40" t="n">
        <f aca="true">RAND()</f>
        <v>0.852747293635532</v>
      </c>
      <c r="Q682" s="40" t="n">
        <f aca="true">RAND()</f>
        <v>0.0173829317480582</v>
      </c>
      <c r="R682" s="40" t="n">
        <f aca="true">RAND()</f>
        <v>0.494600089856717</v>
      </c>
      <c r="S682" s="40" t="n">
        <f aca="true">RAND()</f>
        <v>0.14375624193284</v>
      </c>
      <c r="T682" s="40" t="n">
        <f aca="true">RAND()</f>
        <v>0.878044476104859</v>
      </c>
      <c r="U682" s="40" t="n">
        <f aca="true">RAND()</f>
        <v>0.0967783109944354</v>
      </c>
    </row>
    <row r="683" customFormat="false" ht="15" hidden="false" customHeight="false" outlineLevel="0" collapsed="false">
      <c r="A683" s="36" t="n">
        <v>603</v>
      </c>
      <c r="B683" s="37" t="n">
        <f aca="false">1+IF($G$6=$E$6,$F$6,IF(P683&lt;($F$6-$E$6)/($G$6-$E$6),$E$6+SQRT(P683*($G$6-$E$6)*($F$6-$E$6)),$G$6-SQRT((1-P683)*($G$6-$E$6)*($G$6-$F$6))))</f>
        <v>1</v>
      </c>
      <c r="C683" s="37" t="n">
        <f aca="false">1+IF($G$7=$E$7,$F$7,IF(Q683&lt;($F$7-$E$7)/($G$7-$E$7),$E$7+SQRT(Q683*($G$7-$E$7)*($F$7-$E$7)),$G$7-SQRT((1-Q683)*($G$7-$E$7)*($G$7-$F$7))))</f>
        <v>1</v>
      </c>
      <c r="D683" s="37" t="n">
        <f aca="false">1+IF($G$8=$E$8,$F$8,IF(R683&lt;($F$8-$E$8)/($G$8-$E$8),$E$8+SQRT(R683*($G$8-$E$8)*($F$8-$E$8)),$G$8-SQRT((1-R683)*($G$8-$E$8)*($G$8-$F$8))))</f>
        <v>1</v>
      </c>
      <c r="E683" s="37" t="n">
        <f aca="false">1+IF($G$9=$E$9,$F$9,IF(S683&lt;($F$9-$E$9)/($G$9-$E$9),$E$9+SQRT(S683*($G$9-$E$9)*($F$9-$E$9)),$G$9-SQRT((1-S683)*($G$9-$E$9)*($G$9-$F$9))))</f>
        <v>1</v>
      </c>
      <c r="F683" s="37" t="n">
        <f aca="false">1+IF($G$10=$E$10,$F$10,IF(T683&lt;($F$10-$E$10)/($G$10-$E$10),$E$10+SQRT(T683*($G$10-$E$10)*($F$10-$E$10)),$G$10-SQRT((1-T683)*($G$10-$E$10)*($G$10-$F$10))))</f>
        <v>1</v>
      </c>
      <c r="G683" s="38" t="n">
        <f aca="false">IF($G$11=$E$11,$F$11,IF(U683&lt;($F$11-$E$11)/($G$11-$E$11),$E$11+SQRT(U683*($G$11-$E$11)*($F$11-$E$11)),$G$11-SQRT((1-U683)*($G$11-$E$11)*($G$11-$F$11))))</f>
        <v>0</v>
      </c>
      <c r="H683" s="39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0</v>
      </c>
      <c r="I683" s="39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0</v>
      </c>
      <c r="J683" s="39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0</v>
      </c>
      <c r="K683" s="39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0</v>
      </c>
      <c r="L683" s="39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0</v>
      </c>
      <c r="M683" s="39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0</v>
      </c>
      <c r="N683" s="39" t="str">
        <f aca="false">IF(COUNT('Business Case'!B11:G11)=0,"",H683+NPV(G683,I683:M683))</f>
        <v/>
      </c>
      <c r="P683" s="40" t="n">
        <f aca="true">RAND()</f>
        <v>0.823636318797877</v>
      </c>
      <c r="Q683" s="40" t="n">
        <f aca="true">RAND()</f>
        <v>0.391873187713629</v>
      </c>
      <c r="R683" s="40" t="n">
        <f aca="true">RAND()</f>
        <v>0.183857005892586</v>
      </c>
      <c r="S683" s="40" t="n">
        <f aca="true">RAND()</f>
        <v>0.503013469318228</v>
      </c>
      <c r="T683" s="40" t="n">
        <f aca="true">RAND()</f>
        <v>0.283175010275867</v>
      </c>
      <c r="U683" s="40" t="n">
        <f aca="true">RAND()</f>
        <v>0.21292743324785</v>
      </c>
    </row>
    <row r="684" customFormat="false" ht="15" hidden="false" customHeight="false" outlineLevel="0" collapsed="false">
      <c r="A684" s="36" t="n">
        <v>604</v>
      </c>
      <c r="B684" s="37" t="n">
        <f aca="false">1+IF($G$6=$E$6,$F$6,IF(P684&lt;($F$6-$E$6)/($G$6-$E$6),$E$6+SQRT(P684*($G$6-$E$6)*($F$6-$E$6)),$G$6-SQRT((1-P684)*($G$6-$E$6)*($G$6-$F$6))))</f>
        <v>1</v>
      </c>
      <c r="C684" s="37" t="n">
        <f aca="false">1+IF($G$7=$E$7,$F$7,IF(Q684&lt;($F$7-$E$7)/($G$7-$E$7),$E$7+SQRT(Q684*($G$7-$E$7)*($F$7-$E$7)),$G$7-SQRT((1-Q684)*($G$7-$E$7)*($G$7-$F$7))))</f>
        <v>1</v>
      </c>
      <c r="D684" s="37" t="n">
        <f aca="false">1+IF($G$8=$E$8,$F$8,IF(R684&lt;($F$8-$E$8)/($G$8-$E$8),$E$8+SQRT(R684*($G$8-$E$8)*($F$8-$E$8)),$G$8-SQRT((1-R684)*($G$8-$E$8)*($G$8-$F$8))))</f>
        <v>1</v>
      </c>
      <c r="E684" s="37" t="n">
        <f aca="false">1+IF($G$9=$E$9,$F$9,IF(S684&lt;($F$9-$E$9)/($G$9-$E$9),$E$9+SQRT(S684*($G$9-$E$9)*($F$9-$E$9)),$G$9-SQRT((1-S684)*($G$9-$E$9)*($G$9-$F$9))))</f>
        <v>1</v>
      </c>
      <c r="F684" s="37" t="n">
        <f aca="false">1+IF($G$10=$E$10,$F$10,IF(T684&lt;($F$10-$E$10)/($G$10-$E$10),$E$10+SQRT(T684*($G$10-$E$10)*($F$10-$E$10)),$G$10-SQRT((1-T684)*($G$10-$E$10)*($G$10-$F$10))))</f>
        <v>1</v>
      </c>
      <c r="G684" s="38" t="n">
        <f aca="false">IF($G$11=$E$11,$F$11,IF(U684&lt;($F$11-$E$11)/($G$11-$E$11),$E$11+SQRT(U684*($G$11-$E$11)*($F$11-$E$11)),$G$11-SQRT((1-U684)*($G$11-$E$11)*($G$11-$F$11))))</f>
        <v>0</v>
      </c>
      <c r="H684" s="39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0</v>
      </c>
      <c r="I684" s="39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0</v>
      </c>
      <c r="J684" s="39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0</v>
      </c>
      <c r="K684" s="39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0</v>
      </c>
      <c r="L684" s="39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0</v>
      </c>
      <c r="M684" s="39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0</v>
      </c>
      <c r="N684" s="39" t="str">
        <f aca="false">IF(COUNT('Business Case'!B11:G11)=0,"",H684+NPV(G684,I684:M684))</f>
        <v/>
      </c>
      <c r="P684" s="40" t="n">
        <f aca="true">RAND()</f>
        <v>0.0136720317706239</v>
      </c>
      <c r="Q684" s="40" t="n">
        <f aca="true">RAND()</f>
        <v>0.0780668048841725</v>
      </c>
      <c r="R684" s="40" t="n">
        <f aca="true">RAND()</f>
        <v>0.449325023157296</v>
      </c>
      <c r="S684" s="40" t="n">
        <f aca="true">RAND()</f>
        <v>0.0284827903440493</v>
      </c>
      <c r="T684" s="40" t="n">
        <f aca="true">RAND()</f>
        <v>0.671658827534666</v>
      </c>
      <c r="U684" s="40" t="n">
        <f aca="true">RAND()</f>
        <v>0.62929378926458</v>
      </c>
    </row>
    <row r="685" customFormat="false" ht="15" hidden="false" customHeight="false" outlineLevel="0" collapsed="false">
      <c r="A685" s="36" t="n">
        <v>605</v>
      </c>
      <c r="B685" s="37" t="n">
        <f aca="false">1+IF($G$6=$E$6,$F$6,IF(P685&lt;($F$6-$E$6)/($G$6-$E$6),$E$6+SQRT(P685*($G$6-$E$6)*($F$6-$E$6)),$G$6-SQRT((1-P685)*($G$6-$E$6)*($G$6-$F$6))))</f>
        <v>1</v>
      </c>
      <c r="C685" s="37" t="n">
        <f aca="false">1+IF($G$7=$E$7,$F$7,IF(Q685&lt;($F$7-$E$7)/($G$7-$E$7),$E$7+SQRT(Q685*($G$7-$E$7)*($F$7-$E$7)),$G$7-SQRT((1-Q685)*($G$7-$E$7)*($G$7-$F$7))))</f>
        <v>1</v>
      </c>
      <c r="D685" s="37" t="n">
        <f aca="false">1+IF($G$8=$E$8,$F$8,IF(R685&lt;($F$8-$E$8)/($G$8-$E$8),$E$8+SQRT(R685*($G$8-$E$8)*($F$8-$E$8)),$G$8-SQRT((1-R685)*($G$8-$E$8)*($G$8-$F$8))))</f>
        <v>1</v>
      </c>
      <c r="E685" s="37" t="n">
        <f aca="false">1+IF($G$9=$E$9,$F$9,IF(S685&lt;($F$9-$E$9)/($G$9-$E$9),$E$9+SQRT(S685*($G$9-$E$9)*($F$9-$E$9)),$G$9-SQRT((1-S685)*($G$9-$E$9)*($G$9-$F$9))))</f>
        <v>1</v>
      </c>
      <c r="F685" s="37" t="n">
        <f aca="false">1+IF($G$10=$E$10,$F$10,IF(T685&lt;($F$10-$E$10)/($G$10-$E$10),$E$10+SQRT(T685*($G$10-$E$10)*($F$10-$E$10)),$G$10-SQRT((1-T685)*($G$10-$E$10)*($G$10-$F$10))))</f>
        <v>1</v>
      </c>
      <c r="G685" s="38" t="n">
        <f aca="false">IF($G$11=$E$11,$F$11,IF(U685&lt;($F$11-$E$11)/($G$11-$E$11),$E$11+SQRT(U685*($G$11-$E$11)*($F$11-$E$11)),$G$11-SQRT((1-U685)*($G$11-$E$11)*($G$11-$F$11))))</f>
        <v>0</v>
      </c>
      <c r="H685" s="39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0</v>
      </c>
      <c r="I685" s="39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0</v>
      </c>
      <c r="J685" s="39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0</v>
      </c>
      <c r="K685" s="39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0</v>
      </c>
      <c r="L685" s="39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0</v>
      </c>
      <c r="M685" s="39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0</v>
      </c>
      <c r="N685" s="39" t="str">
        <f aca="false">IF(COUNT('Business Case'!B11:G11)=0,"",H685+NPV(G685,I685:M685))</f>
        <v/>
      </c>
      <c r="P685" s="40" t="n">
        <f aca="true">RAND()</f>
        <v>0.407010765207283</v>
      </c>
      <c r="Q685" s="40" t="n">
        <f aca="true">RAND()</f>
        <v>0.0973434047476567</v>
      </c>
      <c r="R685" s="40" t="n">
        <f aca="true">RAND()</f>
        <v>0.965974492836377</v>
      </c>
      <c r="S685" s="40" t="n">
        <f aca="true">RAND()</f>
        <v>0.383667553861542</v>
      </c>
      <c r="T685" s="40" t="n">
        <f aca="true">RAND()</f>
        <v>0.811896210194363</v>
      </c>
      <c r="U685" s="40" t="n">
        <f aca="true">RAND()</f>
        <v>0.074154192263258</v>
      </c>
    </row>
    <row r="686" customFormat="false" ht="15" hidden="false" customHeight="false" outlineLevel="0" collapsed="false">
      <c r="A686" s="36" t="n">
        <v>606</v>
      </c>
      <c r="B686" s="37" t="n">
        <f aca="false">1+IF($G$6=$E$6,$F$6,IF(P686&lt;($F$6-$E$6)/($G$6-$E$6),$E$6+SQRT(P686*($G$6-$E$6)*($F$6-$E$6)),$G$6-SQRT((1-P686)*($G$6-$E$6)*($G$6-$F$6))))</f>
        <v>1</v>
      </c>
      <c r="C686" s="37" t="n">
        <f aca="false">1+IF($G$7=$E$7,$F$7,IF(Q686&lt;($F$7-$E$7)/($G$7-$E$7),$E$7+SQRT(Q686*($G$7-$E$7)*($F$7-$E$7)),$G$7-SQRT((1-Q686)*($G$7-$E$7)*($G$7-$F$7))))</f>
        <v>1</v>
      </c>
      <c r="D686" s="37" t="n">
        <f aca="false">1+IF($G$8=$E$8,$F$8,IF(R686&lt;($F$8-$E$8)/($G$8-$E$8),$E$8+SQRT(R686*($G$8-$E$8)*($F$8-$E$8)),$G$8-SQRT((1-R686)*($G$8-$E$8)*($G$8-$F$8))))</f>
        <v>1</v>
      </c>
      <c r="E686" s="37" t="n">
        <f aca="false">1+IF($G$9=$E$9,$F$9,IF(S686&lt;($F$9-$E$9)/($G$9-$E$9),$E$9+SQRT(S686*($G$9-$E$9)*($F$9-$E$9)),$G$9-SQRT((1-S686)*($G$9-$E$9)*($G$9-$F$9))))</f>
        <v>1</v>
      </c>
      <c r="F686" s="37" t="n">
        <f aca="false">1+IF($G$10=$E$10,$F$10,IF(T686&lt;($F$10-$E$10)/($G$10-$E$10),$E$10+SQRT(T686*($G$10-$E$10)*($F$10-$E$10)),$G$10-SQRT((1-T686)*($G$10-$E$10)*($G$10-$F$10))))</f>
        <v>1</v>
      </c>
      <c r="G686" s="38" t="n">
        <f aca="false">IF($G$11=$E$11,$F$11,IF(U686&lt;($F$11-$E$11)/($G$11-$E$11),$E$11+SQRT(U686*($G$11-$E$11)*($F$11-$E$11)),$G$11-SQRT((1-U686)*($G$11-$E$11)*($G$11-$F$11))))</f>
        <v>0</v>
      </c>
      <c r="H686" s="39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0</v>
      </c>
      <c r="I686" s="39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0</v>
      </c>
      <c r="J686" s="39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0</v>
      </c>
      <c r="K686" s="39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0</v>
      </c>
      <c r="L686" s="39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0</v>
      </c>
      <c r="M686" s="39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0</v>
      </c>
      <c r="N686" s="39" t="str">
        <f aca="false">IF(COUNT('Business Case'!B11:G11)=0,"",H686+NPV(G686,I686:M686))</f>
        <v/>
      </c>
      <c r="P686" s="40" t="n">
        <f aca="true">RAND()</f>
        <v>0.143420534946943</v>
      </c>
      <c r="Q686" s="40" t="n">
        <f aca="true">RAND()</f>
        <v>0.0158637456097601</v>
      </c>
      <c r="R686" s="40" t="n">
        <f aca="true">RAND()</f>
        <v>0.77660797178907</v>
      </c>
      <c r="S686" s="40" t="n">
        <f aca="true">RAND()</f>
        <v>0.374200112619575</v>
      </c>
      <c r="T686" s="40" t="n">
        <f aca="true">RAND()</f>
        <v>0.306178696348783</v>
      </c>
      <c r="U686" s="40" t="n">
        <f aca="true">RAND()</f>
        <v>0.564671277341856</v>
      </c>
    </row>
    <row r="687" customFormat="false" ht="15" hidden="false" customHeight="false" outlineLevel="0" collapsed="false">
      <c r="A687" s="36" t="n">
        <v>607</v>
      </c>
      <c r="B687" s="37" t="n">
        <f aca="false">1+IF($G$6=$E$6,$F$6,IF(P687&lt;($F$6-$E$6)/($G$6-$E$6),$E$6+SQRT(P687*($G$6-$E$6)*($F$6-$E$6)),$G$6-SQRT((1-P687)*($G$6-$E$6)*($G$6-$F$6))))</f>
        <v>1</v>
      </c>
      <c r="C687" s="37" t="n">
        <f aca="false">1+IF($G$7=$E$7,$F$7,IF(Q687&lt;($F$7-$E$7)/($G$7-$E$7),$E$7+SQRT(Q687*($G$7-$E$7)*($F$7-$E$7)),$G$7-SQRT((1-Q687)*($G$7-$E$7)*($G$7-$F$7))))</f>
        <v>1</v>
      </c>
      <c r="D687" s="37" t="n">
        <f aca="false">1+IF($G$8=$E$8,$F$8,IF(R687&lt;($F$8-$E$8)/($G$8-$E$8),$E$8+SQRT(R687*($G$8-$E$8)*($F$8-$E$8)),$G$8-SQRT((1-R687)*($G$8-$E$8)*($G$8-$F$8))))</f>
        <v>1</v>
      </c>
      <c r="E687" s="37" t="n">
        <f aca="false">1+IF($G$9=$E$9,$F$9,IF(S687&lt;($F$9-$E$9)/($G$9-$E$9),$E$9+SQRT(S687*($G$9-$E$9)*($F$9-$E$9)),$G$9-SQRT((1-S687)*($G$9-$E$9)*($G$9-$F$9))))</f>
        <v>1</v>
      </c>
      <c r="F687" s="37" t="n">
        <f aca="false">1+IF($G$10=$E$10,$F$10,IF(T687&lt;($F$10-$E$10)/($G$10-$E$10),$E$10+SQRT(T687*($G$10-$E$10)*($F$10-$E$10)),$G$10-SQRT((1-T687)*($G$10-$E$10)*($G$10-$F$10))))</f>
        <v>1</v>
      </c>
      <c r="G687" s="38" t="n">
        <f aca="false">IF($G$11=$E$11,$F$11,IF(U687&lt;($F$11-$E$11)/($G$11-$E$11),$E$11+SQRT(U687*($G$11-$E$11)*($F$11-$E$11)),$G$11-SQRT((1-U687)*($G$11-$E$11)*($G$11-$F$11))))</f>
        <v>0</v>
      </c>
      <c r="H687" s="39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0</v>
      </c>
      <c r="I687" s="39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0</v>
      </c>
      <c r="J687" s="39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0</v>
      </c>
      <c r="K687" s="39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0</v>
      </c>
      <c r="L687" s="39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0</v>
      </c>
      <c r="M687" s="39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0</v>
      </c>
      <c r="N687" s="39" t="str">
        <f aca="false">IF(COUNT('Business Case'!B11:G11)=0,"",H687+NPV(G687,I687:M687))</f>
        <v/>
      </c>
      <c r="P687" s="40" t="n">
        <f aca="true">RAND()</f>
        <v>0.63787793200073</v>
      </c>
      <c r="Q687" s="40" t="n">
        <f aca="true">RAND()</f>
        <v>0.779472961009511</v>
      </c>
      <c r="R687" s="40" t="n">
        <f aca="true">RAND()</f>
        <v>0.89583615210487</v>
      </c>
      <c r="S687" s="40" t="n">
        <f aca="true">RAND()</f>
        <v>0.885067931598388</v>
      </c>
      <c r="T687" s="40" t="n">
        <f aca="true">RAND()</f>
        <v>0.403391270243485</v>
      </c>
      <c r="U687" s="40" t="n">
        <f aca="true">RAND()</f>
        <v>0.480195584281233</v>
      </c>
    </row>
    <row r="688" customFormat="false" ht="15" hidden="false" customHeight="false" outlineLevel="0" collapsed="false">
      <c r="A688" s="36" t="n">
        <v>608</v>
      </c>
      <c r="B688" s="37" t="n">
        <f aca="false">1+IF($G$6=$E$6,$F$6,IF(P688&lt;($F$6-$E$6)/($G$6-$E$6),$E$6+SQRT(P688*($G$6-$E$6)*($F$6-$E$6)),$G$6-SQRT((1-P688)*($G$6-$E$6)*($G$6-$F$6))))</f>
        <v>1</v>
      </c>
      <c r="C688" s="37" t="n">
        <f aca="false">1+IF($G$7=$E$7,$F$7,IF(Q688&lt;($F$7-$E$7)/($G$7-$E$7),$E$7+SQRT(Q688*($G$7-$E$7)*($F$7-$E$7)),$G$7-SQRT((1-Q688)*($G$7-$E$7)*($G$7-$F$7))))</f>
        <v>1</v>
      </c>
      <c r="D688" s="37" t="n">
        <f aca="false">1+IF($G$8=$E$8,$F$8,IF(R688&lt;($F$8-$E$8)/($G$8-$E$8),$E$8+SQRT(R688*($G$8-$E$8)*($F$8-$E$8)),$G$8-SQRT((1-R688)*($G$8-$E$8)*($G$8-$F$8))))</f>
        <v>1</v>
      </c>
      <c r="E688" s="37" t="n">
        <f aca="false">1+IF($G$9=$E$9,$F$9,IF(S688&lt;($F$9-$E$9)/($G$9-$E$9),$E$9+SQRT(S688*($G$9-$E$9)*($F$9-$E$9)),$G$9-SQRT((1-S688)*($G$9-$E$9)*($G$9-$F$9))))</f>
        <v>1</v>
      </c>
      <c r="F688" s="37" t="n">
        <f aca="false">1+IF($G$10=$E$10,$F$10,IF(T688&lt;($F$10-$E$10)/($G$10-$E$10),$E$10+SQRT(T688*($G$10-$E$10)*($F$10-$E$10)),$G$10-SQRT((1-T688)*($G$10-$E$10)*($G$10-$F$10))))</f>
        <v>1</v>
      </c>
      <c r="G688" s="38" t="n">
        <f aca="false">IF($G$11=$E$11,$F$11,IF(U688&lt;($F$11-$E$11)/($G$11-$E$11),$E$11+SQRT(U688*($G$11-$E$11)*($F$11-$E$11)),$G$11-SQRT((1-U688)*($G$11-$E$11)*($G$11-$F$11))))</f>
        <v>0</v>
      </c>
      <c r="H688" s="39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0</v>
      </c>
      <c r="I688" s="39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0</v>
      </c>
      <c r="J688" s="39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0</v>
      </c>
      <c r="K688" s="39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0</v>
      </c>
      <c r="L688" s="39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0</v>
      </c>
      <c r="M688" s="39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0</v>
      </c>
      <c r="N688" s="39" t="str">
        <f aca="false">IF(COUNT('Business Case'!B11:G11)=0,"",H688+NPV(G688,I688:M688))</f>
        <v/>
      </c>
      <c r="P688" s="40" t="n">
        <f aca="true">RAND()</f>
        <v>0.125353634375616</v>
      </c>
      <c r="Q688" s="40" t="n">
        <f aca="true">RAND()</f>
        <v>0.253944561917375</v>
      </c>
      <c r="R688" s="40" t="n">
        <f aca="true">RAND()</f>
        <v>0.377991627523812</v>
      </c>
      <c r="S688" s="40" t="n">
        <f aca="true">RAND()</f>
        <v>0.840322342387631</v>
      </c>
      <c r="T688" s="40" t="n">
        <f aca="true">RAND()</f>
        <v>0.263822174893326</v>
      </c>
      <c r="U688" s="40" t="n">
        <f aca="true">RAND()</f>
        <v>0.795798324462931</v>
      </c>
    </row>
    <row r="689" customFormat="false" ht="15" hidden="false" customHeight="false" outlineLevel="0" collapsed="false">
      <c r="A689" s="36" t="n">
        <v>609</v>
      </c>
      <c r="B689" s="37" t="n">
        <f aca="false">1+IF($G$6=$E$6,$F$6,IF(P689&lt;($F$6-$E$6)/($G$6-$E$6),$E$6+SQRT(P689*($G$6-$E$6)*($F$6-$E$6)),$G$6-SQRT((1-P689)*($G$6-$E$6)*($G$6-$F$6))))</f>
        <v>1</v>
      </c>
      <c r="C689" s="37" t="n">
        <f aca="false">1+IF($G$7=$E$7,$F$7,IF(Q689&lt;($F$7-$E$7)/($G$7-$E$7),$E$7+SQRT(Q689*($G$7-$E$7)*($F$7-$E$7)),$G$7-SQRT((1-Q689)*($G$7-$E$7)*($G$7-$F$7))))</f>
        <v>1</v>
      </c>
      <c r="D689" s="37" t="n">
        <f aca="false">1+IF($G$8=$E$8,$F$8,IF(R689&lt;($F$8-$E$8)/($G$8-$E$8),$E$8+SQRT(R689*($G$8-$E$8)*($F$8-$E$8)),$G$8-SQRT((1-R689)*($G$8-$E$8)*($G$8-$F$8))))</f>
        <v>1</v>
      </c>
      <c r="E689" s="37" t="n">
        <f aca="false">1+IF($G$9=$E$9,$F$9,IF(S689&lt;($F$9-$E$9)/($G$9-$E$9),$E$9+SQRT(S689*($G$9-$E$9)*($F$9-$E$9)),$G$9-SQRT((1-S689)*($G$9-$E$9)*($G$9-$F$9))))</f>
        <v>1</v>
      </c>
      <c r="F689" s="37" t="n">
        <f aca="false">1+IF($G$10=$E$10,$F$10,IF(T689&lt;($F$10-$E$10)/($G$10-$E$10),$E$10+SQRT(T689*($G$10-$E$10)*($F$10-$E$10)),$G$10-SQRT((1-T689)*($G$10-$E$10)*($G$10-$F$10))))</f>
        <v>1</v>
      </c>
      <c r="G689" s="38" t="n">
        <f aca="false">IF($G$11=$E$11,$F$11,IF(U689&lt;($F$11-$E$11)/($G$11-$E$11),$E$11+SQRT(U689*($G$11-$E$11)*($F$11-$E$11)),$G$11-SQRT((1-U689)*($G$11-$E$11)*($G$11-$F$11))))</f>
        <v>0</v>
      </c>
      <c r="H689" s="39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0</v>
      </c>
      <c r="I689" s="39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0</v>
      </c>
      <c r="J689" s="39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0</v>
      </c>
      <c r="K689" s="39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0</v>
      </c>
      <c r="L689" s="39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0</v>
      </c>
      <c r="M689" s="39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0</v>
      </c>
      <c r="N689" s="39" t="str">
        <f aca="false">IF(COUNT('Business Case'!B11:G11)=0,"",H689+NPV(G689,I689:M689))</f>
        <v/>
      </c>
      <c r="P689" s="40" t="n">
        <f aca="true">RAND()</f>
        <v>0.983668259675718</v>
      </c>
      <c r="Q689" s="40" t="n">
        <f aca="true">RAND()</f>
        <v>0.969685925004256</v>
      </c>
      <c r="R689" s="40" t="n">
        <f aca="true">RAND()</f>
        <v>0.678480385198141</v>
      </c>
      <c r="S689" s="40" t="n">
        <f aca="true">RAND()</f>
        <v>0.775215435684278</v>
      </c>
      <c r="T689" s="40" t="n">
        <f aca="true">RAND()</f>
        <v>0.705915064053838</v>
      </c>
      <c r="U689" s="40" t="n">
        <f aca="true">RAND()</f>
        <v>0.696692495057162</v>
      </c>
    </row>
    <row r="690" customFormat="false" ht="15" hidden="false" customHeight="false" outlineLevel="0" collapsed="false">
      <c r="A690" s="36" t="n">
        <v>610</v>
      </c>
      <c r="B690" s="37" t="n">
        <f aca="false">1+IF($G$6=$E$6,$F$6,IF(P690&lt;($F$6-$E$6)/($G$6-$E$6),$E$6+SQRT(P690*($G$6-$E$6)*($F$6-$E$6)),$G$6-SQRT((1-P690)*($G$6-$E$6)*($G$6-$F$6))))</f>
        <v>1</v>
      </c>
      <c r="C690" s="37" t="n">
        <f aca="false">1+IF($G$7=$E$7,$F$7,IF(Q690&lt;($F$7-$E$7)/($G$7-$E$7),$E$7+SQRT(Q690*($G$7-$E$7)*($F$7-$E$7)),$G$7-SQRT((1-Q690)*($G$7-$E$7)*($G$7-$F$7))))</f>
        <v>1</v>
      </c>
      <c r="D690" s="37" t="n">
        <f aca="false">1+IF($G$8=$E$8,$F$8,IF(R690&lt;($F$8-$E$8)/($G$8-$E$8),$E$8+SQRT(R690*($G$8-$E$8)*($F$8-$E$8)),$G$8-SQRT((1-R690)*($G$8-$E$8)*($G$8-$F$8))))</f>
        <v>1</v>
      </c>
      <c r="E690" s="37" t="n">
        <f aca="false">1+IF($G$9=$E$9,$F$9,IF(S690&lt;($F$9-$E$9)/($G$9-$E$9),$E$9+SQRT(S690*($G$9-$E$9)*($F$9-$E$9)),$G$9-SQRT((1-S690)*($G$9-$E$9)*($G$9-$F$9))))</f>
        <v>1</v>
      </c>
      <c r="F690" s="37" t="n">
        <f aca="false">1+IF($G$10=$E$10,$F$10,IF(T690&lt;($F$10-$E$10)/($G$10-$E$10),$E$10+SQRT(T690*($G$10-$E$10)*($F$10-$E$10)),$G$10-SQRT((1-T690)*($G$10-$E$10)*($G$10-$F$10))))</f>
        <v>1</v>
      </c>
      <c r="G690" s="38" t="n">
        <f aca="false">IF($G$11=$E$11,$F$11,IF(U690&lt;($F$11-$E$11)/($G$11-$E$11),$E$11+SQRT(U690*($G$11-$E$11)*($F$11-$E$11)),$G$11-SQRT((1-U690)*($G$11-$E$11)*($G$11-$F$11))))</f>
        <v>0</v>
      </c>
      <c r="H690" s="39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0</v>
      </c>
      <c r="I690" s="39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0</v>
      </c>
      <c r="J690" s="39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0</v>
      </c>
      <c r="K690" s="39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0</v>
      </c>
      <c r="L690" s="39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0</v>
      </c>
      <c r="M690" s="39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0</v>
      </c>
      <c r="N690" s="39" t="str">
        <f aca="false">IF(COUNT('Business Case'!B11:G11)=0,"",H690+NPV(G690,I690:M690))</f>
        <v/>
      </c>
      <c r="P690" s="40" t="n">
        <f aca="true">RAND()</f>
        <v>0.760976353805421</v>
      </c>
      <c r="Q690" s="40" t="n">
        <f aca="true">RAND()</f>
        <v>0.23801948616966</v>
      </c>
      <c r="R690" s="40" t="n">
        <f aca="true">RAND()</f>
        <v>0.754462135104484</v>
      </c>
      <c r="S690" s="40" t="n">
        <f aca="true">RAND()</f>
        <v>0.608622801947648</v>
      </c>
      <c r="T690" s="40" t="n">
        <f aca="true">RAND()</f>
        <v>0.436106638384557</v>
      </c>
      <c r="U690" s="40" t="n">
        <f aca="true">RAND()</f>
        <v>0.955299968866752</v>
      </c>
    </row>
    <row r="691" customFormat="false" ht="15" hidden="false" customHeight="false" outlineLevel="0" collapsed="false">
      <c r="A691" s="36" t="n">
        <v>611</v>
      </c>
      <c r="B691" s="37" t="n">
        <f aca="false">1+IF($G$6=$E$6,$F$6,IF(P691&lt;($F$6-$E$6)/($G$6-$E$6),$E$6+SQRT(P691*($G$6-$E$6)*($F$6-$E$6)),$G$6-SQRT((1-P691)*($G$6-$E$6)*($G$6-$F$6))))</f>
        <v>1</v>
      </c>
      <c r="C691" s="37" t="n">
        <f aca="false">1+IF($G$7=$E$7,$F$7,IF(Q691&lt;($F$7-$E$7)/($G$7-$E$7),$E$7+SQRT(Q691*($G$7-$E$7)*($F$7-$E$7)),$G$7-SQRT((1-Q691)*($G$7-$E$7)*($G$7-$F$7))))</f>
        <v>1</v>
      </c>
      <c r="D691" s="37" t="n">
        <f aca="false">1+IF($G$8=$E$8,$F$8,IF(R691&lt;($F$8-$E$8)/($G$8-$E$8),$E$8+SQRT(R691*($G$8-$E$8)*($F$8-$E$8)),$G$8-SQRT((1-R691)*($G$8-$E$8)*($G$8-$F$8))))</f>
        <v>1</v>
      </c>
      <c r="E691" s="37" t="n">
        <f aca="false">1+IF($G$9=$E$9,$F$9,IF(S691&lt;($F$9-$E$9)/($G$9-$E$9),$E$9+SQRT(S691*($G$9-$E$9)*($F$9-$E$9)),$G$9-SQRT((1-S691)*($G$9-$E$9)*($G$9-$F$9))))</f>
        <v>1</v>
      </c>
      <c r="F691" s="37" t="n">
        <f aca="false">1+IF($G$10=$E$10,$F$10,IF(T691&lt;($F$10-$E$10)/($G$10-$E$10),$E$10+SQRT(T691*($G$10-$E$10)*($F$10-$E$10)),$G$10-SQRT((1-T691)*($G$10-$E$10)*($G$10-$F$10))))</f>
        <v>1</v>
      </c>
      <c r="G691" s="38" t="n">
        <f aca="false">IF($G$11=$E$11,$F$11,IF(U691&lt;($F$11-$E$11)/($G$11-$E$11),$E$11+SQRT(U691*($G$11-$E$11)*($F$11-$E$11)),$G$11-SQRT((1-U691)*($G$11-$E$11)*($G$11-$F$11))))</f>
        <v>0</v>
      </c>
      <c r="H691" s="39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0</v>
      </c>
      <c r="I691" s="39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0</v>
      </c>
      <c r="J691" s="39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0</v>
      </c>
      <c r="K691" s="39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0</v>
      </c>
      <c r="L691" s="39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0</v>
      </c>
      <c r="M691" s="39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0</v>
      </c>
      <c r="N691" s="39" t="str">
        <f aca="false">IF(COUNT('Business Case'!B11:G11)=0,"",H691+NPV(G691,I691:M691))</f>
        <v/>
      </c>
      <c r="P691" s="40" t="n">
        <f aca="true">RAND()</f>
        <v>0.647398411119044</v>
      </c>
      <c r="Q691" s="40" t="n">
        <f aca="true">RAND()</f>
        <v>0.209354497836877</v>
      </c>
      <c r="R691" s="40" t="n">
        <f aca="true">RAND()</f>
        <v>0.224190161131041</v>
      </c>
      <c r="S691" s="40" t="n">
        <f aca="true">RAND()</f>
        <v>0.232539307935082</v>
      </c>
      <c r="T691" s="40" t="n">
        <f aca="true">RAND()</f>
        <v>0.0191640850018354</v>
      </c>
      <c r="U691" s="40" t="n">
        <f aca="true">RAND()</f>
        <v>0.0317010404998931</v>
      </c>
    </row>
    <row r="692" customFormat="false" ht="15" hidden="false" customHeight="false" outlineLevel="0" collapsed="false">
      <c r="A692" s="36" t="n">
        <v>612</v>
      </c>
      <c r="B692" s="37" t="n">
        <f aca="false">1+IF($G$6=$E$6,$F$6,IF(P692&lt;($F$6-$E$6)/($G$6-$E$6),$E$6+SQRT(P692*($G$6-$E$6)*($F$6-$E$6)),$G$6-SQRT((1-P692)*($G$6-$E$6)*($G$6-$F$6))))</f>
        <v>1</v>
      </c>
      <c r="C692" s="37" t="n">
        <f aca="false">1+IF($G$7=$E$7,$F$7,IF(Q692&lt;($F$7-$E$7)/($G$7-$E$7),$E$7+SQRT(Q692*($G$7-$E$7)*($F$7-$E$7)),$G$7-SQRT((1-Q692)*($G$7-$E$7)*($G$7-$F$7))))</f>
        <v>1</v>
      </c>
      <c r="D692" s="37" t="n">
        <f aca="false">1+IF($G$8=$E$8,$F$8,IF(R692&lt;($F$8-$E$8)/($G$8-$E$8),$E$8+SQRT(R692*($G$8-$E$8)*($F$8-$E$8)),$G$8-SQRT((1-R692)*($G$8-$E$8)*($G$8-$F$8))))</f>
        <v>1</v>
      </c>
      <c r="E692" s="37" t="n">
        <f aca="false">1+IF($G$9=$E$9,$F$9,IF(S692&lt;($F$9-$E$9)/($G$9-$E$9),$E$9+SQRT(S692*($G$9-$E$9)*($F$9-$E$9)),$G$9-SQRT((1-S692)*($G$9-$E$9)*($G$9-$F$9))))</f>
        <v>1</v>
      </c>
      <c r="F692" s="37" t="n">
        <f aca="false">1+IF($G$10=$E$10,$F$10,IF(T692&lt;($F$10-$E$10)/($G$10-$E$10),$E$10+SQRT(T692*($G$10-$E$10)*($F$10-$E$10)),$G$10-SQRT((1-T692)*($G$10-$E$10)*($G$10-$F$10))))</f>
        <v>1</v>
      </c>
      <c r="G692" s="38" t="n">
        <f aca="false">IF($G$11=$E$11,$F$11,IF(U692&lt;($F$11-$E$11)/($G$11-$E$11),$E$11+SQRT(U692*($G$11-$E$11)*($F$11-$E$11)),$G$11-SQRT((1-U692)*($G$11-$E$11)*($G$11-$F$11))))</f>
        <v>0</v>
      </c>
      <c r="H692" s="39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0</v>
      </c>
      <c r="I692" s="39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0</v>
      </c>
      <c r="J692" s="39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0</v>
      </c>
      <c r="K692" s="39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0</v>
      </c>
      <c r="L692" s="39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0</v>
      </c>
      <c r="M692" s="39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0</v>
      </c>
      <c r="N692" s="39" t="str">
        <f aca="false">IF(COUNT('Business Case'!B11:G11)=0,"",H692+NPV(G692,I692:M692))</f>
        <v/>
      </c>
      <c r="P692" s="40" t="n">
        <f aca="true">RAND()</f>
        <v>0.204030198611596</v>
      </c>
      <c r="Q692" s="40" t="n">
        <f aca="true">RAND()</f>
        <v>0.402658199030869</v>
      </c>
      <c r="R692" s="40" t="n">
        <f aca="true">RAND()</f>
        <v>0.401533734430459</v>
      </c>
      <c r="S692" s="40" t="n">
        <f aca="true">RAND()</f>
        <v>0.245742511539585</v>
      </c>
      <c r="T692" s="40" t="n">
        <f aca="true">RAND()</f>
        <v>0.662924873779186</v>
      </c>
      <c r="U692" s="40" t="n">
        <f aca="true">RAND()</f>
        <v>0.810903290444122</v>
      </c>
    </row>
    <row r="693" customFormat="false" ht="15" hidden="false" customHeight="false" outlineLevel="0" collapsed="false">
      <c r="A693" s="36" t="n">
        <v>613</v>
      </c>
      <c r="B693" s="37" t="n">
        <f aca="false">1+IF($G$6=$E$6,$F$6,IF(P693&lt;($F$6-$E$6)/($G$6-$E$6),$E$6+SQRT(P693*($G$6-$E$6)*($F$6-$E$6)),$G$6-SQRT((1-P693)*($G$6-$E$6)*($G$6-$F$6))))</f>
        <v>1</v>
      </c>
      <c r="C693" s="37" t="n">
        <f aca="false">1+IF($G$7=$E$7,$F$7,IF(Q693&lt;($F$7-$E$7)/($G$7-$E$7),$E$7+SQRT(Q693*($G$7-$E$7)*($F$7-$E$7)),$G$7-SQRT((1-Q693)*($G$7-$E$7)*($G$7-$F$7))))</f>
        <v>1</v>
      </c>
      <c r="D693" s="37" t="n">
        <f aca="false">1+IF($G$8=$E$8,$F$8,IF(R693&lt;($F$8-$E$8)/($G$8-$E$8),$E$8+SQRT(R693*($G$8-$E$8)*($F$8-$E$8)),$G$8-SQRT((1-R693)*($G$8-$E$8)*($G$8-$F$8))))</f>
        <v>1</v>
      </c>
      <c r="E693" s="37" t="n">
        <f aca="false">1+IF($G$9=$E$9,$F$9,IF(S693&lt;($F$9-$E$9)/($G$9-$E$9),$E$9+SQRT(S693*($G$9-$E$9)*($F$9-$E$9)),$G$9-SQRT((1-S693)*($G$9-$E$9)*($G$9-$F$9))))</f>
        <v>1</v>
      </c>
      <c r="F693" s="37" t="n">
        <f aca="false">1+IF($G$10=$E$10,$F$10,IF(T693&lt;($F$10-$E$10)/($G$10-$E$10),$E$10+SQRT(T693*($G$10-$E$10)*($F$10-$E$10)),$G$10-SQRT((1-T693)*($G$10-$E$10)*($G$10-$F$10))))</f>
        <v>1</v>
      </c>
      <c r="G693" s="38" t="n">
        <f aca="false">IF($G$11=$E$11,$F$11,IF(U693&lt;($F$11-$E$11)/($G$11-$E$11),$E$11+SQRT(U693*($G$11-$E$11)*($F$11-$E$11)),$G$11-SQRT((1-U693)*($G$11-$E$11)*($G$11-$F$11))))</f>
        <v>0</v>
      </c>
      <c r="H693" s="39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0</v>
      </c>
      <c r="I693" s="39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0</v>
      </c>
      <c r="J693" s="39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0</v>
      </c>
      <c r="K693" s="39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0</v>
      </c>
      <c r="L693" s="39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0</v>
      </c>
      <c r="M693" s="39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0</v>
      </c>
      <c r="N693" s="39" t="str">
        <f aca="false">IF(COUNT('Business Case'!B11:G11)=0,"",H693+NPV(G693,I693:M693))</f>
        <v/>
      </c>
      <c r="P693" s="40" t="n">
        <f aca="true">RAND()</f>
        <v>0.308472267583082</v>
      </c>
      <c r="Q693" s="40" t="n">
        <f aca="true">RAND()</f>
        <v>0.42951479104545</v>
      </c>
      <c r="R693" s="40" t="n">
        <f aca="true">RAND()</f>
        <v>0.557213026300972</v>
      </c>
      <c r="S693" s="40" t="n">
        <f aca="true">RAND()</f>
        <v>0.391255610940457</v>
      </c>
      <c r="T693" s="40" t="n">
        <f aca="true">RAND()</f>
        <v>0.953150874974876</v>
      </c>
      <c r="U693" s="40" t="n">
        <f aca="true">RAND()</f>
        <v>0.534955288192103</v>
      </c>
    </row>
    <row r="694" customFormat="false" ht="15" hidden="false" customHeight="false" outlineLevel="0" collapsed="false">
      <c r="A694" s="36" t="n">
        <v>614</v>
      </c>
      <c r="B694" s="37" t="n">
        <f aca="false">1+IF($G$6=$E$6,$F$6,IF(P694&lt;($F$6-$E$6)/($G$6-$E$6),$E$6+SQRT(P694*($G$6-$E$6)*($F$6-$E$6)),$G$6-SQRT((1-P694)*($G$6-$E$6)*($G$6-$F$6))))</f>
        <v>1</v>
      </c>
      <c r="C694" s="37" t="n">
        <f aca="false">1+IF($G$7=$E$7,$F$7,IF(Q694&lt;($F$7-$E$7)/($G$7-$E$7),$E$7+SQRT(Q694*($G$7-$E$7)*($F$7-$E$7)),$G$7-SQRT((1-Q694)*($G$7-$E$7)*($G$7-$F$7))))</f>
        <v>1</v>
      </c>
      <c r="D694" s="37" t="n">
        <f aca="false">1+IF($G$8=$E$8,$F$8,IF(R694&lt;($F$8-$E$8)/($G$8-$E$8),$E$8+SQRT(R694*($G$8-$E$8)*($F$8-$E$8)),$G$8-SQRT((1-R694)*($G$8-$E$8)*($G$8-$F$8))))</f>
        <v>1</v>
      </c>
      <c r="E694" s="37" t="n">
        <f aca="false">1+IF($G$9=$E$9,$F$9,IF(S694&lt;($F$9-$E$9)/($G$9-$E$9),$E$9+SQRT(S694*($G$9-$E$9)*($F$9-$E$9)),$G$9-SQRT((1-S694)*($G$9-$E$9)*($G$9-$F$9))))</f>
        <v>1</v>
      </c>
      <c r="F694" s="37" t="n">
        <f aca="false">1+IF($G$10=$E$10,$F$10,IF(T694&lt;($F$10-$E$10)/($G$10-$E$10),$E$10+SQRT(T694*($G$10-$E$10)*($F$10-$E$10)),$G$10-SQRT((1-T694)*($G$10-$E$10)*($G$10-$F$10))))</f>
        <v>1</v>
      </c>
      <c r="G694" s="38" t="n">
        <f aca="false">IF($G$11=$E$11,$F$11,IF(U694&lt;($F$11-$E$11)/($G$11-$E$11),$E$11+SQRT(U694*($G$11-$E$11)*($F$11-$E$11)),$G$11-SQRT((1-U694)*($G$11-$E$11)*($G$11-$F$11))))</f>
        <v>0</v>
      </c>
      <c r="H694" s="39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0</v>
      </c>
      <c r="I694" s="39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0</v>
      </c>
      <c r="J694" s="39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0</v>
      </c>
      <c r="K694" s="39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0</v>
      </c>
      <c r="L694" s="39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0</v>
      </c>
      <c r="M694" s="39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0</v>
      </c>
      <c r="N694" s="39" t="str">
        <f aca="false">IF(COUNT('Business Case'!B11:G11)=0,"",H694+NPV(G694,I694:M694))</f>
        <v/>
      </c>
      <c r="P694" s="40" t="n">
        <f aca="true">RAND()</f>
        <v>0.165972430259068</v>
      </c>
      <c r="Q694" s="40" t="n">
        <f aca="true">RAND()</f>
        <v>0.228917336550874</v>
      </c>
      <c r="R694" s="40" t="n">
        <f aca="true">RAND()</f>
        <v>0.777353073079956</v>
      </c>
      <c r="S694" s="40" t="n">
        <f aca="true">RAND()</f>
        <v>0.352648339572902</v>
      </c>
      <c r="T694" s="40" t="n">
        <f aca="true">RAND()</f>
        <v>0.721516443529257</v>
      </c>
      <c r="U694" s="40" t="n">
        <f aca="true">RAND()</f>
        <v>0.434904045746151</v>
      </c>
    </row>
    <row r="695" customFormat="false" ht="15" hidden="false" customHeight="false" outlineLevel="0" collapsed="false">
      <c r="A695" s="36" t="n">
        <v>615</v>
      </c>
      <c r="B695" s="37" t="n">
        <f aca="false">1+IF($G$6=$E$6,$F$6,IF(P695&lt;($F$6-$E$6)/($G$6-$E$6),$E$6+SQRT(P695*($G$6-$E$6)*($F$6-$E$6)),$G$6-SQRT((1-P695)*($G$6-$E$6)*($G$6-$F$6))))</f>
        <v>1</v>
      </c>
      <c r="C695" s="37" t="n">
        <f aca="false">1+IF($G$7=$E$7,$F$7,IF(Q695&lt;($F$7-$E$7)/($G$7-$E$7),$E$7+SQRT(Q695*($G$7-$E$7)*($F$7-$E$7)),$G$7-SQRT((1-Q695)*($G$7-$E$7)*($G$7-$F$7))))</f>
        <v>1</v>
      </c>
      <c r="D695" s="37" t="n">
        <f aca="false">1+IF($G$8=$E$8,$F$8,IF(R695&lt;($F$8-$E$8)/($G$8-$E$8),$E$8+SQRT(R695*($G$8-$E$8)*($F$8-$E$8)),$G$8-SQRT((1-R695)*($G$8-$E$8)*($G$8-$F$8))))</f>
        <v>1</v>
      </c>
      <c r="E695" s="37" t="n">
        <f aca="false">1+IF($G$9=$E$9,$F$9,IF(S695&lt;($F$9-$E$9)/($G$9-$E$9),$E$9+SQRT(S695*($G$9-$E$9)*($F$9-$E$9)),$G$9-SQRT((1-S695)*($G$9-$E$9)*($G$9-$F$9))))</f>
        <v>1</v>
      </c>
      <c r="F695" s="37" t="n">
        <f aca="false">1+IF($G$10=$E$10,$F$10,IF(T695&lt;($F$10-$E$10)/($G$10-$E$10),$E$10+SQRT(T695*($G$10-$E$10)*($F$10-$E$10)),$G$10-SQRT((1-T695)*($G$10-$E$10)*($G$10-$F$10))))</f>
        <v>1</v>
      </c>
      <c r="G695" s="38" t="n">
        <f aca="false">IF($G$11=$E$11,$F$11,IF(U695&lt;($F$11-$E$11)/($G$11-$E$11),$E$11+SQRT(U695*($G$11-$E$11)*($F$11-$E$11)),$G$11-SQRT((1-U695)*($G$11-$E$11)*($G$11-$F$11))))</f>
        <v>0</v>
      </c>
      <c r="H695" s="39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0</v>
      </c>
      <c r="I695" s="39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0</v>
      </c>
      <c r="J695" s="39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0</v>
      </c>
      <c r="K695" s="39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0</v>
      </c>
      <c r="L695" s="39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0</v>
      </c>
      <c r="M695" s="39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0</v>
      </c>
      <c r="N695" s="39" t="str">
        <f aca="false">IF(COUNT('Business Case'!B11:G11)=0,"",H695+NPV(G695,I695:M695))</f>
        <v/>
      </c>
      <c r="P695" s="40" t="n">
        <f aca="true">RAND()</f>
        <v>0.4984121401113</v>
      </c>
      <c r="Q695" s="40" t="n">
        <f aca="true">RAND()</f>
        <v>0.893920686352151</v>
      </c>
      <c r="R695" s="40" t="n">
        <f aca="true">RAND()</f>
        <v>0.879657466204013</v>
      </c>
      <c r="S695" s="40" t="n">
        <f aca="true">RAND()</f>
        <v>0.462572075363046</v>
      </c>
      <c r="T695" s="40" t="n">
        <f aca="true">RAND()</f>
        <v>0.930551806925158</v>
      </c>
      <c r="U695" s="40" t="n">
        <f aca="true">RAND()</f>
        <v>0.637374398571661</v>
      </c>
    </row>
    <row r="696" customFormat="false" ht="15" hidden="false" customHeight="false" outlineLevel="0" collapsed="false">
      <c r="A696" s="36" t="n">
        <v>616</v>
      </c>
      <c r="B696" s="37" t="n">
        <f aca="false">1+IF($G$6=$E$6,$F$6,IF(P696&lt;($F$6-$E$6)/($G$6-$E$6),$E$6+SQRT(P696*($G$6-$E$6)*($F$6-$E$6)),$G$6-SQRT((1-P696)*($G$6-$E$6)*($G$6-$F$6))))</f>
        <v>1</v>
      </c>
      <c r="C696" s="37" t="n">
        <f aca="false">1+IF($G$7=$E$7,$F$7,IF(Q696&lt;($F$7-$E$7)/($G$7-$E$7),$E$7+SQRT(Q696*($G$7-$E$7)*($F$7-$E$7)),$G$7-SQRT((1-Q696)*($G$7-$E$7)*($G$7-$F$7))))</f>
        <v>1</v>
      </c>
      <c r="D696" s="37" t="n">
        <f aca="false">1+IF($G$8=$E$8,$F$8,IF(R696&lt;($F$8-$E$8)/($G$8-$E$8),$E$8+SQRT(R696*($G$8-$E$8)*($F$8-$E$8)),$G$8-SQRT((1-R696)*($G$8-$E$8)*($G$8-$F$8))))</f>
        <v>1</v>
      </c>
      <c r="E696" s="37" t="n">
        <f aca="false">1+IF($G$9=$E$9,$F$9,IF(S696&lt;($F$9-$E$9)/($G$9-$E$9),$E$9+SQRT(S696*($G$9-$E$9)*($F$9-$E$9)),$G$9-SQRT((1-S696)*($G$9-$E$9)*($G$9-$F$9))))</f>
        <v>1</v>
      </c>
      <c r="F696" s="37" t="n">
        <f aca="false">1+IF($G$10=$E$10,$F$10,IF(T696&lt;($F$10-$E$10)/($G$10-$E$10),$E$10+SQRT(T696*($G$10-$E$10)*($F$10-$E$10)),$G$10-SQRT((1-T696)*($G$10-$E$10)*($G$10-$F$10))))</f>
        <v>1</v>
      </c>
      <c r="G696" s="38" t="n">
        <f aca="false">IF($G$11=$E$11,$F$11,IF(U696&lt;($F$11-$E$11)/($G$11-$E$11),$E$11+SQRT(U696*($G$11-$E$11)*($F$11-$E$11)),$G$11-SQRT((1-U696)*($G$11-$E$11)*($G$11-$F$11))))</f>
        <v>0</v>
      </c>
      <c r="H696" s="39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0</v>
      </c>
      <c r="I696" s="39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0</v>
      </c>
      <c r="J696" s="39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0</v>
      </c>
      <c r="K696" s="39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0</v>
      </c>
      <c r="L696" s="39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0</v>
      </c>
      <c r="M696" s="39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0</v>
      </c>
      <c r="N696" s="39" t="str">
        <f aca="false">IF(COUNT('Business Case'!B11:G11)=0,"",H696+NPV(G696,I696:M696))</f>
        <v/>
      </c>
      <c r="P696" s="40" t="n">
        <f aca="true">RAND()</f>
        <v>0.0320052609605885</v>
      </c>
      <c r="Q696" s="40" t="n">
        <f aca="true">RAND()</f>
        <v>0.552698234405919</v>
      </c>
      <c r="R696" s="40" t="n">
        <f aca="true">RAND()</f>
        <v>0.991536950727725</v>
      </c>
      <c r="S696" s="40" t="n">
        <f aca="true">RAND()</f>
        <v>0.762326175349307</v>
      </c>
      <c r="T696" s="40" t="n">
        <f aca="true">RAND()</f>
        <v>0.0798994366131957</v>
      </c>
      <c r="U696" s="40" t="n">
        <f aca="true">RAND()</f>
        <v>0.453821026265368</v>
      </c>
    </row>
    <row r="697" customFormat="false" ht="15" hidden="false" customHeight="false" outlineLevel="0" collapsed="false">
      <c r="A697" s="36" t="n">
        <v>617</v>
      </c>
      <c r="B697" s="37" t="n">
        <f aca="false">1+IF($G$6=$E$6,$F$6,IF(P697&lt;($F$6-$E$6)/($G$6-$E$6),$E$6+SQRT(P697*($G$6-$E$6)*($F$6-$E$6)),$G$6-SQRT((1-P697)*($G$6-$E$6)*($G$6-$F$6))))</f>
        <v>1</v>
      </c>
      <c r="C697" s="37" t="n">
        <f aca="false">1+IF($G$7=$E$7,$F$7,IF(Q697&lt;($F$7-$E$7)/($G$7-$E$7),$E$7+SQRT(Q697*($G$7-$E$7)*($F$7-$E$7)),$G$7-SQRT((1-Q697)*($G$7-$E$7)*($G$7-$F$7))))</f>
        <v>1</v>
      </c>
      <c r="D697" s="37" t="n">
        <f aca="false">1+IF($G$8=$E$8,$F$8,IF(R697&lt;($F$8-$E$8)/($G$8-$E$8),$E$8+SQRT(R697*($G$8-$E$8)*($F$8-$E$8)),$G$8-SQRT((1-R697)*($G$8-$E$8)*($G$8-$F$8))))</f>
        <v>1</v>
      </c>
      <c r="E697" s="37" t="n">
        <f aca="false">1+IF($G$9=$E$9,$F$9,IF(S697&lt;($F$9-$E$9)/($G$9-$E$9),$E$9+SQRT(S697*($G$9-$E$9)*($F$9-$E$9)),$G$9-SQRT((1-S697)*($G$9-$E$9)*($G$9-$F$9))))</f>
        <v>1</v>
      </c>
      <c r="F697" s="37" t="n">
        <f aca="false">1+IF($G$10=$E$10,$F$10,IF(T697&lt;($F$10-$E$10)/($G$10-$E$10),$E$10+SQRT(T697*($G$10-$E$10)*($F$10-$E$10)),$G$10-SQRT((1-T697)*($G$10-$E$10)*($G$10-$F$10))))</f>
        <v>1</v>
      </c>
      <c r="G697" s="38" t="n">
        <f aca="false">IF($G$11=$E$11,$F$11,IF(U697&lt;($F$11-$E$11)/($G$11-$E$11),$E$11+SQRT(U697*($G$11-$E$11)*($F$11-$E$11)),$G$11-SQRT((1-U697)*($G$11-$E$11)*($G$11-$F$11))))</f>
        <v>0</v>
      </c>
      <c r="H697" s="39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0</v>
      </c>
      <c r="I697" s="39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0</v>
      </c>
      <c r="J697" s="39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0</v>
      </c>
      <c r="K697" s="39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0</v>
      </c>
      <c r="L697" s="39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0</v>
      </c>
      <c r="M697" s="39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0</v>
      </c>
      <c r="N697" s="39" t="str">
        <f aca="false">IF(COUNT('Business Case'!B11:G11)=0,"",H697+NPV(G697,I697:M697))</f>
        <v/>
      </c>
      <c r="P697" s="40" t="n">
        <f aca="true">RAND()</f>
        <v>0.926495705865763</v>
      </c>
      <c r="Q697" s="40" t="n">
        <f aca="true">RAND()</f>
        <v>0.785053812116865</v>
      </c>
      <c r="R697" s="40" t="n">
        <f aca="true">RAND()</f>
        <v>0.128475766208788</v>
      </c>
      <c r="S697" s="40" t="n">
        <f aca="true">RAND()</f>
        <v>0.26931375644376</v>
      </c>
      <c r="T697" s="40" t="n">
        <f aca="true">RAND()</f>
        <v>0.445811291753757</v>
      </c>
      <c r="U697" s="40" t="n">
        <f aca="true">RAND()</f>
        <v>0.870909142788131</v>
      </c>
    </row>
    <row r="698" customFormat="false" ht="15" hidden="false" customHeight="false" outlineLevel="0" collapsed="false">
      <c r="A698" s="36" t="n">
        <v>618</v>
      </c>
      <c r="B698" s="37" t="n">
        <f aca="false">1+IF($G$6=$E$6,$F$6,IF(P698&lt;($F$6-$E$6)/($G$6-$E$6),$E$6+SQRT(P698*($G$6-$E$6)*($F$6-$E$6)),$G$6-SQRT((1-P698)*($G$6-$E$6)*($G$6-$F$6))))</f>
        <v>1</v>
      </c>
      <c r="C698" s="37" t="n">
        <f aca="false">1+IF($G$7=$E$7,$F$7,IF(Q698&lt;($F$7-$E$7)/($G$7-$E$7),$E$7+SQRT(Q698*($G$7-$E$7)*($F$7-$E$7)),$G$7-SQRT((1-Q698)*($G$7-$E$7)*($G$7-$F$7))))</f>
        <v>1</v>
      </c>
      <c r="D698" s="37" t="n">
        <f aca="false">1+IF($G$8=$E$8,$F$8,IF(R698&lt;($F$8-$E$8)/($G$8-$E$8),$E$8+SQRT(R698*($G$8-$E$8)*($F$8-$E$8)),$G$8-SQRT((1-R698)*($G$8-$E$8)*($G$8-$F$8))))</f>
        <v>1</v>
      </c>
      <c r="E698" s="37" t="n">
        <f aca="false">1+IF($G$9=$E$9,$F$9,IF(S698&lt;($F$9-$E$9)/($G$9-$E$9),$E$9+SQRT(S698*($G$9-$E$9)*($F$9-$E$9)),$G$9-SQRT((1-S698)*($G$9-$E$9)*($G$9-$F$9))))</f>
        <v>1</v>
      </c>
      <c r="F698" s="37" t="n">
        <f aca="false">1+IF($G$10=$E$10,$F$10,IF(T698&lt;($F$10-$E$10)/($G$10-$E$10),$E$10+SQRT(T698*($G$10-$E$10)*($F$10-$E$10)),$G$10-SQRT((1-T698)*($G$10-$E$10)*($G$10-$F$10))))</f>
        <v>1</v>
      </c>
      <c r="G698" s="38" t="n">
        <f aca="false">IF($G$11=$E$11,$F$11,IF(U698&lt;($F$11-$E$11)/($G$11-$E$11),$E$11+SQRT(U698*($G$11-$E$11)*($F$11-$E$11)),$G$11-SQRT((1-U698)*($G$11-$E$11)*($G$11-$F$11))))</f>
        <v>0</v>
      </c>
      <c r="H698" s="39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0</v>
      </c>
      <c r="I698" s="39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0</v>
      </c>
      <c r="J698" s="39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0</v>
      </c>
      <c r="K698" s="39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0</v>
      </c>
      <c r="L698" s="39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0</v>
      </c>
      <c r="M698" s="39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0</v>
      </c>
      <c r="N698" s="39" t="str">
        <f aca="false">IF(COUNT('Business Case'!B11:G11)=0,"",H698+NPV(G698,I698:M698))</f>
        <v/>
      </c>
      <c r="P698" s="40" t="n">
        <f aca="true">RAND()</f>
        <v>0.866900822343793</v>
      </c>
      <c r="Q698" s="40" t="n">
        <f aca="true">RAND()</f>
        <v>0.423471934422104</v>
      </c>
      <c r="R698" s="40" t="n">
        <f aca="true">RAND()</f>
        <v>0.743823981188014</v>
      </c>
      <c r="S698" s="40" t="n">
        <f aca="true">RAND()</f>
        <v>0.180087644649509</v>
      </c>
      <c r="T698" s="40" t="n">
        <f aca="true">RAND()</f>
        <v>0.420911584618705</v>
      </c>
      <c r="U698" s="40" t="n">
        <f aca="true">RAND()</f>
        <v>0.441851488744844</v>
      </c>
    </row>
    <row r="699" customFormat="false" ht="15" hidden="false" customHeight="false" outlineLevel="0" collapsed="false">
      <c r="A699" s="36" t="n">
        <v>619</v>
      </c>
      <c r="B699" s="37" t="n">
        <f aca="false">1+IF($G$6=$E$6,$F$6,IF(P699&lt;($F$6-$E$6)/($G$6-$E$6),$E$6+SQRT(P699*($G$6-$E$6)*($F$6-$E$6)),$G$6-SQRT((1-P699)*($G$6-$E$6)*($G$6-$F$6))))</f>
        <v>1</v>
      </c>
      <c r="C699" s="37" t="n">
        <f aca="false">1+IF($G$7=$E$7,$F$7,IF(Q699&lt;($F$7-$E$7)/($G$7-$E$7),$E$7+SQRT(Q699*($G$7-$E$7)*($F$7-$E$7)),$G$7-SQRT((1-Q699)*($G$7-$E$7)*($G$7-$F$7))))</f>
        <v>1</v>
      </c>
      <c r="D699" s="37" t="n">
        <f aca="false">1+IF($G$8=$E$8,$F$8,IF(R699&lt;($F$8-$E$8)/($G$8-$E$8),$E$8+SQRT(R699*($G$8-$E$8)*($F$8-$E$8)),$G$8-SQRT((1-R699)*($G$8-$E$8)*($G$8-$F$8))))</f>
        <v>1</v>
      </c>
      <c r="E699" s="37" t="n">
        <f aca="false">1+IF($G$9=$E$9,$F$9,IF(S699&lt;($F$9-$E$9)/($G$9-$E$9),$E$9+SQRT(S699*($G$9-$E$9)*($F$9-$E$9)),$G$9-SQRT((1-S699)*($G$9-$E$9)*($G$9-$F$9))))</f>
        <v>1</v>
      </c>
      <c r="F699" s="37" t="n">
        <f aca="false">1+IF($G$10=$E$10,$F$10,IF(T699&lt;($F$10-$E$10)/($G$10-$E$10),$E$10+SQRT(T699*($G$10-$E$10)*($F$10-$E$10)),$G$10-SQRT((1-T699)*($G$10-$E$10)*($G$10-$F$10))))</f>
        <v>1</v>
      </c>
      <c r="G699" s="38" t="n">
        <f aca="false">IF($G$11=$E$11,$F$11,IF(U699&lt;($F$11-$E$11)/($G$11-$E$11),$E$11+SQRT(U699*($G$11-$E$11)*($F$11-$E$11)),$G$11-SQRT((1-U699)*($G$11-$E$11)*($G$11-$F$11))))</f>
        <v>0</v>
      </c>
      <c r="H699" s="39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0</v>
      </c>
      <c r="I699" s="39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0</v>
      </c>
      <c r="J699" s="39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0</v>
      </c>
      <c r="K699" s="39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0</v>
      </c>
      <c r="L699" s="39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0</v>
      </c>
      <c r="M699" s="39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0</v>
      </c>
      <c r="N699" s="39" t="str">
        <f aca="false">IF(COUNT('Business Case'!B11:G11)=0,"",H699+NPV(G699,I699:M699))</f>
        <v/>
      </c>
      <c r="P699" s="40" t="n">
        <f aca="true">RAND()</f>
        <v>0.437846220336044</v>
      </c>
      <c r="Q699" s="40" t="n">
        <f aca="true">RAND()</f>
        <v>0.212569503716312</v>
      </c>
      <c r="R699" s="40" t="n">
        <f aca="true">RAND()</f>
        <v>0.731435656795723</v>
      </c>
      <c r="S699" s="40" t="n">
        <f aca="true">RAND()</f>
        <v>0.250459712883588</v>
      </c>
      <c r="T699" s="40" t="n">
        <f aca="true">RAND()</f>
        <v>0.870618232723736</v>
      </c>
      <c r="U699" s="40" t="n">
        <f aca="true">RAND()</f>
        <v>0.0793655821161445</v>
      </c>
    </row>
    <row r="700" customFormat="false" ht="15" hidden="false" customHeight="false" outlineLevel="0" collapsed="false">
      <c r="A700" s="36" t="n">
        <v>620</v>
      </c>
      <c r="B700" s="37" t="n">
        <f aca="false">1+IF($G$6=$E$6,$F$6,IF(P700&lt;($F$6-$E$6)/($G$6-$E$6),$E$6+SQRT(P700*($G$6-$E$6)*($F$6-$E$6)),$G$6-SQRT((1-P700)*($G$6-$E$6)*($G$6-$F$6))))</f>
        <v>1</v>
      </c>
      <c r="C700" s="37" t="n">
        <f aca="false">1+IF($G$7=$E$7,$F$7,IF(Q700&lt;($F$7-$E$7)/($G$7-$E$7),$E$7+SQRT(Q700*($G$7-$E$7)*($F$7-$E$7)),$G$7-SQRT((1-Q700)*($G$7-$E$7)*($G$7-$F$7))))</f>
        <v>1</v>
      </c>
      <c r="D700" s="37" t="n">
        <f aca="false">1+IF($G$8=$E$8,$F$8,IF(R700&lt;($F$8-$E$8)/($G$8-$E$8),$E$8+SQRT(R700*($G$8-$E$8)*($F$8-$E$8)),$G$8-SQRT((1-R700)*($G$8-$E$8)*($G$8-$F$8))))</f>
        <v>1</v>
      </c>
      <c r="E700" s="37" t="n">
        <f aca="false">1+IF($G$9=$E$9,$F$9,IF(S700&lt;($F$9-$E$9)/($G$9-$E$9),$E$9+SQRT(S700*($G$9-$E$9)*($F$9-$E$9)),$G$9-SQRT((1-S700)*($G$9-$E$9)*($G$9-$F$9))))</f>
        <v>1</v>
      </c>
      <c r="F700" s="37" t="n">
        <f aca="false">1+IF($G$10=$E$10,$F$10,IF(T700&lt;($F$10-$E$10)/($G$10-$E$10),$E$10+SQRT(T700*($G$10-$E$10)*($F$10-$E$10)),$G$10-SQRT((1-T700)*($G$10-$E$10)*($G$10-$F$10))))</f>
        <v>1</v>
      </c>
      <c r="G700" s="38" t="n">
        <f aca="false">IF($G$11=$E$11,$F$11,IF(U700&lt;($F$11-$E$11)/($G$11-$E$11),$E$11+SQRT(U700*($G$11-$E$11)*($F$11-$E$11)),$G$11-SQRT((1-U700)*($G$11-$E$11)*($G$11-$F$11))))</f>
        <v>0</v>
      </c>
      <c r="H700" s="39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0</v>
      </c>
      <c r="I700" s="39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0</v>
      </c>
      <c r="J700" s="39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0</v>
      </c>
      <c r="K700" s="39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0</v>
      </c>
      <c r="L700" s="39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0</v>
      </c>
      <c r="M700" s="39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0</v>
      </c>
      <c r="N700" s="39" t="str">
        <f aca="false">IF(COUNT('Business Case'!B11:G11)=0,"",H700+NPV(G700,I700:M700))</f>
        <v/>
      </c>
      <c r="P700" s="40" t="n">
        <f aca="true">RAND()</f>
        <v>0.841047418165788</v>
      </c>
      <c r="Q700" s="40" t="n">
        <f aca="true">RAND()</f>
        <v>0.373547343391799</v>
      </c>
      <c r="R700" s="40" t="n">
        <f aca="true">RAND()</f>
        <v>0.922401381044912</v>
      </c>
      <c r="S700" s="40" t="n">
        <f aca="true">RAND()</f>
        <v>0.441720708321799</v>
      </c>
      <c r="T700" s="40" t="n">
        <f aca="true">RAND()</f>
        <v>0.155681209162643</v>
      </c>
      <c r="U700" s="40" t="n">
        <f aca="true">RAND()</f>
        <v>0.726104919527703</v>
      </c>
    </row>
    <row r="701" customFormat="false" ht="15" hidden="false" customHeight="false" outlineLevel="0" collapsed="false">
      <c r="A701" s="36" t="n">
        <v>621</v>
      </c>
      <c r="B701" s="37" t="n">
        <f aca="false">1+IF($G$6=$E$6,$F$6,IF(P701&lt;($F$6-$E$6)/($G$6-$E$6),$E$6+SQRT(P701*($G$6-$E$6)*($F$6-$E$6)),$G$6-SQRT((1-P701)*($G$6-$E$6)*($G$6-$F$6))))</f>
        <v>1</v>
      </c>
      <c r="C701" s="37" t="n">
        <f aca="false">1+IF($G$7=$E$7,$F$7,IF(Q701&lt;($F$7-$E$7)/($G$7-$E$7),$E$7+SQRT(Q701*($G$7-$E$7)*($F$7-$E$7)),$G$7-SQRT((1-Q701)*($G$7-$E$7)*($G$7-$F$7))))</f>
        <v>1</v>
      </c>
      <c r="D701" s="37" t="n">
        <f aca="false">1+IF($G$8=$E$8,$F$8,IF(R701&lt;($F$8-$E$8)/($G$8-$E$8),$E$8+SQRT(R701*($G$8-$E$8)*($F$8-$E$8)),$G$8-SQRT((1-R701)*($G$8-$E$8)*($G$8-$F$8))))</f>
        <v>1</v>
      </c>
      <c r="E701" s="37" t="n">
        <f aca="false">1+IF($G$9=$E$9,$F$9,IF(S701&lt;($F$9-$E$9)/($G$9-$E$9),$E$9+SQRT(S701*($G$9-$E$9)*($F$9-$E$9)),$G$9-SQRT((1-S701)*($G$9-$E$9)*($G$9-$F$9))))</f>
        <v>1</v>
      </c>
      <c r="F701" s="37" t="n">
        <f aca="false">1+IF($G$10=$E$10,$F$10,IF(T701&lt;($F$10-$E$10)/($G$10-$E$10),$E$10+SQRT(T701*($G$10-$E$10)*($F$10-$E$10)),$G$10-SQRT((1-T701)*($G$10-$E$10)*($G$10-$F$10))))</f>
        <v>1</v>
      </c>
      <c r="G701" s="38" t="n">
        <f aca="false">IF($G$11=$E$11,$F$11,IF(U701&lt;($F$11-$E$11)/($G$11-$E$11),$E$11+SQRT(U701*($G$11-$E$11)*($F$11-$E$11)),$G$11-SQRT((1-U701)*($G$11-$E$11)*($G$11-$F$11))))</f>
        <v>0</v>
      </c>
      <c r="H701" s="39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0</v>
      </c>
      <c r="I701" s="39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0</v>
      </c>
      <c r="J701" s="39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0</v>
      </c>
      <c r="K701" s="39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0</v>
      </c>
      <c r="L701" s="39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0</v>
      </c>
      <c r="M701" s="39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0</v>
      </c>
      <c r="N701" s="39" t="str">
        <f aca="false">IF(COUNT('Business Case'!B11:G11)=0,"",H701+NPV(G701,I701:M701))</f>
        <v/>
      </c>
      <c r="P701" s="40" t="n">
        <f aca="true">RAND()</f>
        <v>0.624261152342269</v>
      </c>
      <c r="Q701" s="40" t="n">
        <f aca="true">RAND()</f>
        <v>0.122660495361694</v>
      </c>
      <c r="R701" s="40" t="n">
        <f aca="true">RAND()</f>
        <v>0.148367952571165</v>
      </c>
      <c r="S701" s="40" t="n">
        <f aca="true">RAND()</f>
        <v>0.142654310546248</v>
      </c>
      <c r="T701" s="40" t="n">
        <f aca="true">RAND()</f>
        <v>0.726830449689898</v>
      </c>
      <c r="U701" s="40" t="n">
        <f aca="true">RAND()</f>
        <v>0.904405254453132</v>
      </c>
    </row>
    <row r="702" customFormat="false" ht="15" hidden="false" customHeight="false" outlineLevel="0" collapsed="false">
      <c r="A702" s="36" t="n">
        <v>622</v>
      </c>
      <c r="B702" s="37" t="n">
        <f aca="false">1+IF($G$6=$E$6,$F$6,IF(P702&lt;($F$6-$E$6)/($G$6-$E$6),$E$6+SQRT(P702*($G$6-$E$6)*($F$6-$E$6)),$G$6-SQRT((1-P702)*($G$6-$E$6)*($G$6-$F$6))))</f>
        <v>1</v>
      </c>
      <c r="C702" s="37" t="n">
        <f aca="false">1+IF($G$7=$E$7,$F$7,IF(Q702&lt;($F$7-$E$7)/($G$7-$E$7),$E$7+SQRT(Q702*($G$7-$E$7)*($F$7-$E$7)),$G$7-SQRT((1-Q702)*($G$7-$E$7)*($G$7-$F$7))))</f>
        <v>1</v>
      </c>
      <c r="D702" s="37" t="n">
        <f aca="false">1+IF($G$8=$E$8,$F$8,IF(R702&lt;($F$8-$E$8)/($G$8-$E$8),$E$8+SQRT(R702*($G$8-$E$8)*($F$8-$E$8)),$G$8-SQRT((1-R702)*($G$8-$E$8)*($G$8-$F$8))))</f>
        <v>1</v>
      </c>
      <c r="E702" s="37" t="n">
        <f aca="false">1+IF($G$9=$E$9,$F$9,IF(S702&lt;($F$9-$E$9)/($G$9-$E$9),$E$9+SQRT(S702*($G$9-$E$9)*($F$9-$E$9)),$G$9-SQRT((1-S702)*($G$9-$E$9)*($G$9-$F$9))))</f>
        <v>1</v>
      </c>
      <c r="F702" s="37" t="n">
        <f aca="false">1+IF($G$10=$E$10,$F$10,IF(T702&lt;($F$10-$E$10)/($G$10-$E$10),$E$10+SQRT(T702*($G$10-$E$10)*($F$10-$E$10)),$G$10-SQRT((1-T702)*($G$10-$E$10)*($G$10-$F$10))))</f>
        <v>1</v>
      </c>
      <c r="G702" s="38" t="n">
        <f aca="false">IF($G$11=$E$11,$F$11,IF(U702&lt;($F$11-$E$11)/($G$11-$E$11),$E$11+SQRT(U702*($G$11-$E$11)*($F$11-$E$11)),$G$11-SQRT((1-U702)*($G$11-$E$11)*($G$11-$F$11))))</f>
        <v>0</v>
      </c>
      <c r="H702" s="39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0</v>
      </c>
      <c r="I702" s="39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0</v>
      </c>
      <c r="J702" s="39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0</v>
      </c>
      <c r="K702" s="39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0</v>
      </c>
      <c r="L702" s="39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0</v>
      </c>
      <c r="M702" s="39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0</v>
      </c>
      <c r="N702" s="39" t="str">
        <f aca="false">IF(COUNT('Business Case'!B11:G11)=0,"",H702+NPV(G702,I702:M702))</f>
        <v/>
      </c>
      <c r="P702" s="40" t="n">
        <f aca="true">RAND()</f>
        <v>0.374282462052422</v>
      </c>
      <c r="Q702" s="40" t="n">
        <f aca="true">RAND()</f>
        <v>0.135314529919383</v>
      </c>
      <c r="R702" s="40" t="n">
        <f aca="true">RAND()</f>
        <v>0.679692583981945</v>
      </c>
      <c r="S702" s="40" t="n">
        <f aca="true">RAND()</f>
        <v>0.0188586648760327</v>
      </c>
      <c r="T702" s="40" t="n">
        <f aca="true">RAND()</f>
        <v>0.715633649472333</v>
      </c>
      <c r="U702" s="40" t="n">
        <f aca="true">RAND()</f>
        <v>0.576460300695338</v>
      </c>
    </row>
    <row r="703" customFormat="false" ht="15" hidden="false" customHeight="false" outlineLevel="0" collapsed="false">
      <c r="A703" s="36" t="n">
        <v>623</v>
      </c>
      <c r="B703" s="37" t="n">
        <f aca="false">1+IF($G$6=$E$6,$F$6,IF(P703&lt;($F$6-$E$6)/($G$6-$E$6),$E$6+SQRT(P703*($G$6-$E$6)*($F$6-$E$6)),$G$6-SQRT((1-P703)*($G$6-$E$6)*($G$6-$F$6))))</f>
        <v>1</v>
      </c>
      <c r="C703" s="37" t="n">
        <f aca="false">1+IF($G$7=$E$7,$F$7,IF(Q703&lt;($F$7-$E$7)/($G$7-$E$7),$E$7+SQRT(Q703*($G$7-$E$7)*($F$7-$E$7)),$G$7-SQRT((1-Q703)*($G$7-$E$7)*($G$7-$F$7))))</f>
        <v>1</v>
      </c>
      <c r="D703" s="37" t="n">
        <f aca="false">1+IF($G$8=$E$8,$F$8,IF(R703&lt;($F$8-$E$8)/($G$8-$E$8),$E$8+SQRT(R703*($G$8-$E$8)*($F$8-$E$8)),$G$8-SQRT((1-R703)*($G$8-$E$8)*($G$8-$F$8))))</f>
        <v>1</v>
      </c>
      <c r="E703" s="37" t="n">
        <f aca="false">1+IF($G$9=$E$9,$F$9,IF(S703&lt;($F$9-$E$9)/($G$9-$E$9),$E$9+SQRT(S703*($G$9-$E$9)*($F$9-$E$9)),$G$9-SQRT((1-S703)*($G$9-$E$9)*($G$9-$F$9))))</f>
        <v>1</v>
      </c>
      <c r="F703" s="37" t="n">
        <f aca="false">1+IF($G$10=$E$10,$F$10,IF(T703&lt;($F$10-$E$10)/($G$10-$E$10),$E$10+SQRT(T703*($G$10-$E$10)*($F$10-$E$10)),$G$10-SQRT((1-T703)*($G$10-$E$10)*($G$10-$F$10))))</f>
        <v>1</v>
      </c>
      <c r="G703" s="38" t="n">
        <f aca="false">IF($G$11=$E$11,$F$11,IF(U703&lt;($F$11-$E$11)/($G$11-$E$11),$E$11+SQRT(U703*($G$11-$E$11)*($F$11-$E$11)),$G$11-SQRT((1-U703)*($G$11-$E$11)*($G$11-$F$11))))</f>
        <v>0</v>
      </c>
      <c r="H703" s="39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0</v>
      </c>
      <c r="I703" s="39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0</v>
      </c>
      <c r="J703" s="39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0</v>
      </c>
      <c r="K703" s="39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0</v>
      </c>
      <c r="L703" s="39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0</v>
      </c>
      <c r="M703" s="39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0</v>
      </c>
      <c r="N703" s="39" t="str">
        <f aca="false">IF(COUNT('Business Case'!B11:G11)=0,"",H703+NPV(G703,I703:M703))</f>
        <v/>
      </c>
      <c r="P703" s="40" t="n">
        <f aca="true">RAND()</f>
        <v>0.0713119489535695</v>
      </c>
      <c r="Q703" s="40" t="n">
        <f aca="true">RAND()</f>
        <v>0.110794083090431</v>
      </c>
      <c r="R703" s="40" t="n">
        <f aca="true">RAND()</f>
        <v>0.960481971271387</v>
      </c>
      <c r="S703" s="40" t="n">
        <f aca="true">RAND()</f>
        <v>0.791592629789645</v>
      </c>
      <c r="T703" s="40" t="n">
        <f aca="true">RAND()</f>
        <v>0.298195927280947</v>
      </c>
      <c r="U703" s="40" t="n">
        <f aca="true">RAND()</f>
        <v>0.159487204407582</v>
      </c>
    </row>
    <row r="704" customFormat="false" ht="15" hidden="false" customHeight="false" outlineLevel="0" collapsed="false">
      <c r="A704" s="36" t="n">
        <v>624</v>
      </c>
      <c r="B704" s="37" t="n">
        <f aca="false">1+IF($G$6=$E$6,$F$6,IF(P704&lt;($F$6-$E$6)/($G$6-$E$6),$E$6+SQRT(P704*($G$6-$E$6)*($F$6-$E$6)),$G$6-SQRT((1-P704)*($G$6-$E$6)*($G$6-$F$6))))</f>
        <v>1</v>
      </c>
      <c r="C704" s="37" t="n">
        <f aca="false">1+IF($G$7=$E$7,$F$7,IF(Q704&lt;($F$7-$E$7)/($G$7-$E$7),$E$7+SQRT(Q704*($G$7-$E$7)*($F$7-$E$7)),$G$7-SQRT((1-Q704)*($G$7-$E$7)*($G$7-$F$7))))</f>
        <v>1</v>
      </c>
      <c r="D704" s="37" t="n">
        <f aca="false">1+IF($G$8=$E$8,$F$8,IF(R704&lt;($F$8-$E$8)/($G$8-$E$8),$E$8+SQRT(R704*($G$8-$E$8)*($F$8-$E$8)),$G$8-SQRT((1-R704)*($G$8-$E$8)*($G$8-$F$8))))</f>
        <v>1</v>
      </c>
      <c r="E704" s="37" t="n">
        <f aca="false">1+IF($G$9=$E$9,$F$9,IF(S704&lt;($F$9-$E$9)/($G$9-$E$9),$E$9+SQRT(S704*($G$9-$E$9)*($F$9-$E$9)),$G$9-SQRT((1-S704)*($G$9-$E$9)*($G$9-$F$9))))</f>
        <v>1</v>
      </c>
      <c r="F704" s="37" t="n">
        <f aca="false">1+IF($G$10=$E$10,$F$10,IF(T704&lt;($F$10-$E$10)/($G$10-$E$10),$E$10+SQRT(T704*($G$10-$E$10)*($F$10-$E$10)),$G$10-SQRT((1-T704)*($G$10-$E$10)*($G$10-$F$10))))</f>
        <v>1</v>
      </c>
      <c r="G704" s="38" t="n">
        <f aca="false">IF($G$11=$E$11,$F$11,IF(U704&lt;($F$11-$E$11)/($G$11-$E$11),$E$11+SQRT(U704*($G$11-$E$11)*($F$11-$E$11)),$G$11-SQRT((1-U704)*($G$11-$E$11)*($G$11-$F$11))))</f>
        <v>0</v>
      </c>
      <c r="H704" s="39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0</v>
      </c>
      <c r="I704" s="39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0</v>
      </c>
      <c r="J704" s="39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0</v>
      </c>
      <c r="K704" s="39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0</v>
      </c>
      <c r="L704" s="39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0</v>
      </c>
      <c r="M704" s="39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0</v>
      </c>
      <c r="N704" s="39" t="str">
        <f aca="false">IF(COUNT('Business Case'!B11:G11)=0,"",H704+NPV(G704,I704:M704))</f>
        <v/>
      </c>
      <c r="P704" s="40" t="n">
        <f aca="true">RAND()</f>
        <v>0.248334514485627</v>
      </c>
      <c r="Q704" s="40" t="n">
        <f aca="true">RAND()</f>
        <v>0.210892200548572</v>
      </c>
      <c r="R704" s="40" t="n">
        <f aca="true">RAND()</f>
        <v>0.122597926342543</v>
      </c>
      <c r="S704" s="40" t="n">
        <f aca="true">RAND()</f>
        <v>0.956780183954089</v>
      </c>
      <c r="T704" s="40" t="n">
        <f aca="true">RAND()</f>
        <v>0.493241137416891</v>
      </c>
      <c r="U704" s="40" t="n">
        <f aca="true">RAND()</f>
        <v>0.171861228237648</v>
      </c>
    </row>
    <row r="705" customFormat="false" ht="15" hidden="false" customHeight="false" outlineLevel="0" collapsed="false">
      <c r="A705" s="36" t="n">
        <v>625</v>
      </c>
      <c r="B705" s="37" t="n">
        <f aca="false">1+IF($G$6=$E$6,$F$6,IF(P705&lt;($F$6-$E$6)/($G$6-$E$6),$E$6+SQRT(P705*($G$6-$E$6)*($F$6-$E$6)),$G$6-SQRT((1-P705)*($G$6-$E$6)*($G$6-$F$6))))</f>
        <v>1</v>
      </c>
      <c r="C705" s="37" t="n">
        <f aca="false">1+IF($G$7=$E$7,$F$7,IF(Q705&lt;($F$7-$E$7)/($G$7-$E$7),$E$7+SQRT(Q705*($G$7-$E$7)*($F$7-$E$7)),$G$7-SQRT((1-Q705)*($G$7-$E$7)*($G$7-$F$7))))</f>
        <v>1</v>
      </c>
      <c r="D705" s="37" t="n">
        <f aca="false">1+IF($G$8=$E$8,$F$8,IF(R705&lt;($F$8-$E$8)/($G$8-$E$8),$E$8+SQRT(R705*($G$8-$E$8)*($F$8-$E$8)),$G$8-SQRT((1-R705)*($G$8-$E$8)*($G$8-$F$8))))</f>
        <v>1</v>
      </c>
      <c r="E705" s="37" t="n">
        <f aca="false">1+IF($G$9=$E$9,$F$9,IF(S705&lt;($F$9-$E$9)/($G$9-$E$9),$E$9+SQRT(S705*($G$9-$E$9)*($F$9-$E$9)),$G$9-SQRT((1-S705)*($G$9-$E$9)*($G$9-$F$9))))</f>
        <v>1</v>
      </c>
      <c r="F705" s="37" t="n">
        <f aca="false">1+IF($G$10=$E$10,$F$10,IF(T705&lt;($F$10-$E$10)/($G$10-$E$10),$E$10+SQRT(T705*($G$10-$E$10)*($F$10-$E$10)),$G$10-SQRT((1-T705)*($G$10-$E$10)*($G$10-$F$10))))</f>
        <v>1</v>
      </c>
      <c r="G705" s="38" t="n">
        <f aca="false">IF($G$11=$E$11,$F$11,IF(U705&lt;($F$11-$E$11)/($G$11-$E$11),$E$11+SQRT(U705*($G$11-$E$11)*($F$11-$E$11)),$G$11-SQRT((1-U705)*($G$11-$E$11)*($G$11-$F$11))))</f>
        <v>0</v>
      </c>
      <c r="H705" s="39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0</v>
      </c>
      <c r="I705" s="39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0</v>
      </c>
      <c r="J705" s="39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0</v>
      </c>
      <c r="K705" s="39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0</v>
      </c>
      <c r="L705" s="39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0</v>
      </c>
      <c r="M705" s="39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0</v>
      </c>
      <c r="N705" s="39" t="str">
        <f aca="false">IF(COUNT('Business Case'!B11:G11)=0,"",H705+NPV(G705,I705:M705))</f>
        <v/>
      </c>
      <c r="P705" s="40" t="n">
        <f aca="true">RAND()</f>
        <v>0.0704724621833156</v>
      </c>
      <c r="Q705" s="40" t="n">
        <f aca="true">RAND()</f>
        <v>0.631677984236331</v>
      </c>
      <c r="R705" s="40" t="n">
        <f aca="true">RAND()</f>
        <v>0.101499211950299</v>
      </c>
      <c r="S705" s="40" t="n">
        <f aca="true">RAND()</f>
        <v>0.480384682392652</v>
      </c>
      <c r="T705" s="40" t="n">
        <f aca="true">RAND()</f>
        <v>0.386294524049495</v>
      </c>
      <c r="U705" s="40" t="n">
        <f aca="true">RAND()</f>
        <v>0.661608921800073</v>
      </c>
    </row>
    <row r="706" customFormat="false" ht="15" hidden="false" customHeight="false" outlineLevel="0" collapsed="false">
      <c r="A706" s="36" t="n">
        <v>626</v>
      </c>
      <c r="B706" s="37" t="n">
        <f aca="false">1+IF($G$6=$E$6,$F$6,IF(P706&lt;($F$6-$E$6)/($G$6-$E$6),$E$6+SQRT(P706*($G$6-$E$6)*($F$6-$E$6)),$G$6-SQRT((1-P706)*($G$6-$E$6)*($G$6-$F$6))))</f>
        <v>1</v>
      </c>
      <c r="C706" s="37" t="n">
        <f aca="false">1+IF($G$7=$E$7,$F$7,IF(Q706&lt;($F$7-$E$7)/($G$7-$E$7),$E$7+SQRT(Q706*($G$7-$E$7)*($F$7-$E$7)),$G$7-SQRT((1-Q706)*($G$7-$E$7)*($G$7-$F$7))))</f>
        <v>1</v>
      </c>
      <c r="D706" s="37" t="n">
        <f aca="false">1+IF($G$8=$E$8,$F$8,IF(R706&lt;($F$8-$E$8)/($G$8-$E$8),$E$8+SQRT(R706*($G$8-$E$8)*($F$8-$E$8)),$G$8-SQRT((1-R706)*($G$8-$E$8)*($G$8-$F$8))))</f>
        <v>1</v>
      </c>
      <c r="E706" s="37" t="n">
        <f aca="false">1+IF($G$9=$E$9,$F$9,IF(S706&lt;($F$9-$E$9)/($G$9-$E$9),$E$9+SQRT(S706*($G$9-$E$9)*($F$9-$E$9)),$G$9-SQRT((1-S706)*($G$9-$E$9)*($G$9-$F$9))))</f>
        <v>1</v>
      </c>
      <c r="F706" s="37" t="n">
        <f aca="false">1+IF($G$10=$E$10,$F$10,IF(T706&lt;($F$10-$E$10)/($G$10-$E$10),$E$10+SQRT(T706*($G$10-$E$10)*($F$10-$E$10)),$G$10-SQRT((1-T706)*($G$10-$E$10)*($G$10-$F$10))))</f>
        <v>1</v>
      </c>
      <c r="G706" s="38" t="n">
        <f aca="false">IF($G$11=$E$11,$F$11,IF(U706&lt;($F$11-$E$11)/($G$11-$E$11),$E$11+SQRT(U706*($G$11-$E$11)*($F$11-$E$11)),$G$11-SQRT((1-U706)*($G$11-$E$11)*($G$11-$F$11))))</f>
        <v>0</v>
      </c>
      <c r="H706" s="39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0</v>
      </c>
      <c r="I706" s="39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0</v>
      </c>
      <c r="J706" s="39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0</v>
      </c>
      <c r="K706" s="39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0</v>
      </c>
      <c r="L706" s="39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0</v>
      </c>
      <c r="M706" s="39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0</v>
      </c>
      <c r="N706" s="39" t="str">
        <f aca="false">IF(COUNT('Business Case'!B11:G11)=0,"",H706+NPV(G706,I706:M706))</f>
        <v/>
      </c>
      <c r="P706" s="40" t="n">
        <f aca="true">RAND()</f>
        <v>0.930918678831569</v>
      </c>
      <c r="Q706" s="40" t="n">
        <f aca="true">RAND()</f>
        <v>0.00567946258827366</v>
      </c>
      <c r="R706" s="40" t="n">
        <f aca="true">RAND()</f>
        <v>0.175475911507379</v>
      </c>
      <c r="S706" s="40" t="n">
        <f aca="true">RAND()</f>
        <v>0.813318478752906</v>
      </c>
      <c r="T706" s="40" t="n">
        <f aca="true">RAND()</f>
        <v>0.433880807349936</v>
      </c>
      <c r="U706" s="40" t="n">
        <f aca="true">RAND()</f>
        <v>0.604063901221211</v>
      </c>
    </row>
    <row r="707" customFormat="false" ht="15" hidden="false" customHeight="false" outlineLevel="0" collapsed="false">
      <c r="A707" s="36" t="n">
        <v>627</v>
      </c>
      <c r="B707" s="37" t="n">
        <f aca="false">1+IF($G$6=$E$6,$F$6,IF(P707&lt;($F$6-$E$6)/($G$6-$E$6),$E$6+SQRT(P707*($G$6-$E$6)*($F$6-$E$6)),$G$6-SQRT((1-P707)*($G$6-$E$6)*($G$6-$F$6))))</f>
        <v>1</v>
      </c>
      <c r="C707" s="37" t="n">
        <f aca="false">1+IF($G$7=$E$7,$F$7,IF(Q707&lt;($F$7-$E$7)/($G$7-$E$7),$E$7+SQRT(Q707*($G$7-$E$7)*($F$7-$E$7)),$G$7-SQRT((1-Q707)*($G$7-$E$7)*($G$7-$F$7))))</f>
        <v>1</v>
      </c>
      <c r="D707" s="37" t="n">
        <f aca="false">1+IF($G$8=$E$8,$F$8,IF(R707&lt;($F$8-$E$8)/($G$8-$E$8),$E$8+SQRT(R707*($G$8-$E$8)*($F$8-$E$8)),$G$8-SQRT((1-R707)*($G$8-$E$8)*($G$8-$F$8))))</f>
        <v>1</v>
      </c>
      <c r="E707" s="37" t="n">
        <f aca="false">1+IF($G$9=$E$9,$F$9,IF(S707&lt;($F$9-$E$9)/($G$9-$E$9),$E$9+SQRT(S707*($G$9-$E$9)*($F$9-$E$9)),$G$9-SQRT((1-S707)*($G$9-$E$9)*($G$9-$F$9))))</f>
        <v>1</v>
      </c>
      <c r="F707" s="37" t="n">
        <f aca="false">1+IF($G$10=$E$10,$F$10,IF(T707&lt;($F$10-$E$10)/($G$10-$E$10),$E$10+SQRT(T707*($G$10-$E$10)*($F$10-$E$10)),$G$10-SQRT((1-T707)*($G$10-$E$10)*($G$10-$F$10))))</f>
        <v>1</v>
      </c>
      <c r="G707" s="38" t="n">
        <f aca="false">IF($G$11=$E$11,$F$11,IF(U707&lt;($F$11-$E$11)/($G$11-$E$11),$E$11+SQRT(U707*($G$11-$E$11)*($F$11-$E$11)),$G$11-SQRT((1-U707)*($G$11-$E$11)*($G$11-$F$11))))</f>
        <v>0</v>
      </c>
      <c r="H707" s="39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0</v>
      </c>
      <c r="I707" s="39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0</v>
      </c>
      <c r="J707" s="39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0</v>
      </c>
      <c r="K707" s="39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0</v>
      </c>
      <c r="L707" s="39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0</v>
      </c>
      <c r="M707" s="39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0</v>
      </c>
      <c r="N707" s="39" t="str">
        <f aca="false">IF(COUNT('Business Case'!B11:G11)=0,"",H707+NPV(G707,I707:M707))</f>
        <v/>
      </c>
      <c r="P707" s="40" t="n">
        <f aca="true">RAND()</f>
        <v>0.499920226274696</v>
      </c>
      <c r="Q707" s="40" t="n">
        <f aca="true">RAND()</f>
        <v>0.321952497609047</v>
      </c>
      <c r="R707" s="40" t="n">
        <f aca="true">RAND()</f>
        <v>0.302651796881159</v>
      </c>
      <c r="S707" s="40" t="n">
        <f aca="true">RAND()</f>
        <v>0.149843883745622</v>
      </c>
      <c r="T707" s="40" t="n">
        <f aca="true">RAND()</f>
        <v>0.304166008062703</v>
      </c>
      <c r="U707" s="40" t="n">
        <f aca="true">RAND()</f>
        <v>0.509199808903321</v>
      </c>
    </row>
    <row r="708" customFormat="false" ht="15" hidden="false" customHeight="false" outlineLevel="0" collapsed="false">
      <c r="A708" s="36" t="n">
        <v>628</v>
      </c>
      <c r="B708" s="37" t="n">
        <f aca="false">1+IF($G$6=$E$6,$F$6,IF(P708&lt;($F$6-$E$6)/($G$6-$E$6),$E$6+SQRT(P708*($G$6-$E$6)*($F$6-$E$6)),$G$6-SQRT((1-P708)*($G$6-$E$6)*($G$6-$F$6))))</f>
        <v>1</v>
      </c>
      <c r="C708" s="37" t="n">
        <f aca="false">1+IF($G$7=$E$7,$F$7,IF(Q708&lt;($F$7-$E$7)/($G$7-$E$7),$E$7+SQRT(Q708*($G$7-$E$7)*($F$7-$E$7)),$G$7-SQRT((1-Q708)*($G$7-$E$7)*($G$7-$F$7))))</f>
        <v>1</v>
      </c>
      <c r="D708" s="37" t="n">
        <f aca="false">1+IF($G$8=$E$8,$F$8,IF(R708&lt;($F$8-$E$8)/($G$8-$E$8),$E$8+SQRT(R708*($G$8-$E$8)*($F$8-$E$8)),$G$8-SQRT((1-R708)*($G$8-$E$8)*($G$8-$F$8))))</f>
        <v>1</v>
      </c>
      <c r="E708" s="37" t="n">
        <f aca="false">1+IF($G$9=$E$9,$F$9,IF(S708&lt;($F$9-$E$9)/($G$9-$E$9),$E$9+SQRT(S708*($G$9-$E$9)*($F$9-$E$9)),$G$9-SQRT((1-S708)*($G$9-$E$9)*($G$9-$F$9))))</f>
        <v>1</v>
      </c>
      <c r="F708" s="37" t="n">
        <f aca="false">1+IF($G$10=$E$10,$F$10,IF(T708&lt;($F$10-$E$10)/($G$10-$E$10),$E$10+SQRT(T708*($G$10-$E$10)*($F$10-$E$10)),$G$10-SQRT((1-T708)*($G$10-$E$10)*($G$10-$F$10))))</f>
        <v>1</v>
      </c>
      <c r="G708" s="38" t="n">
        <f aca="false">IF($G$11=$E$11,$F$11,IF(U708&lt;($F$11-$E$11)/($G$11-$E$11),$E$11+SQRT(U708*($G$11-$E$11)*($F$11-$E$11)),$G$11-SQRT((1-U708)*($G$11-$E$11)*($G$11-$F$11))))</f>
        <v>0</v>
      </c>
      <c r="H708" s="39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0</v>
      </c>
      <c r="I708" s="39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0</v>
      </c>
      <c r="J708" s="39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0</v>
      </c>
      <c r="K708" s="39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0</v>
      </c>
      <c r="L708" s="39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0</v>
      </c>
      <c r="M708" s="39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0</v>
      </c>
      <c r="N708" s="39" t="str">
        <f aca="false">IF(COUNT('Business Case'!B11:G11)=0,"",H708+NPV(G708,I708:M708))</f>
        <v/>
      </c>
      <c r="P708" s="40" t="n">
        <f aca="true">RAND()</f>
        <v>0.521158878312585</v>
      </c>
      <c r="Q708" s="40" t="n">
        <f aca="true">RAND()</f>
        <v>0.260653556964317</v>
      </c>
      <c r="R708" s="40" t="n">
        <f aca="true">RAND()</f>
        <v>0.984720180904098</v>
      </c>
      <c r="S708" s="40" t="n">
        <f aca="true">RAND()</f>
        <v>0.0338389211913615</v>
      </c>
      <c r="T708" s="40" t="n">
        <f aca="true">RAND()</f>
        <v>0.112719605653781</v>
      </c>
      <c r="U708" s="40" t="n">
        <f aca="true">RAND()</f>
        <v>0.731249645463792</v>
      </c>
    </row>
    <row r="709" customFormat="false" ht="15" hidden="false" customHeight="false" outlineLevel="0" collapsed="false">
      <c r="A709" s="36" t="n">
        <v>629</v>
      </c>
      <c r="B709" s="37" t="n">
        <f aca="false">1+IF($G$6=$E$6,$F$6,IF(P709&lt;($F$6-$E$6)/($G$6-$E$6),$E$6+SQRT(P709*($G$6-$E$6)*($F$6-$E$6)),$G$6-SQRT((1-P709)*($G$6-$E$6)*($G$6-$F$6))))</f>
        <v>1</v>
      </c>
      <c r="C709" s="37" t="n">
        <f aca="false">1+IF($G$7=$E$7,$F$7,IF(Q709&lt;($F$7-$E$7)/($G$7-$E$7),$E$7+SQRT(Q709*($G$7-$E$7)*($F$7-$E$7)),$G$7-SQRT((1-Q709)*($G$7-$E$7)*($G$7-$F$7))))</f>
        <v>1</v>
      </c>
      <c r="D709" s="37" t="n">
        <f aca="false">1+IF($G$8=$E$8,$F$8,IF(R709&lt;($F$8-$E$8)/($G$8-$E$8),$E$8+SQRT(R709*($G$8-$E$8)*($F$8-$E$8)),$G$8-SQRT((1-R709)*($G$8-$E$8)*($G$8-$F$8))))</f>
        <v>1</v>
      </c>
      <c r="E709" s="37" t="n">
        <f aca="false">1+IF($G$9=$E$9,$F$9,IF(S709&lt;($F$9-$E$9)/($G$9-$E$9),$E$9+SQRT(S709*($G$9-$E$9)*($F$9-$E$9)),$G$9-SQRT((1-S709)*($G$9-$E$9)*($G$9-$F$9))))</f>
        <v>1</v>
      </c>
      <c r="F709" s="37" t="n">
        <f aca="false">1+IF($G$10=$E$10,$F$10,IF(T709&lt;($F$10-$E$10)/($G$10-$E$10),$E$10+SQRT(T709*($G$10-$E$10)*($F$10-$E$10)),$G$10-SQRT((1-T709)*($G$10-$E$10)*($G$10-$F$10))))</f>
        <v>1</v>
      </c>
      <c r="G709" s="38" t="n">
        <f aca="false">IF($G$11=$E$11,$F$11,IF(U709&lt;($F$11-$E$11)/($G$11-$E$11),$E$11+SQRT(U709*($G$11-$E$11)*($F$11-$E$11)),$G$11-SQRT((1-U709)*($G$11-$E$11)*($G$11-$F$11))))</f>
        <v>0</v>
      </c>
      <c r="H709" s="39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0</v>
      </c>
      <c r="I709" s="39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0</v>
      </c>
      <c r="J709" s="39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0</v>
      </c>
      <c r="K709" s="39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0</v>
      </c>
      <c r="L709" s="39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0</v>
      </c>
      <c r="M709" s="39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0</v>
      </c>
      <c r="N709" s="39" t="str">
        <f aca="false">IF(COUNT('Business Case'!B11:G11)=0,"",H709+NPV(G709,I709:M709))</f>
        <v/>
      </c>
      <c r="P709" s="40" t="n">
        <f aca="true">RAND()</f>
        <v>0.695956315360791</v>
      </c>
      <c r="Q709" s="40" t="n">
        <f aca="true">RAND()</f>
        <v>0.0529267329435569</v>
      </c>
      <c r="R709" s="40" t="n">
        <f aca="true">RAND()</f>
        <v>0.0908781332435378</v>
      </c>
      <c r="S709" s="40" t="n">
        <f aca="true">RAND()</f>
        <v>0.109950928218614</v>
      </c>
      <c r="T709" s="40" t="n">
        <f aca="true">RAND()</f>
        <v>0.874841931630126</v>
      </c>
      <c r="U709" s="40" t="n">
        <f aca="true">RAND()</f>
        <v>0.893622096897304</v>
      </c>
    </row>
    <row r="710" customFormat="false" ht="15" hidden="false" customHeight="false" outlineLevel="0" collapsed="false">
      <c r="A710" s="36" t="n">
        <v>630</v>
      </c>
      <c r="B710" s="37" t="n">
        <f aca="false">1+IF($G$6=$E$6,$F$6,IF(P710&lt;($F$6-$E$6)/($G$6-$E$6),$E$6+SQRT(P710*($G$6-$E$6)*($F$6-$E$6)),$G$6-SQRT((1-P710)*($G$6-$E$6)*($G$6-$F$6))))</f>
        <v>1</v>
      </c>
      <c r="C710" s="37" t="n">
        <f aca="false">1+IF($G$7=$E$7,$F$7,IF(Q710&lt;($F$7-$E$7)/($G$7-$E$7),$E$7+SQRT(Q710*($G$7-$E$7)*($F$7-$E$7)),$G$7-SQRT((1-Q710)*($G$7-$E$7)*($G$7-$F$7))))</f>
        <v>1</v>
      </c>
      <c r="D710" s="37" t="n">
        <f aca="false">1+IF($G$8=$E$8,$F$8,IF(R710&lt;($F$8-$E$8)/($G$8-$E$8),$E$8+SQRT(R710*($G$8-$E$8)*($F$8-$E$8)),$G$8-SQRT((1-R710)*($G$8-$E$8)*($G$8-$F$8))))</f>
        <v>1</v>
      </c>
      <c r="E710" s="37" t="n">
        <f aca="false">1+IF($G$9=$E$9,$F$9,IF(S710&lt;($F$9-$E$9)/($G$9-$E$9),$E$9+SQRT(S710*($G$9-$E$9)*($F$9-$E$9)),$G$9-SQRT((1-S710)*($G$9-$E$9)*($G$9-$F$9))))</f>
        <v>1</v>
      </c>
      <c r="F710" s="37" t="n">
        <f aca="false">1+IF($G$10=$E$10,$F$10,IF(T710&lt;($F$10-$E$10)/($G$10-$E$10),$E$10+SQRT(T710*($G$10-$E$10)*($F$10-$E$10)),$G$10-SQRT((1-T710)*($G$10-$E$10)*($G$10-$F$10))))</f>
        <v>1</v>
      </c>
      <c r="G710" s="38" t="n">
        <f aca="false">IF($G$11=$E$11,$F$11,IF(U710&lt;($F$11-$E$11)/($G$11-$E$11),$E$11+SQRT(U710*($G$11-$E$11)*($F$11-$E$11)),$G$11-SQRT((1-U710)*($G$11-$E$11)*($G$11-$F$11))))</f>
        <v>0</v>
      </c>
      <c r="H710" s="39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0</v>
      </c>
      <c r="I710" s="39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0</v>
      </c>
      <c r="J710" s="39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0</v>
      </c>
      <c r="K710" s="39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0</v>
      </c>
      <c r="L710" s="39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0</v>
      </c>
      <c r="M710" s="39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0</v>
      </c>
      <c r="N710" s="39" t="str">
        <f aca="false">IF(COUNT('Business Case'!B11:G11)=0,"",H710+NPV(G710,I710:M710))</f>
        <v/>
      </c>
      <c r="P710" s="40" t="n">
        <f aca="true">RAND()</f>
        <v>0.114118766814851</v>
      </c>
      <c r="Q710" s="40" t="n">
        <f aca="true">RAND()</f>
        <v>0.489119482629878</v>
      </c>
      <c r="R710" s="40" t="n">
        <f aca="true">RAND()</f>
        <v>0.798090887896665</v>
      </c>
      <c r="S710" s="40" t="n">
        <f aca="true">RAND()</f>
        <v>0.110048158523464</v>
      </c>
      <c r="T710" s="40" t="n">
        <f aca="true">RAND()</f>
        <v>0.299832562686945</v>
      </c>
      <c r="U710" s="40" t="n">
        <f aca="true">RAND()</f>
        <v>0.0185810213310742</v>
      </c>
    </row>
    <row r="711" customFormat="false" ht="15" hidden="false" customHeight="false" outlineLevel="0" collapsed="false">
      <c r="A711" s="36" t="n">
        <v>631</v>
      </c>
      <c r="B711" s="37" t="n">
        <f aca="false">1+IF($G$6=$E$6,$F$6,IF(P711&lt;($F$6-$E$6)/($G$6-$E$6),$E$6+SQRT(P711*($G$6-$E$6)*($F$6-$E$6)),$G$6-SQRT((1-P711)*($G$6-$E$6)*($G$6-$F$6))))</f>
        <v>1</v>
      </c>
      <c r="C711" s="37" t="n">
        <f aca="false">1+IF($G$7=$E$7,$F$7,IF(Q711&lt;($F$7-$E$7)/($G$7-$E$7),$E$7+SQRT(Q711*($G$7-$E$7)*($F$7-$E$7)),$G$7-SQRT((1-Q711)*($G$7-$E$7)*($G$7-$F$7))))</f>
        <v>1</v>
      </c>
      <c r="D711" s="37" t="n">
        <f aca="false">1+IF($G$8=$E$8,$F$8,IF(R711&lt;($F$8-$E$8)/($G$8-$E$8),$E$8+SQRT(R711*($G$8-$E$8)*($F$8-$E$8)),$G$8-SQRT((1-R711)*($G$8-$E$8)*($G$8-$F$8))))</f>
        <v>1</v>
      </c>
      <c r="E711" s="37" t="n">
        <f aca="false">1+IF($G$9=$E$9,$F$9,IF(S711&lt;($F$9-$E$9)/($G$9-$E$9),$E$9+SQRT(S711*($G$9-$E$9)*($F$9-$E$9)),$G$9-SQRT((1-S711)*($G$9-$E$9)*($G$9-$F$9))))</f>
        <v>1</v>
      </c>
      <c r="F711" s="37" t="n">
        <f aca="false">1+IF($G$10=$E$10,$F$10,IF(T711&lt;($F$10-$E$10)/($G$10-$E$10),$E$10+SQRT(T711*($G$10-$E$10)*($F$10-$E$10)),$G$10-SQRT((1-T711)*($G$10-$E$10)*($G$10-$F$10))))</f>
        <v>1</v>
      </c>
      <c r="G711" s="38" t="n">
        <f aca="false">IF($G$11=$E$11,$F$11,IF(U711&lt;($F$11-$E$11)/($G$11-$E$11),$E$11+SQRT(U711*($G$11-$E$11)*($F$11-$E$11)),$G$11-SQRT((1-U711)*($G$11-$E$11)*($G$11-$F$11))))</f>
        <v>0</v>
      </c>
      <c r="H711" s="39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0</v>
      </c>
      <c r="I711" s="39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0</v>
      </c>
      <c r="J711" s="39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0</v>
      </c>
      <c r="K711" s="39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0</v>
      </c>
      <c r="L711" s="39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0</v>
      </c>
      <c r="M711" s="39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0</v>
      </c>
      <c r="N711" s="39" t="str">
        <f aca="false">IF(COUNT('Business Case'!B11:G11)=0,"",H711+NPV(G711,I711:M711))</f>
        <v/>
      </c>
      <c r="P711" s="40" t="n">
        <f aca="true">RAND()</f>
        <v>0.796436118382438</v>
      </c>
      <c r="Q711" s="40" t="n">
        <f aca="true">RAND()</f>
        <v>0.772068645033981</v>
      </c>
      <c r="R711" s="40" t="n">
        <f aca="true">RAND()</f>
        <v>0.737815209948757</v>
      </c>
      <c r="S711" s="40" t="n">
        <f aca="true">RAND()</f>
        <v>0.7447521863553</v>
      </c>
      <c r="T711" s="40" t="n">
        <f aca="true">RAND()</f>
        <v>0.975332792083979</v>
      </c>
      <c r="U711" s="40" t="n">
        <f aca="true">RAND()</f>
        <v>0.25405340736839</v>
      </c>
    </row>
    <row r="712" customFormat="false" ht="15" hidden="false" customHeight="false" outlineLevel="0" collapsed="false">
      <c r="A712" s="36" t="n">
        <v>632</v>
      </c>
      <c r="B712" s="37" t="n">
        <f aca="false">1+IF($G$6=$E$6,$F$6,IF(P712&lt;($F$6-$E$6)/($G$6-$E$6),$E$6+SQRT(P712*($G$6-$E$6)*($F$6-$E$6)),$G$6-SQRT((1-P712)*($G$6-$E$6)*($G$6-$F$6))))</f>
        <v>1</v>
      </c>
      <c r="C712" s="37" t="n">
        <f aca="false">1+IF($G$7=$E$7,$F$7,IF(Q712&lt;($F$7-$E$7)/($G$7-$E$7),$E$7+SQRT(Q712*($G$7-$E$7)*($F$7-$E$7)),$G$7-SQRT((1-Q712)*($G$7-$E$7)*($G$7-$F$7))))</f>
        <v>1</v>
      </c>
      <c r="D712" s="37" t="n">
        <f aca="false">1+IF($G$8=$E$8,$F$8,IF(R712&lt;($F$8-$E$8)/($G$8-$E$8),$E$8+SQRT(R712*($G$8-$E$8)*($F$8-$E$8)),$G$8-SQRT((1-R712)*($G$8-$E$8)*($G$8-$F$8))))</f>
        <v>1</v>
      </c>
      <c r="E712" s="37" t="n">
        <f aca="false">1+IF($G$9=$E$9,$F$9,IF(S712&lt;($F$9-$E$9)/($G$9-$E$9),$E$9+SQRT(S712*($G$9-$E$9)*($F$9-$E$9)),$G$9-SQRT((1-S712)*($G$9-$E$9)*($G$9-$F$9))))</f>
        <v>1</v>
      </c>
      <c r="F712" s="37" t="n">
        <f aca="false">1+IF($G$10=$E$10,$F$10,IF(T712&lt;($F$10-$E$10)/($G$10-$E$10),$E$10+SQRT(T712*($G$10-$E$10)*($F$10-$E$10)),$G$10-SQRT((1-T712)*($G$10-$E$10)*($G$10-$F$10))))</f>
        <v>1</v>
      </c>
      <c r="G712" s="38" t="n">
        <f aca="false">IF($G$11=$E$11,$F$11,IF(U712&lt;($F$11-$E$11)/($G$11-$E$11),$E$11+SQRT(U712*($G$11-$E$11)*($F$11-$E$11)),$G$11-SQRT((1-U712)*($G$11-$E$11)*($G$11-$F$11))))</f>
        <v>0</v>
      </c>
      <c r="H712" s="39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0</v>
      </c>
      <c r="I712" s="39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0</v>
      </c>
      <c r="J712" s="39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0</v>
      </c>
      <c r="K712" s="39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0</v>
      </c>
      <c r="L712" s="39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0</v>
      </c>
      <c r="M712" s="39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0</v>
      </c>
      <c r="N712" s="39" t="str">
        <f aca="false">IF(COUNT('Business Case'!B11:G11)=0,"",H712+NPV(G712,I712:M712))</f>
        <v/>
      </c>
      <c r="P712" s="40" t="n">
        <f aca="true">RAND()</f>
        <v>0.835328865461623</v>
      </c>
      <c r="Q712" s="40" t="n">
        <f aca="true">RAND()</f>
        <v>0.804462797127426</v>
      </c>
      <c r="R712" s="40" t="n">
        <f aca="true">RAND()</f>
        <v>0.135319146260852</v>
      </c>
      <c r="S712" s="40" t="n">
        <f aca="true">RAND()</f>
        <v>0.103141249981112</v>
      </c>
      <c r="T712" s="40" t="n">
        <f aca="true">RAND()</f>
        <v>0.952627251615465</v>
      </c>
      <c r="U712" s="40" t="n">
        <f aca="true">RAND()</f>
        <v>0.257247979789655</v>
      </c>
    </row>
    <row r="713" customFormat="false" ht="15" hidden="false" customHeight="false" outlineLevel="0" collapsed="false">
      <c r="A713" s="36" t="n">
        <v>633</v>
      </c>
      <c r="B713" s="37" t="n">
        <f aca="false">1+IF($G$6=$E$6,$F$6,IF(P713&lt;($F$6-$E$6)/($G$6-$E$6),$E$6+SQRT(P713*($G$6-$E$6)*($F$6-$E$6)),$G$6-SQRT((1-P713)*($G$6-$E$6)*($G$6-$F$6))))</f>
        <v>1</v>
      </c>
      <c r="C713" s="37" t="n">
        <f aca="false">1+IF($G$7=$E$7,$F$7,IF(Q713&lt;($F$7-$E$7)/($G$7-$E$7),$E$7+SQRT(Q713*($G$7-$E$7)*($F$7-$E$7)),$G$7-SQRT((1-Q713)*($G$7-$E$7)*($G$7-$F$7))))</f>
        <v>1</v>
      </c>
      <c r="D713" s="37" t="n">
        <f aca="false">1+IF($G$8=$E$8,$F$8,IF(R713&lt;($F$8-$E$8)/($G$8-$E$8),$E$8+SQRT(R713*($G$8-$E$8)*($F$8-$E$8)),$G$8-SQRT((1-R713)*($G$8-$E$8)*($G$8-$F$8))))</f>
        <v>1</v>
      </c>
      <c r="E713" s="37" t="n">
        <f aca="false">1+IF($G$9=$E$9,$F$9,IF(S713&lt;($F$9-$E$9)/($G$9-$E$9),$E$9+SQRT(S713*($G$9-$E$9)*($F$9-$E$9)),$G$9-SQRT((1-S713)*($G$9-$E$9)*($G$9-$F$9))))</f>
        <v>1</v>
      </c>
      <c r="F713" s="37" t="n">
        <f aca="false">1+IF($G$10=$E$10,$F$10,IF(T713&lt;($F$10-$E$10)/($G$10-$E$10),$E$10+SQRT(T713*($G$10-$E$10)*($F$10-$E$10)),$G$10-SQRT((1-T713)*($G$10-$E$10)*($G$10-$F$10))))</f>
        <v>1</v>
      </c>
      <c r="G713" s="38" t="n">
        <f aca="false">IF($G$11=$E$11,$F$11,IF(U713&lt;($F$11-$E$11)/($G$11-$E$11),$E$11+SQRT(U713*($G$11-$E$11)*($F$11-$E$11)),$G$11-SQRT((1-U713)*($G$11-$E$11)*($G$11-$F$11))))</f>
        <v>0</v>
      </c>
      <c r="H713" s="39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0</v>
      </c>
      <c r="I713" s="39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0</v>
      </c>
      <c r="J713" s="39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0</v>
      </c>
      <c r="K713" s="39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0</v>
      </c>
      <c r="L713" s="39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0</v>
      </c>
      <c r="M713" s="39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0</v>
      </c>
      <c r="N713" s="39" t="str">
        <f aca="false">IF(COUNT('Business Case'!B11:G11)=0,"",H713+NPV(G713,I713:M713))</f>
        <v/>
      </c>
      <c r="P713" s="40" t="n">
        <f aca="true">RAND()</f>
        <v>0.222803665705392</v>
      </c>
      <c r="Q713" s="40" t="n">
        <f aca="true">RAND()</f>
        <v>0.92457559687746</v>
      </c>
      <c r="R713" s="40" t="n">
        <f aca="true">RAND()</f>
        <v>0.822001949574796</v>
      </c>
      <c r="S713" s="40" t="n">
        <f aca="true">RAND()</f>
        <v>0.65477810528713</v>
      </c>
      <c r="T713" s="40" t="n">
        <f aca="true">RAND()</f>
        <v>0.322554965935333</v>
      </c>
      <c r="U713" s="40" t="n">
        <f aca="true">RAND()</f>
        <v>0.471735350602038</v>
      </c>
    </row>
    <row r="714" customFormat="false" ht="15" hidden="false" customHeight="false" outlineLevel="0" collapsed="false">
      <c r="A714" s="36" t="n">
        <v>634</v>
      </c>
      <c r="B714" s="37" t="n">
        <f aca="false">1+IF($G$6=$E$6,$F$6,IF(P714&lt;($F$6-$E$6)/($G$6-$E$6),$E$6+SQRT(P714*($G$6-$E$6)*($F$6-$E$6)),$G$6-SQRT((1-P714)*($G$6-$E$6)*($G$6-$F$6))))</f>
        <v>1</v>
      </c>
      <c r="C714" s="37" t="n">
        <f aca="false">1+IF($G$7=$E$7,$F$7,IF(Q714&lt;($F$7-$E$7)/($G$7-$E$7),$E$7+SQRT(Q714*($G$7-$E$7)*($F$7-$E$7)),$G$7-SQRT((1-Q714)*($G$7-$E$7)*($G$7-$F$7))))</f>
        <v>1</v>
      </c>
      <c r="D714" s="37" t="n">
        <f aca="false">1+IF($G$8=$E$8,$F$8,IF(R714&lt;($F$8-$E$8)/($G$8-$E$8),$E$8+SQRT(R714*($G$8-$E$8)*($F$8-$E$8)),$G$8-SQRT((1-R714)*($G$8-$E$8)*($G$8-$F$8))))</f>
        <v>1</v>
      </c>
      <c r="E714" s="37" t="n">
        <f aca="false">1+IF($G$9=$E$9,$F$9,IF(S714&lt;($F$9-$E$9)/($G$9-$E$9),$E$9+SQRT(S714*($G$9-$E$9)*($F$9-$E$9)),$G$9-SQRT((1-S714)*($G$9-$E$9)*($G$9-$F$9))))</f>
        <v>1</v>
      </c>
      <c r="F714" s="37" t="n">
        <f aca="false">1+IF($G$10=$E$10,$F$10,IF(T714&lt;($F$10-$E$10)/($G$10-$E$10),$E$10+SQRT(T714*($G$10-$E$10)*($F$10-$E$10)),$G$10-SQRT((1-T714)*($G$10-$E$10)*($G$10-$F$10))))</f>
        <v>1</v>
      </c>
      <c r="G714" s="38" t="n">
        <f aca="false">IF($G$11=$E$11,$F$11,IF(U714&lt;($F$11-$E$11)/($G$11-$E$11),$E$11+SQRT(U714*($G$11-$E$11)*($F$11-$E$11)),$G$11-SQRT((1-U714)*($G$11-$E$11)*($G$11-$F$11))))</f>
        <v>0</v>
      </c>
      <c r="H714" s="39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0</v>
      </c>
      <c r="I714" s="39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0</v>
      </c>
      <c r="J714" s="39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0</v>
      </c>
      <c r="K714" s="39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0</v>
      </c>
      <c r="L714" s="39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0</v>
      </c>
      <c r="M714" s="39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0</v>
      </c>
      <c r="N714" s="39" t="str">
        <f aca="false">IF(COUNT('Business Case'!B11:G11)=0,"",H714+NPV(G714,I714:M714))</f>
        <v/>
      </c>
      <c r="P714" s="40" t="n">
        <f aca="true">RAND()</f>
        <v>0.304139721028707</v>
      </c>
      <c r="Q714" s="40" t="n">
        <f aca="true">RAND()</f>
        <v>0.074698157099483</v>
      </c>
      <c r="R714" s="40" t="n">
        <f aca="true">RAND()</f>
        <v>0.523978869842025</v>
      </c>
      <c r="S714" s="40" t="n">
        <f aca="true">RAND()</f>
        <v>0.0991898266713915</v>
      </c>
      <c r="T714" s="40" t="n">
        <f aca="true">RAND()</f>
        <v>0.421727801942776</v>
      </c>
      <c r="U714" s="40" t="n">
        <f aca="true">RAND()</f>
        <v>0.588270779384211</v>
      </c>
    </row>
    <row r="715" customFormat="false" ht="15" hidden="false" customHeight="false" outlineLevel="0" collapsed="false">
      <c r="A715" s="36" t="n">
        <v>635</v>
      </c>
      <c r="B715" s="37" t="n">
        <f aca="false">1+IF($G$6=$E$6,$F$6,IF(P715&lt;($F$6-$E$6)/($G$6-$E$6),$E$6+SQRT(P715*($G$6-$E$6)*($F$6-$E$6)),$G$6-SQRT((1-P715)*($G$6-$E$6)*($G$6-$F$6))))</f>
        <v>1</v>
      </c>
      <c r="C715" s="37" t="n">
        <f aca="false">1+IF($G$7=$E$7,$F$7,IF(Q715&lt;($F$7-$E$7)/($G$7-$E$7),$E$7+SQRT(Q715*($G$7-$E$7)*($F$7-$E$7)),$G$7-SQRT((1-Q715)*($G$7-$E$7)*($G$7-$F$7))))</f>
        <v>1</v>
      </c>
      <c r="D715" s="37" t="n">
        <f aca="false">1+IF($G$8=$E$8,$F$8,IF(R715&lt;($F$8-$E$8)/($G$8-$E$8),$E$8+SQRT(R715*($G$8-$E$8)*($F$8-$E$8)),$G$8-SQRT((1-R715)*($G$8-$E$8)*($G$8-$F$8))))</f>
        <v>1</v>
      </c>
      <c r="E715" s="37" t="n">
        <f aca="false">1+IF($G$9=$E$9,$F$9,IF(S715&lt;($F$9-$E$9)/($G$9-$E$9),$E$9+SQRT(S715*($G$9-$E$9)*($F$9-$E$9)),$G$9-SQRT((1-S715)*($G$9-$E$9)*($G$9-$F$9))))</f>
        <v>1</v>
      </c>
      <c r="F715" s="37" t="n">
        <f aca="false">1+IF($G$10=$E$10,$F$10,IF(T715&lt;($F$10-$E$10)/($G$10-$E$10),$E$10+SQRT(T715*($G$10-$E$10)*($F$10-$E$10)),$G$10-SQRT((1-T715)*($G$10-$E$10)*($G$10-$F$10))))</f>
        <v>1</v>
      </c>
      <c r="G715" s="38" t="n">
        <f aca="false">IF($G$11=$E$11,$F$11,IF(U715&lt;($F$11-$E$11)/($G$11-$E$11),$E$11+SQRT(U715*($G$11-$E$11)*($F$11-$E$11)),$G$11-SQRT((1-U715)*($G$11-$E$11)*($G$11-$F$11))))</f>
        <v>0</v>
      </c>
      <c r="H715" s="39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0</v>
      </c>
      <c r="I715" s="39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0</v>
      </c>
      <c r="J715" s="39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0</v>
      </c>
      <c r="K715" s="39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0</v>
      </c>
      <c r="L715" s="39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0</v>
      </c>
      <c r="M715" s="39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0</v>
      </c>
      <c r="N715" s="39" t="str">
        <f aca="false">IF(COUNT('Business Case'!B11:G11)=0,"",H715+NPV(G715,I715:M715))</f>
        <v/>
      </c>
      <c r="P715" s="40" t="n">
        <f aca="true">RAND()</f>
        <v>0.396612718763794</v>
      </c>
      <c r="Q715" s="40" t="n">
        <f aca="true">RAND()</f>
        <v>0.82833374473663</v>
      </c>
      <c r="R715" s="40" t="n">
        <f aca="true">RAND()</f>
        <v>0.135310122192139</v>
      </c>
      <c r="S715" s="40" t="n">
        <f aca="true">RAND()</f>
        <v>0.532430136327455</v>
      </c>
      <c r="T715" s="40" t="n">
        <f aca="true">RAND()</f>
        <v>0.743325260815678</v>
      </c>
      <c r="U715" s="40" t="n">
        <f aca="true">RAND()</f>
        <v>0.238811707932534</v>
      </c>
    </row>
    <row r="716" customFormat="false" ht="15" hidden="false" customHeight="false" outlineLevel="0" collapsed="false">
      <c r="A716" s="36" t="n">
        <v>636</v>
      </c>
      <c r="B716" s="37" t="n">
        <f aca="false">1+IF($G$6=$E$6,$F$6,IF(P716&lt;($F$6-$E$6)/($G$6-$E$6),$E$6+SQRT(P716*($G$6-$E$6)*($F$6-$E$6)),$G$6-SQRT((1-P716)*($G$6-$E$6)*($G$6-$F$6))))</f>
        <v>1</v>
      </c>
      <c r="C716" s="37" t="n">
        <f aca="false">1+IF($G$7=$E$7,$F$7,IF(Q716&lt;($F$7-$E$7)/($G$7-$E$7),$E$7+SQRT(Q716*($G$7-$E$7)*($F$7-$E$7)),$G$7-SQRT((1-Q716)*($G$7-$E$7)*($G$7-$F$7))))</f>
        <v>1</v>
      </c>
      <c r="D716" s="37" t="n">
        <f aca="false">1+IF($G$8=$E$8,$F$8,IF(R716&lt;($F$8-$E$8)/($G$8-$E$8),$E$8+SQRT(R716*($G$8-$E$8)*($F$8-$E$8)),$G$8-SQRT((1-R716)*($G$8-$E$8)*($G$8-$F$8))))</f>
        <v>1</v>
      </c>
      <c r="E716" s="37" t="n">
        <f aca="false">1+IF($G$9=$E$9,$F$9,IF(S716&lt;($F$9-$E$9)/($G$9-$E$9),$E$9+SQRT(S716*($G$9-$E$9)*($F$9-$E$9)),$G$9-SQRT((1-S716)*($G$9-$E$9)*($G$9-$F$9))))</f>
        <v>1</v>
      </c>
      <c r="F716" s="37" t="n">
        <f aca="false">1+IF($G$10=$E$10,$F$10,IF(T716&lt;($F$10-$E$10)/($G$10-$E$10),$E$10+SQRT(T716*($G$10-$E$10)*($F$10-$E$10)),$G$10-SQRT((1-T716)*($G$10-$E$10)*($G$10-$F$10))))</f>
        <v>1</v>
      </c>
      <c r="G716" s="38" t="n">
        <f aca="false">IF($G$11=$E$11,$F$11,IF(U716&lt;($F$11-$E$11)/($G$11-$E$11),$E$11+SQRT(U716*($G$11-$E$11)*($F$11-$E$11)),$G$11-SQRT((1-U716)*($G$11-$E$11)*($G$11-$F$11))))</f>
        <v>0</v>
      </c>
      <c r="H716" s="39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0</v>
      </c>
      <c r="I716" s="39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0</v>
      </c>
      <c r="J716" s="39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0</v>
      </c>
      <c r="K716" s="39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0</v>
      </c>
      <c r="L716" s="39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0</v>
      </c>
      <c r="M716" s="39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0</v>
      </c>
      <c r="N716" s="39" t="str">
        <f aca="false">IF(COUNT('Business Case'!B11:G11)=0,"",H716+NPV(G716,I716:M716))</f>
        <v/>
      </c>
      <c r="P716" s="40" t="n">
        <f aca="true">RAND()</f>
        <v>0.187747227705154</v>
      </c>
      <c r="Q716" s="40" t="n">
        <f aca="true">RAND()</f>
        <v>0.0430732645480186</v>
      </c>
      <c r="R716" s="40" t="n">
        <f aca="true">RAND()</f>
        <v>0.207701252919713</v>
      </c>
      <c r="S716" s="40" t="n">
        <f aca="true">RAND()</f>
        <v>0.190212421459785</v>
      </c>
      <c r="T716" s="40" t="n">
        <f aca="true">RAND()</f>
        <v>0.371710232865665</v>
      </c>
      <c r="U716" s="40" t="n">
        <f aca="true">RAND()</f>
        <v>0.00202798237858831</v>
      </c>
    </row>
    <row r="717" customFormat="false" ht="15" hidden="false" customHeight="false" outlineLevel="0" collapsed="false">
      <c r="A717" s="36" t="n">
        <v>637</v>
      </c>
      <c r="B717" s="37" t="n">
        <f aca="false">1+IF($G$6=$E$6,$F$6,IF(P717&lt;($F$6-$E$6)/($G$6-$E$6),$E$6+SQRT(P717*($G$6-$E$6)*($F$6-$E$6)),$G$6-SQRT((1-P717)*($G$6-$E$6)*($G$6-$F$6))))</f>
        <v>1</v>
      </c>
      <c r="C717" s="37" t="n">
        <f aca="false">1+IF($G$7=$E$7,$F$7,IF(Q717&lt;($F$7-$E$7)/($G$7-$E$7),$E$7+SQRT(Q717*($G$7-$E$7)*($F$7-$E$7)),$G$7-SQRT((1-Q717)*($G$7-$E$7)*($G$7-$F$7))))</f>
        <v>1</v>
      </c>
      <c r="D717" s="37" t="n">
        <f aca="false">1+IF($G$8=$E$8,$F$8,IF(R717&lt;($F$8-$E$8)/($G$8-$E$8),$E$8+SQRT(R717*($G$8-$E$8)*($F$8-$E$8)),$G$8-SQRT((1-R717)*($G$8-$E$8)*($G$8-$F$8))))</f>
        <v>1</v>
      </c>
      <c r="E717" s="37" t="n">
        <f aca="false">1+IF($G$9=$E$9,$F$9,IF(S717&lt;($F$9-$E$9)/($G$9-$E$9),$E$9+SQRT(S717*($G$9-$E$9)*($F$9-$E$9)),$G$9-SQRT((1-S717)*($G$9-$E$9)*($G$9-$F$9))))</f>
        <v>1</v>
      </c>
      <c r="F717" s="37" t="n">
        <f aca="false">1+IF($G$10=$E$10,$F$10,IF(T717&lt;($F$10-$E$10)/($G$10-$E$10),$E$10+SQRT(T717*($G$10-$E$10)*($F$10-$E$10)),$G$10-SQRT((1-T717)*($G$10-$E$10)*($G$10-$F$10))))</f>
        <v>1</v>
      </c>
      <c r="G717" s="38" t="n">
        <f aca="false">IF($G$11=$E$11,$F$11,IF(U717&lt;($F$11-$E$11)/($G$11-$E$11),$E$11+SQRT(U717*($G$11-$E$11)*($F$11-$E$11)),$G$11-SQRT((1-U717)*($G$11-$E$11)*($G$11-$F$11))))</f>
        <v>0</v>
      </c>
      <c r="H717" s="39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0</v>
      </c>
      <c r="I717" s="39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0</v>
      </c>
      <c r="J717" s="39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0</v>
      </c>
      <c r="K717" s="39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0</v>
      </c>
      <c r="L717" s="39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0</v>
      </c>
      <c r="M717" s="39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0</v>
      </c>
      <c r="N717" s="39" t="str">
        <f aca="false">IF(COUNT('Business Case'!B11:G11)=0,"",H717+NPV(G717,I717:M717))</f>
        <v/>
      </c>
      <c r="P717" s="40" t="n">
        <f aca="true">RAND()</f>
        <v>0.829308005278113</v>
      </c>
      <c r="Q717" s="40" t="n">
        <f aca="true">RAND()</f>
        <v>0.742101096132144</v>
      </c>
      <c r="R717" s="40" t="n">
        <f aca="true">RAND()</f>
        <v>0.720883454299749</v>
      </c>
      <c r="S717" s="40" t="n">
        <f aca="true">RAND()</f>
        <v>0.635506780136106</v>
      </c>
      <c r="T717" s="40" t="n">
        <f aca="true">RAND()</f>
        <v>0.327561069527692</v>
      </c>
      <c r="U717" s="40" t="n">
        <f aca="true">RAND()</f>
        <v>0.175232970379491</v>
      </c>
    </row>
    <row r="718" customFormat="false" ht="15" hidden="false" customHeight="false" outlineLevel="0" collapsed="false">
      <c r="A718" s="36" t="n">
        <v>638</v>
      </c>
      <c r="B718" s="37" t="n">
        <f aca="false">1+IF($G$6=$E$6,$F$6,IF(P718&lt;($F$6-$E$6)/($G$6-$E$6),$E$6+SQRT(P718*($G$6-$E$6)*($F$6-$E$6)),$G$6-SQRT((1-P718)*($G$6-$E$6)*($G$6-$F$6))))</f>
        <v>1</v>
      </c>
      <c r="C718" s="37" t="n">
        <f aca="false">1+IF($G$7=$E$7,$F$7,IF(Q718&lt;($F$7-$E$7)/($G$7-$E$7),$E$7+SQRT(Q718*($G$7-$E$7)*($F$7-$E$7)),$G$7-SQRT((1-Q718)*($G$7-$E$7)*($G$7-$F$7))))</f>
        <v>1</v>
      </c>
      <c r="D718" s="37" t="n">
        <f aca="false">1+IF($G$8=$E$8,$F$8,IF(R718&lt;($F$8-$E$8)/($G$8-$E$8),$E$8+SQRT(R718*($G$8-$E$8)*($F$8-$E$8)),$G$8-SQRT((1-R718)*($G$8-$E$8)*($G$8-$F$8))))</f>
        <v>1</v>
      </c>
      <c r="E718" s="37" t="n">
        <f aca="false">1+IF($G$9=$E$9,$F$9,IF(S718&lt;($F$9-$E$9)/($G$9-$E$9),$E$9+SQRT(S718*($G$9-$E$9)*($F$9-$E$9)),$G$9-SQRT((1-S718)*($G$9-$E$9)*($G$9-$F$9))))</f>
        <v>1</v>
      </c>
      <c r="F718" s="37" t="n">
        <f aca="false">1+IF($G$10=$E$10,$F$10,IF(T718&lt;($F$10-$E$10)/($G$10-$E$10),$E$10+SQRT(T718*($G$10-$E$10)*($F$10-$E$10)),$G$10-SQRT((1-T718)*($G$10-$E$10)*($G$10-$F$10))))</f>
        <v>1</v>
      </c>
      <c r="G718" s="38" t="n">
        <f aca="false">IF($G$11=$E$11,$F$11,IF(U718&lt;($F$11-$E$11)/($G$11-$E$11),$E$11+SQRT(U718*($G$11-$E$11)*($F$11-$E$11)),$G$11-SQRT((1-U718)*($G$11-$E$11)*($G$11-$F$11))))</f>
        <v>0</v>
      </c>
      <c r="H718" s="39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0</v>
      </c>
      <c r="I718" s="39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0</v>
      </c>
      <c r="J718" s="39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0</v>
      </c>
      <c r="K718" s="39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0</v>
      </c>
      <c r="L718" s="39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0</v>
      </c>
      <c r="M718" s="39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0</v>
      </c>
      <c r="N718" s="39" t="str">
        <f aca="false">IF(COUNT('Business Case'!B11:G11)=0,"",H718+NPV(G718,I718:M718))</f>
        <v/>
      </c>
      <c r="P718" s="40" t="n">
        <f aca="true">RAND()</f>
        <v>0.106462954520075</v>
      </c>
      <c r="Q718" s="40" t="n">
        <f aca="true">RAND()</f>
        <v>0.95396104135779</v>
      </c>
      <c r="R718" s="40" t="n">
        <f aca="true">RAND()</f>
        <v>0.977440164232403</v>
      </c>
      <c r="S718" s="40" t="n">
        <f aca="true">RAND()</f>
        <v>0.876778268510027</v>
      </c>
      <c r="T718" s="40" t="n">
        <f aca="true">RAND()</f>
        <v>0.545381026264684</v>
      </c>
      <c r="U718" s="40" t="n">
        <f aca="true">RAND()</f>
        <v>0.48878620407278</v>
      </c>
    </row>
    <row r="719" customFormat="false" ht="15" hidden="false" customHeight="false" outlineLevel="0" collapsed="false">
      <c r="A719" s="36" t="n">
        <v>639</v>
      </c>
      <c r="B719" s="37" t="n">
        <f aca="false">1+IF($G$6=$E$6,$F$6,IF(P719&lt;($F$6-$E$6)/($G$6-$E$6),$E$6+SQRT(P719*($G$6-$E$6)*($F$6-$E$6)),$G$6-SQRT((1-P719)*($G$6-$E$6)*($G$6-$F$6))))</f>
        <v>1</v>
      </c>
      <c r="C719" s="37" t="n">
        <f aca="false">1+IF($G$7=$E$7,$F$7,IF(Q719&lt;($F$7-$E$7)/($G$7-$E$7),$E$7+SQRT(Q719*($G$7-$E$7)*($F$7-$E$7)),$G$7-SQRT((1-Q719)*($G$7-$E$7)*($G$7-$F$7))))</f>
        <v>1</v>
      </c>
      <c r="D719" s="37" t="n">
        <f aca="false">1+IF($G$8=$E$8,$F$8,IF(R719&lt;($F$8-$E$8)/($G$8-$E$8),$E$8+SQRT(R719*($G$8-$E$8)*($F$8-$E$8)),$G$8-SQRT((1-R719)*($G$8-$E$8)*($G$8-$F$8))))</f>
        <v>1</v>
      </c>
      <c r="E719" s="37" t="n">
        <f aca="false">1+IF($G$9=$E$9,$F$9,IF(S719&lt;($F$9-$E$9)/($G$9-$E$9),$E$9+SQRT(S719*($G$9-$E$9)*($F$9-$E$9)),$G$9-SQRT((1-S719)*($G$9-$E$9)*($G$9-$F$9))))</f>
        <v>1</v>
      </c>
      <c r="F719" s="37" t="n">
        <f aca="false">1+IF($G$10=$E$10,$F$10,IF(T719&lt;($F$10-$E$10)/($G$10-$E$10),$E$10+SQRT(T719*($G$10-$E$10)*($F$10-$E$10)),$G$10-SQRT((1-T719)*($G$10-$E$10)*($G$10-$F$10))))</f>
        <v>1</v>
      </c>
      <c r="G719" s="38" t="n">
        <f aca="false">IF($G$11=$E$11,$F$11,IF(U719&lt;($F$11-$E$11)/($G$11-$E$11),$E$11+SQRT(U719*($G$11-$E$11)*($F$11-$E$11)),$G$11-SQRT((1-U719)*($G$11-$E$11)*($G$11-$F$11))))</f>
        <v>0</v>
      </c>
      <c r="H719" s="39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0</v>
      </c>
      <c r="I719" s="39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0</v>
      </c>
      <c r="J719" s="39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0</v>
      </c>
      <c r="K719" s="39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0</v>
      </c>
      <c r="L719" s="39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0</v>
      </c>
      <c r="M719" s="39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0</v>
      </c>
      <c r="N719" s="39" t="str">
        <f aca="false">IF(COUNT('Business Case'!B11:G11)=0,"",H719+NPV(G719,I719:M719))</f>
        <v/>
      </c>
      <c r="P719" s="40" t="n">
        <f aca="true">RAND()</f>
        <v>0.0873266190691778</v>
      </c>
      <c r="Q719" s="40" t="n">
        <f aca="true">RAND()</f>
        <v>0.596844069805234</v>
      </c>
      <c r="R719" s="40" t="n">
        <f aca="true">RAND()</f>
        <v>0.473671095159239</v>
      </c>
      <c r="S719" s="40" t="n">
        <f aca="true">RAND()</f>
        <v>0.33675530183167</v>
      </c>
      <c r="T719" s="40" t="n">
        <f aca="true">RAND()</f>
        <v>0.995488444084434</v>
      </c>
      <c r="U719" s="40" t="n">
        <f aca="true">RAND()</f>
        <v>0.470354827352295</v>
      </c>
    </row>
    <row r="720" customFormat="false" ht="15" hidden="false" customHeight="false" outlineLevel="0" collapsed="false">
      <c r="A720" s="36" t="n">
        <v>640</v>
      </c>
      <c r="B720" s="37" t="n">
        <f aca="false">1+IF($G$6=$E$6,$F$6,IF(P720&lt;($F$6-$E$6)/($G$6-$E$6),$E$6+SQRT(P720*($G$6-$E$6)*($F$6-$E$6)),$G$6-SQRT((1-P720)*($G$6-$E$6)*($G$6-$F$6))))</f>
        <v>1</v>
      </c>
      <c r="C720" s="37" t="n">
        <f aca="false">1+IF($G$7=$E$7,$F$7,IF(Q720&lt;($F$7-$E$7)/($G$7-$E$7),$E$7+SQRT(Q720*($G$7-$E$7)*($F$7-$E$7)),$G$7-SQRT((1-Q720)*($G$7-$E$7)*($G$7-$F$7))))</f>
        <v>1</v>
      </c>
      <c r="D720" s="37" t="n">
        <f aca="false">1+IF($G$8=$E$8,$F$8,IF(R720&lt;($F$8-$E$8)/($G$8-$E$8),$E$8+SQRT(R720*($G$8-$E$8)*($F$8-$E$8)),$G$8-SQRT((1-R720)*($G$8-$E$8)*($G$8-$F$8))))</f>
        <v>1</v>
      </c>
      <c r="E720" s="37" t="n">
        <f aca="false">1+IF($G$9=$E$9,$F$9,IF(S720&lt;($F$9-$E$9)/($G$9-$E$9),$E$9+SQRT(S720*($G$9-$E$9)*($F$9-$E$9)),$G$9-SQRT((1-S720)*($G$9-$E$9)*($G$9-$F$9))))</f>
        <v>1</v>
      </c>
      <c r="F720" s="37" t="n">
        <f aca="false">1+IF($G$10=$E$10,$F$10,IF(T720&lt;($F$10-$E$10)/($G$10-$E$10),$E$10+SQRT(T720*($G$10-$E$10)*($F$10-$E$10)),$G$10-SQRT((1-T720)*($G$10-$E$10)*($G$10-$F$10))))</f>
        <v>1</v>
      </c>
      <c r="G720" s="38" t="n">
        <f aca="false">IF($G$11=$E$11,$F$11,IF(U720&lt;($F$11-$E$11)/($G$11-$E$11),$E$11+SQRT(U720*($G$11-$E$11)*($F$11-$E$11)),$G$11-SQRT((1-U720)*($G$11-$E$11)*($G$11-$F$11))))</f>
        <v>0</v>
      </c>
      <c r="H720" s="39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0</v>
      </c>
      <c r="I720" s="39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0</v>
      </c>
      <c r="J720" s="39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0</v>
      </c>
      <c r="K720" s="39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0</v>
      </c>
      <c r="L720" s="39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0</v>
      </c>
      <c r="M720" s="39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0</v>
      </c>
      <c r="N720" s="39" t="str">
        <f aca="false">IF(COUNT('Business Case'!B11:G11)=0,"",H720+NPV(G720,I720:M720))</f>
        <v/>
      </c>
      <c r="P720" s="40" t="n">
        <f aca="true">RAND()</f>
        <v>0.360065516894721</v>
      </c>
      <c r="Q720" s="40" t="n">
        <f aca="true">RAND()</f>
        <v>0.122093453136994</v>
      </c>
      <c r="R720" s="40" t="n">
        <f aca="true">RAND()</f>
        <v>0.543360018867388</v>
      </c>
      <c r="S720" s="40" t="n">
        <f aca="true">RAND()</f>
        <v>0.50524295143016</v>
      </c>
      <c r="T720" s="40" t="n">
        <f aca="true">RAND()</f>
        <v>0.844761627189868</v>
      </c>
      <c r="U720" s="40" t="n">
        <f aca="true">RAND()</f>
        <v>0.180747385094223</v>
      </c>
    </row>
    <row r="721" customFormat="false" ht="15" hidden="false" customHeight="false" outlineLevel="0" collapsed="false">
      <c r="A721" s="36" t="n">
        <v>641</v>
      </c>
      <c r="B721" s="37" t="n">
        <f aca="false">1+IF($G$6=$E$6,$F$6,IF(P721&lt;($F$6-$E$6)/($G$6-$E$6),$E$6+SQRT(P721*($G$6-$E$6)*($F$6-$E$6)),$G$6-SQRT((1-P721)*($G$6-$E$6)*($G$6-$F$6))))</f>
        <v>1</v>
      </c>
      <c r="C721" s="37" t="n">
        <f aca="false">1+IF($G$7=$E$7,$F$7,IF(Q721&lt;($F$7-$E$7)/($G$7-$E$7),$E$7+SQRT(Q721*($G$7-$E$7)*($F$7-$E$7)),$G$7-SQRT((1-Q721)*($G$7-$E$7)*($G$7-$F$7))))</f>
        <v>1</v>
      </c>
      <c r="D721" s="37" t="n">
        <f aca="false">1+IF($G$8=$E$8,$F$8,IF(R721&lt;($F$8-$E$8)/($G$8-$E$8),$E$8+SQRT(R721*($G$8-$E$8)*($F$8-$E$8)),$G$8-SQRT((1-R721)*($G$8-$E$8)*($G$8-$F$8))))</f>
        <v>1</v>
      </c>
      <c r="E721" s="37" t="n">
        <f aca="false">1+IF($G$9=$E$9,$F$9,IF(S721&lt;($F$9-$E$9)/($G$9-$E$9),$E$9+SQRT(S721*($G$9-$E$9)*($F$9-$E$9)),$G$9-SQRT((1-S721)*($G$9-$E$9)*($G$9-$F$9))))</f>
        <v>1</v>
      </c>
      <c r="F721" s="37" t="n">
        <f aca="false">1+IF($G$10=$E$10,$F$10,IF(T721&lt;($F$10-$E$10)/($G$10-$E$10),$E$10+SQRT(T721*($G$10-$E$10)*($F$10-$E$10)),$G$10-SQRT((1-T721)*($G$10-$E$10)*($G$10-$F$10))))</f>
        <v>1</v>
      </c>
      <c r="G721" s="38" t="n">
        <f aca="false">IF($G$11=$E$11,$F$11,IF(U721&lt;($F$11-$E$11)/($G$11-$E$11),$E$11+SQRT(U721*($G$11-$E$11)*($F$11-$E$11)),$G$11-SQRT((1-U721)*($G$11-$E$11)*($G$11-$F$11))))</f>
        <v>0</v>
      </c>
      <c r="H721" s="39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0</v>
      </c>
      <c r="I721" s="39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0</v>
      </c>
      <c r="J721" s="39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0</v>
      </c>
      <c r="K721" s="39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0</v>
      </c>
      <c r="L721" s="39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0</v>
      </c>
      <c r="M721" s="39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0</v>
      </c>
      <c r="N721" s="39" t="str">
        <f aca="false">IF(COUNT('Business Case'!B11:G11)=0,"",H721+NPV(G721,I721:M721))</f>
        <v/>
      </c>
      <c r="P721" s="40" t="n">
        <f aca="true">RAND()</f>
        <v>0.263227680358363</v>
      </c>
      <c r="Q721" s="40" t="n">
        <f aca="true">RAND()</f>
        <v>0.678911663601068</v>
      </c>
      <c r="R721" s="40" t="n">
        <f aca="true">RAND()</f>
        <v>0.17660817144749</v>
      </c>
      <c r="S721" s="40" t="n">
        <f aca="true">RAND()</f>
        <v>0.170576482168767</v>
      </c>
      <c r="T721" s="40" t="n">
        <f aca="true">RAND()</f>
        <v>0.755433941987693</v>
      </c>
      <c r="U721" s="40" t="n">
        <f aca="true">RAND()</f>
        <v>0.132642554028271</v>
      </c>
    </row>
    <row r="722" customFormat="false" ht="15" hidden="false" customHeight="false" outlineLevel="0" collapsed="false">
      <c r="A722" s="36" t="n">
        <v>642</v>
      </c>
      <c r="B722" s="37" t="n">
        <f aca="false">1+IF($G$6=$E$6,$F$6,IF(P722&lt;($F$6-$E$6)/($G$6-$E$6),$E$6+SQRT(P722*($G$6-$E$6)*($F$6-$E$6)),$G$6-SQRT((1-P722)*($G$6-$E$6)*($G$6-$F$6))))</f>
        <v>1</v>
      </c>
      <c r="C722" s="37" t="n">
        <f aca="false">1+IF($G$7=$E$7,$F$7,IF(Q722&lt;($F$7-$E$7)/($G$7-$E$7),$E$7+SQRT(Q722*($G$7-$E$7)*($F$7-$E$7)),$G$7-SQRT((1-Q722)*($G$7-$E$7)*($G$7-$F$7))))</f>
        <v>1</v>
      </c>
      <c r="D722" s="37" t="n">
        <f aca="false">1+IF($G$8=$E$8,$F$8,IF(R722&lt;($F$8-$E$8)/($G$8-$E$8),$E$8+SQRT(R722*($G$8-$E$8)*($F$8-$E$8)),$G$8-SQRT((1-R722)*($G$8-$E$8)*($G$8-$F$8))))</f>
        <v>1</v>
      </c>
      <c r="E722" s="37" t="n">
        <f aca="false">1+IF($G$9=$E$9,$F$9,IF(S722&lt;($F$9-$E$9)/($G$9-$E$9),$E$9+SQRT(S722*($G$9-$E$9)*($F$9-$E$9)),$G$9-SQRT((1-S722)*($G$9-$E$9)*($G$9-$F$9))))</f>
        <v>1</v>
      </c>
      <c r="F722" s="37" t="n">
        <f aca="false">1+IF($G$10=$E$10,$F$10,IF(T722&lt;($F$10-$E$10)/($G$10-$E$10),$E$10+SQRT(T722*($G$10-$E$10)*($F$10-$E$10)),$G$10-SQRT((1-T722)*($G$10-$E$10)*($G$10-$F$10))))</f>
        <v>1</v>
      </c>
      <c r="G722" s="38" t="n">
        <f aca="false">IF($G$11=$E$11,$F$11,IF(U722&lt;($F$11-$E$11)/($G$11-$E$11),$E$11+SQRT(U722*($G$11-$E$11)*($F$11-$E$11)),$G$11-SQRT((1-U722)*($G$11-$E$11)*($G$11-$F$11))))</f>
        <v>0</v>
      </c>
      <c r="H722" s="39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0</v>
      </c>
      <c r="I722" s="39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0</v>
      </c>
      <c r="J722" s="39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0</v>
      </c>
      <c r="K722" s="39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0</v>
      </c>
      <c r="L722" s="39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0</v>
      </c>
      <c r="M722" s="39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0</v>
      </c>
      <c r="N722" s="39" t="str">
        <f aca="false">IF(COUNT('Business Case'!B11:G11)=0,"",H722+NPV(G722,I722:M722))</f>
        <v/>
      </c>
      <c r="P722" s="40" t="n">
        <f aca="true">RAND()</f>
        <v>0.36423598903771</v>
      </c>
      <c r="Q722" s="40" t="n">
        <f aca="true">RAND()</f>
        <v>0.770883654501815</v>
      </c>
      <c r="R722" s="40" t="n">
        <f aca="true">RAND()</f>
        <v>0.153193528849307</v>
      </c>
      <c r="S722" s="40" t="n">
        <f aca="true">RAND()</f>
        <v>0.91937247759428</v>
      </c>
      <c r="T722" s="40" t="n">
        <f aca="true">RAND()</f>
        <v>0.0760418026864968</v>
      </c>
      <c r="U722" s="40" t="n">
        <f aca="true">RAND()</f>
        <v>0.867083282648749</v>
      </c>
    </row>
    <row r="723" customFormat="false" ht="15" hidden="false" customHeight="false" outlineLevel="0" collapsed="false">
      <c r="A723" s="36" t="n">
        <v>643</v>
      </c>
      <c r="B723" s="37" t="n">
        <f aca="false">1+IF($G$6=$E$6,$F$6,IF(P723&lt;($F$6-$E$6)/($G$6-$E$6),$E$6+SQRT(P723*($G$6-$E$6)*($F$6-$E$6)),$G$6-SQRT((1-P723)*($G$6-$E$6)*($G$6-$F$6))))</f>
        <v>1</v>
      </c>
      <c r="C723" s="37" t="n">
        <f aca="false">1+IF($G$7=$E$7,$F$7,IF(Q723&lt;($F$7-$E$7)/($G$7-$E$7),$E$7+SQRT(Q723*($G$7-$E$7)*($F$7-$E$7)),$G$7-SQRT((1-Q723)*($G$7-$E$7)*($G$7-$F$7))))</f>
        <v>1</v>
      </c>
      <c r="D723" s="37" t="n">
        <f aca="false">1+IF($G$8=$E$8,$F$8,IF(R723&lt;($F$8-$E$8)/($G$8-$E$8),$E$8+SQRT(R723*($G$8-$E$8)*($F$8-$E$8)),$G$8-SQRT((1-R723)*($G$8-$E$8)*($G$8-$F$8))))</f>
        <v>1</v>
      </c>
      <c r="E723" s="37" t="n">
        <f aca="false">1+IF($G$9=$E$9,$F$9,IF(S723&lt;($F$9-$E$9)/($G$9-$E$9),$E$9+SQRT(S723*($G$9-$E$9)*($F$9-$E$9)),$G$9-SQRT((1-S723)*($G$9-$E$9)*($G$9-$F$9))))</f>
        <v>1</v>
      </c>
      <c r="F723" s="37" t="n">
        <f aca="false">1+IF($G$10=$E$10,$F$10,IF(T723&lt;($F$10-$E$10)/($G$10-$E$10),$E$10+SQRT(T723*($G$10-$E$10)*($F$10-$E$10)),$G$10-SQRT((1-T723)*($G$10-$E$10)*($G$10-$F$10))))</f>
        <v>1</v>
      </c>
      <c r="G723" s="38" t="n">
        <f aca="false">IF($G$11=$E$11,$F$11,IF(U723&lt;($F$11-$E$11)/($G$11-$E$11),$E$11+SQRT(U723*($G$11-$E$11)*($F$11-$E$11)),$G$11-SQRT((1-U723)*($G$11-$E$11)*($G$11-$F$11))))</f>
        <v>0</v>
      </c>
      <c r="H723" s="39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0</v>
      </c>
      <c r="I723" s="39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0</v>
      </c>
      <c r="J723" s="39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0</v>
      </c>
      <c r="K723" s="39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0</v>
      </c>
      <c r="L723" s="39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0</v>
      </c>
      <c r="M723" s="39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0</v>
      </c>
      <c r="N723" s="39" t="str">
        <f aca="false">IF(COUNT('Business Case'!B11:G11)=0,"",H723+NPV(G723,I723:M723))</f>
        <v/>
      </c>
      <c r="P723" s="40" t="n">
        <f aca="true">RAND()</f>
        <v>0.364679624775283</v>
      </c>
      <c r="Q723" s="40" t="n">
        <f aca="true">RAND()</f>
        <v>0.427465683002397</v>
      </c>
      <c r="R723" s="40" t="n">
        <f aca="true">RAND()</f>
        <v>0.217381094850273</v>
      </c>
      <c r="S723" s="40" t="n">
        <f aca="true">RAND()</f>
        <v>0.110805794494241</v>
      </c>
      <c r="T723" s="40" t="n">
        <f aca="true">RAND()</f>
        <v>0.701368752618319</v>
      </c>
      <c r="U723" s="40" t="n">
        <f aca="true">RAND()</f>
        <v>0.316935265011904</v>
      </c>
    </row>
    <row r="724" customFormat="false" ht="15" hidden="false" customHeight="false" outlineLevel="0" collapsed="false">
      <c r="A724" s="36" t="n">
        <v>644</v>
      </c>
      <c r="B724" s="37" t="n">
        <f aca="false">1+IF($G$6=$E$6,$F$6,IF(P724&lt;($F$6-$E$6)/($G$6-$E$6),$E$6+SQRT(P724*($G$6-$E$6)*($F$6-$E$6)),$G$6-SQRT((1-P724)*($G$6-$E$6)*($G$6-$F$6))))</f>
        <v>1</v>
      </c>
      <c r="C724" s="37" t="n">
        <f aca="false">1+IF($G$7=$E$7,$F$7,IF(Q724&lt;($F$7-$E$7)/($G$7-$E$7),$E$7+SQRT(Q724*($G$7-$E$7)*($F$7-$E$7)),$G$7-SQRT((1-Q724)*($G$7-$E$7)*($G$7-$F$7))))</f>
        <v>1</v>
      </c>
      <c r="D724" s="37" t="n">
        <f aca="false">1+IF($G$8=$E$8,$F$8,IF(R724&lt;($F$8-$E$8)/($G$8-$E$8),$E$8+SQRT(R724*($G$8-$E$8)*($F$8-$E$8)),$G$8-SQRT((1-R724)*($G$8-$E$8)*($G$8-$F$8))))</f>
        <v>1</v>
      </c>
      <c r="E724" s="37" t="n">
        <f aca="false">1+IF($G$9=$E$9,$F$9,IF(S724&lt;($F$9-$E$9)/($G$9-$E$9),$E$9+SQRT(S724*($G$9-$E$9)*($F$9-$E$9)),$G$9-SQRT((1-S724)*($G$9-$E$9)*($G$9-$F$9))))</f>
        <v>1</v>
      </c>
      <c r="F724" s="37" t="n">
        <f aca="false">1+IF($G$10=$E$10,$F$10,IF(T724&lt;($F$10-$E$10)/($G$10-$E$10),$E$10+SQRT(T724*($G$10-$E$10)*($F$10-$E$10)),$G$10-SQRT((1-T724)*($G$10-$E$10)*($G$10-$F$10))))</f>
        <v>1</v>
      </c>
      <c r="G724" s="38" t="n">
        <f aca="false">IF($G$11=$E$11,$F$11,IF(U724&lt;($F$11-$E$11)/($G$11-$E$11),$E$11+SQRT(U724*($G$11-$E$11)*($F$11-$E$11)),$G$11-SQRT((1-U724)*($G$11-$E$11)*($G$11-$F$11))))</f>
        <v>0</v>
      </c>
      <c r="H724" s="39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0</v>
      </c>
      <c r="I724" s="39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0</v>
      </c>
      <c r="J724" s="39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0</v>
      </c>
      <c r="K724" s="39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0</v>
      </c>
      <c r="L724" s="39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0</v>
      </c>
      <c r="M724" s="39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0</v>
      </c>
      <c r="N724" s="39" t="str">
        <f aca="false">IF(COUNT('Business Case'!B11:G11)=0,"",H724+NPV(G724,I724:M724))</f>
        <v/>
      </c>
      <c r="P724" s="40" t="n">
        <f aca="true">RAND()</f>
        <v>0.855477474736259</v>
      </c>
      <c r="Q724" s="40" t="n">
        <f aca="true">RAND()</f>
        <v>0.745539942772694</v>
      </c>
      <c r="R724" s="40" t="n">
        <f aca="true">RAND()</f>
        <v>0.992469689445953</v>
      </c>
      <c r="S724" s="40" t="n">
        <f aca="true">RAND()</f>
        <v>0.554070587152637</v>
      </c>
      <c r="T724" s="40" t="n">
        <f aca="true">RAND()</f>
        <v>0.80098011139816</v>
      </c>
      <c r="U724" s="40" t="n">
        <f aca="true">RAND()</f>
        <v>0.36423682681654</v>
      </c>
    </row>
    <row r="725" customFormat="false" ht="15" hidden="false" customHeight="false" outlineLevel="0" collapsed="false">
      <c r="A725" s="36" t="n">
        <v>645</v>
      </c>
      <c r="B725" s="37" t="n">
        <f aca="false">1+IF($G$6=$E$6,$F$6,IF(P725&lt;($F$6-$E$6)/($G$6-$E$6),$E$6+SQRT(P725*($G$6-$E$6)*($F$6-$E$6)),$G$6-SQRT((1-P725)*($G$6-$E$6)*($G$6-$F$6))))</f>
        <v>1</v>
      </c>
      <c r="C725" s="37" t="n">
        <f aca="false">1+IF($G$7=$E$7,$F$7,IF(Q725&lt;($F$7-$E$7)/($G$7-$E$7),$E$7+SQRT(Q725*($G$7-$E$7)*($F$7-$E$7)),$G$7-SQRT((1-Q725)*($G$7-$E$7)*($G$7-$F$7))))</f>
        <v>1</v>
      </c>
      <c r="D725" s="37" t="n">
        <f aca="false">1+IF($G$8=$E$8,$F$8,IF(R725&lt;($F$8-$E$8)/($G$8-$E$8),$E$8+SQRT(R725*($G$8-$E$8)*($F$8-$E$8)),$G$8-SQRT((1-R725)*($G$8-$E$8)*($G$8-$F$8))))</f>
        <v>1</v>
      </c>
      <c r="E725" s="37" t="n">
        <f aca="false">1+IF($G$9=$E$9,$F$9,IF(S725&lt;($F$9-$E$9)/($G$9-$E$9),$E$9+SQRT(S725*($G$9-$E$9)*($F$9-$E$9)),$G$9-SQRT((1-S725)*($G$9-$E$9)*($G$9-$F$9))))</f>
        <v>1</v>
      </c>
      <c r="F725" s="37" t="n">
        <f aca="false">1+IF($G$10=$E$10,$F$10,IF(T725&lt;($F$10-$E$10)/($G$10-$E$10),$E$10+SQRT(T725*($G$10-$E$10)*($F$10-$E$10)),$G$10-SQRT((1-T725)*($G$10-$E$10)*($G$10-$F$10))))</f>
        <v>1</v>
      </c>
      <c r="G725" s="38" t="n">
        <f aca="false">IF($G$11=$E$11,$F$11,IF(U725&lt;($F$11-$E$11)/($G$11-$E$11),$E$11+SQRT(U725*($G$11-$E$11)*($F$11-$E$11)),$G$11-SQRT((1-U725)*($G$11-$E$11)*($G$11-$F$11))))</f>
        <v>0</v>
      </c>
      <c r="H725" s="39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0</v>
      </c>
      <c r="I725" s="39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0</v>
      </c>
      <c r="J725" s="39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0</v>
      </c>
      <c r="K725" s="39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0</v>
      </c>
      <c r="L725" s="39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0</v>
      </c>
      <c r="M725" s="39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0</v>
      </c>
      <c r="N725" s="39" t="str">
        <f aca="false">IF(COUNT('Business Case'!B11:G11)=0,"",H725+NPV(G725,I725:M725))</f>
        <v/>
      </c>
      <c r="P725" s="40" t="n">
        <f aca="true">RAND()</f>
        <v>0.172819390397062</v>
      </c>
      <c r="Q725" s="40" t="n">
        <f aca="true">RAND()</f>
        <v>0.775056386768541</v>
      </c>
      <c r="R725" s="40" t="n">
        <f aca="true">RAND()</f>
        <v>0.28039617020584</v>
      </c>
      <c r="S725" s="40" t="n">
        <f aca="true">RAND()</f>
        <v>0.528336737513502</v>
      </c>
      <c r="T725" s="40" t="n">
        <f aca="true">RAND()</f>
        <v>0.740375561074479</v>
      </c>
      <c r="U725" s="40" t="n">
        <f aca="true">RAND()</f>
        <v>0.756621386182625</v>
      </c>
    </row>
    <row r="726" customFormat="false" ht="15" hidden="false" customHeight="false" outlineLevel="0" collapsed="false">
      <c r="A726" s="36" t="n">
        <v>646</v>
      </c>
      <c r="B726" s="37" t="n">
        <f aca="false">1+IF($G$6=$E$6,$F$6,IF(P726&lt;($F$6-$E$6)/($G$6-$E$6),$E$6+SQRT(P726*($G$6-$E$6)*($F$6-$E$6)),$G$6-SQRT((1-P726)*($G$6-$E$6)*($G$6-$F$6))))</f>
        <v>1</v>
      </c>
      <c r="C726" s="37" t="n">
        <f aca="false">1+IF($G$7=$E$7,$F$7,IF(Q726&lt;($F$7-$E$7)/($G$7-$E$7),$E$7+SQRT(Q726*($G$7-$E$7)*($F$7-$E$7)),$G$7-SQRT((1-Q726)*($G$7-$E$7)*($G$7-$F$7))))</f>
        <v>1</v>
      </c>
      <c r="D726" s="37" t="n">
        <f aca="false">1+IF($G$8=$E$8,$F$8,IF(R726&lt;($F$8-$E$8)/($G$8-$E$8),$E$8+SQRT(R726*($G$8-$E$8)*($F$8-$E$8)),$G$8-SQRT((1-R726)*($G$8-$E$8)*($G$8-$F$8))))</f>
        <v>1</v>
      </c>
      <c r="E726" s="37" t="n">
        <f aca="false">1+IF($G$9=$E$9,$F$9,IF(S726&lt;($F$9-$E$9)/($G$9-$E$9),$E$9+SQRT(S726*($G$9-$E$9)*($F$9-$E$9)),$G$9-SQRT((1-S726)*($G$9-$E$9)*($G$9-$F$9))))</f>
        <v>1</v>
      </c>
      <c r="F726" s="37" t="n">
        <f aca="false">1+IF($G$10=$E$10,$F$10,IF(T726&lt;($F$10-$E$10)/($G$10-$E$10),$E$10+SQRT(T726*($G$10-$E$10)*($F$10-$E$10)),$G$10-SQRT((1-T726)*($G$10-$E$10)*($G$10-$F$10))))</f>
        <v>1</v>
      </c>
      <c r="G726" s="38" t="n">
        <f aca="false">IF($G$11=$E$11,$F$11,IF(U726&lt;($F$11-$E$11)/($G$11-$E$11),$E$11+SQRT(U726*($G$11-$E$11)*($F$11-$E$11)),$G$11-SQRT((1-U726)*($G$11-$E$11)*($G$11-$F$11))))</f>
        <v>0</v>
      </c>
      <c r="H726" s="39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0</v>
      </c>
      <c r="I726" s="39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0</v>
      </c>
      <c r="J726" s="39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0</v>
      </c>
      <c r="K726" s="39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0</v>
      </c>
      <c r="L726" s="39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0</v>
      </c>
      <c r="M726" s="39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0</v>
      </c>
      <c r="N726" s="39" t="str">
        <f aca="false">IF(COUNT('Business Case'!B11:G11)=0,"",H726+NPV(G726,I726:M726))</f>
        <v/>
      </c>
      <c r="P726" s="40" t="n">
        <f aca="true">RAND()</f>
        <v>0.943435523016651</v>
      </c>
      <c r="Q726" s="40" t="n">
        <f aca="true">RAND()</f>
        <v>0.960238849990521</v>
      </c>
      <c r="R726" s="40" t="n">
        <f aca="true">RAND()</f>
        <v>0.207640904225191</v>
      </c>
      <c r="S726" s="40" t="n">
        <f aca="true">RAND()</f>
        <v>0.699500143695593</v>
      </c>
      <c r="T726" s="40" t="n">
        <f aca="true">RAND()</f>
        <v>0.0032439647403714</v>
      </c>
      <c r="U726" s="40" t="n">
        <f aca="true">RAND()</f>
        <v>0.946680706719361</v>
      </c>
    </row>
    <row r="727" customFormat="false" ht="15" hidden="false" customHeight="false" outlineLevel="0" collapsed="false">
      <c r="A727" s="36" t="n">
        <v>647</v>
      </c>
      <c r="B727" s="37" t="n">
        <f aca="false">1+IF($G$6=$E$6,$F$6,IF(P727&lt;($F$6-$E$6)/($G$6-$E$6),$E$6+SQRT(P727*($G$6-$E$6)*($F$6-$E$6)),$G$6-SQRT((1-P727)*($G$6-$E$6)*($G$6-$F$6))))</f>
        <v>1</v>
      </c>
      <c r="C727" s="37" t="n">
        <f aca="false">1+IF($G$7=$E$7,$F$7,IF(Q727&lt;($F$7-$E$7)/($G$7-$E$7),$E$7+SQRT(Q727*($G$7-$E$7)*($F$7-$E$7)),$G$7-SQRT((1-Q727)*($G$7-$E$7)*($G$7-$F$7))))</f>
        <v>1</v>
      </c>
      <c r="D727" s="37" t="n">
        <f aca="false">1+IF($G$8=$E$8,$F$8,IF(R727&lt;($F$8-$E$8)/($G$8-$E$8),$E$8+SQRT(R727*($G$8-$E$8)*($F$8-$E$8)),$G$8-SQRT((1-R727)*($G$8-$E$8)*($G$8-$F$8))))</f>
        <v>1</v>
      </c>
      <c r="E727" s="37" t="n">
        <f aca="false">1+IF($G$9=$E$9,$F$9,IF(S727&lt;($F$9-$E$9)/($G$9-$E$9),$E$9+SQRT(S727*($G$9-$E$9)*($F$9-$E$9)),$G$9-SQRT((1-S727)*($G$9-$E$9)*($G$9-$F$9))))</f>
        <v>1</v>
      </c>
      <c r="F727" s="37" t="n">
        <f aca="false">1+IF($G$10=$E$10,$F$10,IF(T727&lt;($F$10-$E$10)/($G$10-$E$10),$E$10+SQRT(T727*($G$10-$E$10)*($F$10-$E$10)),$G$10-SQRT((1-T727)*($G$10-$E$10)*($G$10-$F$10))))</f>
        <v>1</v>
      </c>
      <c r="G727" s="38" t="n">
        <f aca="false">IF($G$11=$E$11,$F$11,IF(U727&lt;($F$11-$E$11)/($G$11-$E$11),$E$11+SQRT(U727*($G$11-$E$11)*($F$11-$E$11)),$G$11-SQRT((1-U727)*($G$11-$E$11)*($G$11-$F$11))))</f>
        <v>0</v>
      </c>
      <c r="H727" s="39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0</v>
      </c>
      <c r="I727" s="39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0</v>
      </c>
      <c r="J727" s="39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0</v>
      </c>
      <c r="K727" s="39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0</v>
      </c>
      <c r="L727" s="39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0</v>
      </c>
      <c r="M727" s="39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0</v>
      </c>
      <c r="N727" s="39" t="str">
        <f aca="false">IF(COUNT('Business Case'!B11:G11)=0,"",H727+NPV(G727,I727:M727))</f>
        <v/>
      </c>
      <c r="P727" s="40" t="n">
        <f aca="true">RAND()</f>
        <v>0.373241270607939</v>
      </c>
      <c r="Q727" s="40" t="n">
        <f aca="true">RAND()</f>
        <v>0.110081083117663</v>
      </c>
      <c r="R727" s="40" t="n">
        <f aca="true">RAND()</f>
        <v>0.157322876324875</v>
      </c>
      <c r="S727" s="40" t="n">
        <f aca="true">RAND()</f>
        <v>0.848951178623477</v>
      </c>
      <c r="T727" s="40" t="n">
        <f aca="true">RAND()</f>
        <v>0.562285613681821</v>
      </c>
      <c r="U727" s="40" t="n">
        <f aca="true">RAND()</f>
        <v>0.548104530134079</v>
      </c>
    </row>
    <row r="728" customFormat="false" ht="15" hidden="false" customHeight="false" outlineLevel="0" collapsed="false">
      <c r="A728" s="36" t="n">
        <v>648</v>
      </c>
      <c r="B728" s="37" t="n">
        <f aca="false">1+IF($G$6=$E$6,$F$6,IF(P728&lt;($F$6-$E$6)/($G$6-$E$6),$E$6+SQRT(P728*($G$6-$E$6)*($F$6-$E$6)),$G$6-SQRT((1-P728)*($G$6-$E$6)*($G$6-$F$6))))</f>
        <v>1</v>
      </c>
      <c r="C728" s="37" t="n">
        <f aca="false">1+IF($G$7=$E$7,$F$7,IF(Q728&lt;($F$7-$E$7)/($G$7-$E$7),$E$7+SQRT(Q728*($G$7-$E$7)*($F$7-$E$7)),$G$7-SQRT((1-Q728)*($G$7-$E$7)*($G$7-$F$7))))</f>
        <v>1</v>
      </c>
      <c r="D728" s="37" t="n">
        <f aca="false">1+IF($G$8=$E$8,$F$8,IF(R728&lt;($F$8-$E$8)/($G$8-$E$8),$E$8+SQRT(R728*($G$8-$E$8)*($F$8-$E$8)),$G$8-SQRT((1-R728)*($G$8-$E$8)*($G$8-$F$8))))</f>
        <v>1</v>
      </c>
      <c r="E728" s="37" t="n">
        <f aca="false">1+IF($G$9=$E$9,$F$9,IF(S728&lt;($F$9-$E$9)/($G$9-$E$9),$E$9+SQRT(S728*($G$9-$E$9)*($F$9-$E$9)),$G$9-SQRT((1-S728)*($G$9-$E$9)*($G$9-$F$9))))</f>
        <v>1</v>
      </c>
      <c r="F728" s="37" t="n">
        <f aca="false">1+IF($G$10=$E$10,$F$10,IF(T728&lt;($F$10-$E$10)/($G$10-$E$10),$E$10+SQRT(T728*($G$10-$E$10)*($F$10-$E$10)),$G$10-SQRT((1-T728)*($G$10-$E$10)*($G$10-$F$10))))</f>
        <v>1</v>
      </c>
      <c r="G728" s="38" t="n">
        <f aca="false">IF($G$11=$E$11,$F$11,IF(U728&lt;($F$11-$E$11)/($G$11-$E$11),$E$11+SQRT(U728*($G$11-$E$11)*($F$11-$E$11)),$G$11-SQRT((1-U728)*($G$11-$E$11)*($G$11-$F$11))))</f>
        <v>0</v>
      </c>
      <c r="H728" s="39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0</v>
      </c>
      <c r="I728" s="39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0</v>
      </c>
      <c r="J728" s="39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0</v>
      </c>
      <c r="K728" s="39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0</v>
      </c>
      <c r="L728" s="39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0</v>
      </c>
      <c r="M728" s="39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0</v>
      </c>
      <c r="N728" s="39" t="str">
        <f aca="false">IF(COUNT('Business Case'!B11:G11)=0,"",H728+NPV(G728,I728:M728))</f>
        <v/>
      </c>
      <c r="P728" s="40" t="n">
        <f aca="true">RAND()</f>
        <v>0.59668407642056</v>
      </c>
      <c r="Q728" s="40" t="n">
        <f aca="true">RAND()</f>
        <v>0.59501608483987</v>
      </c>
      <c r="R728" s="40" t="n">
        <f aca="true">RAND()</f>
        <v>0.563784536804618</v>
      </c>
      <c r="S728" s="40" t="n">
        <f aca="true">RAND()</f>
        <v>0.556401085070468</v>
      </c>
      <c r="T728" s="40" t="n">
        <f aca="true">RAND()</f>
        <v>0.258704508107867</v>
      </c>
      <c r="U728" s="40" t="n">
        <f aca="true">RAND()</f>
        <v>0.13311993012436</v>
      </c>
    </row>
    <row r="729" customFormat="false" ht="15" hidden="false" customHeight="false" outlineLevel="0" collapsed="false">
      <c r="A729" s="36" t="n">
        <v>649</v>
      </c>
      <c r="B729" s="37" t="n">
        <f aca="false">1+IF($G$6=$E$6,$F$6,IF(P729&lt;($F$6-$E$6)/($G$6-$E$6),$E$6+SQRT(P729*($G$6-$E$6)*($F$6-$E$6)),$G$6-SQRT((1-P729)*($G$6-$E$6)*($G$6-$F$6))))</f>
        <v>1</v>
      </c>
      <c r="C729" s="37" t="n">
        <f aca="false">1+IF($G$7=$E$7,$F$7,IF(Q729&lt;($F$7-$E$7)/($G$7-$E$7),$E$7+SQRT(Q729*($G$7-$E$7)*($F$7-$E$7)),$G$7-SQRT((1-Q729)*($G$7-$E$7)*($G$7-$F$7))))</f>
        <v>1</v>
      </c>
      <c r="D729" s="37" t="n">
        <f aca="false">1+IF($G$8=$E$8,$F$8,IF(R729&lt;($F$8-$E$8)/($G$8-$E$8),$E$8+SQRT(R729*($G$8-$E$8)*($F$8-$E$8)),$G$8-SQRT((1-R729)*($G$8-$E$8)*($G$8-$F$8))))</f>
        <v>1</v>
      </c>
      <c r="E729" s="37" t="n">
        <f aca="false">1+IF($G$9=$E$9,$F$9,IF(S729&lt;($F$9-$E$9)/($G$9-$E$9),$E$9+SQRT(S729*($G$9-$E$9)*($F$9-$E$9)),$G$9-SQRT((1-S729)*($G$9-$E$9)*($G$9-$F$9))))</f>
        <v>1</v>
      </c>
      <c r="F729" s="37" t="n">
        <f aca="false">1+IF($G$10=$E$10,$F$10,IF(T729&lt;($F$10-$E$10)/($G$10-$E$10),$E$10+SQRT(T729*($G$10-$E$10)*($F$10-$E$10)),$G$10-SQRT((1-T729)*($G$10-$E$10)*($G$10-$F$10))))</f>
        <v>1</v>
      </c>
      <c r="G729" s="38" t="n">
        <f aca="false">IF($G$11=$E$11,$F$11,IF(U729&lt;($F$11-$E$11)/($G$11-$E$11),$E$11+SQRT(U729*($G$11-$E$11)*($F$11-$E$11)),$G$11-SQRT((1-U729)*($G$11-$E$11)*($G$11-$F$11))))</f>
        <v>0</v>
      </c>
      <c r="H729" s="39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0</v>
      </c>
      <c r="I729" s="39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0</v>
      </c>
      <c r="J729" s="39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0</v>
      </c>
      <c r="K729" s="39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0</v>
      </c>
      <c r="L729" s="39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0</v>
      </c>
      <c r="M729" s="39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0</v>
      </c>
      <c r="N729" s="39" t="str">
        <f aca="false">IF(COUNT('Business Case'!B11:G11)=0,"",H729+NPV(G729,I729:M729))</f>
        <v/>
      </c>
      <c r="P729" s="40" t="n">
        <f aca="true">RAND()</f>
        <v>0.0164993636708036</v>
      </c>
      <c r="Q729" s="40" t="n">
        <f aca="true">RAND()</f>
        <v>0.308743397038692</v>
      </c>
      <c r="R729" s="40" t="n">
        <f aca="true">RAND()</f>
        <v>0.200185098066713</v>
      </c>
      <c r="S729" s="40" t="n">
        <f aca="true">RAND()</f>
        <v>0.0426795118132748</v>
      </c>
      <c r="T729" s="40" t="n">
        <f aca="true">RAND()</f>
        <v>0.655410035689266</v>
      </c>
      <c r="U729" s="40" t="n">
        <f aca="true">RAND()</f>
        <v>0.342590291154633</v>
      </c>
    </row>
    <row r="730" customFormat="false" ht="15" hidden="false" customHeight="false" outlineLevel="0" collapsed="false">
      <c r="A730" s="36" t="n">
        <v>650</v>
      </c>
      <c r="B730" s="37" t="n">
        <f aca="false">1+IF($G$6=$E$6,$F$6,IF(P730&lt;($F$6-$E$6)/($G$6-$E$6),$E$6+SQRT(P730*($G$6-$E$6)*($F$6-$E$6)),$G$6-SQRT((1-P730)*($G$6-$E$6)*($G$6-$F$6))))</f>
        <v>1</v>
      </c>
      <c r="C730" s="37" t="n">
        <f aca="false">1+IF($G$7=$E$7,$F$7,IF(Q730&lt;($F$7-$E$7)/($G$7-$E$7),$E$7+SQRT(Q730*($G$7-$E$7)*($F$7-$E$7)),$G$7-SQRT((1-Q730)*($G$7-$E$7)*($G$7-$F$7))))</f>
        <v>1</v>
      </c>
      <c r="D730" s="37" t="n">
        <f aca="false">1+IF($G$8=$E$8,$F$8,IF(R730&lt;($F$8-$E$8)/($G$8-$E$8),$E$8+SQRT(R730*($G$8-$E$8)*($F$8-$E$8)),$G$8-SQRT((1-R730)*($G$8-$E$8)*($G$8-$F$8))))</f>
        <v>1</v>
      </c>
      <c r="E730" s="37" t="n">
        <f aca="false">1+IF($G$9=$E$9,$F$9,IF(S730&lt;($F$9-$E$9)/($G$9-$E$9),$E$9+SQRT(S730*($G$9-$E$9)*($F$9-$E$9)),$G$9-SQRT((1-S730)*($G$9-$E$9)*($G$9-$F$9))))</f>
        <v>1</v>
      </c>
      <c r="F730" s="37" t="n">
        <f aca="false">1+IF($G$10=$E$10,$F$10,IF(T730&lt;($F$10-$E$10)/($G$10-$E$10),$E$10+SQRT(T730*($G$10-$E$10)*($F$10-$E$10)),$G$10-SQRT((1-T730)*($G$10-$E$10)*($G$10-$F$10))))</f>
        <v>1</v>
      </c>
      <c r="G730" s="38" t="n">
        <f aca="false">IF($G$11=$E$11,$F$11,IF(U730&lt;($F$11-$E$11)/($G$11-$E$11),$E$11+SQRT(U730*($G$11-$E$11)*($F$11-$E$11)),$G$11-SQRT((1-U730)*($G$11-$E$11)*($G$11-$F$11))))</f>
        <v>0</v>
      </c>
      <c r="H730" s="39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0</v>
      </c>
      <c r="I730" s="39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0</v>
      </c>
      <c r="J730" s="39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0</v>
      </c>
      <c r="K730" s="39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0</v>
      </c>
      <c r="L730" s="39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0</v>
      </c>
      <c r="M730" s="39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0</v>
      </c>
      <c r="N730" s="39" t="str">
        <f aca="false">IF(COUNT('Business Case'!B11:G11)=0,"",H730+NPV(G730,I730:M730))</f>
        <v/>
      </c>
      <c r="P730" s="40" t="n">
        <f aca="true">RAND()</f>
        <v>0.731351426797538</v>
      </c>
      <c r="Q730" s="40" t="n">
        <f aca="true">RAND()</f>
        <v>0.738181773755697</v>
      </c>
      <c r="R730" s="40" t="n">
        <f aca="true">RAND()</f>
        <v>0.0890346504158038</v>
      </c>
      <c r="S730" s="40" t="n">
        <f aca="true">RAND()</f>
        <v>0.449009912549729</v>
      </c>
      <c r="T730" s="40" t="n">
        <f aca="true">RAND()</f>
        <v>0.149306556077976</v>
      </c>
      <c r="U730" s="40" t="n">
        <f aca="true">RAND()</f>
        <v>0.220157730225291</v>
      </c>
    </row>
    <row r="731" customFormat="false" ht="15" hidden="false" customHeight="false" outlineLevel="0" collapsed="false">
      <c r="A731" s="36" t="n">
        <v>651</v>
      </c>
      <c r="B731" s="37" t="n">
        <f aca="false">1+IF($G$6=$E$6,$F$6,IF(P731&lt;($F$6-$E$6)/($G$6-$E$6),$E$6+SQRT(P731*($G$6-$E$6)*($F$6-$E$6)),$G$6-SQRT((1-P731)*($G$6-$E$6)*($G$6-$F$6))))</f>
        <v>1</v>
      </c>
      <c r="C731" s="37" t="n">
        <f aca="false">1+IF($G$7=$E$7,$F$7,IF(Q731&lt;($F$7-$E$7)/($G$7-$E$7),$E$7+SQRT(Q731*($G$7-$E$7)*($F$7-$E$7)),$G$7-SQRT((1-Q731)*($G$7-$E$7)*($G$7-$F$7))))</f>
        <v>1</v>
      </c>
      <c r="D731" s="37" t="n">
        <f aca="false">1+IF($G$8=$E$8,$F$8,IF(R731&lt;($F$8-$E$8)/($G$8-$E$8),$E$8+SQRT(R731*($G$8-$E$8)*($F$8-$E$8)),$G$8-SQRT((1-R731)*($G$8-$E$8)*($G$8-$F$8))))</f>
        <v>1</v>
      </c>
      <c r="E731" s="37" t="n">
        <f aca="false">1+IF($G$9=$E$9,$F$9,IF(S731&lt;($F$9-$E$9)/($G$9-$E$9),$E$9+SQRT(S731*($G$9-$E$9)*($F$9-$E$9)),$G$9-SQRT((1-S731)*($G$9-$E$9)*($G$9-$F$9))))</f>
        <v>1</v>
      </c>
      <c r="F731" s="37" t="n">
        <f aca="false">1+IF($G$10=$E$10,$F$10,IF(T731&lt;($F$10-$E$10)/($G$10-$E$10),$E$10+SQRT(T731*($G$10-$E$10)*($F$10-$E$10)),$G$10-SQRT((1-T731)*($G$10-$E$10)*($G$10-$F$10))))</f>
        <v>1</v>
      </c>
      <c r="G731" s="38" t="n">
        <f aca="false">IF($G$11=$E$11,$F$11,IF(U731&lt;($F$11-$E$11)/($G$11-$E$11),$E$11+SQRT(U731*($G$11-$E$11)*($F$11-$E$11)),$G$11-SQRT((1-U731)*($G$11-$E$11)*($G$11-$F$11))))</f>
        <v>0</v>
      </c>
      <c r="H731" s="39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0</v>
      </c>
      <c r="I731" s="39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0</v>
      </c>
      <c r="J731" s="39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0</v>
      </c>
      <c r="K731" s="39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0</v>
      </c>
      <c r="L731" s="39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0</v>
      </c>
      <c r="M731" s="39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0</v>
      </c>
      <c r="N731" s="39" t="str">
        <f aca="false">IF(COUNT('Business Case'!B11:G11)=0,"",H731+NPV(G731,I731:M731))</f>
        <v/>
      </c>
      <c r="P731" s="40" t="n">
        <f aca="true">RAND()</f>
        <v>0.975114195227219</v>
      </c>
      <c r="Q731" s="40" t="n">
        <f aca="true">RAND()</f>
        <v>0.200930636034244</v>
      </c>
      <c r="R731" s="40" t="n">
        <f aca="true">RAND()</f>
        <v>0.177636861990762</v>
      </c>
      <c r="S731" s="40" t="n">
        <f aca="true">RAND()</f>
        <v>0.250448406092149</v>
      </c>
      <c r="T731" s="40" t="n">
        <f aca="true">RAND()</f>
        <v>0.475199846494097</v>
      </c>
      <c r="U731" s="40" t="n">
        <f aca="true">RAND()</f>
        <v>0.56923059540634</v>
      </c>
    </row>
    <row r="732" customFormat="false" ht="15" hidden="false" customHeight="false" outlineLevel="0" collapsed="false">
      <c r="A732" s="36" t="n">
        <v>652</v>
      </c>
      <c r="B732" s="37" t="n">
        <f aca="false">1+IF($G$6=$E$6,$F$6,IF(P732&lt;($F$6-$E$6)/($G$6-$E$6),$E$6+SQRT(P732*($G$6-$E$6)*($F$6-$E$6)),$G$6-SQRT((1-P732)*($G$6-$E$6)*($G$6-$F$6))))</f>
        <v>1</v>
      </c>
      <c r="C732" s="37" t="n">
        <f aca="false">1+IF($G$7=$E$7,$F$7,IF(Q732&lt;($F$7-$E$7)/($G$7-$E$7),$E$7+SQRT(Q732*($G$7-$E$7)*($F$7-$E$7)),$G$7-SQRT((1-Q732)*($G$7-$E$7)*($G$7-$F$7))))</f>
        <v>1</v>
      </c>
      <c r="D732" s="37" t="n">
        <f aca="false">1+IF($G$8=$E$8,$F$8,IF(R732&lt;($F$8-$E$8)/($G$8-$E$8),$E$8+SQRT(R732*($G$8-$E$8)*($F$8-$E$8)),$G$8-SQRT((1-R732)*($G$8-$E$8)*($G$8-$F$8))))</f>
        <v>1</v>
      </c>
      <c r="E732" s="37" t="n">
        <f aca="false">1+IF($G$9=$E$9,$F$9,IF(S732&lt;($F$9-$E$9)/($G$9-$E$9),$E$9+SQRT(S732*($G$9-$E$9)*($F$9-$E$9)),$G$9-SQRT((1-S732)*($G$9-$E$9)*($G$9-$F$9))))</f>
        <v>1</v>
      </c>
      <c r="F732" s="37" t="n">
        <f aca="false">1+IF($G$10=$E$10,$F$10,IF(T732&lt;($F$10-$E$10)/($G$10-$E$10),$E$10+SQRT(T732*($G$10-$E$10)*($F$10-$E$10)),$G$10-SQRT((1-T732)*($G$10-$E$10)*($G$10-$F$10))))</f>
        <v>1</v>
      </c>
      <c r="G732" s="38" t="n">
        <f aca="false">IF($G$11=$E$11,$F$11,IF(U732&lt;($F$11-$E$11)/($G$11-$E$11),$E$11+SQRT(U732*($G$11-$E$11)*($F$11-$E$11)),$G$11-SQRT((1-U732)*($G$11-$E$11)*($G$11-$F$11))))</f>
        <v>0</v>
      </c>
      <c r="H732" s="39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0</v>
      </c>
      <c r="I732" s="39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0</v>
      </c>
      <c r="J732" s="39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0</v>
      </c>
      <c r="K732" s="39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0</v>
      </c>
      <c r="L732" s="39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0</v>
      </c>
      <c r="M732" s="39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0</v>
      </c>
      <c r="N732" s="39" t="str">
        <f aca="false">IF(COUNT('Business Case'!B11:G11)=0,"",H732+NPV(G732,I732:M732))</f>
        <v/>
      </c>
      <c r="P732" s="40" t="n">
        <f aca="true">RAND()</f>
        <v>0.852967078814733</v>
      </c>
      <c r="Q732" s="40" t="n">
        <f aca="true">RAND()</f>
        <v>0.874172877536022</v>
      </c>
      <c r="R732" s="40" t="n">
        <f aca="true">RAND()</f>
        <v>0.182673313939028</v>
      </c>
      <c r="S732" s="40" t="n">
        <f aca="true">RAND()</f>
        <v>0.734104995792562</v>
      </c>
      <c r="T732" s="40" t="n">
        <f aca="true">RAND()</f>
        <v>0.449284314165931</v>
      </c>
      <c r="U732" s="40" t="n">
        <f aca="true">RAND()</f>
        <v>0.676077805404032</v>
      </c>
    </row>
    <row r="733" customFormat="false" ht="15" hidden="false" customHeight="false" outlineLevel="0" collapsed="false">
      <c r="A733" s="36" t="n">
        <v>653</v>
      </c>
      <c r="B733" s="37" t="n">
        <f aca="false">1+IF($G$6=$E$6,$F$6,IF(P733&lt;($F$6-$E$6)/($G$6-$E$6),$E$6+SQRT(P733*($G$6-$E$6)*($F$6-$E$6)),$G$6-SQRT((1-P733)*($G$6-$E$6)*($G$6-$F$6))))</f>
        <v>1</v>
      </c>
      <c r="C733" s="37" t="n">
        <f aca="false">1+IF($G$7=$E$7,$F$7,IF(Q733&lt;($F$7-$E$7)/($G$7-$E$7),$E$7+SQRT(Q733*($G$7-$E$7)*($F$7-$E$7)),$G$7-SQRT((1-Q733)*($G$7-$E$7)*($G$7-$F$7))))</f>
        <v>1</v>
      </c>
      <c r="D733" s="37" t="n">
        <f aca="false">1+IF($G$8=$E$8,$F$8,IF(R733&lt;($F$8-$E$8)/($G$8-$E$8),$E$8+SQRT(R733*($G$8-$E$8)*($F$8-$E$8)),$G$8-SQRT((1-R733)*($G$8-$E$8)*($G$8-$F$8))))</f>
        <v>1</v>
      </c>
      <c r="E733" s="37" t="n">
        <f aca="false">1+IF($G$9=$E$9,$F$9,IF(S733&lt;($F$9-$E$9)/($G$9-$E$9),$E$9+SQRT(S733*($G$9-$E$9)*($F$9-$E$9)),$G$9-SQRT((1-S733)*($G$9-$E$9)*($G$9-$F$9))))</f>
        <v>1</v>
      </c>
      <c r="F733" s="37" t="n">
        <f aca="false">1+IF($G$10=$E$10,$F$10,IF(T733&lt;($F$10-$E$10)/($G$10-$E$10),$E$10+SQRT(T733*($G$10-$E$10)*($F$10-$E$10)),$G$10-SQRT((1-T733)*($G$10-$E$10)*($G$10-$F$10))))</f>
        <v>1</v>
      </c>
      <c r="G733" s="38" t="n">
        <f aca="false">IF($G$11=$E$11,$F$11,IF(U733&lt;($F$11-$E$11)/($G$11-$E$11),$E$11+SQRT(U733*($G$11-$E$11)*($F$11-$E$11)),$G$11-SQRT((1-U733)*($G$11-$E$11)*($G$11-$F$11))))</f>
        <v>0</v>
      </c>
      <c r="H733" s="39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0</v>
      </c>
      <c r="I733" s="39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0</v>
      </c>
      <c r="J733" s="39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0</v>
      </c>
      <c r="K733" s="39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0</v>
      </c>
      <c r="L733" s="39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0</v>
      </c>
      <c r="M733" s="39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0</v>
      </c>
      <c r="N733" s="39" t="str">
        <f aca="false">IF(COUNT('Business Case'!B11:G11)=0,"",H733+NPV(G733,I733:M733))</f>
        <v/>
      </c>
      <c r="P733" s="40" t="n">
        <f aca="true">RAND()</f>
        <v>0.535974357060155</v>
      </c>
      <c r="Q733" s="40" t="n">
        <f aca="true">RAND()</f>
        <v>0.735001326437969</v>
      </c>
      <c r="R733" s="40" t="n">
        <f aca="true">RAND()</f>
        <v>0.61910719200792</v>
      </c>
      <c r="S733" s="40" t="n">
        <f aca="true">RAND()</f>
        <v>0.0670672297517741</v>
      </c>
      <c r="T733" s="40" t="n">
        <f aca="true">RAND()</f>
        <v>0.429617961173725</v>
      </c>
      <c r="U733" s="40" t="n">
        <f aca="true">RAND()</f>
        <v>0.422318182647857</v>
      </c>
    </row>
    <row r="734" customFormat="false" ht="15" hidden="false" customHeight="false" outlineLevel="0" collapsed="false">
      <c r="A734" s="36" t="n">
        <v>654</v>
      </c>
      <c r="B734" s="37" t="n">
        <f aca="false">1+IF($G$6=$E$6,$F$6,IF(P734&lt;($F$6-$E$6)/($G$6-$E$6),$E$6+SQRT(P734*($G$6-$E$6)*($F$6-$E$6)),$G$6-SQRT((1-P734)*($G$6-$E$6)*($G$6-$F$6))))</f>
        <v>1</v>
      </c>
      <c r="C734" s="37" t="n">
        <f aca="false">1+IF($G$7=$E$7,$F$7,IF(Q734&lt;($F$7-$E$7)/($G$7-$E$7),$E$7+SQRT(Q734*($G$7-$E$7)*($F$7-$E$7)),$G$7-SQRT((1-Q734)*($G$7-$E$7)*($G$7-$F$7))))</f>
        <v>1</v>
      </c>
      <c r="D734" s="37" t="n">
        <f aca="false">1+IF($G$8=$E$8,$F$8,IF(R734&lt;($F$8-$E$8)/($G$8-$E$8),$E$8+SQRT(R734*($G$8-$E$8)*($F$8-$E$8)),$G$8-SQRT((1-R734)*($G$8-$E$8)*($G$8-$F$8))))</f>
        <v>1</v>
      </c>
      <c r="E734" s="37" t="n">
        <f aca="false">1+IF($G$9=$E$9,$F$9,IF(S734&lt;($F$9-$E$9)/($G$9-$E$9),$E$9+SQRT(S734*($G$9-$E$9)*($F$9-$E$9)),$G$9-SQRT((1-S734)*($G$9-$E$9)*($G$9-$F$9))))</f>
        <v>1</v>
      </c>
      <c r="F734" s="37" t="n">
        <f aca="false">1+IF($G$10=$E$10,$F$10,IF(T734&lt;($F$10-$E$10)/($G$10-$E$10),$E$10+SQRT(T734*($G$10-$E$10)*($F$10-$E$10)),$G$10-SQRT((1-T734)*($G$10-$E$10)*($G$10-$F$10))))</f>
        <v>1</v>
      </c>
      <c r="G734" s="38" t="n">
        <f aca="false">IF($G$11=$E$11,$F$11,IF(U734&lt;($F$11-$E$11)/($G$11-$E$11),$E$11+SQRT(U734*($G$11-$E$11)*($F$11-$E$11)),$G$11-SQRT((1-U734)*($G$11-$E$11)*($G$11-$F$11))))</f>
        <v>0</v>
      </c>
      <c r="H734" s="39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0</v>
      </c>
      <c r="I734" s="39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0</v>
      </c>
      <c r="J734" s="39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0</v>
      </c>
      <c r="K734" s="39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0</v>
      </c>
      <c r="L734" s="39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0</v>
      </c>
      <c r="M734" s="39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0</v>
      </c>
      <c r="N734" s="39" t="str">
        <f aca="false">IF(COUNT('Business Case'!B11:G11)=0,"",H734+NPV(G734,I734:M734))</f>
        <v/>
      </c>
      <c r="P734" s="40" t="n">
        <f aca="true">RAND()</f>
        <v>0.845609617846378</v>
      </c>
      <c r="Q734" s="40" t="n">
        <f aca="true">RAND()</f>
        <v>0.990652235535228</v>
      </c>
      <c r="R734" s="40" t="n">
        <f aca="true">RAND()</f>
        <v>0.212566282086692</v>
      </c>
      <c r="S734" s="40" t="n">
        <f aca="true">RAND()</f>
        <v>0.543638677844117</v>
      </c>
      <c r="T734" s="40" t="n">
        <f aca="true">RAND()</f>
        <v>0.39267343671799</v>
      </c>
      <c r="U734" s="40" t="n">
        <f aca="true">RAND()</f>
        <v>0.869285537070376</v>
      </c>
    </row>
    <row r="735" customFormat="false" ht="15" hidden="false" customHeight="false" outlineLevel="0" collapsed="false">
      <c r="A735" s="36" t="n">
        <v>655</v>
      </c>
      <c r="B735" s="37" t="n">
        <f aca="false">1+IF($G$6=$E$6,$F$6,IF(P735&lt;($F$6-$E$6)/($G$6-$E$6),$E$6+SQRT(P735*($G$6-$E$6)*($F$6-$E$6)),$G$6-SQRT((1-P735)*($G$6-$E$6)*($G$6-$F$6))))</f>
        <v>1</v>
      </c>
      <c r="C735" s="37" t="n">
        <f aca="false">1+IF($G$7=$E$7,$F$7,IF(Q735&lt;($F$7-$E$7)/($G$7-$E$7),$E$7+SQRT(Q735*($G$7-$E$7)*($F$7-$E$7)),$G$7-SQRT((1-Q735)*($G$7-$E$7)*($G$7-$F$7))))</f>
        <v>1</v>
      </c>
      <c r="D735" s="37" t="n">
        <f aca="false">1+IF($G$8=$E$8,$F$8,IF(R735&lt;($F$8-$E$8)/($G$8-$E$8),$E$8+SQRT(R735*($G$8-$E$8)*($F$8-$E$8)),$G$8-SQRT((1-R735)*($G$8-$E$8)*($G$8-$F$8))))</f>
        <v>1</v>
      </c>
      <c r="E735" s="37" t="n">
        <f aca="false">1+IF($G$9=$E$9,$F$9,IF(S735&lt;($F$9-$E$9)/($G$9-$E$9),$E$9+SQRT(S735*($G$9-$E$9)*($F$9-$E$9)),$G$9-SQRT((1-S735)*($G$9-$E$9)*($G$9-$F$9))))</f>
        <v>1</v>
      </c>
      <c r="F735" s="37" t="n">
        <f aca="false">1+IF($G$10=$E$10,$F$10,IF(T735&lt;($F$10-$E$10)/($G$10-$E$10),$E$10+SQRT(T735*($G$10-$E$10)*($F$10-$E$10)),$G$10-SQRT((1-T735)*($G$10-$E$10)*($G$10-$F$10))))</f>
        <v>1</v>
      </c>
      <c r="G735" s="38" t="n">
        <f aca="false">IF($G$11=$E$11,$F$11,IF(U735&lt;($F$11-$E$11)/($G$11-$E$11),$E$11+SQRT(U735*($G$11-$E$11)*($F$11-$E$11)),$G$11-SQRT((1-U735)*($G$11-$E$11)*($G$11-$F$11))))</f>
        <v>0</v>
      </c>
      <c r="H735" s="39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0</v>
      </c>
      <c r="I735" s="39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0</v>
      </c>
      <c r="J735" s="39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0</v>
      </c>
      <c r="K735" s="39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0</v>
      </c>
      <c r="L735" s="39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0</v>
      </c>
      <c r="M735" s="39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0</v>
      </c>
      <c r="N735" s="39" t="str">
        <f aca="false">IF(COUNT('Business Case'!B11:G11)=0,"",H735+NPV(G735,I735:M735))</f>
        <v/>
      </c>
      <c r="P735" s="40" t="n">
        <f aca="true">RAND()</f>
        <v>0.0584299985088058</v>
      </c>
      <c r="Q735" s="40" t="n">
        <f aca="true">RAND()</f>
        <v>0.721159351604396</v>
      </c>
      <c r="R735" s="40" t="n">
        <f aca="true">RAND()</f>
        <v>0.808938493721606</v>
      </c>
      <c r="S735" s="40" t="n">
        <f aca="true">RAND()</f>
        <v>0.76936176909325</v>
      </c>
      <c r="T735" s="40" t="n">
        <f aca="true">RAND()</f>
        <v>0.709996486719298</v>
      </c>
      <c r="U735" s="40" t="n">
        <f aca="true">RAND()</f>
        <v>0.497678349489256</v>
      </c>
    </row>
    <row r="736" customFormat="false" ht="15" hidden="false" customHeight="false" outlineLevel="0" collapsed="false">
      <c r="A736" s="36" t="n">
        <v>656</v>
      </c>
      <c r="B736" s="37" t="n">
        <f aca="false">1+IF($G$6=$E$6,$F$6,IF(P736&lt;($F$6-$E$6)/($G$6-$E$6),$E$6+SQRT(P736*($G$6-$E$6)*($F$6-$E$6)),$G$6-SQRT((1-P736)*($G$6-$E$6)*($G$6-$F$6))))</f>
        <v>1</v>
      </c>
      <c r="C736" s="37" t="n">
        <f aca="false">1+IF($G$7=$E$7,$F$7,IF(Q736&lt;($F$7-$E$7)/($G$7-$E$7),$E$7+SQRT(Q736*($G$7-$E$7)*($F$7-$E$7)),$G$7-SQRT((1-Q736)*($G$7-$E$7)*($G$7-$F$7))))</f>
        <v>1</v>
      </c>
      <c r="D736" s="37" t="n">
        <f aca="false">1+IF($G$8=$E$8,$F$8,IF(R736&lt;($F$8-$E$8)/($G$8-$E$8),$E$8+SQRT(R736*($G$8-$E$8)*($F$8-$E$8)),$G$8-SQRT((1-R736)*($G$8-$E$8)*($G$8-$F$8))))</f>
        <v>1</v>
      </c>
      <c r="E736" s="37" t="n">
        <f aca="false">1+IF($G$9=$E$9,$F$9,IF(S736&lt;($F$9-$E$9)/($G$9-$E$9),$E$9+SQRT(S736*($G$9-$E$9)*($F$9-$E$9)),$G$9-SQRT((1-S736)*($G$9-$E$9)*($G$9-$F$9))))</f>
        <v>1</v>
      </c>
      <c r="F736" s="37" t="n">
        <f aca="false">1+IF($G$10=$E$10,$F$10,IF(T736&lt;($F$10-$E$10)/($G$10-$E$10),$E$10+SQRT(T736*($G$10-$E$10)*($F$10-$E$10)),$G$10-SQRT((1-T736)*($G$10-$E$10)*($G$10-$F$10))))</f>
        <v>1</v>
      </c>
      <c r="G736" s="38" t="n">
        <f aca="false">IF($G$11=$E$11,$F$11,IF(U736&lt;($F$11-$E$11)/($G$11-$E$11),$E$11+SQRT(U736*($G$11-$E$11)*($F$11-$E$11)),$G$11-SQRT((1-U736)*($G$11-$E$11)*($G$11-$F$11))))</f>
        <v>0</v>
      </c>
      <c r="H736" s="39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0</v>
      </c>
      <c r="I736" s="39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0</v>
      </c>
      <c r="J736" s="39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0</v>
      </c>
      <c r="K736" s="39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0</v>
      </c>
      <c r="L736" s="39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0</v>
      </c>
      <c r="M736" s="39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0</v>
      </c>
      <c r="N736" s="39" t="str">
        <f aca="false">IF(COUNT('Business Case'!B11:G11)=0,"",H736+NPV(G736,I736:M736))</f>
        <v/>
      </c>
      <c r="P736" s="40" t="n">
        <f aca="true">RAND()</f>
        <v>0.269970014825299</v>
      </c>
      <c r="Q736" s="40" t="n">
        <f aca="true">RAND()</f>
        <v>0.208610056515567</v>
      </c>
      <c r="R736" s="40" t="n">
        <f aca="true">RAND()</f>
        <v>0.214430592944949</v>
      </c>
      <c r="S736" s="40" t="n">
        <f aca="true">RAND()</f>
        <v>0.036299091567438</v>
      </c>
      <c r="T736" s="40" t="n">
        <f aca="true">RAND()</f>
        <v>0.76223328092856</v>
      </c>
      <c r="U736" s="40" t="n">
        <f aca="true">RAND()</f>
        <v>0.99595668821634</v>
      </c>
    </row>
    <row r="737" customFormat="false" ht="15" hidden="false" customHeight="false" outlineLevel="0" collapsed="false">
      <c r="A737" s="36" t="n">
        <v>657</v>
      </c>
      <c r="B737" s="37" t="n">
        <f aca="false">1+IF($G$6=$E$6,$F$6,IF(P737&lt;($F$6-$E$6)/($G$6-$E$6),$E$6+SQRT(P737*($G$6-$E$6)*($F$6-$E$6)),$G$6-SQRT((1-P737)*($G$6-$E$6)*($G$6-$F$6))))</f>
        <v>1</v>
      </c>
      <c r="C737" s="37" t="n">
        <f aca="false">1+IF($G$7=$E$7,$F$7,IF(Q737&lt;($F$7-$E$7)/($G$7-$E$7),$E$7+SQRT(Q737*($G$7-$E$7)*($F$7-$E$7)),$G$7-SQRT((1-Q737)*($G$7-$E$7)*($G$7-$F$7))))</f>
        <v>1</v>
      </c>
      <c r="D737" s="37" t="n">
        <f aca="false">1+IF($G$8=$E$8,$F$8,IF(R737&lt;($F$8-$E$8)/($G$8-$E$8),$E$8+SQRT(R737*($G$8-$E$8)*($F$8-$E$8)),$G$8-SQRT((1-R737)*($G$8-$E$8)*($G$8-$F$8))))</f>
        <v>1</v>
      </c>
      <c r="E737" s="37" t="n">
        <f aca="false">1+IF($G$9=$E$9,$F$9,IF(S737&lt;($F$9-$E$9)/($G$9-$E$9),$E$9+SQRT(S737*($G$9-$E$9)*($F$9-$E$9)),$G$9-SQRT((1-S737)*($G$9-$E$9)*($G$9-$F$9))))</f>
        <v>1</v>
      </c>
      <c r="F737" s="37" t="n">
        <f aca="false">1+IF($G$10=$E$10,$F$10,IF(T737&lt;($F$10-$E$10)/($G$10-$E$10),$E$10+SQRT(T737*($G$10-$E$10)*($F$10-$E$10)),$G$10-SQRT((1-T737)*($G$10-$E$10)*($G$10-$F$10))))</f>
        <v>1</v>
      </c>
      <c r="G737" s="38" t="n">
        <f aca="false">IF($G$11=$E$11,$F$11,IF(U737&lt;($F$11-$E$11)/($G$11-$E$11),$E$11+SQRT(U737*($G$11-$E$11)*($F$11-$E$11)),$G$11-SQRT((1-U737)*($G$11-$E$11)*($G$11-$F$11))))</f>
        <v>0</v>
      </c>
      <c r="H737" s="39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0</v>
      </c>
      <c r="I737" s="39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0</v>
      </c>
      <c r="J737" s="39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0</v>
      </c>
      <c r="K737" s="39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0</v>
      </c>
      <c r="L737" s="39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0</v>
      </c>
      <c r="M737" s="39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0</v>
      </c>
      <c r="N737" s="39" t="str">
        <f aca="false">IF(COUNT('Business Case'!B11:G11)=0,"",H737+NPV(G737,I737:M737))</f>
        <v/>
      </c>
      <c r="P737" s="40" t="n">
        <f aca="true">RAND()</f>
        <v>0.643006910798467</v>
      </c>
      <c r="Q737" s="40" t="n">
        <f aca="true">RAND()</f>
        <v>0.0971945622210546</v>
      </c>
      <c r="R737" s="40" t="n">
        <f aca="true">RAND()</f>
        <v>0.0211422756869598</v>
      </c>
      <c r="S737" s="40" t="n">
        <f aca="true">RAND()</f>
        <v>0.471245114474893</v>
      </c>
      <c r="T737" s="40" t="n">
        <f aca="true">RAND()</f>
        <v>0.366093392349839</v>
      </c>
      <c r="U737" s="40" t="n">
        <f aca="true">RAND()</f>
        <v>0.266846426623135</v>
      </c>
    </row>
    <row r="738" customFormat="false" ht="15" hidden="false" customHeight="false" outlineLevel="0" collapsed="false">
      <c r="A738" s="36" t="n">
        <v>658</v>
      </c>
      <c r="B738" s="37" t="n">
        <f aca="false">1+IF($G$6=$E$6,$F$6,IF(P738&lt;($F$6-$E$6)/($G$6-$E$6),$E$6+SQRT(P738*($G$6-$E$6)*($F$6-$E$6)),$G$6-SQRT((1-P738)*($G$6-$E$6)*($G$6-$F$6))))</f>
        <v>1</v>
      </c>
      <c r="C738" s="37" t="n">
        <f aca="false">1+IF($G$7=$E$7,$F$7,IF(Q738&lt;($F$7-$E$7)/($G$7-$E$7),$E$7+SQRT(Q738*($G$7-$E$7)*($F$7-$E$7)),$G$7-SQRT((1-Q738)*($G$7-$E$7)*($G$7-$F$7))))</f>
        <v>1</v>
      </c>
      <c r="D738" s="37" t="n">
        <f aca="false">1+IF($G$8=$E$8,$F$8,IF(R738&lt;($F$8-$E$8)/($G$8-$E$8),$E$8+SQRT(R738*($G$8-$E$8)*($F$8-$E$8)),$G$8-SQRT((1-R738)*($G$8-$E$8)*($G$8-$F$8))))</f>
        <v>1</v>
      </c>
      <c r="E738" s="37" t="n">
        <f aca="false">1+IF($G$9=$E$9,$F$9,IF(S738&lt;($F$9-$E$9)/($G$9-$E$9),$E$9+SQRT(S738*($G$9-$E$9)*($F$9-$E$9)),$G$9-SQRT((1-S738)*($G$9-$E$9)*($G$9-$F$9))))</f>
        <v>1</v>
      </c>
      <c r="F738" s="37" t="n">
        <f aca="false">1+IF($G$10=$E$10,$F$10,IF(T738&lt;($F$10-$E$10)/($G$10-$E$10),$E$10+SQRT(T738*($G$10-$E$10)*($F$10-$E$10)),$G$10-SQRT((1-T738)*($G$10-$E$10)*($G$10-$F$10))))</f>
        <v>1</v>
      </c>
      <c r="G738" s="38" t="n">
        <f aca="false">IF($G$11=$E$11,$F$11,IF(U738&lt;($F$11-$E$11)/($G$11-$E$11),$E$11+SQRT(U738*($G$11-$E$11)*($F$11-$E$11)),$G$11-SQRT((1-U738)*($G$11-$E$11)*($G$11-$F$11))))</f>
        <v>0</v>
      </c>
      <c r="H738" s="39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0</v>
      </c>
      <c r="I738" s="39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0</v>
      </c>
      <c r="J738" s="39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0</v>
      </c>
      <c r="K738" s="39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0</v>
      </c>
      <c r="L738" s="39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0</v>
      </c>
      <c r="M738" s="39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0</v>
      </c>
      <c r="N738" s="39" t="str">
        <f aca="false">IF(COUNT('Business Case'!B11:G11)=0,"",H738+NPV(G738,I738:M738))</f>
        <v/>
      </c>
      <c r="P738" s="40" t="n">
        <f aca="true">RAND()</f>
        <v>0.836970813336682</v>
      </c>
      <c r="Q738" s="40" t="n">
        <f aca="true">RAND()</f>
        <v>0.36145165363654</v>
      </c>
      <c r="R738" s="40" t="n">
        <f aca="true">RAND()</f>
        <v>0.870751653565408</v>
      </c>
      <c r="S738" s="40" t="n">
        <f aca="true">RAND()</f>
        <v>0.538059332349253</v>
      </c>
      <c r="T738" s="40" t="n">
        <f aca="true">RAND()</f>
        <v>0.179091751203808</v>
      </c>
      <c r="U738" s="40" t="n">
        <f aca="true">RAND()</f>
        <v>0.467834264594072</v>
      </c>
    </row>
    <row r="739" customFormat="false" ht="15" hidden="false" customHeight="false" outlineLevel="0" collapsed="false">
      <c r="A739" s="36" t="n">
        <v>659</v>
      </c>
      <c r="B739" s="37" t="n">
        <f aca="false">1+IF($G$6=$E$6,$F$6,IF(P739&lt;($F$6-$E$6)/($G$6-$E$6),$E$6+SQRT(P739*($G$6-$E$6)*($F$6-$E$6)),$G$6-SQRT((1-P739)*($G$6-$E$6)*($G$6-$F$6))))</f>
        <v>1</v>
      </c>
      <c r="C739" s="37" t="n">
        <f aca="false">1+IF($G$7=$E$7,$F$7,IF(Q739&lt;($F$7-$E$7)/($G$7-$E$7),$E$7+SQRT(Q739*($G$7-$E$7)*($F$7-$E$7)),$G$7-SQRT((1-Q739)*($G$7-$E$7)*($G$7-$F$7))))</f>
        <v>1</v>
      </c>
      <c r="D739" s="37" t="n">
        <f aca="false">1+IF($G$8=$E$8,$F$8,IF(R739&lt;($F$8-$E$8)/($G$8-$E$8),$E$8+SQRT(R739*($G$8-$E$8)*($F$8-$E$8)),$G$8-SQRT((1-R739)*($G$8-$E$8)*($G$8-$F$8))))</f>
        <v>1</v>
      </c>
      <c r="E739" s="37" t="n">
        <f aca="false">1+IF($G$9=$E$9,$F$9,IF(S739&lt;($F$9-$E$9)/($G$9-$E$9),$E$9+SQRT(S739*($G$9-$E$9)*($F$9-$E$9)),$G$9-SQRT((1-S739)*($G$9-$E$9)*($G$9-$F$9))))</f>
        <v>1</v>
      </c>
      <c r="F739" s="37" t="n">
        <f aca="false">1+IF($G$10=$E$10,$F$10,IF(T739&lt;($F$10-$E$10)/($G$10-$E$10),$E$10+SQRT(T739*($G$10-$E$10)*($F$10-$E$10)),$G$10-SQRT((1-T739)*($G$10-$E$10)*($G$10-$F$10))))</f>
        <v>1</v>
      </c>
      <c r="G739" s="38" t="n">
        <f aca="false">IF($G$11=$E$11,$F$11,IF(U739&lt;($F$11-$E$11)/($G$11-$E$11),$E$11+SQRT(U739*($G$11-$E$11)*($F$11-$E$11)),$G$11-SQRT((1-U739)*($G$11-$E$11)*($G$11-$F$11))))</f>
        <v>0</v>
      </c>
      <c r="H739" s="39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0</v>
      </c>
      <c r="I739" s="39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0</v>
      </c>
      <c r="J739" s="39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0</v>
      </c>
      <c r="K739" s="39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0</v>
      </c>
      <c r="L739" s="39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0</v>
      </c>
      <c r="M739" s="39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0</v>
      </c>
      <c r="N739" s="39" t="str">
        <f aca="false">IF(COUNT('Business Case'!B11:G11)=0,"",H739+NPV(G739,I739:M739))</f>
        <v/>
      </c>
      <c r="P739" s="40" t="n">
        <f aca="true">RAND()</f>
        <v>0.459911725268224</v>
      </c>
      <c r="Q739" s="40" t="n">
        <f aca="true">RAND()</f>
        <v>0.388483126722188</v>
      </c>
      <c r="R739" s="40" t="n">
        <f aca="true">RAND()</f>
        <v>0.412582526043865</v>
      </c>
      <c r="S739" s="40" t="n">
        <f aca="true">RAND()</f>
        <v>0.791028444015359</v>
      </c>
      <c r="T739" s="40" t="n">
        <f aca="true">RAND()</f>
        <v>0.273682345714531</v>
      </c>
      <c r="U739" s="40" t="n">
        <f aca="true">RAND()</f>
        <v>0.881295259630536</v>
      </c>
    </row>
    <row r="740" customFormat="false" ht="15" hidden="false" customHeight="false" outlineLevel="0" collapsed="false">
      <c r="A740" s="36" t="n">
        <v>660</v>
      </c>
      <c r="B740" s="37" t="n">
        <f aca="false">1+IF($G$6=$E$6,$F$6,IF(P740&lt;($F$6-$E$6)/($G$6-$E$6),$E$6+SQRT(P740*($G$6-$E$6)*($F$6-$E$6)),$G$6-SQRT((1-P740)*($G$6-$E$6)*($G$6-$F$6))))</f>
        <v>1</v>
      </c>
      <c r="C740" s="37" t="n">
        <f aca="false">1+IF($G$7=$E$7,$F$7,IF(Q740&lt;($F$7-$E$7)/($G$7-$E$7),$E$7+SQRT(Q740*($G$7-$E$7)*($F$7-$E$7)),$G$7-SQRT((1-Q740)*($G$7-$E$7)*($G$7-$F$7))))</f>
        <v>1</v>
      </c>
      <c r="D740" s="37" t="n">
        <f aca="false">1+IF($G$8=$E$8,$F$8,IF(R740&lt;($F$8-$E$8)/($G$8-$E$8),$E$8+SQRT(R740*($G$8-$E$8)*($F$8-$E$8)),$G$8-SQRT((1-R740)*($G$8-$E$8)*($G$8-$F$8))))</f>
        <v>1</v>
      </c>
      <c r="E740" s="37" t="n">
        <f aca="false">1+IF($G$9=$E$9,$F$9,IF(S740&lt;($F$9-$E$9)/($G$9-$E$9),$E$9+SQRT(S740*($G$9-$E$9)*($F$9-$E$9)),$G$9-SQRT((1-S740)*($G$9-$E$9)*($G$9-$F$9))))</f>
        <v>1</v>
      </c>
      <c r="F740" s="37" t="n">
        <f aca="false">1+IF($G$10=$E$10,$F$10,IF(T740&lt;($F$10-$E$10)/($G$10-$E$10),$E$10+SQRT(T740*($G$10-$E$10)*($F$10-$E$10)),$G$10-SQRT((1-T740)*($G$10-$E$10)*($G$10-$F$10))))</f>
        <v>1</v>
      </c>
      <c r="G740" s="38" t="n">
        <f aca="false">IF($G$11=$E$11,$F$11,IF(U740&lt;($F$11-$E$11)/($G$11-$E$11),$E$11+SQRT(U740*($G$11-$E$11)*($F$11-$E$11)),$G$11-SQRT((1-U740)*($G$11-$E$11)*($G$11-$F$11))))</f>
        <v>0</v>
      </c>
      <c r="H740" s="39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0</v>
      </c>
      <c r="I740" s="39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0</v>
      </c>
      <c r="J740" s="39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0</v>
      </c>
      <c r="K740" s="39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0</v>
      </c>
      <c r="L740" s="39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0</v>
      </c>
      <c r="M740" s="39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0</v>
      </c>
      <c r="N740" s="39" t="str">
        <f aca="false">IF(COUNT('Business Case'!B11:G11)=0,"",H740+NPV(G740,I740:M740))</f>
        <v/>
      </c>
      <c r="P740" s="40" t="n">
        <f aca="true">RAND()</f>
        <v>0.292886567413514</v>
      </c>
      <c r="Q740" s="40" t="n">
        <f aca="true">RAND()</f>
        <v>0.106769092546954</v>
      </c>
      <c r="R740" s="40" t="n">
        <f aca="true">RAND()</f>
        <v>0.622751976948402</v>
      </c>
      <c r="S740" s="40" t="n">
        <f aca="true">RAND()</f>
        <v>0.255533034211869</v>
      </c>
      <c r="T740" s="40" t="n">
        <f aca="true">RAND()</f>
        <v>0.482746586001827</v>
      </c>
      <c r="U740" s="40" t="n">
        <f aca="true">RAND()</f>
        <v>0.0584569733420801</v>
      </c>
    </row>
    <row r="741" customFormat="false" ht="15" hidden="false" customHeight="false" outlineLevel="0" collapsed="false">
      <c r="A741" s="36" t="n">
        <v>661</v>
      </c>
      <c r="B741" s="37" t="n">
        <f aca="false">1+IF($G$6=$E$6,$F$6,IF(P741&lt;($F$6-$E$6)/($G$6-$E$6),$E$6+SQRT(P741*($G$6-$E$6)*($F$6-$E$6)),$G$6-SQRT((1-P741)*($G$6-$E$6)*($G$6-$F$6))))</f>
        <v>1</v>
      </c>
      <c r="C741" s="37" t="n">
        <f aca="false">1+IF($G$7=$E$7,$F$7,IF(Q741&lt;($F$7-$E$7)/($G$7-$E$7),$E$7+SQRT(Q741*($G$7-$E$7)*($F$7-$E$7)),$G$7-SQRT((1-Q741)*($G$7-$E$7)*($G$7-$F$7))))</f>
        <v>1</v>
      </c>
      <c r="D741" s="37" t="n">
        <f aca="false">1+IF($G$8=$E$8,$F$8,IF(R741&lt;($F$8-$E$8)/($G$8-$E$8),$E$8+SQRT(R741*($G$8-$E$8)*($F$8-$E$8)),$G$8-SQRT((1-R741)*($G$8-$E$8)*($G$8-$F$8))))</f>
        <v>1</v>
      </c>
      <c r="E741" s="37" t="n">
        <f aca="false">1+IF($G$9=$E$9,$F$9,IF(S741&lt;($F$9-$E$9)/($G$9-$E$9),$E$9+SQRT(S741*($G$9-$E$9)*($F$9-$E$9)),$G$9-SQRT((1-S741)*($G$9-$E$9)*($G$9-$F$9))))</f>
        <v>1</v>
      </c>
      <c r="F741" s="37" t="n">
        <f aca="false">1+IF($G$10=$E$10,$F$10,IF(T741&lt;($F$10-$E$10)/($G$10-$E$10),$E$10+SQRT(T741*($G$10-$E$10)*($F$10-$E$10)),$G$10-SQRT((1-T741)*($G$10-$E$10)*($G$10-$F$10))))</f>
        <v>1</v>
      </c>
      <c r="G741" s="38" t="n">
        <f aca="false">IF($G$11=$E$11,$F$11,IF(U741&lt;($F$11-$E$11)/($G$11-$E$11),$E$11+SQRT(U741*($G$11-$E$11)*($F$11-$E$11)),$G$11-SQRT((1-U741)*($G$11-$E$11)*($G$11-$F$11))))</f>
        <v>0</v>
      </c>
      <c r="H741" s="39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0</v>
      </c>
      <c r="I741" s="39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0</v>
      </c>
      <c r="J741" s="39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0</v>
      </c>
      <c r="K741" s="39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0</v>
      </c>
      <c r="L741" s="39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0</v>
      </c>
      <c r="M741" s="39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0</v>
      </c>
      <c r="N741" s="39" t="str">
        <f aca="false">IF(COUNT('Business Case'!B11:G11)=0,"",H741+NPV(G741,I741:M741))</f>
        <v/>
      </c>
      <c r="P741" s="40" t="n">
        <f aca="true">RAND()</f>
        <v>0.726321257229003</v>
      </c>
      <c r="Q741" s="40" t="n">
        <f aca="true">RAND()</f>
        <v>0.54823713649222</v>
      </c>
      <c r="R741" s="40" t="n">
        <f aca="true">RAND()</f>
        <v>0.914503143891633</v>
      </c>
      <c r="S741" s="40" t="n">
        <f aca="true">RAND()</f>
        <v>0.289056185039763</v>
      </c>
      <c r="T741" s="40" t="n">
        <f aca="true">RAND()</f>
        <v>0.954050396498945</v>
      </c>
      <c r="U741" s="40" t="n">
        <f aca="true">RAND()</f>
        <v>0.330139945426062</v>
      </c>
    </row>
    <row r="742" customFormat="false" ht="15" hidden="false" customHeight="false" outlineLevel="0" collapsed="false">
      <c r="A742" s="36" t="n">
        <v>662</v>
      </c>
      <c r="B742" s="37" t="n">
        <f aca="false">1+IF($G$6=$E$6,$F$6,IF(P742&lt;($F$6-$E$6)/($G$6-$E$6),$E$6+SQRT(P742*($G$6-$E$6)*($F$6-$E$6)),$G$6-SQRT((1-P742)*($G$6-$E$6)*($G$6-$F$6))))</f>
        <v>1</v>
      </c>
      <c r="C742" s="37" t="n">
        <f aca="false">1+IF($G$7=$E$7,$F$7,IF(Q742&lt;($F$7-$E$7)/($G$7-$E$7),$E$7+SQRT(Q742*($G$7-$E$7)*($F$7-$E$7)),$G$7-SQRT((1-Q742)*($G$7-$E$7)*($G$7-$F$7))))</f>
        <v>1</v>
      </c>
      <c r="D742" s="37" t="n">
        <f aca="false">1+IF($G$8=$E$8,$F$8,IF(R742&lt;($F$8-$E$8)/($G$8-$E$8),$E$8+SQRT(R742*($G$8-$E$8)*($F$8-$E$8)),$G$8-SQRT((1-R742)*($G$8-$E$8)*($G$8-$F$8))))</f>
        <v>1</v>
      </c>
      <c r="E742" s="37" t="n">
        <f aca="false">1+IF($G$9=$E$9,$F$9,IF(S742&lt;($F$9-$E$9)/($G$9-$E$9),$E$9+SQRT(S742*($G$9-$E$9)*($F$9-$E$9)),$G$9-SQRT((1-S742)*($G$9-$E$9)*($G$9-$F$9))))</f>
        <v>1</v>
      </c>
      <c r="F742" s="37" t="n">
        <f aca="false">1+IF($G$10=$E$10,$F$10,IF(T742&lt;($F$10-$E$10)/($G$10-$E$10),$E$10+SQRT(T742*($G$10-$E$10)*($F$10-$E$10)),$G$10-SQRT((1-T742)*($G$10-$E$10)*($G$10-$F$10))))</f>
        <v>1</v>
      </c>
      <c r="G742" s="38" t="n">
        <f aca="false">IF($G$11=$E$11,$F$11,IF(U742&lt;($F$11-$E$11)/($G$11-$E$11),$E$11+SQRT(U742*($G$11-$E$11)*($F$11-$E$11)),$G$11-SQRT((1-U742)*($G$11-$E$11)*($G$11-$F$11))))</f>
        <v>0</v>
      </c>
      <c r="H742" s="39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0</v>
      </c>
      <c r="I742" s="39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0</v>
      </c>
      <c r="J742" s="39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0</v>
      </c>
      <c r="K742" s="39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0</v>
      </c>
      <c r="L742" s="39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0</v>
      </c>
      <c r="M742" s="39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0</v>
      </c>
      <c r="N742" s="39" t="str">
        <f aca="false">IF(COUNT('Business Case'!B11:G11)=0,"",H742+NPV(G742,I742:M742))</f>
        <v/>
      </c>
      <c r="P742" s="40" t="n">
        <f aca="true">RAND()</f>
        <v>0.329326167577993</v>
      </c>
      <c r="Q742" s="40" t="n">
        <f aca="true">RAND()</f>
        <v>0.451250847070276</v>
      </c>
      <c r="R742" s="40" t="n">
        <f aca="true">RAND()</f>
        <v>0.596140202638833</v>
      </c>
      <c r="S742" s="40" t="n">
        <f aca="true">RAND()</f>
        <v>0.644829260934221</v>
      </c>
      <c r="T742" s="40" t="n">
        <f aca="true">RAND()</f>
        <v>0.205587749698541</v>
      </c>
      <c r="U742" s="40" t="n">
        <f aca="true">RAND()</f>
        <v>0.21505446689845</v>
      </c>
    </row>
    <row r="743" customFormat="false" ht="15" hidden="false" customHeight="false" outlineLevel="0" collapsed="false">
      <c r="A743" s="36" t="n">
        <v>663</v>
      </c>
      <c r="B743" s="37" t="n">
        <f aca="false">1+IF($G$6=$E$6,$F$6,IF(P743&lt;($F$6-$E$6)/($G$6-$E$6),$E$6+SQRT(P743*($G$6-$E$6)*($F$6-$E$6)),$G$6-SQRT((1-P743)*($G$6-$E$6)*($G$6-$F$6))))</f>
        <v>1</v>
      </c>
      <c r="C743" s="37" t="n">
        <f aca="false">1+IF($G$7=$E$7,$F$7,IF(Q743&lt;($F$7-$E$7)/($G$7-$E$7),$E$7+SQRT(Q743*($G$7-$E$7)*($F$7-$E$7)),$G$7-SQRT((1-Q743)*($G$7-$E$7)*($G$7-$F$7))))</f>
        <v>1</v>
      </c>
      <c r="D743" s="37" t="n">
        <f aca="false">1+IF($G$8=$E$8,$F$8,IF(R743&lt;($F$8-$E$8)/($G$8-$E$8),$E$8+SQRT(R743*($G$8-$E$8)*($F$8-$E$8)),$G$8-SQRT((1-R743)*($G$8-$E$8)*($G$8-$F$8))))</f>
        <v>1</v>
      </c>
      <c r="E743" s="37" t="n">
        <f aca="false">1+IF($G$9=$E$9,$F$9,IF(S743&lt;($F$9-$E$9)/($G$9-$E$9),$E$9+SQRT(S743*($G$9-$E$9)*($F$9-$E$9)),$G$9-SQRT((1-S743)*($G$9-$E$9)*($G$9-$F$9))))</f>
        <v>1</v>
      </c>
      <c r="F743" s="37" t="n">
        <f aca="false">1+IF($G$10=$E$10,$F$10,IF(T743&lt;($F$10-$E$10)/($G$10-$E$10),$E$10+SQRT(T743*($G$10-$E$10)*($F$10-$E$10)),$G$10-SQRT((1-T743)*($G$10-$E$10)*($G$10-$F$10))))</f>
        <v>1</v>
      </c>
      <c r="G743" s="38" t="n">
        <f aca="false">IF($G$11=$E$11,$F$11,IF(U743&lt;($F$11-$E$11)/($G$11-$E$11),$E$11+SQRT(U743*($G$11-$E$11)*($F$11-$E$11)),$G$11-SQRT((1-U743)*($G$11-$E$11)*($G$11-$F$11))))</f>
        <v>0</v>
      </c>
      <c r="H743" s="39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0</v>
      </c>
      <c r="I743" s="39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0</v>
      </c>
      <c r="J743" s="39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0</v>
      </c>
      <c r="K743" s="39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0</v>
      </c>
      <c r="L743" s="39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0</v>
      </c>
      <c r="M743" s="39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0</v>
      </c>
      <c r="N743" s="39" t="str">
        <f aca="false">IF(COUNT('Business Case'!B11:G11)=0,"",H743+NPV(G743,I743:M743))</f>
        <v/>
      </c>
      <c r="P743" s="40" t="n">
        <f aca="true">RAND()</f>
        <v>0.442424005337586</v>
      </c>
      <c r="Q743" s="40" t="n">
        <f aca="true">RAND()</f>
        <v>0.0821979772472024</v>
      </c>
      <c r="R743" s="40" t="n">
        <f aca="true">RAND()</f>
        <v>0.359025227586035</v>
      </c>
      <c r="S743" s="40" t="n">
        <f aca="true">RAND()</f>
        <v>0.0214431635997854</v>
      </c>
      <c r="T743" s="40" t="n">
        <f aca="true">RAND()</f>
        <v>0.603069098361563</v>
      </c>
      <c r="U743" s="40" t="n">
        <f aca="true">RAND()</f>
        <v>0.994420137520809</v>
      </c>
    </row>
    <row r="744" customFormat="false" ht="15" hidden="false" customHeight="false" outlineLevel="0" collapsed="false">
      <c r="A744" s="36" t="n">
        <v>664</v>
      </c>
      <c r="B744" s="37" t="n">
        <f aca="false">1+IF($G$6=$E$6,$F$6,IF(P744&lt;($F$6-$E$6)/($G$6-$E$6),$E$6+SQRT(P744*($G$6-$E$6)*($F$6-$E$6)),$G$6-SQRT((1-P744)*($G$6-$E$6)*($G$6-$F$6))))</f>
        <v>1</v>
      </c>
      <c r="C744" s="37" t="n">
        <f aca="false">1+IF($G$7=$E$7,$F$7,IF(Q744&lt;($F$7-$E$7)/($G$7-$E$7),$E$7+SQRT(Q744*($G$7-$E$7)*($F$7-$E$7)),$G$7-SQRT((1-Q744)*($G$7-$E$7)*($G$7-$F$7))))</f>
        <v>1</v>
      </c>
      <c r="D744" s="37" t="n">
        <f aca="false">1+IF($G$8=$E$8,$F$8,IF(R744&lt;($F$8-$E$8)/($G$8-$E$8),$E$8+SQRT(R744*($G$8-$E$8)*($F$8-$E$8)),$G$8-SQRT((1-R744)*($G$8-$E$8)*($G$8-$F$8))))</f>
        <v>1</v>
      </c>
      <c r="E744" s="37" t="n">
        <f aca="false">1+IF($G$9=$E$9,$F$9,IF(S744&lt;($F$9-$E$9)/($G$9-$E$9),$E$9+SQRT(S744*($G$9-$E$9)*($F$9-$E$9)),$G$9-SQRT((1-S744)*($G$9-$E$9)*($G$9-$F$9))))</f>
        <v>1</v>
      </c>
      <c r="F744" s="37" t="n">
        <f aca="false">1+IF($G$10=$E$10,$F$10,IF(T744&lt;($F$10-$E$10)/($G$10-$E$10),$E$10+SQRT(T744*($G$10-$E$10)*($F$10-$E$10)),$G$10-SQRT((1-T744)*($G$10-$E$10)*($G$10-$F$10))))</f>
        <v>1</v>
      </c>
      <c r="G744" s="38" t="n">
        <f aca="false">IF($G$11=$E$11,$F$11,IF(U744&lt;($F$11-$E$11)/($G$11-$E$11),$E$11+SQRT(U744*($G$11-$E$11)*($F$11-$E$11)),$G$11-SQRT((1-U744)*($G$11-$E$11)*($G$11-$F$11))))</f>
        <v>0</v>
      </c>
      <c r="H744" s="39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0</v>
      </c>
      <c r="I744" s="39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0</v>
      </c>
      <c r="J744" s="39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0</v>
      </c>
      <c r="K744" s="39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0</v>
      </c>
      <c r="L744" s="39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0</v>
      </c>
      <c r="M744" s="39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0</v>
      </c>
      <c r="N744" s="39" t="str">
        <f aca="false">IF(COUNT('Business Case'!B11:G11)=0,"",H744+NPV(G744,I744:M744))</f>
        <v/>
      </c>
      <c r="P744" s="40" t="n">
        <f aca="true">RAND()</f>
        <v>0.637033541224167</v>
      </c>
      <c r="Q744" s="40" t="n">
        <f aca="true">RAND()</f>
        <v>0.478124961996686</v>
      </c>
      <c r="R744" s="40" t="n">
        <f aca="true">RAND()</f>
        <v>0.188924378518706</v>
      </c>
      <c r="S744" s="40" t="n">
        <f aca="true">RAND()</f>
        <v>0.44121146296419</v>
      </c>
      <c r="T744" s="40" t="n">
        <f aca="true">RAND()</f>
        <v>0.701651072861033</v>
      </c>
      <c r="U744" s="40" t="n">
        <f aca="true">RAND()</f>
        <v>0.968149675173171</v>
      </c>
    </row>
    <row r="745" customFormat="false" ht="15" hidden="false" customHeight="false" outlineLevel="0" collapsed="false">
      <c r="A745" s="36" t="n">
        <v>665</v>
      </c>
      <c r="B745" s="37" t="n">
        <f aca="false">1+IF($G$6=$E$6,$F$6,IF(P745&lt;($F$6-$E$6)/($G$6-$E$6),$E$6+SQRT(P745*($G$6-$E$6)*($F$6-$E$6)),$G$6-SQRT((1-P745)*($G$6-$E$6)*($G$6-$F$6))))</f>
        <v>1</v>
      </c>
      <c r="C745" s="37" t="n">
        <f aca="false">1+IF($G$7=$E$7,$F$7,IF(Q745&lt;($F$7-$E$7)/($G$7-$E$7),$E$7+SQRT(Q745*($G$7-$E$7)*($F$7-$E$7)),$G$7-SQRT((1-Q745)*($G$7-$E$7)*($G$7-$F$7))))</f>
        <v>1</v>
      </c>
      <c r="D745" s="37" t="n">
        <f aca="false">1+IF($G$8=$E$8,$F$8,IF(R745&lt;($F$8-$E$8)/($G$8-$E$8),$E$8+SQRT(R745*($G$8-$E$8)*($F$8-$E$8)),$G$8-SQRT((1-R745)*($G$8-$E$8)*($G$8-$F$8))))</f>
        <v>1</v>
      </c>
      <c r="E745" s="37" t="n">
        <f aca="false">1+IF($G$9=$E$9,$F$9,IF(S745&lt;($F$9-$E$9)/($G$9-$E$9),$E$9+SQRT(S745*($G$9-$E$9)*($F$9-$E$9)),$G$9-SQRT((1-S745)*($G$9-$E$9)*($G$9-$F$9))))</f>
        <v>1</v>
      </c>
      <c r="F745" s="37" t="n">
        <f aca="false">1+IF($G$10=$E$10,$F$10,IF(T745&lt;($F$10-$E$10)/($G$10-$E$10),$E$10+SQRT(T745*($G$10-$E$10)*($F$10-$E$10)),$G$10-SQRT((1-T745)*($G$10-$E$10)*($G$10-$F$10))))</f>
        <v>1</v>
      </c>
      <c r="G745" s="38" t="n">
        <f aca="false">IF($G$11=$E$11,$F$11,IF(U745&lt;($F$11-$E$11)/($G$11-$E$11),$E$11+SQRT(U745*($G$11-$E$11)*($F$11-$E$11)),$G$11-SQRT((1-U745)*($G$11-$E$11)*($G$11-$F$11))))</f>
        <v>0</v>
      </c>
      <c r="H745" s="39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0</v>
      </c>
      <c r="I745" s="39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0</v>
      </c>
      <c r="J745" s="39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0</v>
      </c>
      <c r="K745" s="39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0</v>
      </c>
      <c r="L745" s="39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0</v>
      </c>
      <c r="M745" s="39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0</v>
      </c>
      <c r="N745" s="39" t="str">
        <f aca="false">IF(COUNT('Business Case'!B11:G11)=0,"",H745+NPV(G745,I745:M745))</f>
        <v/>
      </c>
      <c r="P745" s="40" t="n">
        <f aca="true">RAND()</f>
        <v>0.32043620076889</v>
      </c>
      <c r="Q745" s="40" t="n">
        <f aca="true">RAND()</f>
        <v>0.176540520273081</v>
      </c>
      <c r="R745" s="40" t="n">
        <f aca="true">RAND()</f>
        <v>0.510261748390833</v>
      </c>
      <c r="S745" s="40" t="n">
        <f aca="true">RAND()</f>
        <v>0.60785559279292</v>
      </c>
      <c r="T745" s="40" t="n">
        <f aca="true">RAND()</f>
        <v>0.0770354363924153</v>
      </c>
      <c r="U745" s="40" t="n">
        <f aca="true">RAND()</f>
        <v>0.533706815310755</v>
      </c>
    </row>
    <row r="746" customFormat="false" ht="15" hidden="false" customHeight="false" outlineLevel="0" collapsed="false">
      <c r="A746" s="36" t="n">
        <v>666</v>
      </c>
      <c r="B746" s="37" t="n">
        <f aca="false">1+IF($G$6=$E$6,$F$6,IF(P746&lt;($F$6-$E$6)/($G$6-$E$6),$E$6+SQRT(P746*($G$6-$E$6)*($F$6-$E$6)),$G$6-SQRT((1-P746)*($G$6-$E$6)*($G$6-$F$6))))</f>
        <v>1</v>
      </c>
      <c r="C746" s="37" t="n">
        <f aca="false">1+IF($G$7=$E$7,$F$7,IF(Q746&lt;($F$7-$E$7)/($G$7-$E$7),$E$7+SQRT(Q746*($G$7-$E$7)*($F$7-$E$7)),$G$7-SQRT((1-Q746)*($G$7-$E$7)*($G$7-$F$7))))</f>
        <v>1</v>
      </c>
      <c r="D746" s="37" t="n">
        <f aca="false">1+IF($G$8=$E$8,$F$8,IF(R746&lt;($F$8-$E$8)/($G$8-$E$8),$E$8+SQRT(R746*($G$8-$E$8)*($F$8-$E$8)),$G$8-SQRT((1-R746)*($G$8-$E$8)*($G$8-$F$8))))</f>
        <v>1</v>
      </c>
      <c r="E746" s="37" t="n">
        <f aca="false">1+IF($G$9=$E$9,$F$9,IF(S746&lt;($F$9-$E$9)/($G$9-$E$9),$E$9+SQRT(S746*($G$9-$E$9)*($F$9-$E$9)),$G$9-SQRT((1-S746)*($G$9-$E$9)*($G$9-$F$9))))</f>
        <v>1</v>
      </c>
      <c r="F746" s="37" t="n">
        <f aca="false">1+IF($G$10=$E$10,$F$10,IF(T746&lt;($F$10-$E$10)/($G$10-$E$10),$E$10+SQRT(T746*($G$10-$E$10)*($F$10-$E$10)),$G$10-SQRT((1-T746)*($G$10-$E$10)*($G$10-$F$10))))</f>
        <v>1</v>
      </c>
      <c r="G746" s="38" t="n">
        <f aca="false">IF($G$11=$E$11,$F$11,IF(U746&lt;($F$11-$E$11)/($G$11-$E$11),$E$11+SQRT(U746*($G$11-$E$11)*($F$11-$E$11)),$G$11-SQRT((1-U746)*($G$11-$E$11)*($G$11-$F$11))))</f>
        <v>0</v>
      </c>
      <c r="H746" s="39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0</v>
      </c>
      <c r="I746" s="39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0</v>
      </c>
      <c r="J746" s="39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0</v>
      </c>
      <c r="K746" s="39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0</v>
      </c>
      <c r="L746" s="39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0</v>
      </c>
      <c r="M746" s="39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0</v>
      </c>
      <c r="N746" s="39" t="str">
        <f aca="false">IF(COUNT('Business Case'!B11:G11)=0,"",H746+NPV(G746,I746:M746))</f>
        <v/>
      </c>
      <c r="P746" s="40" t="n">
        <f aca="true">RAND()</f>
        <v>0.404268590716454</v>
      </c>
      <c r="Q746" s="40" t="n">
        <f aca="true">RAND()</f>
        <v>0.882105775859815</v>
      </c>
      <c r="R746" s="40" t="n">
        <f aca="true">RAND()</f>
        <v>0.0247935362608981</v>
      </c>
      <c r="S746" s="40" t="n">
        <f aca="true">RAND()</f>
        <v>0.168637110371277</v>
      </c>
      <c r="T746" s="40" t="n">
        <f aca="true">RAND()</f>
        <v>0.00223930822419885</v>
      </c>
      <c r="U746" s="40" t="n">
        <f aca="true">RAND()</f>
        <v>0.541540898880204</v>
      </c>
    </row>
    <row r="747" customFormat="false" ht="15" hidden="false" customHeight="false" outlineLevel="0" collapsed="false">
      <c r="A747" s="36" t="n">
        <v>667</v>
      </c>
      <c r="B747" s="37" t="n">
        <f aca="false">1+IF($G$6=$E$6,$F$6,IF(P747&lt;($F$6-$E$6)/($G$6-$E$6),$E$6+SQRT(P747*($G$6-$E$6)*($F$6-$E$6)),$G$6-SQRT((1-P747)*($G$6-$E$6)*($G$6-$F$6))))</f>
        <v>1</v>
      </c>
      <c r="C747" s="37" t="n">
        <f aca="false">1+IF($G$7=$E$7,$F$7,IF(Q747&lt;($F$7-$E$7)/($G$7-$E$7),$E$7+SQRT(Q747*($G$7-$E$7)*($F$7-$E$7)),$G$7-SQRT((1-Q747)*($G$7-$E$7)*($G$7-$F$7))))</f>
        <v>1</v>
      </c>
      <c r="D747" s="37" t="n">
        <f aca="false">1+IF($G$8=$E$8,$F$8,IF(R747&lt;($F$8-$E$8)/($G$8-$E$8),$E$8+SQRT(R747*($G$8-$E$8)*($F$8-$E$8)),$G$8-SQRT((1-R747)*($G$8-$E$8)*($G$8-$F$8))))</f>
        <v>1</v>
      </c>
      <c r="E747" s="37" t="n">
        <f aca="false">1+IF($G$9=$E$9,$F$9,IF(S747&lt;($F$9-$E$9)/($G$9-$E$9),$E$9+SQRT(S747*($G$9-$E$9)*($F$9-$E$9)),$G$9-SQRT((1-S747)*($G$9-$E$9)*($G$9-$F$9))))</f>
        <v>1</v>
      </c>
      <c r="F747" s="37" t="n">
        <f aca="false">1+IF($G$10=$E$10,$F$10,IF(T747&lt;($F$10-$E$10)/($G$10-$E$10),$E$10+SQRT(T747*($G$10-$E$10)*($F$10-$E$10)),$G$10-SQRT((1-T747)*($G$10-$E$10)*($G$10-$F$10))))</f>
        <v>1</v>
      </c>
      <c r="G747" s="38" t="n">
        <f aca="false">IF($G$11=$E$11,$F$11,IF(U747&lt;($F$11-$E$11)/($G$11-$E$11),$E$11+SQRT(U747*($G$11-$E$11)*($F$11-$E$11)),$G$11-SQRT((1-U747)*($G$11-$E$11)*($G$11-$F$11))))</f>
        <v>0</v>
      </c>
      <c r="H747" s="39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0</v>
      </c>
      <c r="I747" s="39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0</v>
      </c>
      <c r="J747" s="39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0</v>
      </c>
      <c r="K747" s="39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0</v>
      </c>
      <c r="L747" s="39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0</v>
      </c>
      <c r="M747" s="39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0</v>
      </c>
      <c r="N747" s="39" t="str">
        <f aca="false">IF(COUNT('Business Case'!B11:G11)=0,"",H747+NPV(G747,I747:M747))</f>
        <v/>
      </c>
      <c r="P747" s="40" t="n">
        <f aca="true">RAND()</f>
        <v>0.717070037517778</v>
      </c>
      <c r="Q747" s="40" t="n">
        <f aca="true">RAND()</f>
        <v>0.545079507690452</v>
      </c>
      <c r="R747" s="40" t="n">
        <f aca="true">RAND()</f>
        <v>0.0309483548765434</v>
      </c>
      <c r="S747" s="40" t="n">
        <f aca="true">RAND()</f>
        <v>0.158777962422206</v>
      </c>
      <c r="T747" s="40" t="n">
        <f aca="true">RAND()</f>
        <v>0.705122445771206</v>
      </c>
      <c r="U747" s="40" t="n">
        <f aca="true">RAND()</f>
        <v>0.246936526795465</v>
      </c>
    </row>
    <row r="748" customFormat="false" ht="15" hidden="false" customHeight="false" outlineLevel="0" collapsed="false">
      <c r="A748" s="36" t="n">
        <v>668</v>
      </c>
      <c r="B748" s="37" t="n">
        <f aca="false">1+IF($G$6=$E$6,$F$6,IF(P748&lt;($F$6-$E$6)/($G$6-$E$6),$E$6+SQRT(P748*($G$6-$E$6)*($F$6-$E$6)),$G$6-SQRT((1-P748)*($G$6-$E$6)*($G$6-$F$6))))</f>
        <v>1</v>
      </c>
      <c r="C748" s="37" t="n">
        <f aca="false">1+IF($G$7=$E$7,$F$7,IF(Q748&lt;($F$7-$E$7)/($G$7-$E$7),$E$7+SQRT(Q748*($G$7-$E$7)*($F$7-$E$7)),$G$7-SQRT((1-Q748)*($G$7-$E$7)*($G$7-$F$7))))</f>
        <v>1</v>
      </c>
      <c r="D748" s="37" t="n">
        <f aca="false">1+IF($G$8=$E$8,$F$8,IF(R748&lt;($F$8-$E$8)/($G$8-$E$8),$E$8+SQRT(R748*($G$8-$E$8)*($F$8-$E$8)),$G$8-SQRT((1-R748)*($G$8-$E$8)*($G$8-$F$8))))</f>
        <v>1</v>
      </c>
      <c r="E748" s="37" t="n">
        <f aca="false">1+IF($G$9=$E$9,$F$9,IF(S748&lt;($F$9-$E$9)/($G$9-$E$9),$E$9+SQRT(S748*($G$9-$E$9)*($F$9-$E$9)),$G$9-SQRT((1-S748)*($G$9-$E$9)*($G$9-$F$9))))</f>
        <v>1</v>
      </c>
      <c r="F748" s="37" t="n">
        <f aca="false">1+IF($G$10=$E$10,$F$10,IF(T748&lt;($F$10-$E$10)/($G$10-$E$10),$E$10+SQRT(T748*($G$10-$E$10)*($F$10-$E$10)),$G$10-SQRT((1-T748)*($G$10-$E$10)*($G$10-$F$10))))</f>
        <v>1</v>
      </c>
      <c r="G748" s="38" t="n">
        <f aca="false">IF($G$11=$E$11,$F$11,IF(U748&lt;($F$11-$E$11)/($G$11-$E$11),$E$11+SQRT(U748*($G$11-$E$11)*($F$11-$E$11)),$G$11-SQRT((1-U748)*($G$11-$E$11)*($G$11-$F$11))))</f>
        <v>0</v>
      </c>
      <c r="H748" s="39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0</v>
      </c>
      <c r="I748" s="39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0</v>
      </c>
      <c r="J748" s="39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0</v>
      </c>
      <c r="K748" s="39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0</v>
      </c>
      <c r="L748" s="39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0</v>
      </c>
      <c r="M748" s="39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0</v>
      </c>
      <c r="N748" s="39" t="str">
        <f aca="false">IF(COUNT('Business Case'!B11:G11)=0,"",H748+NPV(G748,I748:M748))</f>
        <v/>
      </c>
      <c r="P748" s="40" t="n">
        <f aca="true">RAND()</f>
        <v>0.486599304866693</v>
      </c>
      <c r="Q748" s="40" t="n">
        <f aca="true">RAND()</f>
        <v>0.971165902547188</v>
      </c>
      <c r="R748" s="40" t="n">
        <f aca="true">RAND()</f>
        <v>0.0342607521764469</v>
      </c>
      <c r="S748" s="40" t="n">
        <f aca="true">RAND()</f>
        <v>0.776696365909473</v>
      </c>
      <c r="T748" s="40" t="n">
        <f aca="true">RAND()</f>
        <v>0.11732431794785</v>
      </c>
      <c r="U748" s="40" t="n">
        <f aca="true">RAND()</f>
        <v>0.090080252024409</v>
      </c>
    </row>
    <row r="749" customFormat="false" ht="15" hidden="false" customHeight="false" outlineLevel="0" collapsed="false">
      <c r="A749" s="36" t="n">
        <v>669</v>
      </c>
      <c r="B749" s="37" t="n">
        <f aca="false">1+IF($G$6=$E$6,$F$6,IF(P749&lt;($F$6-$E$6)/($G$6-$E$6),$E$6+SQRT(P749*($G$6-$E$6)*($F$6-$E$6)),$G$6-SQRT((1-P749)*($G$6-$E$6)*($G$6-$F$6))))</f>
        <v>1</v>
      </c>
      <c r="C749" s="37" t="n">
        <f aca="false">1+IF($G$7=$E$7,$F$7,IF(Q749&lt;($F$7-$E$7)/($G$7-$E$7),$E$7+SQRT(Q749*($G$7-$E$7)*($F$7-$E$7)),$G$7-SQRT((1-Q749)*($G$7-$E$7)*($G$7-$F$7))))</f>
        <v>1</v>
      </c>
      <c r="D749" s="37" t="n">
        <f aca="false">1+IF($G$8=$E$8,$F$8,IF(R749&lt;($F$8-$E$8)/($G$8-$E$8),$E$8+SQRT(R749*($G$8-$E$8)*($F$8-$E$8)),$G$8-SQRT((1-R749)*($G$8-$E$8)*($G$8-$F$8))))</f>
        <v>1</v>
      </c>
      <c r="E749" s="37" t="n">
        <f aca="false">1+IF($G$9=$E$9,$F$9,IF(S749&lt;($F$9-$E$9)/($G$9-$E$9),$E$9+SQRT(S749*($G$9-$E$9)*($F$9-$E$9)),$G$9-SQRT((1-S749)*($G$9-$E$9)*($G$9-$F$9))))</f>
        <v>1</v>
      </c>
      <c r="F749" s="37" t="n">
        <f aca="false">1+IF($G$10=$E$10,$F$10,IF(T749&lt;($F$10-$E$10)/($G$10-$E$10),$E$10+SQRT(T749*($G$10-$E$10)*($F$10-$E$10)),$G$10-SQRT((1-T749)*($G$10-$E$10)*($G$10-$F$10))))</f>
        <v>1</v>
      </c>
      <c r="G749" s="38" t="n">
        <f aca="false">IF($G$11=$E$11,$F$11,IF(U749&lt;($F$11-$E$11)/($G$11-$E$11),$E$11+SQRT(U749*($G$11-$E$11)*($F$11-$E$11)),$G$11-SQRT((1-U749)*($G$11-$E$11)*($G$11-$F$11))))</f>
        <v>0</v>
      </c>
      <c r="H749" s="39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0</v>
      </c>
      <c r="I749" s="39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0</v>
      </c>
      <c r="J749" s="39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0</v>
      </c>
      <c r="K749" s="39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0</v>
      </c>
      <c r="L749" s="39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0</v>
      </c>
      <c r="M749" s="39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0</v>
      </c>
      <c r="N749" s="39" t="str">
        <f aca="false">IF(COUNT('Business Case'!B11:G11)=0,"",H749+NPV(G749,I749:M749))</f>
        <v/>
      </c>
      <c r="P749" s="40" t="n">
        <f aca="true">RAND()</f>
        <v>0.737308462679644</v>
      </c>
      <c r="Q749" s="40" t="n">
        <f aca="true">RAND()</f>
        <v>0.495575887038893</v>
      </c>
      <c r="R749" s="40" t="n">
        <f aca="true">RAND()</f>
        <v>0.201936240707217</v>
      </c>
      <c r="S749" s="40" t="n">
        <f aca="true">RAND()</f>
        <v>0.0774411560829645</v>
      </c>
      <c r="T749" s="40" t="n">
        <f aca="true">RAND()</f>
        <v>0.0945156043618017</v>
      </c>
      <c r="U749" s="40" t="n">
        <f aca="true">RAND()</f>
        <v>0.246195853751757</v>
      </c>
    </row>
    <row r="750" customFormat="false" ht="15" hidden="false" customHeight="false" outlineLevel="0" collapsed="false">
      <c r="A750" s="36" t="n">
        <v>670</v>
      </c>
      <c r="B750" s="37" t="n">
        <f aca="false">1+IF($G$6=$E$6,$F$6,IF(P750&lt;($F$6-$E$6)/($G$6-$E$6),$E$6+SQRT(P750*($G$6-$E$6)*($F$6-$E$6)),$G$6-SQRT((1-P750)*($G$6-$E$6)*($G$6-$F$6))))</f>
        <v>1</v>
      </c>
      <c r="C750" s="37" t="n">
        <f aca="false">1+IF($G$7=$E$7,$F$7,IF(Q750&lt;($F$7-$E$7)/($G$7-$E$7),$E$7+SQRT(Q750*($G$7-$E$7)*($F$7-$E$7)),$G$7-SQRT((1-Q750)*($G$7-$E$7)*($G$7-$F$7))))</f>
        <v>1</v>
      </c>
      <c r="D750" s="37" t="n">
        <f aca="false">1+IF($G$8=$E$8,$F$8,IF(R750&lt;($F$8-$E$8)/($G$8-$E$8),$E$8+SQRT(R750*($G$8-$E$8)*($F$8-$E$8)),$G$8-SQRT((1-R750)*($G$8-$E$8)*($G$8-$F$8))))</f>
        <v>1</v>
      </c>
      <c r="E750" s="37" t="n">
        <f aca="false">1+IF($G$9=$E$9,$F$9,IF(S750&lt;($F$9-$E$9)/($G$9-$E$9),$E$9+SQRT(S750*($G$9-$E$9)*($F$9-$E$9)),$G$9-SQRT((1-S750)*($G$9-$E$9)*($G$9-$F$9))))</f>
        <v>1</v>
      </c>
      <c r="F750" s="37" t="n">
        <f aca="false">1+IF($G$10=$E$10,$F$10,IF(T750&lt;($F$10-$E$10)/($G$10-$E$10),$E$10+SQRT(T750*($G$10-$E$10)*($F$10-$E$10)),$G$10-SQRT((1-T750)*($G$10-$E$10)*($G$10-$F$10))))</f>
        <v>1</v>
      </c>
      <c r="G750" s="38" t="n">
        <f aca="false">IF($G$11=$E$11,$F$11,IF(U750&lt;($F$11-$E$11)/($G$11-$E$11),$E$11+SQRT(U750*($G$11-$E$11)*($F$11-$E$11)),$G$11-SQRT((1-U750)*($G$11-$E$11)*($G$11-$F$11))))</f>
        <v>0</v>
      </c>
      <c r="H750" s="39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0</v>
      </c>
      <c r="I750" s="39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0</v>
      </c>
      <c r="J750" s="39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0</v>
      </c>
      <c r="K750" s="39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0</v>
      </c>
      <c r="L750" s="39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0</v>
      </c>
      <c r="M750" s="39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0</v>
      </c>
      <c r="N750" s="39" t="str">
        <f aca="false">IF(COUNT('Business Case'!B11:G11)=0,"",H750+NPV(G750,I750:M750))</f>
        <v/>
      </c>
      <c r="P750" s="40" t="n">
        <f aca="true">RAND()</f>
        <v>0.400864125749305</v>
      </c>
      <c r="Q750" s="40" t="n">
        <f aca="true">RAND()</f>
        <v>0.166939151204381</v>
      </c>
      <c r="R750" s="40" t="n">
        <f aca="true">RAND()</f>
        <v>0.138710019972216</v>
      </c>
      <c r="S750" s="40" t="n">
        <f aca="true">RAND()</f>
        <v>0.621431921258574</v>
      </c>
      <c r="T750" s="40" t="n">
        <f aca="true">RAND()</f>
        <v>0.364445207115254</v>
      </c>
      <c r="U750" s="40" t="n">
        <f aca="true">RAND()</f>
        <v>0.872291611055874</v>
      </c>
    </row>
    <row r="751" customFormat="false" ht="15" hidden="false" customHeight="false" outlineLevel="0" collapsed="false">
      <c r="A751" s="36" t="n">
        <v>671</v>
      </c>
      <c r="B751" s="37" t="n">
        <f aca="false">1+IF($G$6=$E$6,$F$6,IF(P751&lt;($F$6-$E$6)/($G$6-$E$6),$E$6+SQRT(P751*($G$6-$E$6)*($F$6-$E$6)),$G$6-SQRT((1-P751)*($G$6-$E$6)*($G$6-$F$6))))</f>
        <v>1</v>
      </c>
      <c r="C751" s="37" t="n">
        <f aca="false">1+IF($G$7=$E$7,$F$7,IF(Q751&lt;($F$7-$E$7)/($G$7-$E$7),$E$7+SQRT(Q751*($G$7-$E$7)*($F$7-$E$7)),$G$7-SQRT((1-Q751)*($G$7-$E$7)*($G$7-$F$7))))</f>
        <v>1</v>
      </c>
      <c r="D751" s="37" t="n">
        <f aca="false">1+IF($G$8=$E$8,$F$8,IF(R751&lt;($F$8-$E$8)/($G$8-$E$8),$E$8+SQRT(R751*($G$8-$E$8)*($F$8-$E$8)),$G$8-SQRT((1-R751)*($G$8-$E$8)*($G$8-$F$8))))</f>
        <v>1</v>
      </c>
      <c r="E751" s="37" t="n">
        <f aca="false">1+IF($G$9=$E$9,$F$9,IF(S751&lt;($F$9-$E$9)/($G$9-$E$9),$E$9+SQRT(S751*($G$9-$E$9)*($F$9-$E$9)),$G$9-SQRT((1-S751)*($G$9-$E$9)*($G$9-$F$9))))</f>
        <v>1</v>
      </c>
      <c r="F751" s="37" t="n">
        <f aca="false">1+IF($G$10=$E$10,$F$10,IF(T751&lt;($F$10-$E$10)/($G$10-$E$10),$E$10+SQRT(T751*($G$10-$E$10)*($F$10-$E$10)),$G$10-SQRT((1-T751)*($G$10-$E$10)*($G$10-$F$10))))</f>
        <v>1</v>
      </c>
      <c r="G751" s="38" t="n">
        <f aca="false">IF($G$11=$E$11,$F$11,IF(U751&lt;($F$11-$E$11)/($G$11-$E$11),$E$11+SQRT(U751*($G$11-$E$11)*($F$11-$E$11)),$G$11-SQRT((1-U751)*($G$11-$E$11)*($G$11-$F$11))))</f>
        <v>0</v>
      </c>
      <c r="H751" s="39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0</v>
      </c>
      <c r="I751" s="39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0</v>
      </c>
      <c r="J751" s="39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0</v>
      </c>
      <c r="K751" s="39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0</v>
      </c>
      <c r="L751" s="39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0</v>
      </c>
      <c r="M751" s="39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0</v>
      </c>
      <c r="N751" s="39" t="str">
        <f aca="false">IF(COUNT('Business Case'!B11:G11)=0,"",H751+NPV(G751,I751:M751))</f>
        <v/>
      </c>
      <c r="P751" s="40" t="n">
        <f aca="true">RAND()</f>
        <v>0.798177766630267</v>
      </c>
      <c r="Q751" s="40" t="n">
        <f aca="true">RAND()</f>
        <v>0.718617602533217</v>
      </c>
      <c r="R751" s="40" t="n">
        <f aca="true">RAND()</f>
        <v>0.0304165593178605</v>
      </c>
      <c r="S751" s="40" t="n">
        <f aca="true">RAND()</f>
        <v>0.386698123779699</v>
      </c>
      <c r="T751" s="40" t="n">
        <f aca="true">RAND()</f>
        <v>0.736010524402413</v>
      </c>
      <c r="U751" s="40" t="n">
        <f aca="true">RAND()</f>
        <v>0.529535114873919</v>
      </c>
    </row>
    <row r="752" customFormat="false" ht="15" hidden="false" customHeight="false" outlineLevel="0" collapsed="false">
      <c r="A752" s="36" t="n">
        <v>672</v>
      </c>
      <c r="B752" s="37" t="n">
        <f aca="false">1+IF($G$6=$E$6,$F$6,IF(P752&lt;($F$6-$E$6)/($G$6-$E$6),$E$6+SQRT(P752*($G$6-$E$6)*($F$6-$E$6)),$G$6-SQRT((1-P752)*($G$6-$E$6)*($G$6-$F$6))))</f>
        <v>1</v>
      </c>
      <c r="C752" s="37" t="n">
        <f aca="false">1+IF($G$7=$E$7,$F$7,IF(Q752&lt;($F$7-$E$7)/($G$7-$E$7),$E$7+SQRT(Q752*($G$7-$E$7)*($F$7-$E$7)),$G$7-SQRT((1-Q752)*($G$7-$E$7)*($G$7-$F$7))))</f>
        <v>1</v>
      </c>
      <c r="D752" s="37" t="n">
        <f aca="false">1+IF($G$8=$E$8,$F$8,IF(R752&lt;($F$8-$E$8)/($G$8-$E$8),$E$8+SQRT(R752*($G$8-$E$8)*($F$8-$E$8)),$G$8-SQRT((1-R752)*($G$8-$E$8)*($G$8-$F$8))))</f>
        <v>1</v>
      </c>
      <c r="E752" s="37" t="n">
        <f aca="false">1+IF($G$9=$E$9,$F$9,IF(S752&lt;($F$9-$E$9)/($G$9-$E$9),$E$9+SQRT(S752*($G$9-$E$9)*($F$9-$E$9)),$G$9-SQRT((1-S752)*($G$9-$E$9)*($G$9-$F$9))))</f>
        <v>1</v>
      </c>
      <c r="F752" s="37" t="n">
        <f aca="false">1+IF($G$10=$E$10,$F$10,IF(T752&lt;($F$10-$E$10)/($G$10-$E$10),$E$10+SQRT(T752*($G$10-$E$10)*($F$10-$E$10)),$G$10-SQRT((1-T752)*($G$10-$E$10)*($G$10-$F$10))))</f>
        <v>1</v>
      </c>
      <c r="G752" s="38" t="n">
        <f aca="false">IF($G$11=$E$11,$F$11,IF(U752&lt;($F$11-$E$11)/($G$11-$E$11),$E$11+SQRT(U752*($G$11-$E$11)*($F$11-$E$11)),$G$11-SQRT((1-U752)*($G$11-$E$11)*($G$11-$F$11))))</f>
        <v>0</v>
      </c>
      <c r="H752" s="39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0</v>
      </c>
      <c r="I752" s="39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0</v>
      </c>
      <c r="J752" s="39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0</v>
      </c>
      <c r="K752" s="39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0</v>
      </c>
      <c r="L752" s="39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0</v>
      </c>
      <c r="M752" s="39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0</v>
      </c>
      <c r="N752" s="39" t="str">
        <f aca="false">IF(COUNT('Business Case'!B11:G11)=0,"",H752+NPV(G752,I752:M752))</f>
        <v/>
      </c>
      <c r="P752" s="40" t="n">
        <f aca="true">RAND()</f>
        <v>0.212177462848111</v>
      </c>
      <c r="Q752" s="40" t="n">
        <f aca="true">RAND()</f>
        <v>0.759677094864969</v>
      </c>
      <c r="R752" s="40" t="n">
        <f aca="true">RAND()</f>
        <v>0.869639853254104</v>
      </c>
      <c r="S752" s="40" t="n">
        <f aca="true">RAND()</f>
        <v>0.253006774479746</v>
      </c>
      <c r="T752" s="40" t="n">
        <f aca="true">RAND()</f>
        <v>0.191859640599051</v>
      </c>
      <c r="U752" s="40" t="n">
        <f aca="true">RAND()</f>
        <v>0.738177587910482</v>
      </c>
    </row>
    <row r="753" customFormat="false" ht="15" hidden="false" customHeight="false" outlineLevel="0" collapsed="false">
      <c r="A753" s="36" t="n">
        <v>673</v>
      </c>
      <c r="B753" s="37" t="n">
        <f aca="false">1+IF($G$6=$E$6,$F$6,IF(P753&lt;($F$6-$E$6)/($G$6-$E$6),$E$6+SQRT(P753*($G$6-$E$6)*($F$6-$E$6)),$G$6-SQRT((1-P753)*($G$6-$E$6)*($G$6-$F$6))))</f>
        <v>1</v>
      </c>
      <c r="C753" s="37" t="n">
        <f aca="false">1+IF($G$7=$E$7,$F$7,IF(Q753&lt;($F$7-$E$7)/($G$7-$E$7),$E$7+SQRT(Q753*($G$7-$E$7)*($F$7-$E$7)),$G$7-SQRT((1-Q753)*($G$7-$E$7)*($G$7-$F$7))))</f>
        <v>1</v>
      </c>
      <c r="D753" s="37" t="n">
        <f aca="false">1+IF($G$8=$E$8,$F$8,IF(R753&lt;($F$8-$E$8)/($G$8-$E$8),$E$8+SQRT(R753*($G$8-$E$8)*($F$8-$E$8)),$G$8-SQRT((1-R753)*($G$8-$E$8)*($G$8-$F$8))))</f>
        <v>1</v>
      </c>
      <c r="E753" s="37" t="n">
        <f aca="false">1+IF($G$9=$E$9,$F$9,IF(S753&lt;($F$9-$E$9)/($G$9-$E$9),$E$9+SQRT(S753*($G$9-$E$9)*($F$9-$E$9)),$G$9-SQRT((1-S753)*($G$9-$E$9)*($G$9-$F$9))))</f>
        <v>1</v>
      </c>
      <c r="F753" s="37" t="n">
        <f aca="false">1+IF($G$10=$E$10,$F$10,IF(T753&lt;($F$10-$E$10)/($G$10-$E$10),$E$10+SQRT(T753*($G$10-$E$10)*($F$10-$E$10)),$G$10-SQRT((1-T753)*($G$10-$E$10)*($G$10-$F$10))))</f>
        <v>1</v>
      </c>
      <c r="G753" s="38" t="n">
        <f aca="false">IF($G$11=$E$11,$F$11,IF(U753&lt;($F$11-$E$11)/($G$11-$E$11),$E$11+SQRT(U753*($G$11-$E$11)*($F$11-$E$11)),$G$11-SQRT((1-U753)*($G$11-$E$11)*($G$11-$F$11))))</f>
        <v>0</v>
      </c>
      <c r="H753" s="39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0</v>
      </c>
      <c r="I753" s="39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0</v>
      </c>
      <c r="J753" s="39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0</v>
      </c>
      <c r="K753" s="39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0</v>
      </c>
      <c r="L753" s="39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0</v>
      </c>
      <c r="M753" s="39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0</v>
      </c>
      <c r="N753" s="39" t="str">
        <f aca="false">IF(COUNT('Business Case'!B11:G11)=0,"",H753+NPV(G753,I753:M753))</f>
        <v/>
      </c>
      <c r="P753" s="40" t="n">
        <f aca="true">RAND()</f>
        <v>0.986105181086319</v>
      </c>
      <c r="Q753" s="40" t="n">
        <f aca="true">RAND()</f>
        <v>0.987076325280674</v>
      </c>
      <c r="R753" s="40" t="n">
        <f aca="true">RAND()</f>
        <v>0.135914529383617</v>
      </c>
      <c r="S753" s="40" t="n">
        <f aca="true">RAND()</f>
        <v>0.699983321293452</v>
      </c>
      <c r="T753" s="40" t="n">
        <f aca="true">RAND()</f>
        <v>0.490679556214605</v>
      </c>
      <c r="U753" s="40" t="n">
        <f aca="true">RAND()</f>
        <v>0.649331710606996</v>
      </c>
    </row>
    <row r="754" customFormat="false" ht="15" hidden="false" customHeight="false" outlineLevel="0" collapsed="false">
      <c r="A754" s="36" t="n">
        <v>674</v>
      </c>
      <c r="B754" s="37" t="n">
        <f aca="false">1+IF($G$6=$E$6,$F$6,IF(P754&lt;($F$6-$E$6)/($G$6-$E$6),$E$6+SQRT(P754*($G$6-$E$6)*($F$6-$E$6)),$G$6-SQRT((1-P754)*($G$6-$E$6)*($G$6-$F$6))))</f>
        <v>1</v>
      </c>
      <c r="C754" s="37" t="n">
        <f aca="false">1+IF($G$7=$E$7,$F$7,IF(Q754&lt;($F$7-$E$7)/($G$7-$E$7),$E$7+SQRT(Q754*($G$7-$E$7)*($F$7-$E$7)),$G$7-SQRT((1-Q754)*($G$7-$E$7)*($G$7-$F$7))))</f>
        <v>1</v>
      </c>
      <c r="D754" s="37" t="n">
        <f aca="false">1+IF($G$8=$E$8,$F$8,IF(R754&lt;($F$8-$E$8)/($G$8-$E$8),$E$8+SQRT(R754*($G$8-$E$8)*($F$8-$E$8)),$G$8-SQRT((1-R754)*($G$8-$E$8)*($G$8-$F$8))))</f>
        <v>1</v>
      </c>
      <c r="E754" s="37" t="n">
        <f aca="false">1+IF($G$9=$E$9,$F$9,IF(S754&lt;($F$9-$E$9)/($G$9-$E$9),$E$9+SQRT(S754*($G$9-$E$9)*($F$9-$E$9)),$G$9-SQRT((1-S754)*($G$9-$E$9)*($G$9-$F$9))))</f>
        <v>1</v>
      </c>
      <c r="F754" s="37" t="n">
        <f aca="false">1+IF($G$10=$E$10,$F$10,IF(T754&lt;($F$10-$E$10)/($G$10-$E$10),$E$10+SQRT(T754*($G$10-$E$10)*($F$10-$E$10)),$G$10-SQRT((1-T754)*($G$10-$E$10)*($G$10-$F$10))))</f>
        <v>1</v>
      </c>
      <c r="G754" s="38" t="n">
        <f aca="false">IF($G$11=$E$11,$F$11,IF(U754&lt;($F$11-$E$11)/($G$11-$E$11),$E$11+SQRT(U754*($G$11-$E$11)*($F$11-$E$11)),$G$11-SQRT((1-U754)*($G$11-$E$11)*($G$11-$F$11))))</f>
        <v>0</v>
      </c>
      <c r="H754" s="39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0</v>
      </c>
      <c r="I754" s="39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0</v>
      </c>
      <c r="J754" s="39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0</v>
      </c>
      <c r="K754" s="39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0</v>
      </c>
      <c r="L754" s="39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0</v>
      </c>
      <c r="M754" s="39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0</v>
      </c>
      <c r="N754" s="39" t="str">
        <f aca="false">IF(COUNT('Business Case'!B11:G11)=0,"",H754+NPV(G754,I754:M754))</f>
        <v/>
      </c>
      <c r="P754" s="40" t="n">
        <f aca="true">RAND()</f>
        <v>0.263009887736176</v>
      </c>
      <c r="Q754" s="40" t="n">
        <f aca="true">RAND()</f>
        <v>0.610852013040585</v>
      </c>
      <c r="R754" s="40" t="n">
        <f aca="true">RAND()</f>
        <v>0.859524552474574</v>
      </c>
      <c r="S754" s="40" t="n">
        <f aca="true">RAND()</f>
        <v>0.314925582012406</v>
      </c>
      <c r="T754" s="40" t="n">
        <f aca="true">RAND()</f>
        <v>0.666223533892064</v>
      </c>
      <c r="U754" s="40" t="n">
        <f aca="true">RAND()</f>
        <v>0.895283387404161</v>
      </c>
    </row>
    <row r="755" customFormat="false" ht="15" hidden="false" customHeight="false" outlineLevel="0" collapsed="false">
      <c r="A755" s="36" t="n">
        <v>675</v>
      </c>
      <c r="B755" s="37" t="n">
        <f aca="false">1+IF($G$6=$E$6,$F$6,IF(P755&lt;($F$6-$E$6)/($G$6-$E$6),$E$6+SQRT(P755*($G$6-$E$6)*($F$6-$E$6)),$G$6-SQRT((1-P755)*($G$6-$E$6)*($G$6-$F$6))))</f>
        <v>1</v>
      </c>
      <c r="C755" s="37" t="n">
        <f aca="false">1+IF($G$7=$E$7,$F$7,IF(Q755&lt;($F$7-$E$7)/($G$7-$E$7),$E$7+SQRT(Q755*($G$7-$E$7)*($F$7-$E$7)),$G$7-SQRT((1-Q755)*($G$7-$E$7)*($G$7-$F$7))))</f>
        <v>1</v>
      </c>
      <c r="D755" s="37" t="n">
        <f aca="false">1+IF($G$8=$E$8,$F$8,IF(R755&lt;($F$8-$E$8)/($G$8-$E$8),$E$8+SQRT(R755*($G$8-$E$8)*($F$8-$E$8)),$G$8-SQRT((1-R755)*($G$8-$E$8)*($G$8-$F$8))))</f>
        <v>1</v>
      </c>
      <c r="E755" s="37" t="n">
        <f aca="false">1+IF($G$9=$E$9,$F$9,IF(S755&lt;($F$9-$E$9)/($G$9-$E$9),$E$9+SQRT(S755*($G$9-$E$9)*($F$9-$E$9)),$G$9-SQRT((1-S755)*($G$9-$E$9)*($G$9-$F$9))))</f>
        <v>1</v>
      </c>
      <c r="F755" s="37" t="n">
        <f aca="false">1+IF($G$10=$E$10,$F$10,IF(T755&lt;($F$10-$E$10)/($G$10-$E$10),$E$10+SQRT(T755*($G$10-$E$10)*($F$10-$E$10)),$G$10-SQRT((1-T755)*($G$10-$E$10)*($G$10-$F$10))))</f>
        <v>1</v>
      </c>
      <c r="G755" s="38" t="n">
        <f aca="false">IF($G$11=$E$11,$F$11,IF(U755&lt;($F$11-$E$11)/($G$11-$E$11),$E$11+SQRT(U755*($G$11-$E$11)*($F$11-$E$11)),$G$11-SQRT((1-U755)*($G$11-$E$11)*($G$11-$F$11))))</f>
        <v>0</v>
      </c>
      <c r="H755" s="39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0</v>
      </c>
      <c r="I755" s="39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0</v>
      </c>
      <c r="J755" s="39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0</v>
      </c>
      <c r="K755" s="39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0</v>
      </c>
      <c r="L755" s="39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0</v>
      </c>
      <c r="M755" s="39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0</v>
      </c>
      <c r="N755" s="39" t="str">
        <f aca="false">IF(COUNT('Business Case'!B11:G11)=0,"",H755+NPV(G755,I755:M755))</f>
        <v/>
      </c>
      <c r="P755" s="40" t="n">
        <f aca="true">RAND()</f>
        <v>0.994860270297225</v>
      </c>
      <c r="Q755" s="40" t="n">
        <f aca="true">RAND()</f>
        <v>0.970766638316091</v>
      </c>
      <c r="R755" s="40" t="n">
        <f aca="true">RAND()</f>
        <v>0.772414116568895</v>
      </c>
      <c r="S755" s="40" t="n">
        <f aca="true">RAND()</f>
        <v>0.0976339459755202</v>
      </c>
      <c r="T755" s="40" t="n">
        <f aca="true">RAND()</f>
        <v>0.638232463726293</v>
      </c>
      <c r="U755" s="40" t="n">
        <f aca="true">RAND()</f>
        <v>0.336928765507548</v>
      </c>
    </row>
    <row r="756" customFormat="false" ht="15" hidden="false" customHeight="false" outlineLevel="0" collapsed="false">
      <c r="A756" s="36" t="n">
        <v>676</v>
      </c>
      <c r="B756" s="37" t="n">
        <f aca="false">1+IF($G$6=$E$6,$F$6,IF(P756&lt;($F$6-$E$6)/($G$6-$E$6),$E$6+SQRT(P756*($G$6-$E$6)*($F$6-$E$6)),$G$6-SQRT((1-P756)*($G$6-$E$6)*($G$6-$F$6))))</f>
        <v>1</v>
      </c>
      <c r="C756" s="37" t="n">
        <f aca="false">1+IF($G$7=$E$7,$F$7,IF(Q756&lt;($F$7-$E$7)/($G$7-$E$7),$E$7+SQRT(Q756*($G$7-$E$7)*($F$7-$E$7)),$G$7-SQRT((1-Q756)*($G$7-$E$7)*($G$7-$F$7))))</f>
        <v>1</v>
      </c>
      <c r="D756" s="37" t="n">
        <f aca="false">1+IF($G$8=$E$8,$F$8,IF(R756&lt;($F$8-$E$8)/($G$8-$E$8),$E$8+SQRT(R756*($G$8-$E$8)*($F$8-$E$8)),$G$8-SQRT((1-R756)*($G$8-$E$8)*($G$8-$F$8))))</f>
        <v>1</v>
      </c>
      <c r="E756" s="37" t="n">
        <f aca="false">1+IF($G$9=$E$9,$F$9,IF(S756&lt;($F$9-$E$9)/($G$9-$E$9),$E$9+SQRT(S756*($G$9-$E$9)*($F$9-$E$9)),$G$9-SQRT((1-S756)*($G$9-$E$9)*($G$9-$F$9))))</f>
        <v>1</v>
      </c>
      <c r="F756" s="37" t="n">
        <f aca="false">1+IF($G$10=$E$10,$F$10,IF(T756&lt;($F$10-$E$10)/($G$10-$E$10),$E$10+SQRT(T756*($G$10-$E$10)*($F$10-$E$10)),$G$10-SQRT((1-T756)*($G$10-$E$10)*($G$10-$F$10))))</f>
        <v>1</v>
      </c>
      <c r="G756" s="38" t="n">
        <f aca="false">IF($G$11=$E$11,$F$11,IF(U756&lt;($F$11-$E$11)/($G$11-$E$11),$E$11+SQRT(U756*($G$11-$E$11)*($F$11-$E$11)),$G$11-SQRT((1-U756)*($G$11-$E$11)*($G$11-$F$11))))</f>
        <v>0</v>
      </c>
      <c r="H756" s="39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0</v>
      </c>
      <c r="I756" s="39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0</v>
      </c>
      <c r="J756" s="39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0</v>
      </c>
      <c r="K756" s="39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0</v>
      </c>
      <c r="L756" s="39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0</v>
      </c>
      <c r="M756" s="39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0</v>
      </c>
      <c r="N756" s="39" t="str">
        <f aca="false">IF(COUNT('Business Case'!B11:G11)=0,"",H756+NPV(G756,I756:M756))</f>
        <v/>
      </c>
      <c r="P756" s="40" t="n">
        <f aca="true">RAND()</f>
        <v>0.931709523859681</v>
      </c>
      <c r="Q756" s="40" t="n">
        <f aca="true">RAND()</f>
        <v>0.0435344230386438</v>
      </c>
      <c r="R756" s="40" t="n">
        <f aca="true">RAND()</f>
        <v>0.819180674894531</v>
      </c>
      <c r="S756" s="40" t="n">
        <f aca="true">RAND()</f>
        <v>0.658206580704807</v>
      </c>
      <c r="T756" s="40" t="n">
        <f aca="true">RAND()</f>
        <v>0.186385877123806</v>
      </c>
      <c r="U756" s="40" t="n">
        <f aca="true">RAND()</f>
        <v>0.0419805322428297</v>
      </c>
    </row>
    <row r="757" customFormat="false" ht="15" hidden="false" customHeight="false" outlineLevel="0" collapsed="false">
      <c r="A757" s="36" t="n">
        <v>677</v>
      </c>
      <c r="B757" s="37" t="n">
        <f aca="false">1+IF($G$6=$E$6,$F$6,IF(P757&lt;($F$6-$E$6)/($G$6-$E$6),$E$6+SQRT(P757*($G$6-$E$6)*($F$6-$E$6)),$G$6-SQRT((1-P757)*($G$6-$E$6)*($G$6-$F$6))))</f>
        <v>1</v>
      </c>
      <c r="C757" s="37" t="n">
        <f aca="false">1+IF($G$7=$E$7,$F$7,IF(Q757&lt;($F$7-$E$7)/($G$7-$E$7),$E$7+SQRT(Q757*($G$7-$E$7)*($F$7-$E$7)),$G$7-SQRT((1-Q757)*($G$7-$E$7)*($G$7-$F$7))))</f>
        <v>1</v>
      </c>
      <c r="D757" s="37" t="n">
        <f aca="false">1+IF($G$8=$E$8,$F$8,IF(R757&lt;($F$8-$E$8)/($G$8-$E$8),$E$8+SQRT(R757*($G$8-$E$8)*($F$8-$E$8)),$G$8-SQRT((1-R757)*($G$8-$E$8)*($G$8-$F$8))))</f>
        <v>1</v>
      </c>
      <c r="E757" s="37" t="n">
        <f aca="false">1+IF($G$9=$E$9,$F$9,IF(S757&lt;($F$9-$E$9)/($G$9-$E$9),$E$9+SQRT(S757*($G$9-$E$9)*($F$9-$E$9)),$G$9-SQRT((1-S757)*($G$9-$E$9)*($G$9-$F$9))))</f>
        <v>1</v>
      </c>
      <c r="F757" s="37" t="n">
        <f aca="false">1+IF($G$10=$E$10,$F$10,IF(T757&lt;($F$10-$E$10)/($G$10-$E$10),$E$10+SQRT(T757*($G$10-$E$10)*($F$10-$E$10)),$G$10-SQRT((1-T757)*($G$10-$E$10)*($G$10-$F$10))))</f>
        <v>1</v>
      </c>
      <c r="G757" s="38" t="n">
        <f aca="false">IF($G$11=$E$11,$F$11,IF(U757&lt;($F$11-$E$11)/($G$11-$E$11),$E$11+SQRT(U757*($G$11-$E$11)*($F$11-$E$11)),$G$11-SQRT((1-U757)*($G$11-$E$11)*($G$11-$F$11))))</f>
        <v>0</v>
      </c>
      <c r="H757" s="39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0</v>
      </c>
      <c r="I757" s="39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0</v>
      </c>
      <c r="J757" s="39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0</v>
      </c>
      <c r="K757" s="39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0</v>
      </c>
      <c r="L757" s="39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0</v>
      </c>
      <c r="M757" s="39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0</v>
      </c>
      <c r="N757" s="39" t="str">
        <f aca="false">IF(COUNT('Business Case'!B11:G11)=0,"",H757+NPV(G757,I757:M757))</f>
        <v/>
      </c>
      <c r="P757" s="40" t="n">
        <f aca="true">RAND()</f>
        <v>0.941200366426876</v>
      </c>
      <c r="Q757" s="40" t="n">
        <f aca="true">RAND()</f>
        <v>0.683124246637725</v>
      </c>
      <c r="R757" s="40" t="n">
        <f aca="true">RAND()</f>
        <v>0.739755038501561</v>
      </c>
      <c r="S757" s="40" t="n">
        <f aca="true">RAND()</f>
        <v>0.888260199509775</v>
      </c>
      <c r="T757" s="40" t="n">
        <f aca="true">RAND()</f>
        <v>0.935046244193886</v>
      </c>
      <c r="U757" s="40" t="n">
        <f aca="true">RAND()</f>
        <v>0.860336199713383</v>
      </c>
    </row>
    <row r="758" customFormat="false" ht="15" hidden="false" customHeight="false" outlineLevel="0" collapsed="false">
      <c r="A758" s="36" t="n">
        <v>678</v>
      </c>
      <c r="B758" s="37" t="n">
        <f aca="false">1+IF($G$6=$E$6,$F$6,IF(P758&lt;($F$6-$E$6)/($G$6-$E$6),$E$6+SQRT(P758*($G$6-$E$6)*($F$6-$E$6)),$G$6-SQRT((1-P758)*($G$6-$E$6)*($G$6-$F$6))))</f>
        <v>1</v>
      </c>
      <c r="C758" s="37" t="n">
        <f aca="false">1+IF($G$7=$E$7,$F$7,IF(Q758&lt;($F$7-$E$7)/($G$7-$E$7),$E$7+SQRT(Q758*($G$7-$E$7)*($F$7-$E$7)),$G$7-SQRT((1-Q758)*($G$7-$E$7)*($G$7-$F$7))))</f>
        <v>1</v>
      </c>
      <c r="D758" s="37" t="n">
        <f aca="false">1+IF($G$8=$E$8,$F$8,IF(R758&lt;($F$8-$E$8)/($G$8-$E$8),$E$8+SQRT(R758*($G$8-$E$8)*($F$8-$E$8)),$G$8-SQRT((1-R758)*($G$8-$E$8)*($G$8-$F$8))))</f>
        <v>1</v>
      </c>
      <c r="E758" s="37" t="n">
        <f aca="false">1+IF($G$9=$E$9,$F$9,IF(S758&lt;($F$9-$E$9)/($G$9-$E$9),$E$9+SQRT(S758*($G$9-$E$9)*($F$9-$E$9)),$G$9-SQRT((1-S758)*($G$9-$E$9)*($G$9-$F$9))))</f>
        <v>1</v>
      </c>
      <c r="F758" s="37" t="n">
        <f aca="false">1+IF($G$10=$E$10,$F$10,IF(T758&lt;($F$10-$E$10)/($G$10-$E$10),$E$10+SQRT(T758*($G$10-$E$10)*($F$10-$E$10)),$G$10-SQRT((1-T758)*($G$10-$E$10)*($G$10-$F$10))))</f>
        <v>1</v>
      </c>
      <c r="G758" s="38" t="n">
        <f aca="false">IF($G$11=$E$11,$F$11,IF(U758&lt;($F$11-$E$11)/($G$11-$E$11),$E$11+SQRT(U758*($G$11-$E$11)*($F$11-$E$11)),$G$11-SQRT((1-U758)*($G$11-$E$11)*($G$11-$F$11))))</f>
        <v>0</v>
      </c>
      <c r="H758" s="39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0</v>
      </c>
      <c r="I758" s="39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0</v>
      </c>
      <c r="J758" s="39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0</v>
      </c>
      <c r="K758" s="39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0</v>
      </c>
      <c r="L758" s="39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0</v>
      </c>
      <c r="M758" s="39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0</v>
      </c>
      <c r="N758" s="39" t="str">
        <f aca="false">IF(COUNT('Business Case'!B11:G11)=0,"",H758+NPV(G758,I758:M758))</f>
        <v/>
      </c>
      <c r="P758" s="40" t="n">
        <f aca="true">RAND()</f>
        <v>0.249761782877007</v>
      </c>
      <c r="Q758" s="40" t="n">
        <f aca="true">RAND()</f>
        <v>0.370209444752945</v>
      </c>
      <c r="R758" s="40" t="n">
        <f aca="true">RAND()</f>
        <v>0.269854351675802</v>
      </c>
      <c r="S758" s="40" t="n">
        <f aca="true">RAND()</f>
        <v>0.345860791930977</v>
      </c>
      <c r="T758" s="40" t="n">
        <f aca="true">RAND()</f>
        <v>0.815388519228963</v>
      </c>
      <c r="U758" s="40" t="n">
        <f aca="true">RAND()</f>
        <v>0.635196237767569</v>
      </c>
    </row>
    <row r="759" customFormat="false" ht="15" hidden="false" customHeight="false" outlineLevel="0" collapsed="false">
      <c r="A759" s="36" t="n">
        <v>679</v>
      </c>
      <c r="B759" s="37" t="n">
        <f aca="false">1+IF($G$6=$E$6,$F$6,IF(P759&lt;($F$6-$E$6)/($G$6-$E$6),$E$6+SQRT(P759*($G$6-$E$6)*($F$6-$E$6)),$G$6-SQRT((1-P759)*($G$6-$E$6)*($G$6-$F$6))))</f>
        <v>1</v>
      </c>
      <c r="C759" s="37" t="n">
        <f aca="false">1+IF($G$7=$E$7,$F$7,IF(Q759&lt;($F$7-$E$7)/($G$7-$E$7),$E$7+SQRT(Q759*($G$7-$E$7)*($F$7-$E$7)),$G$7-SQRT((1-Q759)*($G$7-$E$7)*($G$7-$F$7))))</f>
        <v>1</v>
      </c>
      <c r="D759" s="37" t="n">
        <f aca="false">1+IF($G$8=$E$8,$F$8,IF(R759&lt;($F$8-$E$8)/($G$8-$E$8),$E$8+SQRT(R759*($G$8-$E$8)*($F$8-$E$8)),$G$8-SQRT((1-R759)*($G$8-$E$8)*($G$8-$F$8))))</f>
        <v>1</v>
      </c>
      <c r="E759" s="37" t="n">
        <f aca="false">1+IF($G$9=$E$9,$F$9,IF(S759&lt;($F$9-$E$9)/($G$9-$E$9),$E$9+SQRT(S759*($G$9-$E$9)*($F$9-$E$9)),$G$9-SQRT((1-S759)*($G$9-$E$9)*($G$9-$F$9))))</f>
        <v>1</v>
      </c>
      <c r="F759" s="37" t="n">
        <f aca="false">1+IF($G$10=$E$10,$F$10,IF(T759&lt;($F$10-$E$10)/($G$10-$E$10),$E$10+SQRT(T759*($G$10-$E$10)*($F$10-$E$10)),$G$10-SQRT((1-T759)*($G$10-$E$10)*($G$10-$F$10))))</f>
        <v>1</v>
      </c>
      <c r="G759" s="38" t="n">
        <f aca="false">IF($G$11=$E$11,$F$11,IF(U759&lt;($F$11-$E$11)/($G$11-$E$11),$E$11+SQRT(U759*($G$11-$E$11)*($F$11-$E$11)),$G$11-SQRT((1-U759)*($G$11-$E$11)*($G$11-$F$11))))</f>
        <v>0</v>
      </c>
      <c r="H759" s="39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0</v>
      </c>
      <c r="I759" s="39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0</v>
      </c>
      <c r="J759" s="39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0</v>
      </c>
      <c r="K759" s="39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0</v>
      </c>
      <c r="L759" s="39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0</v>
      </c>
      <c r="M759" s="39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0</v>
      </c>
      <c r="N759" s="39" t="str">
        <f aca="false">IF(COUNT('Business Case'!B11:G11)=0,"",H759+NPV(G759,I759:M759))</f>
        <v/>
      </c>
      <c r="P759" s="40" t="n">
        <f aca="true">RAND()</f>
        <v>0.900942546570064</v>
      </c>
      <c r="Q759" s="40" t="n">
        <f aca="true">RAND()</f>
        <v>0.875389743689535</v>
      </c>
      <c r="R759" s="40" t="n">
        <f aca="true">RAND()</f>
        <v>0.133116941468503</v>
      </c>
      <c r="S759" s="40" t="n">
        <f aca="true">RAND()</f>
        <v>0.726595712231843</v>
      </c>
      <c r="T759" s="40" t="n">
        <f aca="true">RAND()</f>
        <v>0.257006126488148</v>
      </c>
      <c r="U759" s="40" t="n">
        <f aca="true">RAND()</f>
        <v>0.757732065322407</v>
      </c>
    </row>
    <row r="760" customFormat="false" ht="15" hidden="false" customHeight="false" outlineLevel="0" collapsed="false">
      <c r="A760" s="36" t="n">
        <v>680</v>
      </c>
      <c r="B760" s="37" t="n">
        <f aca="false">1+IF($G$6=$E$6,$F$6,IF(P760&lt;($F$6-$E$6)/($G$6-$E$6),$E$6+SQRT(P760*($G$6-$E$6)*($F$6-$E$6)),$G$6-SQRT((1-P760)*($G$6-$E$6)*($G$6-$F$6))))</f>
        <v>1</v>
      </c>
      <c r="C760" s="37" t="n">
        <f aca="false">1+IF($G$7=$E$7,$F$7,IF(Q760&lt;($F$7-$E$7)/($G$7-$E$7),$E$7+SQRT(Q760*($G$7-$E$7)*($F$7-$E$7)),$G$7-SQRT((1-Q760)*($G$7-$E$7)*($G$7-$F$7))))</f>
        <v>1</v>
      </c>
      <c r="D760" s="37" t="n">
        <f aca="false">1+IF($G$8=$E$8,$F$8,IF(R760&lt;($F$8-$E$8)/($G$8-$E$8),$E$8+SQRT(R760*($G$8-$E$8)*($F$8-$E$8)),$G$8-SQRT((1-R760)*($G$8-$E$8)*($G$8-$F$8))))</f>
        <v>1</v>
      </c>
      <c r="E760" s="37" t="n">
        <f aca="false">1+IF($G$9=$E$9,$F$9,IF(S760&lt;($F$9-$E$9)/($G$9-$E$9),$E$9+SQRT(S760*($G$9-$E$9)*($F$9-$E$9)),$G$9-SQRT((1-S760)*($G$9-$E$9)*($G$9-$F$9))))</f>
        <v>1</v>
      </c>
      <c r="F760" s="37" t="n">
        <f aca="false">1+IF($G$10=$E$10,$F$10,IF(T760&lt;($F$10-$E$10)/($G$10-$E$10),$E$10+SQRT(T760*($G$10-$E$10)*($F$10-$E$10)),$G$10-SQRT((1-T760)*($G$10-$E$10)*($G$10-$F$10))))</f>
        <v>1</v>
      </c>
      <c r="G760" s="38" t="n">
        <f aca="false">IF($G$11=$E$11,$F$11,IF(U760&lt;($F$11-$E$11)/($G$11-$E$11),$E$11+SQRT(U760*($G$11-$E$11)*($F$11-$E$11)),$G$11-SQRT((1-U760)*($G$11-$E$11)*($G$11-$F$11))))</f>
        <v>0</v>
      </c>
      <c r="H760" s="39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0</v>
      </c>
      <c r="I760" s="39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0</v>
      </c>
      <c r="J760" s="39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0</v>
      </c>
      <c r="K760" s="39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0</v>
      </c>
      <c r="L760" s="39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0</v>
      </c>
      <c r="M760" s="39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0</v>
      </c>
      <c r="N760" s="39" t="str">
        <f aca="false">IF(COUNT('Business Case'!B11:G11)=0,"",H760+NPV(G760,I760:M760))</f>
        <v/>
      </c>
      <c r="P760" s="40" t="n">
        <f aca="true">RAND()</f>
        <v>0.585193726655788</v>
      </c>
      <c r="Q760" s="40" t="n">
        <f aca="true">RAND()</f>
        <v>0.256111552333286</v>
      </c>
      <c r="R760" s="40" t="n">
        <f aca="true">RAND()</f>
        <v>0.550566417975524</v>
      </c>
      <c r="S760" s="40" t="n">
        <f aca="true">RAND()</f>
        <v>0.779930237914507</v>
      </c>
      <c r="T760" s="40" t="n">
        <f aca="true">RAND()</f>
        <v>0.291764871692459</v>
      </c>
      <c r="U760" s="40" t="n">
        <f aca="true">RAND()</f>
        <v>0.502872032708953</v>
      </c>
    </row>
    <row r="761" customFormat="false" ht="15" hidden="false" customHeight="false" outlineLevel="0" collapsed="false">
      <c r="A761" s="36" t="n">
        <v>681</v>
      </c>
      <c r="B761" s="37" t="n">
        <f aca="false">1+IF($G$6=$E$6,$F$6,IF(P761&lt;($F$6-$E$6)/($G$6-$E$6),$E$6+SQRT(P761*($G$6-$E$6)*($F$6-$E$6)),$G$6-SQRT((1-P761)*($G$6-$E$6)*($G$6-$F$6))))</f>
        <v>1</v>
      </c>
      <c r="C761" s="37" t="n">
        <f aca="false">1+IF($G$7=$E$7,$F$7,IF(Q761&lt;($F$7-$E$7)/($G$7-$E$7),$E$7+SQRT(Q761*($G$7-$E$7)*($F$7-$E$7)),$G$7-SQRT((1-Q761)*($G$7-$E$7)*($G$7-$F$7))))</f>
        <v>1</v>
      </c>
      <c r="D761" s="37" t="n">
        <f aca="false">1+IF($G$8=$E$8,$F$8,IF(R761&lt;($F$8-$E$8)/($G$8-$E$8),$E$8+SQRT(R761*($G$8-$E$8)*($F$8-$E$8)),$G$8-SQRT((1-R761)*($G$8-$E$8)*($G$8-$F$8))))</f>
        <v>1</v>
      </c>
      <c r="E761" s="37" t="n">
        <f aca="false">1+IF($G$9=$E$9,$F$9,IF(S761&lt;($F$9-$E$9)/($G$9-$E$9),$E$9+SQRT(S761*($G$9-$E$9)*($F$9-$E$9)),$G$9-SQRT((1-S761)*($G$9-$E$9)*($G$9-$F$9))))</f>
        <v>1</v>
      </c>
      <c r="F761" s="37" t="n">
        <f aca="false">1+IF($G$10=$E$10,$F$10,IF(T761&lt;($F$10-$E$10)/($G$10-$E$10),$E$10+SQRT(T761*($G$10-$E$10)*($F$10-$E$10)),$G$10-SQRT((1-T761)*($G$10-$E$10)*($G$10-$F$10))))</f>
        <v>1</v>
      </c>
      <c r="G761" s="38" t="n">
        <f aca="false">IF($G$11=$E$11,$F$11,IF(U761&lt;($F$11-$E$11)/($G$11-$E$11),$E$11+SQRT(U761*($G$11-$E$11)*($F$11-$E$11)),$G$11-SQRT((1-U761)*($G$11-$E$11)*($G$11-$F$11))))</f>
        <v>0</v>
      </c>
      <c r="H761" s="39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0</v>
      </c>
      <c r="I761" s="39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0</v>
      </c>
      <c r="J761" s="39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0</v>
      </c>
      <c r="K761" s="39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0</v>
      </c>
      <c r="L761" s="39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0</v>
      </c>
      <c r="M761" s="39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0</v>
      </c>
      <c r="N761" s="39" t="str">
        <f aca="false">IF(COUNT('Business Case'!B11:G11)=0,"",H761+NPV(G761,I761:M761))</f>
        <v/>
      </c>
      <c r="P761" s="40" t="n">
        <f aca="true">RAND()</f>
        <v>0.472961868951037</v>
      </c>
      <c r="Q761" s="40" t="n">
        <f aca="true">RAND()</f>
        <v>0.178850951017888</v>
      </c>
      <c r="R761" s="40" t="n">
        <f aca="true">RAND()</f>
        <v>0.478686554035181</v>
      </c>
      <c r="S761" s="40" t="n">
        <f aca="true">RAND()</f>
        <v>0.125776764651797</v>
      </c>
      <c r="T761" s="40" t="n">
        <f aca="true">RAND()</f>
        <v>0.684728561770986</v>
      </c>
      <c r="U761" s="40" t="n">
        <f aca="true">RAND()</f>
        <v>0.133060737631153</v>
      </c>
    </row>
    <row r="762" customFormat="false" ht="15" hidden="false" customHeight="false" outlineLevel="0" collapsed="false">
      <c r="A762" s="36" t="n">
        <v>682</v>
      </c>
      <c r="B762" s="37" t="n">
        <f aca="false">1+IF($G$6=$E$6,$F$6,IF(P762&lt;($F$6-$E$6)/($G$6-$E$6),$E$6+SQRT(P762*($G$6-$E$6)*($F$6-$E$6)),$G$6-SQRT((1-P762)*($G$6-$E$6)*($G$6-$F$6))))</f>
        <v>1</v>
      </c>
      <c r="C762" s="37" t="n">
        <f aca="false">1+IF($G$7=$E$7,$F$7,IF(Q762&lt;($F$7-$E$7)/($G$7-$E$7),$E$7+SQRT(Q762*($G$7-$E$7)*($F$7-$E$7)),$G$7-SQRT((1-Q762)*($G$7-$E$7)*($G$7-$F$7))))</f>
        <v>1</v>
      </c>
      <c r="D762" s="37" t="n">
        <f aca="false">1+IF($G$8=$E$8,$F$8,IF(R762&lt;($F$8-$E$8)/($G$8-$E$8),$E$8+SQRT(R762*($G$8-$E$8)*($F$8-$E$8)),$G$8-SQRT((1-R762)*($G$8-$E$8)*($G$8-$F$8))))</f>
        <v>1</v>
      </c>
      <c r="E762" s="37" t="n">
        <f aca="false">1+IF($G$9=$E$9,$F$9,IF(S762&lt;($F$9-$E$9)/($G$9-$E$9),$E$9+SQRT(S762*($G$9-$E$9)*($F$9-$E$9)),$G$9-SQRT((1-S762)*($G$9-$E$9)*($G$9-$F$9))))</f>
        <v>1</v>
      </c>
      <c r="F762" s="37" t="n">
        <f aca="false">1+IF($G$10=$E$10,$F$10,IF(T762&lt;($F$10-$E$10)/($G$10-$E$10),$E$10+SQRT(T762*($G$10-$E$10)*($F$10-$E$10)),$G$10-SQRT((1-T762)*($G$10-$E$10)*($G$10-$F$10))))</f>
        <v>1</v>
      </c>
      <c r="G762" s="38" t="n">
        <f aca="false">IF($G$11=$E$11,$F$11,IF(U762&lt;($F$11-$E$11)/($G$11-$E$11),$E$11+SQRT(U762*($G$11-$E$11)*($F$11-$E$11)),$G$11-SQRT((1-U762)*($G$11-$E$11)*($G$11-$F$11))))</f>
        <v>0</v>
      </c>
      <c r="H762" s="39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0</v>
      </c>
      <c r="I762" s="39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0</v>
      </c>
      <c r="J762" s="39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0</v>
      </c>
      <c r="K762" s="39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0</v>
      </c>
      <c r="L762" s="39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0</v>
      </c>
      <c r="M762" s="39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0</v>
      </c>
      <c r="N762" s="39" t="str">
        <f aca="false">IF(COUNT('Business Case'!B11:G11)=0,"",H762+NPV(G762,I762:M762))</f>
        <v/>
      </c>
      <c r="P762" s="40" t="n">
        <f aca="true">RAND()</f>
        <v>0.163458983560121</v>
      </c>
      <c r="Q762" s="40" t="n">
        <f aca="true">RAND()</f>
        <v>0.881132021276012</v>
      </c>
      <c r="R762" s="40" t="n">
        <f aca="true">RAND()</f>
        <v>0.903714944245669</v>
      </c>
      <c r="S762" s="40" t="n">
        <f aca="true">RAND()</f>
        <v>0.513350441609718</v>
      </c>
      <c r="T762" s="40" t="n">
        <f aca="true">RAND()</f>
        <v>0.145217577682268</v>
      </c>
      <c r="U762" s="40" t="n">
        <f aca="true">RAND()</f>
        <v>0.892226036498975</v>
      </c>
    </row>
    <row r="763" customFormat="false" ht="15" hidden="false" customHeight="false" outlineLevel="0" collapsed="false">
      <c r="A763" s="36" t="n">
        <v>683</v>
      </c>
      <c r="B763" s="37" t="n">
        <f aca="false">1+IF($G$6=$E$6,$F$6,IF(P763&lt;($F$6-$E$6)/($G$6-$E$6),$E$6+SQRT(P763*($G$6-$E$6)*($F$6-$E$6)),$G$6-SQRT((1-P763)*($G$6-$E$6)*($G$6-$F$6))))</f>
        <v>1</v>
      </c>
      <c r="C763" s="37" t="n">
        <f aca="false">1+IF($G$7=$E$7,$F$7,IF(Q763&lt;($F$7-$E$7)/($G$7-$E$7),$E$7+SQRT(Q763*($G$7-$E$7)*($F$7-$E$7)),$G$7-SQRT((1-Q763)*($G$7-$E$7)*($G$7-$F$7))))</f>
        <v>1</v>
      </c>
      <c r="D763" s="37" t="n">
        <f aca="false">1+IF($G$8=$E$8,$F$8,IF(R763&lt;($F$8-$E$8)/($G$8-$E$8),$E$8+SQRT(R763*($G$8-$E$8)*($F$8-$E$8)),$G$8-SQRT((1-R763)*($G$8-$E$8)*($G$8-$F$8))))</f>
        <v>1</v>
      </c>
      <c r="E763" s="37" t="n">
        <f aca="false">1+IF($G$9=$E$9,$F$9,IF(S763&lt;($F$9-$E$9)/($G$9-$E$9),$E$9+SQRT(S763*($G$9-$E$9)*($F$9-$E$9)),$G$9-SQRT((1-S763)*($G$9-$E$9)*($G$9-$F$9))))</f>
        <v>1</v>
      </c>
      <c r="F763" s="37" t="n">
        <f aca="false">1+IF($G$10=$E$10,$F$10,IF(T763&lt;($F$10-$E$10)/($G$10-$E$10),$E$10+SQRT(T763*($G$10-$E$10)*($F$10-$E$10)),$G$10-SQRT((1-T763)*($G$10-$E$10)*($G$10-$F$10))))</f>
        <v>1</v>
      </c>
      <c r="G763" s="38" t="n">
        <f aca="false">IF($G$11=$E$11,$F$11,IF(U763&lt;($F$11-$E$11)/($G$11-$E$11),$E$11+SQRT(U763*($G$11-$E$11)*($F$11-$E$11)),$G$11-SQRT((1-U763)*($G$11-$E$11)*($G$11-$F$11))))</f>
        <v>0</v>
      </c>
      <c r="H763" s="39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0</v>
      </c>
      <c r="I763" s="39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0</v>
      </c>
      <c r="J763" s="39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0</v>
      </c>
      <c r="K763" s="39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0</v>
      </c>
      <c r="L763" s="39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0</v>
      </c>
      <c r="M763" s="39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0</v>
      </c>
      <c r="N763" s="39" t="str">
        <f aca="false">IF(COUNT('Business Case'!B11:G11)=0,"",H763+NPV(G763,I763:M763))</f>
        <v/>
      </c>
      <c r="P763" s="40" t="n">
        <f aca="true">RAND()</f>
        <v>0.662901730271298</v>
      </c>
      <c r="Q763" s="40" t="n">
        <f aca="true">RAND()</f>
        <v>0.127702322979564</v>
      </c>
      <c r="R763" s="40" t="n">
        <f aca="true">RAND()</f>
        <v>0.00183862608022942</v>
      </c>
      <c r="S763" s="40" t="n">
        <f aca="true">RAND()</f>
        <v>0.882328245855989</v>
      </c>
      <c r="T763" s="40" t="n">
        <f aca="true">RAND()</f>
        <v>0.400449267322205</v>
      </c>
      <c r="U763" s="40" t="n">
        <f aca="true">RAND()</f>
        <v>0.798581247166489</v>
      </c>
    </row>
    <row r="764" customFormat="false" ht="15" hidden="false" customHeight="false" outlineLevel="0" collapsed="false">
      <c r="A764" s="36" t="n">
        <v>684</v>
      </c>
      <c r="B764" s="37" t="n">
        <f aca="false">1+IF($G$6=$E$6,$F$6,IF(P764&lt;($F$6-$E$6)/($G$6-$E$6),$E$6+SQRT(P764*($G$6-$E$6)*($F$6-$E$6)),$G$6-SQRT((1-P764)*($G$6-$E$6)*($G$6-$F$6))))</f>
        <v>1</v>
      </c>
      <c r="C764" s="37" t="n">
        <f aca="false">1+IF($G$7=$E$7,$F$7,IF(Q764&lt;($F$7-$E$7)/($G$7-$E$7),$E$7+SQRT(Q764*($G$7-$E$7)*($F$7-$E$7)),$G$7-SQRT((1-Q764)*($G$7-$E$7)*($G$7-$F$7))))</f>
        <v>1</v>
      </c>
      <c r="D764" s="37" t="n">
        <f aca="false">1+IF($G$8=$E$8,$F$8,IF(R764&lt;($F$8-$E$8)/($G$8-$E$8),$E$8+SQRT(R764*($G$8-$E$8)*($F$8-$E$8)),$G$8-SQRT((1-R764)*($G$8-$E$8)*($G$8-$F$8))))</f>
        <v>1</v>
      </c>
      <c r="E764" s="37" t="n">
        <f aca="false">1+IF($G$9=$E$9,$F$9,IF(S764&lt;($F$9-$E$9)/($G$9-$E$9),$E$9+SQRT(S764*($G$9-$E$9)*($F$9-$E$9)),$G$9-SQRT((1-S764)*($G$9-$E$9)*($G$9-$F$9))))</f>
        <v>1</v>
      </c>
      <c r="F764" s="37" t="n">
        <f aca="false">1+IF($G$10=$E$10,$F$10,IF(T764&lt;($F$10-$E$10)/($G$10-$E$10),$E$10+SQRT(T764*($G$10-$E$10)*($F$10-$E$10)),$G$10-SQRT((1-T764)*($G$10-$E$10)*($G$10-$F$10))))</f>
        <v>1</v>
      </c>
      <c r="G764" s="38" t="n">
        <f aca="false">IF($G$11=$E$11,$F$11,IF(U764&lt;($F$11-$E$11)/($G$11-$E$11),$E$11+SQRT(U764*($G$11-$E$11)*($F$11-$E$11)),$G$11-SQRT((1-U764)*($G$11-$E$11)*($G$11-$F$11))))</f>
        <v>0</v>
      </c>
      <c r="H764" s="39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0</v>
      </c>
      <c r="I764" s="39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0</v>
      </c>
      <c r="J764" s="39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0</v>
      </c>
      <c r="K764" s="39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0</v>
      </c>
      <c r="L764" s="39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0</v>
      </c>
      <c r="M764" s="39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0</v>
      </c>
      <c r="N764" s="39" t="str">
        <f aca="false">IF(COUNT('Business Case'!B11:G11)=0,"",H764+NPV(G764,I764:M764))</f>
        <v/>
      </c>
      <c r="P764" s="40" t="n">
        <f aca="true">RAND()</f>
        <v>0.781331098542233</v>
      </c>
      <c r="Q764" s="40" t="n">
        <f aca="true">RAND()</f>
        <v>0.160954232425789</v>
      </c>
      <c r="R764" s="40" t="n">
        <f aca="true">RAND()</f>
        <v>0.818887040865232</v>
      </c>
      <c r="S764" s="40" t="n">
        <f aca="true">RAND()</f>
        <v>0.221058075650849</v>
      </c>
      <c r="T764" s="40" t="n">
        <f aca="true">RAND()</f>
        <v>0.774808648221232</v>
      </c>
      <c r="U764" s="40" t="n">
        <f aca="true">RAND()</f>
        <v>0.776236716868683</v>
      </c>
    </row>
    <row r="765" customFormat="false" ht="15" hidden="false" customHeight="false" outlineLevel="0" collapsed="false">
      <c r="A765" s="36" t="n">
        <v>685</v>
      </c>
      <c r="B765" s="37" t="n">
        <f aca="false">1+IF($G$6=$E$6,$F$6,IF(P765&lt;($F$6-$E$6)/($G$6-$E$6),$E$6+SQRT(P765*($G$6-$E$6)*($F$6-$E$6)),$G$6-SQRT((1-P765)*($G$6-$E$6)*($G$6-$F$6))))</f>
        <v>1</v>
      </c>
      <c r="C765" s="37" t="n">
        <f aca="false">1+IF($G$7=$E$7,$F$7,IF(Q765&lt;($F$7-$E$7)/($G$7-$E$7),$E$7+SQRT(Q765*($G$7-$E$7)*($F$7-$E$7)),$G$7-SQRT((1-Q765)*($G$7-$E$7)*($G$7-$F$7))))</f>
        <v>1</v>
      </c>
      <c r="D765" s="37" t="n">
        <f aca="false">1+IF($G$8=$E$8,$F$8,IF(R765&lt;($F$8-$E$8)/($G$8-$E$8),$E$8+SQRT(R765*($G$8-$E$8)*($F$8-$E$8)),$G$8-SQRT((1-R765)*($G$8-$E$8)*($G$8-$F$8))))</f>
        <v>1</v>
      </c>
      <c r="E765" s="37" t="n">
        <f aca="false">1+IF($G$9=$E$9,$F$9,IF(S765&lt;($F$9-$E$9)/($G$9-$E$9),$E$9+SQRT(S765*($G$9-$E$9)*($F$9-$E$9)),$G$9-SQRT((1-S765)*($G$9-$E$9)*($G$9-$F$9))))</f>
        <v>1</v>
      </c>
      <c r="F765" s="37" t="n">
        <f aca="false">1+IF($G$10=$E$10,$F$10,IF(T765&lt;($F$10-$E$10)/($G$10-$E$10),$E$10+SQRT(T765*($G$10-$E$10)*($F$10-$E$10)),$G$10-SQRT((1-T765)*($G$10-$E$10)*($G$10-$F$10))))</f>
        <v>1</v>
      </c>
      <c r="G765" s="38" t="n">
        <f aca="false">IF($G$11=$E$11,$F$11,IF(U765&lt;($F$11-$E$11)/($G$11-$E$11),$E$11+SQRT(U765*($G$11-$E$11)*($F$11-$E$11)),$G$11-SQRT((1-U765)*($G$11-$E$11)*($G$11-$F$11))))</f>
        <v>0</v>
      </c>
      <c r="H765" s="39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0</v>
      </c>
      <c r="I765" s="39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0</v>
      </c>
      <c r="J765" s="39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0</v>
      </c>
      <c r="K765" s="39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0</v>
      </c>
      <c r="L765" s="39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0</v>
      </c>
      <c r="M765" s="39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0</v>
      </c>
      <c r="N765" s="39" t="str">
        <f aca="false">IF(COUNT('Business Case'!B11:G11)=0,"",H765+NPV(G765,I765:M765))</f>
        <v/>
      </c>
      <c r="P765" s="40" t="n">
        <f aca="true">RAND()</f>
        <v>0.102512692351506</v>
      </c>
      <c r="Q765" s="40" t="n">
        <f aca="true">RAND()</f>
        <v>0.309689589070053</v>
      </c>
      <c r="R765" s="40" t="n">
        <f aca="true">RAND()</f>
        <v>0.0810355238933325</v>
      </c>
      <c r="S765" s="40" t="n">
        <f aca="true">RAND()</f>
        <v>0.864123918402219</v>
      </c>
      <c r="T765" s="40" t="n">
        <f aca="true">RAND()</f>
        <v>0.27380745654491</v>
      </c>
      <c r="U765" s="40" t="n">
        <f aca="true">RAND()</f>
        <v>0.0494659363921989</v>
      </c>
    </row>
    <row r="766" customFormat="false" ht="15" hidden="false" customHeight="false" outlineLevel="0" collapsed="false">
      <c r="A766" s="36" t="n">
        <v>686</v>
      </c>
      <c r="B766" s="37" t="n">
        <f aca="false">1+IF($G$6=$E$6,$F$6,IF(P766&lt;($F$6-$E$6)/($G$6-$E$6),$E$6+SQRT(P766*($G$6-$E$6)*($F$6-$E$6)),$G$6-SQRT((1-P766)*($G$6-$E$6)*($G$6-$F$6))))</f>
        <v>1</v>
      </c>
      <c r="C766" s="37" t="n">
        <f aca="false">1+IF($G$7=$E$7,$F$7,IF(Q766&lt;($F$7-$E$7)/($G$7-$E$7),$E$7+SQRT(Q766*($G$7-$E$7)*($F$7-$E$7)),$G$7-SQRT((1-Q766)*($G$7-$E$7)*($G$7-$F$7))))</f>
        <v>1</v>
      </c>
      <c r="D766" s="37" t="n">
        <f aca="false">1+IF($G$8=$E$8,$F$8,IF(R766&lt;($F$8-$E$8)/($G$8-$E$8),$E$8+SQRT(R766*($G$8-$E$8)*($F$8-$E$8)),$G$8-SQRT((1-R766)*($G$8-$E$8)*($G$8-$F$8))))</f>
        <v>1</v>
      </c>
      <c r="E766" s="37" t="n">
        <f aca="false">1+IF($G$9=$E$9,$F$9,IF(S766&lt;($F$9-$E$9)/($G$9-$E$9),$E$9+SQRT(S766*($G$9-$E$9)*($F$9-$E$9)),$G$9-SQRT((1-S766)*($G$9-$E$9)*($G$9-$F$9))))</f>
        <v>1</v>
      </c>
      <c r="F766" s="37" t="n">
        <f aca="false">1+IF($G$10=$E$10,$F$10,IF(T766&lt;($F$10-$E$10)/($G$10-$E$10),$E$10+SQRT(T766*($G$10-$E$10)*($F$10-$E$10)),$G$10-SQRT((1-T766)*($G$10-$E$10)*($G$10-$F$10))))</f>
        <v>1</v>
      </c>
      <c r="G766" s="38" t="n">
        <f aca="false">IF($G$11=$E$11,$F$11,IF(U766&lt;($F$11-$E$11)/($G$11-$E$11),$E$11+SQRT(U766*($G$11-$E$11)*($F$11-$E$11)),$G$11-SQRT((1-U766)*($G$11-$E$11)*($G$11-$F$11))))</f>
        <v>0</v>
      </c>
      <c r="H766" s="39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0</v>
      </c>
      <c r="I766" s="39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0</v>
      </c>
      <c r="J766" s="39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0</v>
      </c>
      <c r="K766" s="39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0</v>
      </c>
      <c r="L766" s="39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0</v>
      </c>
      <c r="M766" s="39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0</v>
      </c>
      <c r="N766" s="39" t="str">
        <f aca="false">IF(COUNT('Business Case'!B11:G11)=0,"",H766+NPV(G766,I766:M766))</f>
        <v/>
      </c>
      <c r="P766" s="40" t="n">
        <f aca="true">RAND()</f>
        <v>0.802736139155189</v>
      </c>
      <c r="Q766" s="40" t="n">
        <f aca="true">RAND()</f>
        <v>0.193589971666547</v>
      </c>
      <c r="R766" s="40" t="n">
        <f aca="true">RAND()</f>
        <v>0.220156632808902</v>
      </c>
      <c r="S766" s="40" t="n">
        <f aca="true">RAND()</f>
        <v>0.266986819061905</v>
      </c>
      <c r="T766" s="40" t="n">
        <f aca="true">RAND()</f>
        <v>0.691838281535213</v>
      </c>
      <c r="U766" s="40" t="n">
        <f aca="true">RAND()</f>
        <v>0.265881865765104</v>
      </c>
    </row>
    <row r="767" customFormat="false" ht="15" hidden="false" customHeight="false" outlineLevel="0" collapsed="false">
      <c r="A767" s="36" t="n">
        <v>687</v>
      </c>
      <c r="B767" s="37" t="n">
        <f aca="false">1+IF($G$6=$E$6,$F$6,IF(P767&lt;($F$6-$E$6)/($G$6-$E$6),$E$6+SQRT(P767*($G$6-$E$6)*($F$6-$E$6)),$G$6-SQRT((1-P767)*($G$6-$E$6)*($G$6-$F$6))))</f>
        <v>1</v>
      </c>
      <c r="C767" s="37" t="n">
        <f aca="false">1+IF($G$7=$E$7,$F$7,IF(Q767&lt;($F$7-$E$7)/($G$7-$E$7),$E$7+SQRT(Q767*($G$7-$E$7)*($F$7-$E$7)),$G$7-SQRT((1-Q767)*($G$7-$E$7)*($G$7-$F$7))))</f>
        <v>1</v>
      </c>
      <c r="D767" s="37" t="n">
        <f aca="false">1+IF($G$8=$E$8,$F$8,IF(R767&lt;($F$8-$E$8)/($G$8-$E$8),$E$8+SQRT(R767*($G$8-$E$8)*($F$8-$E$8)),$G$8-SQRT((1-R767)*($G$8-$E$8)*($G$8-$F$8))))</f>
        <v>1</v>
      </c>
      <c r="E767" s="37" t="n">
        <f aca="false">1+IF($G$9=$E$9,$F$9,IF(S767&lt;($F$9-$E$9)/($G$9-$E$9),$E$9+SQRT(S767*($G$9-$E$9)*($F$9-$E$9)),$G$9-SQRT((1-S767)*($G$9-$E$9)*($G$9-$F$9))))</f>
        <v>1</v>
      </c>
      <c r="F767" s="37" t="n">
        <f aca="false">1+IF($G$10=$E$10,$F$10,IF(T767&lt;($F$10-$E$10)/($G$10-$E$10),$E$10+SQRT(T767*($G$10-$E$10)*($F$10-$E$10)),$G$10-SQRT((1-T767)*($G$10-$E$10)*($G$10-$F$10))))</f>
        <v>1</v>
      </c>
      <c r="G767" s="38" t="n">
        <f aca="false">IF($G$11=$E$11,$F$11,IF(U767&lt;($F$11-$E$11)/($G$11-$E$11),$E$11+SQRT(U767*($G$11-$E$11)*($F$11-$E$11)),$G$11-SQRT((1-U767)*($G$11-$E$11)*($G$11-$F$11))))</f>
        <v>0</v>
      </c>
      <c r="H767" s="39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0</v>
      </c>
      <c r="I767" s="39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0</v>
      </c>
      <c r="J767" s="39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0</v>
      </c>
      <c r="K767" s="39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0</v>
      </c>
      <c r="L767" s="39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0</v>
      </c>
      <c r="M767" s="39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0</v>
      </c>
      <c r="N767" s="39" t="str">
        <f aca="false">IF(COUNT('Business Case'!B11:G11)=0,"",H767+NPV(G767,I767:M767))</f>
        <v/>
      </c>
      <c r="P767" s="40" t="n">
        <f aca="true">RAND()</f>
        <v>0.347110557450166</v>
      </c>
      <c r="Q767" s="40" t="n">
        <f aca="true">RAND()</f>
        <v>0.343252378007561</v>
      </c>
      <c r="R767" s="40" t="n">
        <f aca="true">RAND()</f>
        <v>0.696259611621697</v>
      </c>
      <c r="S767" s="40" t="n">
        <f aca="true">RAND()</f>
        <v>0.369101475830878</v>
      </c>
      <c r="T767" s="40" t="n">
        <f aca="true">RAND()</f>
        <v>0.32838363228542</v>
      </c>
      <c r="U767" s="40" t="n">
        <f aca="true">RAND()</f>
        <v>0.174072856978144</v>
      </c>
    </row>
    <row r="768" customFormat="false" ht="15" hidden="false" customHeight="false" outlineLevel="0" collapsed="false">
      <c r="A768" s="36" t="n">
        <v>688</v>
      </c>
      <c r="B768" s="37" t="n">
        <f aca="false">1+IF($G$6=$E$6,$F$6,IF(P768&lt;($F$6-$E$6)/($G$6-$E$6),$E$6+SQRT(P768*($G$6-$E$6)*($F$6-$E$6)),$G$6-SQRT((1-P768)*($G$6-$E$6)*($G$6-$F$6))))</f>
        <v>1</v>
      </c>
      <c r="C768" s="37" t="n">
        <f aca="false">1+IF($G$7=$E$7,$F$7,IF(Q768&lt;($F$7-$E$7)/($G$7-$E$7),$E$7+SQRT(Q768*($G$7-$E$7)*($F$7-$E$7)),$G$7-SQRT((1-Q768)*($G$7-$E$7)*($G$7-$F$7))))</f>
        <v>1</v>
      </c>
      <c r="D768" s="37" t="n">
        <f aca="false">1+IF($G$8=$E$8,$F$8,IF(R768&lt;($F$8-$E$8)/($G$8-$E$8),$E$8+SQRT(R768*($G$8-$E$8)*($F$8-$E$8)),$G$8-SQRT((1-R768)*($G$8-$E$8)*($G$8-$F$8))))</f>
        <v>1</v>
      </c>
      <c r="E768" s="37" t="n">
        <f aca="false">1+IF($G$9=$E$9,$F$9,IF(S768&lt;($F$9-$E$9)/($G$9-$E$9),$E$9+SQRT(S768*($G$9-$E$9)*($F$9-$E$9)),$G$9-SQRT((1-S768)*($G$9-$E$9)*($G$9-$F$9))))</f>
        <v>1</v>
      </c>
      <c r="F768" s="37" t="n">
        <f aca="false">1+IF($G$10=$E$10,$F$10,IF(T768&lt;($F$10-$E$10)/($G$10-$E$10),$E$10+SQRT(T768*($G$10-$E$10)*($F$10-$E$10)),$G$10-SQRT((1-T768)*($G$10-$E$10)*($G$10-$F$10))))</f>
        <v>1</v>
      </c>
      <c r="G768" s="38" t="n">
        <f aca="false">IF($G$11=$E$11,$F$11,IF(U768&lt;($F$11-$E$11)/($G$11-$E$11),$E$11+SQRT(U768*($G$11-$E$11)*($F$11-$E$11)),$G$11-SQRT((1-U768)*($G$11-$E$11)*($G$11-$F$11))))</f>
        <v>0</v>
      </c>
      <c r="H768" s="39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0</v>
      </c>
      <c r="I768" s="39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0</v>
      </c>
      <c r="J768" s="39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0</v>
      </c>
      <c r="K768" s="39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0</v>
      </c>
      <c r="L768" s="39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0</v>
      </c>
      <c r="M768" s="39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0</v>
      </c>
      <c r="N768" s="39" t="str">
        <f aca="false">IF(COUNT('Business Case'!B11:G11)=0,"",H768+NPV(G768,I768:M768))</f>
        <v/>
      </c>
      <c r="P768" s="40" t="n">
        <f aca="true">RAND()</f>
        <v>0.257231026002645</v>
      </c>
      <c r="Q768" s="40" t="n">
        <f aca="true">RAND()</f>
        <v>0.317435417103539</v>
      </c>
      <c r="R768" s="40" t="n">
        <f aca="true">RAND()</f>
        <v>0.850109959357791</v>
      </c>
      <c r="S768" s="40" t="n">
        <f aca="true">RAND()</f>
        <v>0.702744344240126</v>
      </c>
      <c r="T768" s="40" t="n">
        <f aca="true">RAND()</f>
        <v>0.0176286850087775</v>
      </c>
      <c r="U768" s="40" t="n">
        <f aca="true">RAND()</f>
        <v>0.359959770432283</v>
      </c>
    </row>
    <row r="769" customFormat="false" ht="15" hidden="false" customHeight="false" outlineLevel="0" collapsed="false">
      <c r="A769" s="36" t="n">
        <v>689</v>
      </c>
      <c r="B769" s="37" t="n">
        <f aca="false">1+IF($G$6=$E$6,$F$6,IF(P769&lt;($F$6-$E$6)/($G$6-$E$6),$E$6+SQRT(P769*($G$6-$E$6)*($F$6-$E$6)),$G$6-SQRT((1-P769)*($G$6-$E$6)*($G$6-$F$6))))</f>
        <v>1</v>
      </c>
      <c r="C769" s="37" t="n">
        <f aca="false">1+IF($G$7=$E$7,$F$7,IF(Q769&lt;($F$7-$E$7)/($G$7-$E$7),$E$7+SQRT(Q769*($G$7-$E$7)*($F$7-$E$7)),$G$7-SQRT((1-Q769)*($G$7-$E$7)*($G$7-$F$7))))</f>
        <v>1</v>
      </c>
      <c r="D769" s="37" t="n">
        <f aca="false">1+IF($G$8=$E$8,$F$8,IF(R769&lt;($F$8-$E$8)/($G$8-$E$8),$E$8+SQRT(R769*($G$8-$E$8)*($F$8-$E$8)),$G$8-SQRT((1-R769)*($G$8-$E$8)*($G$8-$F$8))))</f>
        <v>1</v>
      </c>
      <c r="E769" s="37" t="n">
        <f aca="false">1+IF($G$9=$E$9,$F$9,IF(S769&lt;($F$9-$E$9)/($G$9-$E$9),$E$9+SQRT(S769*($G$9-$E$9)*($F$9-$E$9)),$G$9-SQRT((1-S769)*($G$9-$E$9)*($G$9-$F$9))))</f>
        <v>1</v>
      </c>
      <c r="F769" s="37" t="n">
        <f aca="false">1+IF($G$10=$E$10,$F$10,IF(T769&lt;($F$10-$E$10)/($G$10-$E$10),$E$10+SQRT(T769*($G$10-$E$10)*($F$10-$E$10)),$G$10-SQRT((1-T769)*($G$10-$E$10)*($G$10-$F$10))))</f>
        <v>1</v>
      </c>
      <c r="G769" s="38" t="n">
        <f aca="false">IF($G$11=$E$11,$F$11,IF(U769&lt;($F$11-$E$11)/($G$11-$E$11),$E$11+SQRT(U769*($G$11-$E$11)*($F$11-$E$11)),$G$11-SQRT((1-U769)*($G$11-$E$11)*($G$11-$F$11))))</f>
        <v>0</v>
      </c>
      <c r="H769" s="39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0</v>
      </c>
      <c r="I769" s="39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0</v>
      </c>
      <c r="J769" s="39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0</v>
      </c>
      <c r="K769" s="39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0</v>
      </c>
      <c r="L769" s="39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0</v>
      </c>
      <c r="M769" s="39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0</v>
      </c>
      <c r="N769" s="39" t="str">
        <f aca="false">IF(COUNT('Business Case'!B11:G11)=0,"",H769+NPV(G769,I769:M769))</f>
        <v/>
      </c>
      <c r="P769" s="40" t="n">
        <f aca="true">RAND()</f>
        <v>0.402962712977755</v>
      </c>
      <c r="Q769" s="40" t="n">
        <f aca="true">RAND()</f>
        <v>0.952655206884685</v>
      </c>
      <c r="R769" s="40" t="n">
        <f aca="true">RAND()</f>
        <v>0.533804876700983</v>
      </c>
      <c r="S769" s="40" t="n">
        <f aca="true">RAND()</f>
        <v>0.271964165876593</v>
      </c>
      <c r="T769" s="40" t="n">
        <f aca="true">RAND()</f>
        <v>0.623840876974022</v>
      </c>
      <c r="U769" s="40" t="n">
        <f aca="true">RAND()</f>
        <v>0.775745127927338</v>
      </c>
    </row>
    <row r="770" customFormat="false" ht="15" hidden="false" customHeight="false" outlineLevel="0" collapsed="false">
      <c r="A770" s="36" t="n">
        <v>690</v>
      </c>
      <c r="B770" s="37" t="n">
        <f aca="false">1+IF($G$6=$E$6,$F$6,IF(P770&lt;($F$6-$E$6)/($G$6-$E$6),$E$6+SQRT(P770*($G$6-$E$6)*($F$6-$E$6)),$G$6-SQRT((1-P770)*($G$6-$E$6)*($G$6-$F$6))))</f>
        <v>1</v>
      </c>
      <c r="C770" s="37" t="n">
        <f aca="false">1+IF($G$7=$E$7,$F$7,IF(Q770&lt;($F$7-$E$7)/($G$7-$E$7),$E$7+SQRT(Q770*($G$7-$E$7)*($F$7-$E$7)),$G$7-SQRT((1-Q770)*($G$7-$E$7)*($G$7-$F$7))))</f>
        <v>1</v>
      </c>
      <c r="D770" s="37" t="n">
        <f aca="false">1+IF($G$8=$E$8,$F$8,IF(R770&lt;($F$8-$E$8)/($G$8-$E$8),$E$8+SQRT(R770*($G$8-$E$8)*($F$8-$E$8)),$G$8-SQRT((1-R770)*($G$8-$E$8)*($G$8-$F$8))))</f>
        <v>1</v>
      </c>
      <c r="E770" s="37" t="n">
        <f aca="false">1+IF($G$9=$E$9,$F$9,IF(S770&lt;($F$9-$E$9)/($G$9-$E$9),$E$9+SQRT(S770*($G$9-$E$9)*($F$9-$E$9)),$G$9-SQRT((1-S770)*($G$9-$E$9)*($G$9-$F$9))))</f>
        <v>1</v>
      </c>
      <c r="F770" s="37" t="n">
        <f aca="false">1+IF($G$10=$E$10,$F$10,IF(T770&lt;($F$10-$E$10)/($G$10-$E$10),$E$10+SQRT(T770*($G$10-$E$10)*($F$10-$E$10)),$G$10-SQRT((1-T770)*($G$10-$E$10)*($G$10-$F$10))))</f>
        <v>1</v>
      </c>
      <c r="G770" s="38" t="n">
        <f aca="false">IF($G$11=$E$11,$F$11,IF(U770&lt;($F$11-$E$11)/($G$11-$E$11),$E$11+SQRT(U770*($G$11-$E$11)*($F$11-$E$11)),$G$11-SQRT((1-U770)*($G$11-$E$11)*($G$11-$F$11))))</f>
        <v>0</v>
      </c>
      <c r="H770" s="39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0</v>
      </c>
      <c r="I770" s="39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0</v>
      </c>
      <c r="J770" s="39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0</v>
      </c>
      <c r="K770" s="39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0</v>
      </c>
      <c r="L770" s="39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0</v>
      </c>
      <c r="M770" s="39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0</v>
      </c>
      <c r="N770" s="39" t="str">
        <f aca="false">IF(COUNT('Business Case'!B11:G11)=0,"",H770+NPV(G770,I770:M770))</f>
        <v/>
      </c>
      <c r="P770" s="40" t="n">
        <f aca="true">RAND()</f>
        <v>0.143004442224822</v>
      </c>
      <c r="Q770" s="40" t="n">
        <f aca="true">RAND()</f>
        <v>0.575608567176911</v>
      </c>
      <c r="R770" s="40" t="n">
        <f aca="true">RAND()</f>
        <v>0.868378597327514</v>
      </c>
      <c r="S770" s="40" t="n">
        <f aca="true">RAND()</f>
        <v>0.588800366996837</v>
      </c>
      <c r="T770" s="40" t="n">
        <f aca="true">RAND()</f>
        <v>0.116509761354285</v>
      </c>
      <c r="U770" s="40" t="n">
        <f aca="true">RAND()</f>
        <v>0.108048676987542</v>
      </c>
    </row>
    <row r="771" customFormat="false" ht="15" hidden="false" customHeight="false" outlineLevel="0" collapsed="false">
      <c r="A771" s="36" t="n">
        <v>691</v>
      </c>
      <c r="B771" s="37" t="n">
        <f aca="false">1+IF($G$6=$E$6,$F$6,IF(P771&lt;($F$6-$E$6)/($G$6-$E$6),$E$6+SQRT(P771*($G$6-$E$6)*($F$6-$E$6)),$G$6-SQRT((1-P771)*($G$6-$E$6)*($G$6-$F$6))))</f>
        <v>1</v>
      </c>
      <c r="C771" s="37" t="n">
        <f aca="false">1+IF($G$7=$E$7,$F$7,IF(Q771&lt;($F$7-$E$7)/($G$7-$E$7),$E$7+SQRT(Q771*($G$7-$E$7)*($F$7-$E$7)),$G$7-SQRT((1-Q771)*($G$7-$E$7)*($G$7-$F$7))))</f>
        <v>1</v>
      </c>
      <c r="D771" s="37" t="n">
        <f aca="false">1+IF($G$8=$E$8,$F$8,IF(R771&lt;($F$8-$E$8)/($G$8-$E$8),$E$8+SQRT(R771*($G$8-$E$8)*($F$8-$E$8)),$G$8-SQRT((1-R771)*($G$8-$E$8)*($G$8-$F$8))))</f>
        <v>1</v>
      </c>
      <c r="E771" s="37" t="n">
        <f aca="false">1+IF($G$9=$E$9,$F$9,IF(S771&lt;($F$9-$E$9)/($G$9-$E$9),$E$9+SQRT(S771*($G$9-$E$9)*($F$9-$E$9)),$G$9-SQRT((1-S771)*($G$9-$E$9)*($G$9-$F$9))))</f>
        <v>1</v>
      </c>
      <c r="F771" s="37" t="n">
        <f aca="false">1+IF($G$10=$E$10,$F$10,IF(T771&lt;($F$10-$E$10)/($G$10-$E$10),$E$10+SQRT(T771*($G$10-$E$10)*($F$10-$E$10)),$G$10-SQRT((1-T771)*($G$10-$E$10)*($G$10-$F$10))))</f>
        <v>1</v>
      </c>
      <c r="G771" s="38" t="n">
        <f aca="false">IF($G$11=$E$11,$F$11,IF(U771&lt;($F$11-$E$11)/($G$11-$E$11),$E$11+SQRT(U771*($G$11-$E$11)*($F$11-$E$11)),$G$11-SQRT((1-U771)*($G$11-$E$11)*($G$11-$F$11))))</f>
        <v>0</v>
      </c>
      <c r="H771" s="39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0</v>
      </c>
      <c r="I771" s="39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0</v>
      </c>
      <c r="J771" s="39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0</v>
      </c>
      <c r="K771" s="39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0</v>
      </c>
      <c r="L771" s="39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0</v>
      </c>
      <c r="M771" s="39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0</v>
      </c>
      <c r="N771" s="39" t="str">
        <f aca="false">IF(COUNT('Business Case'!B11:G11)=0,"",H771+NPV(G771,I771:M771))</f>
        <v/>
      </c>
      <c r="P771" s="40" t="n">
        <f aca="true">RAND()</f>
        <v>0.194970567597896</v>
      </c>
      <c r="Q771" s="40" t="n">
        <f aca="true">RAND()</f>
        <v>0.122890967781716</v>
      </c>
      <c r="R771" s="40" t="n">
        <f aca="true">RAND()</f>
        <v>0.753331816289047</v>
      </c>
      <c r="S771" s="40" t="n">
        <f aca="true">RAND()</f>
        <v>0.587813162345629</v>
      </c>
      <c r="T771" s="40" t="n">
        <f aca="true">RAND()</f>
        <v>0.721017800091386</v>
      </c>
      <c r="U771" s="40" t="n">
        <f aca="true">RAND()</f>
        <v>0.488612663430569</v>
      </c>
    </row>
    <row r="772" customFormat="false" ht="15" hidden="false" customHeight="false" outlineLevel="0" collapsed="false">
      <c r="A772" s="36" t="n">
        <v>692</v>
      </c>
      <c r="B772" s="37" t="n">
        <f aca="false">1+IF($G$6=$E$6,$F$6,IF(P772&lt;($F$6-$E$6)/($G$6-$E$6),$E$6+SQRT(P772*($G$6-$E$6)*($F$6-$E$6)),$G$6-SQRT((1-P772)*($G$6-$E$6)*($G$6-$F$6))))</f>
        <v>1</v>
      </c>
      <c r="C772" s="37" t="n">
        <f aca="false">1+IF($G$7=$E$7,$F$7,IF(Q772&lt;($F$7-$E$7)/($G$7-$E$7),$E$7+SQRT(Q772*($G$7-$E$7)*($F$7-$E$7)),$G$7-SQRT((1-Q772)*($G$7-$E$7)*($G$7-$F$7))))</f>
        <v>1</v>
      </c>
      <c r="D772" s="37" t="n">
        <f aca="false">1+IF($G$8=$E$8,$F$8,IF(R772&lt;($F$8-$E$8)/($G$8-$E$8),$E$8+SQRT(R772*($G$8-$E$8)*($F$8-$E$8)),$G$8-SQRT((1-R772)*($G$8-$E$8)*($G$8-$F$8))))</f>
        <v>1</v>
      </c>
      <c r="E772" s="37" t="n">
        <f aca="false">1+IF($G$9=$E$9,$F$9,IF(S772&lt;($F$9-$E$9)/($G$9-$E$9),$E$9+SQRT(S772*($G$9-$E$9)*($F$9-$E$9)),$G$9-SQRT((1-S772)*($G$9-$E$9)*($G$9-$F$9))))</f>
        <v>1</v>
      </c>
      <c r="F772" s="37" t="n">
        <f aca="false">1+IF($G$10=$E$10,$F$10,IF(T772&lt;($F$10-$E$10)/($G$10-$E$10),$E$10+SQRT(T772*($G$10-$E$10)*($F$10-$E$10)),$G$10-SQRT((1-T772)*($G$10-$E$10)*($G$10-$F$10))))</f>
        <v>1</v>
      </c>
      <c r="G772" s="38" t="n">
        <f aca="false">IF($G$11=$E$11,$F$11,IF(U772&lt;($F$11-$E$11)/($G$11-$E$11),$E$11+SQRT(U772*($G$11-$E$11)*($F$11-$E$11)),$G$11-SQRT((1-U772)*($G$11-$E$11)*($G$11-$F$11))))</f>
        <v>0</v>
      </c>
      <c r="H772" s="39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0</v>
      </c>
      <c r="I772" s="39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0</v>
      </c>
      <c r="J772" s="39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0</v>
      </c>
      <c r="K772" s="39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0</v>
      </c>
      <c r="L772" s="39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0</v>
      </c>
      <c r="M772" s="39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0</v>
      </c>
      <c r="N772" s="39" t="str">
        <f aca="false">IF(COUNT('Business Case'!B11:G11)=0,"",H772+NPV(G772,I772:M772))</f>
        <v/>
      </c>
      <c r="P772" s="40" t="n">
        <f aca="true">RAND()</f>
        <v>0.692588119904829</v>
      </c>
      <c r="Q772" s="40" t="n">
        <f aca="true">RAND()</f>
        <v>0.636351657567358</v>
      </c>
      <c r="R772" s="40" t="n">
        <f aca="true">RAND()</f>
        <v>0.988169858368612</v>
      </c>
      <c r="S772" s="40" t="n">
        <f aca="true">RAND()</f>
        <v>0.806291491324643</v>
      </c>
      <c r="T772" s="40" t="n">
        <f aca="true">RAND()</f>
        <v>0.919064196482302</v>
      </c>
      <c r="U772" s="40" t="n">
        <f aca="true">RAND()</f>
        <v>0.641164566902785</v>
      </c>
    </row>
    <row r="773" customFormat="false" ht="15" hidden="false" customHeight="false" outlineLevel="0" collapsed="false">
      <c r="A773" s="36" t="n">
        <v>693</v>
      </c>
      <c r="B773" s="37" t="n">
        <f aca="false">1+IF($G$6=$E$6,$F$6,IF(P773&lt;($F$6-$E$6)/($G$6-$E$6),$E$6+SQRT(P773*($G$6-$E$6)*($F$6-$E$6)),$G$6-SQRT((1-P773)*($G$6-$E$6)*($G$6-$F$6))))</f>
        <v>1</v>
      </c>
      <c r="C773" s="37" t="n">
        <f aca="false">1+IF($G$7=$E$7,$F$7,IF(Q773&lt;($F$7-$E$7)/($G$7-$E$7),$E$7+SQRT(Q773*($G$7-$E$7)*($F$7-$E$7)),$G$7-SQRT((1-Q773)*($G$7-$E$7)*($G$7-$F$7))))</f>
        <v>1</v>
      </c>
      <c r="D773" s="37" t="n">
        <f aca="false">1+IF($G$8=$E$8,$F$8,IF(R773&lt;($F$8-$E$8)/($G$8-$E$8),$E$8+SQRT(R773*($G$8-$E$8)*($F$8-$E$8)),$G$8-SQRT((1-R773)*($G$8-$E$8)*($G$8-$F$8))))</f>
        <v>1</v>
      </c>
      <c r="E773" s="37" t="n">
        <f aca="false">1+IF($G$9=$E$9,$F$9,IF(S773&lt;($F$9-$E$9)/($G$9-$E$9),$E$9+SQRT(S773*($G$9-$E$9)*($F$9-$E$9)),$G$9-SQRT((1-S773)*($G$9-$E$9)*($G$9-$F$9))))</f>
        <v>1</v>
      </c>
      <c r="F773" s="37" t="n">
        <f aca="false">1+IF($G$10=$E$10,$F$10,IF(T773&lt;($F$10-$E$10)/($G$10-$E$10),$E$10+SQRT(T773*($G$10-$E$10)*($F$10-$E$10)),$G$10-SQRT((1-T773)*($G$10-$E$10)*($G$10-$F$10))))</f>
        <v>1</v>
      </c>
      <c r="G773" s="38" t="n">
        <f aca="false">IF($G$11=$E$11,$F$11,IF(U773&lt;($F$11-$E$11)/($G$11-$E$11),$E$11+SQRT(U773*($G$11-$E$11)*($F$11-$E$11)),$G$11-SQRT((1-U773)*($G$11-$E$11)*($G$11-$F$11))))</f>
        <v>0</v>
      </c>
      <c r="H773" s="39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0</v>
      </c>
      <c r="I773" s="39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0</v>
      </c>
      <c r="J773" s="39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0</v>
      </c>
      <c r="K773" s="39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0</v>
      </c>
      <c r="L773" s="39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0</v>
      </c>
      <c r="M773" s="39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0</v>
      </c>
      <c r="N773" s="39" t="str">
        <f aca="false">IF(COUNT('Business Case'!B11:G11)=0,"",H773+NPV(G773,I773:M773))</f>
        <v/>
      </c>
      <c r="P773" s="40" t="n">
        <f aca="true">RAND()</f>
        <v>0.473933247809095</v>
      </c>
      <c r="Q773" s="40" t="n">
        <f aca="true">RAND()</f>
        <v>0.940572743200735</v>
      </c>
      <c r="R773" s="40" t="n">
        <f aca="true">RAND()</f>
        <v>0.0994996452802889</v>
      </c>
      <c r="S773" s="40" t="n">
        <f aca="true">RAND()</f>
        <v>0.720326922842041</v>
      </c>
      <c r="T773" s="40" t="n">
        <f aca="true">RAND()</f>
        <v>0.420885667105242</v>
      </c>
      <c r="U773" s="40" t="n">
        <f aca="true">RAND()</f>
        <v>0.198392352138065</v>
      </c>
    </row>
    <row r="774" customFormat="false" ht="15" hidden="false" customHeight="false" outlineLevel="0" collapsed="false">
      <c r="A774" s="36" t="n">
        <v>694</v>
      </c>
      <c r="B774" s="37" t="n">
        <f aca="false">1+IF($G$6=$E$6,$F$6,IF(P774&lt;($F$6-$E$6)/($G$6-$E$6),$E$6+SQRT(P774*($G$6-$E$6)*($F$6-$E$6)),$G$6-SQRT((1-P774)*($G$6-$E$6)*($G$6-$F$6))))</f>
        <v>1</v>
      </c>
      <c r="C774" s="37" t="n">
        <f aca="false">1+IF($G$7=$E$7,$F$7,IF(Q774&lt;($F$7-$E$7)/($G$7-$E$7),$E$7+SQRT(Q774*($G$7-$E$7)*($F$7-$E$7)),$G$7-SQRT((1-Q774)*($G$7-$E$7)*($G$7-$F$7))))</f>
        <v>1</v>
      </c>
      <c r="D774" s="37" t="n">
        <f aca="false">1+IF($G$8=$E$8,$F$8,IF(R774&lt;($F$8-$E$8)/($G$8-$E$8),$E$8+SQRT(R774*($G$8-$E$8)*($F$8-$E$8)),$G$8-SQRT((1-R774)*($G$8-$E$8)*($G$8-$F$8))))</f>
        <v>1</v>
      </c>
      <c r="E774" s="37" t="n">
        <f aca="false">1+IF($G$9=$E$9,$F$9,IF(S774&lt;($F$9-$E$9)/($G$9-$E$9),$E$9+SQRT(S774*($G$9-$E$9)*($F$9-$E$9)),$G$9-SQRT((1-S774)*($G$9-$E$9)*($G$9-$F$9))))</f>
        <v>1</v>
      </c>
      <c r="F774" s="37" t="n">
        <f aca="false">1+IF($G$10=$E$10,$F$10,IF(T774&lt;($F$10-$E$10)/($G$10-$E$10),$E$10+SQRT(T774*($G$10-$E$10)*($F$10-$E$10)),$G$10-SQRT((1-T774)*($G$10-$E$10)*($G$10-$F$10))))</f>
        <v>1</v>
      </c>
      <c r="G774" s="38" t="n">
        <f aca="false">IF($G$11=$E$11,$F$11,IF(U774&lt;($F$11-$E$11)/($G$11-$E$11),$E$11+SQRT(U774*($G$11-$E$11)*($F$11-$E$11)),$G$11-SQRT((1-U774)*($G$11-$E$11)*($G$11-$F$11))))</f>
        <v>0</v>
      </c>
      <c r="H774" s="39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0</v>
      </c>
      <c r="I774" s="39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0</v>
      </c>
      <c r="J774" s="39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0</v>
      </c>
      <c r="K774" s="39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0</v>
      </c>
      <c r="L774" s="39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0</v>
      </c>
      <c r="M774" s="39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0</v>
      </c>
      <c r="N774" s="39" t="str">
        <f aca="false">IF(COUNT('Business Case'!B11:G11)=0,"",H774+NPV(G774,I774:M774))</f>
        <v/>
      </c>
      <c r="P774" s="40" t="n">
        <f aca="true">RAND()</f>
        <v>0.819886712105455</v>
      </c>
      <c r="Q774" s="40" t="n">
        <f aca="true">RAND()</f>
        <v>0.0716069498463121</v>
      </c>
      <c r="R774" s="40" t="n">
        <f aca="true">RAND()</f>
        <v>0.0297967248313466</v>
      </c>
      <c r="S774" s="40" t="n">
        <f aca="true">RAND()</f>
        <v>0.531748326831167</v>
      </c>
      <c r="T774" s="40" t="n">
        <f aca="true">RAND()</f>
        <v>0.232209691907197</v>
      </c>
      <c r="U774" s="40" t="n">
        <f aca="true">RAND()</f>
        <v>0.438369580202409</v>
      </c>
    </row>
    <row r="775" customFormat="false" ht="15" hidden="false" customHeight="false" outlineLevel="0" collapsed="false">
      <c r="A775" s="36" t="n">
        <v>695</v>
      </c>
      <c r="B775" s="37" t="n">
        <f aca="false">1+IF($G$6=$E$6,$F$6,IF(P775&lt;($F$6-$E$6)/($G$6-$E$6),$E$6+SQRT(P775*($G$6-$E$6)*($F$6-$E$6)),$G$6-SQRT((1-P775)*($G$6-$E$6)*($G$6-$F$6))))</f>
        <v>1</v>
      </c>
      <c r="C775" s="37" t="n">
        <f aca="false">1+IF($G$7=$E$7,$F$7,IF(Q775&lt;($F$7-$E$7)/($G$7-$E$7),$E$7+SQRT(Q775*($G$7-$E$7)*($F$7-$E$7)),$G$7-SQRT((1-Q775)*($G$7-$E$7)*($G$7-$F$7))))</f>
        <v>1</v>
      </c>
      <c r="D775" s="37" t="n">
        <f aca="false">1+IF($G$8=$E$8,$F$8,IF(R775&lt;($F$8-$E$8)/($G$8-$E$8),$E$8+SQRT(R775*($G$8-$E$8)*($F$8-$E$8)),$G$8-SQRT((1-R775)*($G$8-$E$8)*($G$8-$F$8))))</f>
        <v>1</v>
      </c>
      <c r="E775" s="37" t="n">
        <f aca="false">1+IF($G$9=$E$9,$F$9,IF(S775&lt;($F$9-$E$9)/($G$9-$E$9),$E$9+SQRT(S775*($G$9-$E$9)*($F$9-$E$9)),$G$9-SQRT((1-S775)*($G$9-$E$9)*($G$9-$F$9))))</f>
        <v>1</v>
      </c>
      <c r="F775" s="37" t="n">
        <f aca="false">1+IF($G$10=$E$10,$F$10,IF(T775&lt;($F$10-$E$10)/($G$10-$E$10),$E$10+SQRT(T775*($G$10-$E$10)*($F$10-$E$10)),$G$10-SQRT((1-T775)*($G$10-$E$10)*($G$10-$F$10))))</f>
        <v>1</v>
      </c>
      <c r="G775" s="38" t="n">
        <f aca="false">IF($G$11=$E$11,$F$11,IF(U775&lt;($F$11-$E$11)/($G$11-$E$11),$E$11+SQRT(U775*($G$11-$E$11)*($F$11-$E$11)),$G$11-SQRT((1-U775)*($G$11-$E$11)*($G$11-$F$11))))</f>
        <v>0</v>
      </c>
      <c r="H775" s="39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0</v>
      </c>
      <c r="I775" s="39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0</v>
      </c>
      <c r="J775" s="39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0</v>
      </c>
      <c r="K775" s="39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0</v>
      </c>
      <c r="L775" s="39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0</v>
      </c>
      <c r="M775" s="39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0</v>
      </c>
      <c r="N775" s="39" t="str">
        <f aca="false">IF(COUNT('Business Case'!B11:G11)=0,"",H775+NPV(G775,I775:M775))</f>
        <v/>
      </c>
      <c r="P775" s="40" t="n">
        <f aca="true">RAND()</f>
        <v>0.796203270418601</v>
      </c>
      <c r="Q775" s="40" t="n">
        <f aca="true">RAND()</f>
        <v>0.534324658886891</v>
      </c>
      <c r="R775" s="40" t="n">
        <f aca="true">RAND()</f>
        <v>0.576933742773942</v>
      </c>
      <c r="S775" s="40" t="n">
        <f aca="true">RAND()</f>
        <v>0.407863085319238</v>
      </c>
      <c r="T775" s="40" t="n">
        <f aca="true">RAND()</f>
        <v>0.424620306689512</v>
      </c>
      <c r="U775" s="40" t="n">
        <f aca="true">RAND()</f>
        <v>0.847911158563297</v>
      </c>
    </row>
    <row r="776" customFormat="false" ht="15" hidden="false" customHeight="false" outlineLevel="0" collapsed="false">
      <c r="A776" s="36" t="n">
        <v>696</v>
      </c>
      <c r="B776" s="37" t="n">
        <f aca="false">1+IF($G$6=$E$6,$F$6,IF(P776&lt;($F$6-$E$6)/($G$6-$E$6),$E$6+SQRT(P776*($G$6-$E$6)*($F$6-$E$6)),$G$6-SQRT((1-P776)*($G$6-$E$6)*($G$6-$F$6))))</f>
        <v>1</v>
      </c>
      <c r="C776" s="37" t="n">
        <f aca="false">1+IF($G$7=$E$7,$F$7,IF(Q776&lt;($F$7-$E$7)/($G$7-$E$7),$E$7+SQRT(Q776*($G$7-$E$7)*($F$7-$E$7)),$G$7-SQRT((1-Q776)*($G$7-$E$7)*($G$7-$F$7))))</f>
        <v>1</v>
      </c>
      <c r="D776" s="37" t="n">
        <f aca="false">1+IF($G$8=$E$8,$F$8,IF(R776&lt;($F$8-$E$8)/($G$8-$E$8),$E$8+SQRT(R776*($G$8-$E$8)*($F$8-$E$8)),$G$8-SQRT((1-R776)*($G$8-$E$8)*($G$8-$F$8))))</f>
        <v>1</v>
      </c>
      <c r="E776" s="37" t="n">
        <f aca="false">1+IF($G$9=$E$9,$F$9,IF(S776&lt;($F$9-$E$9)/($G$9-$E$9),$E$9+SQRT(S776*($G$9-$E$9)*($F$9-$E$9)),$G$9-SQRT((1-S776)*($G$9-$E$9)*($G$9-$F$9))))</f>
        <v>1</v>
      </c>
      <c r="F776" s="37" t="n">
        <f aca="false">1+IF($G$10=$E$10,$F$10,IF(T776&lt;($F$10-$E$10)/($G$10-$E$10),$E$10+SQRT(T776*($G$10-$E$10)*($F$10-$E$10)),$G$10-SQRT((1-T776)*($G$10-$E$10)*($G$10-$F$10))))</f>
        <v>1</v>
      </c>
      <c r="G776" s="38" t="n">
        <f aca="false">IF($G$11=$E$11,$F$11,IF(U776&lt;($F$11-$E$11)/($G$11-$E$11),$E$11+SQRT(U776*($G$11-$E$11)*($F$11-$E$11)),$G$11-SQRT((1-U776)*($G$11-$E$11)*($G$11-$F$11))))</f>
        <v>0</v>
      </c>
      <c r="H776" s="39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0</v>
      </c>
      <c r="I776" s="39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0</v>
      </c>
      <c r="J776" s="39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0</v>
      </c>
      <c r="K776" s="39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0</v>
      </c>
      <c r="L776" s="39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0</v>
      </c>
      <c r="M776" s="39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0</v>
      </c>
      <c r="N776" s="39" t="str">
        <f aca="false">IF(COUNT('Business Case'!B11:G11)=0,"",H776+NPV(G776,I776:M776))</f>
        <v/>
      </c>
      <c r="P776" s="40" t="n">
        <f aca="true">RAND()</f>
        <v>0.214407180232851</v>
      </c>
      <c r="Q776" s="40" t="n">
        <f aca="true">RAND()</f>
        <v>0.518356415454767</v>
      </c>
      <c r="R776" s="40" t="n">
        <f aca="true">RAND()</f>
        <v>0.122933732419866</v>
      </c>
      <c r="S776" s="40" t="n">
        <f aca="true">RAND()</f>
        <v>0.995566682262408</v>
      </c>
      <c r="T776" s="40" t="n">
        <f aca="true">RAND()</f>
        <v>0.431336097401943</v>
      </c>
      <c r="U776" s="40" t="n">
        <f aca="true">RAND()</f>
        <v>0.803023349941992</v>
      </c>
    </row>
    <row r="777" customFormat="false" ht="15" hidden="false" customHeight="false" outlineLevel="0" collapsed="false">
      <c r="A777" s="36" t="n">
        <v>697</v>
      </c>
      <c r="B777" s="37" t="n">
        <f aca="false">1+IF($G$6=$E$6,$F$6,IF(P777&lt;($F$6-$E$6)/($G$6-$E$6),$E$6+SQRT(P777*($G$6-$E$6)*($F$6-$E$6)),$G$6-SQRT((1-P777)*($G$6-$E$6)*($G$6-$F$6))))</f>
        <v>1</v>
      </c>
      <c r="C777" s="37" t="n">
        <f aca="false">1+IF($G$7=$E$7,$F$7,IF(Q777&lt;($F$7-$E$7)/($G$7-$E$7),$E$7+SQRT(Q777*($G$7-$E$7)*($F$7-$E$7)),$G$7-SQRT((1-Q777)*($G$7-$E$7)*($G$7-$F$7))))</f>
        <v>1</v>
      </c>
      <c r="D777" s="37" t="n">
        <f aca="false">1+IF($G$8=$E$8,$F$8,IF(R777&lt;($F$8-$E$8)/($G$8-$E$8),$E$8+SQRT(R777*($G$8-$E$8)*($F$8-$E$8)),$G$8-SQRT((1-R777)*($G$8-$E$8)*($G$8-$F$8))))</f>
        <v>1</v>
      </c>
      <c r="E777" s="37" t="n">
        <f aca="false">1+IF($G$9=$E$9,$F$9,IF(S777&lt;($F$9-$E$9)/($G$9-$E$9),$E$9+SQRT(S777*($G$9-$E$9)*($F$9-$E$9)),$G$9-SQRT((1-S777)*($G$9-$E$9)*($G$9-$F$9))))</f>
        <v>1</v>
      </c>
      <c r="F777" s="37" t="n">
        <f aca="false">1+IF($G$10=$E$10,$F$10,IF(T777&lt;($F$10-$E$10)/($G$10-$E$10),$E$10+SQRT(T777*($G$10-$E$10)*($F$10-$E$10)),$G$10-SQRT((1-T777)*($G$10-$E$10)*($G$10-$F$10))))</f>
        <v>1</v>
      </c>
      <c r="G777" s="38" t="n">
        <f aca="false">IF($G$11=$E$11,$F$11,IF(U777&lt;($F$11-$E$11)/($G$11-$E$11),$E$11+SQRT(U777*($G$11-$E$11)*($F$11-$E$11)),$G$11-SQRT((1-U777)*($G$11-$E$11)*($G$11-$F$11))))</f>
        <v>0</v>
      </c>
      <c r="H777" s="39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0</v>
      </c>
      <c r="I777" s="39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0</v>
      </c>
      <c r="J777" s="39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0</v>
      </c>
      <c r="K777" s="39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0</v>
      </c>
      <c r="L777" s="39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0</v>
      </c>
      <c r="M777" s="39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0</v>
      </c>
      <c r="N777" s="39" t="str">
        <f aca="false">IF(COUNT('Business Case'!B11:G11)=0,"",H777+NPV(G777,I777:M777))</f>
        <v/>
      </c>
      <c r="P777" s="40" t="n">
        <f aca="true">RAND()</f>
        <v>0.9621479127883</v>
      </c>
      <c r="Q777" s="40" t="n">
        <f aca="true">RAND()</f>
        <v>0.354881553156524</v>
      </c>
      <c r="R777" s="40" t="n">
        <f aca="true">RAND()</f>
        <v>0.394865242606045</v>
      </c>
      <c r="S777" s="40" t="n">
        <f aca="true">RAND()</f>
        <v>0.709946645636339</v>
      </c>
      <c r="T777" s="40" t="n">
        <f aca="true">RAND()</f>
        <v>0.816970063056636</v>
      </c>
      <c r="U777" s="40" t="n">
        <f aca="true">RAND()</f>
        <v>0.180889063462051</v>
      </c>
    </row>
    <row r="778" customFormat="false" ht="15" hidden="false" customHeight="false" outlineLevel="0" collapsed="false">
      <c r="A778" s="36" t="n">
        <v>698</v>
      </c>
      <c r="B778" s="37" t="n">
        <f aca="false">1+IF($G$6=$E$6,$F$6,IF(P778&lt;($F$6-$E$6)/($G$6-$E$6),$E$6+SQRT(P778*($G$6-$E$6)*($F$6-$E$6)),$G$6-SQRT((1-P778)*($G$6-$E$6)*($G$6-$F$6))))</f>
        <v>1</v>
      </c>
      <c r="C778" s="37" t="n">
        <f aca="false">1+IF($G$7=$E$7,$F$7,IF(Q778&lt;($F$7-$E$7)/($G$7-$E$7),$E$7+SQRT(Q778*($G$7-$E$7)*($F$7-$E$7)),$G$7-SQRT((1-Q778)*($G$7-$E$7)*($G$7-$F$7))))</f>
        <v>1</v>
      </c>
      <c r="D778" s="37" t="n">
        <f aca="false">1+IF($G$8=$E$8,$F$8,IF(R778&lt;($F$8-$E$8)/($G$8-$E$8),$E$8+SQRT(R778*($G$8-$E$8)*($F$8-$E$8)),$G$8-SQRT((1-R778)*($G$8-$E$8)*($G$8-$F$8))))</f>
        <v>1</v>
      </c>
      <c r="E778" s="37" t="n">
        <f aca="false">1+IF($G$9=$E$9,$F$9,IF(S778&lt;($F$9-$E$9)/($G$9-$E$9),$E$9+SQRT(S778*($G$9-$E$9)*($F$9-$E$9)),$G$9-SQRT((1-S778)*($G$9-$E$9)*($G$9-$F$9))))</f>
        <v>1</v>
      </c>
      <c r="F778" s="37" t="n">
        <f aca="false">1+IF($G$10=$E$10,$F$10,IF(T778&lt;($F$10-$E$10)/($G$10-$E$10),$E$10+SQRT(T778*($G$10-$E$10)*($F$10-$E$10)),$G$10-SQRT((1-T778)*($G$10-$E$10)*($G$10-$F$10))))</f>
        <v>1</v>
      </c>
      <c r="G778" s="38" t="n">
        <f aca="false">IF($G$11=$E$11,$F$11,IF(U778&lt;($F$11-$E$11)/($G$11-$E$11),$E$11+SQRT(U778*($G$11-$E$11)*($F$11-$E$11)),$G$11-SQRT((1-U778)*($G$11-$E$11)*($G$11-$F$11))))</f>
        <v>0</v>
      </c>
      <c r="H778" s="39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0</v>
      </c>
      <c r="I778" s="39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0</v>
      </c>
      <c r="J778" s="39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0</v>
      </c>
      <c r="K778" s="39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0</v>
      </c>
      <c r="L778" s="39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0</v>
      </c>
      <c r="M778" s="39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0</v>
      </c>
      <c r="N778" s="39" t="str">
        <f aca="false">IF(COUNT('Business Case'!B11:G11)=0,"",H778+NPV(G778,I778:M778))</f>
        <v/>
      </c>
      <c r="P778" s="40" t="n">
        <f aca="true">RAND()</f>
        <v>0.185159509676264</v>
      </c>
      <c r="Q778" s="40" t="n">
        <f aca="true">RAND()</f>
        <v>0.346021690552773</v>
      </c>
      <c r="R778" s="40" t="n">
        <f aca="true">RAND()</f>
        <v>0.315076338725557</v>
      </c>
      <c r="S778" s="40" t="n">
        <f aca="true">RAND()</f>
        <v>0.423754883256234</v>
      </c>
      <c r="T778" s="40" t="n">
        <f aca="true">RAND()</f>
        <v>0.750961813081481</v>
      </c>
      <c r="U778" s="40" t="n">
        <f aca="true">RAND()</f>
        <v>0.0836340334197219</v>
      </c>
    </row>
    <row r="779" customFormat="false" ht="15" hidden="false" customHeight="false" outlineLevel="0" collapsed="false">
      <c r="A779" s="36" t="n">
        <v>699</v>
      </c>
      <c r="B779" s="37" t="n">
        <f aca="false">1+IF($G$6=$E$6,$F$6,IF(P779&lt;($F$6-$E$6)/($G$6-$E$6),$E$6+SQRT(P779*($G$6-$E$6)*($F$6-$E$6)),$G$6-SQRT((1-P779)*($G$6-$E$6)*($G$6-$F$6))))</f>
        <v>1</v>
      </c>
      <c r="C779" s="37" t="n">
        <f aca="false">1+IF($G$7=$E$7,$F$7,IF(Q779&lt;($F$7-$E$7)/($G$7-$E$7),$E$7+SQRT(Q779*($G$7-$E$7)*($F$7-$E$7)),$G$7-SQRT((1-Q779)*($G$7-$E$7)*($G$7-$F$7))))</f>
        <v>1</v>
      </c>
      <c r="D779" s="37" t="n">
        <f aca="false">1+IF($G$8=$E$8,$F$8,IF(R779&lt;($F$8-$E$8)/($G$8-$E$8),$E$8+SQRT(R779*($G$8-$E$8)*($F$8-$E$8)),$G$8-SQRT((1-R779)*($G$8-$E$8)*($G$8-$F$8))))</f>
        <v>1</v>
      </c>
      <c r="E779" s="37" t="n">
        <f aca="false">1+IF($G$9=$E$9,$F$9,IF(S779&lt;($F$9-$E$9)/($G$9-$E$9),$E$9+SQRT(S779*($G$9-$E$9)*($F$9-$E$9)),$G$9-SQRT((1-S779)*($G$9-$E$9)*($G$9-$F$9))))</f>
        <v>1</v>
      </c>
      <c r="F779" s="37" t="n">
        <f aca="false">1+IF($G$10=$E$10,$F$10,IF(T779&lt;($F$10-$E$10)/($G$10-$E$10),$E$10+SQRT(T779*($G$10-$E$10)*($F$10-$E$10)),$G$10-SQRT((1-T779)*($G$10-$E$10)*($G$10-$F$10))))</f>
        <v>1</v>
      </c>
      <c r="G779" s="38" t="n">
        <f aca="false">IF($G$11=$E$11,$F$11,IF(U779&lt;($F$11-$E$11)/($G$11-$E$11),$E$11+SQRT(U779*($G$11-$E$11)*($F$11-$E$11)),$G$11-SQRT((1-U779)*($G$11-$E$11)*($G$11-$F$11))))</f>
        <v>0</v>
      </c>
      <c r="H779" s="39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0</v>
      </c>
      <c r="I779" s="39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0</v>
      </c>
      <c r="J779" s="39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0</v>
      </c>
      <c r="K779" s="39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0</v>
      </c>
      <c r="L779" s="39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0</v>
      </c>
      <c r="M779" s="39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0</v>
      </c>
      <c r="N779" s="39" t="str">
        <f aca="false">IF(COUNT('Business Case'!B11:G11)=0,"",H779+NPV(G779,I779:M779))</f>
        <v/>
      </c>
      <c r="P779" s="40" t="n">
        <f aca="true">RAND()</f>
        <v>0.90678585639717</v>
      </c>
      <c r="Q779" s="40" t="n">
        <f aca="true">RAND()</f>
        <v>0.798805998769267</v>
      </c>
      <c r="R779" s="40" t="n">
        <f aca="true">RAND()</f>
        <v>0.854925240959793</v>
      </c>
      <c r="S779" s="40" t="n">
        <f aca="true">RAND()</f>
        <v>0.180822422342006</v>
      </c>
      <c r="T779" s="40" t="n">
        <f aca="true">RAND()</f>
        <v>0.0146683575380554</v>
      </c>
      <c r="U779" s="40" t="n">
        <f aca="true">RAND()</f>
        <v>0.191104041743649</v>
      </c>
    </row>
    <row r="780" customFormat="false" ht="15" hidden="false" customHeight="false" outlineLevel="0" collapsed="false">
      <c r="A780" s="36" t="n">
        <v>700</v>
      </c>
      <c r="B780" s="37" t="n">
        <f aca="false">1+IF($G$6=$E$6,$F$6,IF(P780&lt;($F$6-$E$6)/($G$6-$E$6),$E$6+SQRT(P780*($G$6-$E$6)*($F$6-$E$6)),$G$6-SQRT((1-P780)*($G$6-$E$6)*($G$6-$F$6))))</f>
        <v>1</v>
      </c>
      <c r="C780" s="37" t="n">
        <f aca="false">1+IF($G$7=$E$7,$F$7,IF(Q780&lt;($F$7-$E$7)/($G$7-$E$7),$E$7+SQRT(Q780*($G$7-$E$7)*($F$7-$E$7)),$G$7-SQRT((1-Q780)*($G$7-$E$7)*($G$7-$F$7))))</f>
        <v>1</v>
      </c>
      <c r="D780" s="37" t="n">
        <f aca="false">1+IF($G$8=$E$8,$F$8,IF(R780&lt;($F$8-$E$8)/($G$8-$E$8),$E$8+SQRT(R780*($G$8-$E$8)*($F$8-$E$8)),$G$8-SQRT((1-R780)*($G$8-$E$8)*($G$8-$F$8))))</f>
        <v>1</v>
      </c>
      <c r="E780" s="37" t="n">
        <f aca="false">1+IF($G$9=$E$9,$F$9,IF(S780&lt;($F$9-$E$9)/($G$9-$E$9),$E$9+SQRT(S780*($G$9-$E$9)*($F$9-$E$9)),$G$9-SQRT((1-S780)*($G$9-$E$9)*($G$9-$F$9))))</f>
        <v>1</v>
      </c>
      <c r="F780" s="37" t="n">
        <f aca="false">1+IF($G$10=$E$10,$F$10,IF(T780&lt;($F$10-$E$10)/($G$10-$E$10),$E$10+SQRT(T780*($G$10-$E$10)*($F$10-$E$10)),$G$10-SQRT((1-T780)*($G$10-$E$10)*($G$10-$F$10))))</f>
        <v>1</v>
      </c>
      <c r="G780" s="38" t="n">
        <f aca="false">IF($G$11=$E$11,$F$11,IF(U780&lt;($F$11-$E$11)/($G$11-$E$11),$E$11+SQRT(U780*($G$11-$E$11)*($F$11-$E$11)),$G$11-SQRT((1-U780)*($G$11-$E$11)*($G$11-$F$11))))</f>
        <v>0</v>
      </c>
      <c r="H780" s="39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0</v>
      </c>
      <c r="I780" s="39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0</v>
      </c>
      <c r="J780" s="39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0</v>
      </c>
      <c r="K780" s="39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0</v>
      </c>
      <c r="L780" s="39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0</v>
      </c>
      <c r="M780" s="39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0</v>
      </c>
      <c r="N780" s="39" t="str">
        <f aca="false">IF(COUNT('Business Case'!B11:G11)=0,"",H780+NPV(G780,I780:M780))</f>
        <v/>
      </c>
      <c r="P780" s="40" t="n">
        <f aca="true">RAND()</f>
        <v>0.0868714786332615</v>
      </c>
      <c r="Q780" s="40" t="n">
        <f aca="true">RAND()</f>
        <v>0.113434220073919</v>
      </c>
      <c r="R780" s="40" t="n">
        <f aca="true">RAND()</f>
        <v>0.595021308587531</v>
      </c>
      <c r="S780" s="40" t="n">
        <f aca="true">RAND()</f>
        <v>0.0948036755508322</v>
      </c>
      <c r="T780" s="40" t="n">
        <f aca="true">RAND()</f>
        <v>0.297120344247308</v>
      </c>
      <c r="U780" s="40" t="n">
        <f aca="true">RAND()</f>
        <v>0.31273090485175</v>
      </c>
    </row>
    <row r="781" customFormat="false" ht="15" hidden="false" customHeight="false" outlineLevel="0" collapsed="false">
      <c r="A781" s="36" t="n">
        <v>701</v>
      </c>
      <c r="B781" s="37" t="n">
        <f aca="false">1+IF($G$6=$E$6,$F$6,IF(P781&lt;($F$6-$E$6)/($G$6-$E$6),$E$6+SQRT(P781*($G$6-$E$6)*($F$6-$E$6)),$G$6-SQRT((1-P781)*($G$6-$E$6)*($G$6-$F$6))))</f>
        <v>1</v>
      </c>
      <c r="C781" s="37" t="n">
        <f aca="false">1+IF($G$7=$E$7,$F$7,IF(Q781&lt;($F$7-$E$7)/($G$7-$E$7),$E$7+SQRT(Q781*($G$7-$E$7)*($F$7-$E$7)),$G$7-SQRT((1-Q781)*($G$7-$E$7)*($G$7-$F$7))))</f>
        <v>1</v>
      </c>
      <c r="D781" s="37" t="n">
        <f aca="false">1+IF($G$8=$E$8,$F$8,IF(R781&lt;($F$8-$E$8)/($G$8-$E$8),$E$8+SQRT(R781*($G$8-$E$8)*($F$8-$E$8)),$G$8-SQRT((1-R781)*($G$8-$E$8)*($G$8-$F$8))))</f>
        <v>1</v>
      </c>
      <c r="E781" s="37" t="n">
        <f aca="false">1+IF($G$9=$E$9,$F$9,IF(S781&lt;($F$9-$E$9)/($G$9-$E$9),$E$9+SQRT(S781*($G$9-$E$9)*($F$9-$E$9)),$G$9-SQRT((1-S781)*($G$9-$E$9)*($G$9-$F$9))))</f>
        <v>1</v>
      </c>
      <c r="F781" s="37" t="n">
        <f aca="false">1+IF($G$10=$E$10,$F$10,IF(T781&lt;($F$10-$E$10)/($G$10-$E$10),$E$10+SQRT(T781*($G$10-$E$10)*($F$10-$E$10)),$G$10-SQRT((1-T781)*($G$10-$E$10)*($G$10-$F$10))))</f>
        <v>1</v>
      </c>
      <c r="G781" s="38" t="n">
        <f aca="false">IF($G$11=$E$11,$F$11,IF(U781&lt;($F$11-$E$11)/($G$11-$E$11),$E$11+SQRT(U781*($G$11-$E$11)*($F$11-$E$11)),$G$11-SQRT((1-U781)*($G$11-$E$11)*($G$11-$F$11))))</f>
        <v>0</v>
      </c>
      <c r="H781" s="39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0</v>
      </c>
      <c r="I781" s="39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0</v>
      </c>
      <c r="J781" s="39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0</v>
      </c>
      <c r="K781" s="39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0</v>
      </c>
      <c r="L781" s="39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0</v>
      </c>
      <c r="M781" s="39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0</v>
      </c>
      <c r="N781" s="39" t="str">
        <f aca="false">IF(COUNT('Business Case'!B11:G11)=0,"",H781+NPV(G781,I781:M781))</f>
        <v/>
      </c>
      <c r="P781" s="40" t="n">
        <f aca="true">RAND()</f>
        <v>0.382924096562208</v>
      </c>
      <c r="Q781" s="40" t="n">
        <f aca="true">RAND()</f>
        <v>0.60244495766969</v>
      </c>
      <c r="R781" s="40" t="n">
        <f aca="true">RAND()</f>
        <v>0.529578180688543</v>
      </c>
      <c r="S781" s="40" t="n">
        <f aca="true">RAND()</f>
        <v>0.322707087250758</v>
      </c>
      <c r="T781" s="40" t="n">
        <f aca="true">RAND()</f>
        <v>0.810490865252599</v>
      </c>
      <c r="U781" s="40" t="n">
        <f aca="true">RAND()</f>
        <v>0.782758067772294</v>
      </c>
    </row>
    <row r="782" customFormat="false" ht="15" hidden="false" customHeight="false" outlineLevel="0" collapsed="false">
      <c r="A782" s="36" t="n">
        <v>702</v>
      </c>
      <c r="B782" s="37" t="n">
        <f aca="false">1+IF($G$6=$E$6,$F$6,IF(P782&lt;($F$6-$E$6)/($G$6-$E$6),$E$6+SQRT(P782*($G$6-$E$6)*($F$6-$E$6)),$G$6-SQRT((1-P782)*($G$6-$E$6)*($G$6-$F$6))))</f>
        <v>1</v>
      </c>
      <c r="C782" s="37" t="n">
        <f aca="false">1+IF($G$7=$E$7,$F$7,IF(Q782&lt;($F$7-$E$7)/($G$7-$E$7),$E$7+SQRT(Q782*($G$7-$E$7)*($F$7-$E$7)),$G$7-SQRT((1-Q782)*($G$7-$E$7)*($G$7-$F$7))))</f>
        <v>1</v>
      </c>
      <c r="D782" s="37" t="n">
        <f aca="false">1+IF($G$8=$E$8,$F$8,IF(R782&lt;($F$8-$E$8)/($G$8-$E$8),$E$8+SQRT(R782*($G$8-$E$8)*($F$8-$E$8)),$G$8-SQRT((1-R782)*($G$8-$E$8)*($G$8-$F$8))))</f>
        <v>1</v>
      </c>
      <c r="E782" s="37" t="n">
        <f aca="false">1+IF($G$9=$E$9,$F$9,IF(S782&lt;($F$9-$E$9)/($G$9-$E$9),$E$9+SQRT(S782*($G$9-$E$9)*($F$9-$E$9)),$G$9-SQRT((1-S782)*($G$9-$E$9)*($G$9-$F$9))))</f>
        <v>1</v>
      </c>
      <c r="F782" s="37" t="n">
        <f aca="false">1+IF($G$10=$E$10,$F$10,IF(T782&lt;($F$10-$E$10)/($G$10-$E$10),$E$10+SQRT(T782*($G$10-$E$10)*($F$10-$E$10)),$G$10-SQRT((1-T782)*($G$10-$E$10)*($G$10-$F$10))))</f>
        <v>1</v>
      </c>
      <c r="G782" s="38" t="n">
        <f aca="false">IF($G$11=$E$11,$F$11,IF(U782&lt;($F$11-$E$11)/($G$11-$E$11),$E$11+SQRT(U782*($G$11-$E$11)*($F$11-$E$11)),$G$11-SQRT((1-U782)*($G$11-$E$11)*($G$11-$F$11))))</f>
        <v>0</v>
      </c>
      <c r="H782" s="39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0</v>
      </c>
      <c r="I782" s="39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0</v>
      </c>
      <c r="J782" s="39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0</v>
      </c>
      <c r="K782" s="39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0</v>
      </c>
      <c r="L782" s="39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0</v>
      </c>
      <c r="M782" s="39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0</v>
      </c>
      <c r="N782" s="39" t="str">
        <f aca="false">IF(COUNT('Business Case'!B11:G11)=0,"",H782+NPV(G782,I782:M782))</f>
        <v/>
      </c>
      <c r="P782" s="40" t="n">
        <f aca="true">RAND()</f>
        <v>0.184810846410798</v>
      </c>
      <c r="Q782" s="40" t="n">
        <f aca="true">RAND()</f>
        <v>0.50254927912148</v>
      </c>
      <c r="R782" s="40" t="n">
        <f aca="true">RAND()</f>
        <v>0.901748083787085</v>
      </c>
      <c r="S782" s="40" t="n">
        <f aca="true">RAND()</f>
        <v>0.70893013498735</v>
      </c>
      <c r="T782" s="40" t="n">
        <f aca="true">RAND()</f>
        <v>0.351420320321345</v>
      </c>
      <c r="U782" s="40" t="n">
        <f aca="true">RAND()</f>
        <v>0.327244204307295</v>
      </c>
    </row>
    <row r="783" customFormat="false" ht="15" hidden="false" customHeight="false" outlineLevel="0" collapsed="false">
      <c r="A783" s="36" t="n">
        <v>703</v>
      </c>
      <c r="B783" s="37" t="n">
        <f aca="false">1+IF($G$6=$E$6,$F$6,IF(P783&lt;($F$6-$E$6)/($G$6-$E$6),$E$6+SQRT(P783*($G$6-$E$6)*($F$6-$E$6)),$G$6-SQRT((1-P783)*($G$6-$E$6)*($G$6-$F$6))))</f>
        <v>1</v>
      </c>
      <c r="C783" s="37" t="n">
        <f aca="false">1+IF($G$7=$E$7,$F$7,IF(Q783&lt;($F$7-$E$7)/($G$7-$E$7),$E$7+SQRT(Q783*($G$7-$E$7)*($F$7-$E$7)),$G$7-SQRT((1-Q783)*($G$7-$E$7)*($G$7-$F$7))))</f>
        <v>1</v>
      </c>
      <c r="D783" s="37" t="n">
        <f aca="false">1+IF($G$8=$E$8,$F$8,IF(R783&lt;($F$8-$E$8)/($G$8-$E$8),$E$8+SQRT(R783*($G$8-$E$8)*($F$8-$E$8)),$G$8-SQRT((1-R783)*($G$8-$E$8)*($G$8-$F$8))))</f>
        <v>1</v>
      </c>
      <c r="E783" s="37" t="n">
        <f aca="false">1+IF($G$9=$E$9,$F$9,IF(S783&lt;($F$9-$E$9)/($G$9-$E$9),$E$9+SQRT(S783*($G$9-$E$9)*($F$9-$E$9)),$G$9-SQRT((1-S783)*($G$9-$E$9)*($G$9-$F$9))))</f>
        <v>1</v>
      </c>
      <c r="F783" s="37" t="n">
        <f aca="false">1+IF($G$10=$E$10,$F$10,IF(T783&lt;($F$10-$E$10)/($G$10-$E$10),$E$10+SQRT(T783*($G$10-$E$10)*($F$10-$E$10)),$G$10-SQRT((1-T783)*($G$10-$E$10)*($G$10-$F$10))))</f>
        <v>1</v>
      </c>
      <c r="G783" s="38" t="n">
        <f aca="false">IF($G$11=$E$11,$F$11,IF(U783&lt;($F$11-$E$11)/($G$11-$E$11),$E$11+SQRT(U783*($G$11-$E$11)*($F$11-$E$11)),$G$11-SQRT((1-U783)*($G$11-$E$11)*($G$11-$F$11))))</f>
        <v>0</v>
      </c>
      <c r="H783" s="39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0</v>
      </c>
      <c r="I783" s="39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0</v>
      </c>
      <c r="J783" s="39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0</v>
      </c>
      <c r="K783" s="39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0</v>
      </c>
      <c r="L783" s="39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0</v>
      </c>
      <c r="M783" s="39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0</v>
      </c>
      <c r="N783" s="39" t="str">
        <f aca="false">IF(COUNT('Business Case'!B11:G11)=0,"",H783+NPV(G783,I783:M783))</f>
        <v/>
      </c>
      <c r="P783" s="40" t="n">
        <f aca="true">RAND()</f>
        <v>0.446019144797633</v>
      </c>
      <c r="Q783" s="40" t="n">
        <f aca="true">RAND()</f>
        <v>0.296100800817315</v>
      </c>
      <c r="R783" s="40" t="n">
        <f aca="true">RAND()</f>
        <v>0.642695652105451</v>
      </c>
      <c r="S783" s="40" t="n">
        <f aca="true">RAND()</f>
        <v>0.761113410078885</v>
      </c>
      <c r="T783" s="40" t="n">
        <f aca="true">RAND()</f>
        <v>0.923593566563528</v>
      </c>
      <c r="U783" s="40" t="n">
        <f aca="true">RAND()</f>
        <v>0.908091766268316</v>
      </c>
    </row>
    <row r="784" customFormat="false" ht="15" hidden="false" customHeight="false" outlineLevel="0" collapsed="false">
      <c r="A784" s="36" t="n">
        <v>704</v>
      </c>
      <c r="B784" s="37" t="n">
        <f aca="false">1+IF($G$6=$E$6,$F$6,IF(P784&lt;($F$6-$E$6)/($G$6-$E$6),$E$6+SQRT(P784*($G$6-$E$6)*($F$6-$E$6)),$G$6-SQRT((1-P784)*($G$6-$E$6)*($G$6-$F$6))))</f>
        <v>1</v>
      </c>
      <c r="C784" s="37" t="n">
        <f aca="false">1+IF($G$7=$E$7,$F$7,IF(Q784&lt;($F$7-$E$7)/($G$7-$E$7),$E$7+SQRT(Q784*($G$7-$E$7)*($F$7-$E$7)),$G$7-SQRT((1-Q784)*($G$7-$E$7)*($G$7-$F$7))))</f>
        <v>1</v>
      </c>
      <c r="D784" s="37" t="n">
        <f aca="false">1+IF($G$8=$E$8,$F$8,IF(R784&lt;($F$8-$E$8)/($G$8-$E$8),$E$8+SQRT(R784*($G$8-$E$8)*($F$8-$E$8)),$G$8-SQRT((1-R784)*($G$8-$E$8)*($G$8-$F$8))))</f>
        <v>1</v>
      </c>
      <c r="E784" s="37" t="n">
        <f aca="false">1+IF($G$9=$E$9,$F$9,IF(S784&lt;($F$9-$E$9)/($G$9-$E$9),$E$9+SQRT(S784*($G$9-$E$9)*($F$9-$E$9)),$G$9-SQRT((1-S784)*($G$9-$E$9)*($G$9-$F$9))))</f>
        <v>1</v>
      </c>
      <c r="F784" s="37" t="n">
        <f aca="false">1+IF($G$10=$E$10,$F$10,IF(T784&lt;($F$10-$E$10)/($G$10-$E$10),$E$10+SQRT(T784*($G$10-$E$10)*($F$10-$E$10)),$G$10-SQRT((1-T784)*($G$10-$E$10)*($G$10-$F$10))))</f>
        <v>1</v>
      </c>
      <c r="G784" s="38" t="n">
        <f aca="false">IF($G$11=$E$11,$F$11,IF(U784&lt;($F$11-$E$11)/($G$11-$E$11),$E$11+SQRT(U784*($G$11-$E$11)*($F$11-$E$11)),$G$11-SQRT((1-U784)*($G$11-$E$11)*($G$11-$F$11))))</f>
        <v>0</v>
      </c>
      <c r="H784" s="39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0</v>
      </c>
      <c r="I784" s="39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0</v>
      </c>
      <c r="J784" s="39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0</v>
      </c>
      <c r="K784" s="39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0</v>
      </c>
      <c r="L784" s="39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0</v>
      </c>
      <c r="M784" s="39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0</v>
      </c>
      <c r="N784" s="39" t="str">
        <f aca="false">IF(COUNT('Business Case'!B11:G11)=0,"",H784+NPV(G784,I784:M784))</f>
        <v/>
      </c>
      <c r="P784" s="40" t="n">
        <f aca="true">RAND()</f>
        <v>0.47324419781148</v>
      </c>
      <c r="Q784" s="40" t="n">
        <f aca="true">RAND()</f>
        <v>0.39089283252902</v>
      </c>
      <c r="R784" s="40" t="n">
        <f aca="true">RAND()</f>
        <v>0.0833760516872952</v>
      </c>
      <c r="S784" s="40" t="n">
        <f aca="true">RAND()</f>
        <v>0.325101318909625</v>
      </c>
      <c r="T784" s="40" t="n">
        <f aca="true">RAND()</f>
        <v>0.106437300439834</v>
      </c>
      <c r="U784" s="40" t="n">
        <f aca="true">RAND()</f>
        <v>0.905627304801353</v>
      </c>
    </row>
    <row r="785" customFormat="false" ht="15" hidden="false" customHeight="false" outlineLevel="0" collapsed="false">
      <c r="A785" s="36" t="n">
        <v>705</v>
      </c>
      <c r="B785" s="37" t="n">
        <f aca="false">1+IF($G$6=$E$6,$F$6,IF(P785&lt;($F$6-$E$6)/($G$6-$E$6),$E$6+SQRT(P785*($G$6-$E$6)*($F$6-$E$6)),$G$6-SQRT((1-P785)*($G$6-$E$6)*($G$6-$F$6))))</f>
        <v>1</v>
      </c>
      <c r="C785" s="37" t="n">
        <f aca="false">1+IF($G$7=$E$7,$F$7,IF(Q785&lt;($F$7-$E$7)/($G$7-$E$7),$E$7+SQRT(Q785*($G$7-$E$7)*($F$7-$E$7)),$G$7-SQRT((1-Q785)*($G$7-$E$7)*($G$7-$F$7))))</f>
        <v>1</v>
      </c>
      <c r="D785" s="37" t="n">
        <f aca="false">1+IF($G$8=$E$8,$F$8,IF(R785&lt;($F$8-$E$8)/($G$8-$E$8),$E$8+SQRT(R785*($G$8-$E$8)*($F$8-$E$8)),$G$8-SQRT((1-R785)*($G$8-$E$8)*($G$8-$F$8))))</f>
        <v>1</v>
      </c>
      <c r="E785" s="37" t="n">
        <f aca="false">1+IF($G$9=$E$9,$F$9,IF(S785&lt;($F$9-$E$9)/($G$9-$E$9),$E$9+SQRT(S785*($G$9-$E$9)*($F$9-$E$9)),$G$9-SQRT((1-S785)*($G$9-$E$9)*($G$9-$F$9))))</f>
        <v>1</v>
      </c>
      <c r="F785" s="37" t="n">
        <f aca="false">1+IF($G$10=$E$10,$F$10,IF(T785&lt;($F$10-$E$10)/($G$10-$E$10),$E$10+SQRT(T785*($G$10-$E$10)*($F$10-$E$10)),$G$10-SQRT((1-T785)*($G$10-$E$10)*($G$10-$F$10))))</f>
        <v>1</v>
      </c>
      <c r="G785" s="38" t="n">
        <f aca="false">IF($G$11=$E$11,$F$11,IF(U785&lt;($F$11-$E$11)/($G$11-$E$11),$E$11+SQRT(U785*($G$11-$E$11)*($F$11-$E$11)),$G$11-SQRT((1-U785)*($G$11-$E$11)*($G$11-$F$11))))</f>
        <v>0</v>
      </c>
      <c r="H785" s="39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0</v>
      </c>
      <c r="I785" s="39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0</v>
      </c>
      <c r="J785" s="39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0</v>
      </c>
      <c r="K785" s="39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0</v>
      </c>
      <c r="L785" s="39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0</v>
      </c>
      <c r="M785" s="39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0</v>
      </c>
      <c r="N785" s="39" t="str">
        <f aca="false">IF(COUNT('Business Case'!B11:G11)=0,"",H785+NPV(G785,I785:M785))</f>
        <v/>
      </c>
      <c r="P785" s="40" t="n">
        <f aca="true">RAND()</f>
        <v>0.622927670737781</v>
      </c>
      <c r="Q785" s="40" t="n">
        <f aca="true">RAND()</f>
        <v>0.705402804834443</v>
      </c>
      <c r="R785" s="40" t="n">
        <f aca="true">RAND()</f>
        <v>0.655536519601278</v>
      </c>
      <c r="S785" s="40" t="n">
        <f aca="true">RAND()</f>
        <v>0.461227877558428</v>
      </c>
      <c r="T785" s="40" t="n">
        <f aca="true">RAND()</f>
        <v>0.342059270602907</v>
      </c>
      <c r="U785" s="40" t="n">
        <f aca="true">RAND()</f>
        <v>0.028150844027112</v>
      </c>
    </row>
    <row r="786" customFormat="false" ht="15" hidden="false" customHeight="false" outlineLevel="0" collapsed="false">
      <c r="A786" s="36" t="n">
        <v>706</v>
      </c>
      <c r="B786" s="37" t="n">
        <f aca="false">1+IF($G$6=$E$6,$F$6,IF(P786&lt;($F$6-$E$6)/($G$6-$E$6),$E$6+SQRT(P786*($G$6-$E$6)*($F$6-$E$6)),$G$6-SQRT((1-P786)*($G$6-$E$6)*($G$6-$F$6))))</f>
        <v>1</v>
      </c>
      <c r="C786" s="37" t="n">
        <f aca="false">1+IF($G$7=$E$7,$F$7,IF(Q786&lt;($F$7-$E$7)/($G$7-$E$7),$E$7+SQRT(Q786*($G$7-$E$7)*($F$7-$E$7)),$G$7-SQRT((1-Q786)*($G$7-$E$7)*($G$7-$F$7))))</f>
        <v>1</v>
      </c>
      <c r="D786" s="37" t="n">
        <f aca="false">1+IF($G$8=$E$8,$F$8,IF(R786&lt;($F$8-$E$8)/($G$8-$E$8),$E$8+SQRT(R786*($G$8-$E$8)*($F$8-$E$8)),$G$8-SQRT((1-R786)*($G$8-$E$8)*($G$8-$F$8))))</f>
        <v>1</v>
      </c>
      <c r="E786" s="37" t="n">
        <f aca="false">1+IF($G$9=$E$9,$F$9,IF(S786&lt;($F$9-$E$9)/($G$9-$E$9),$E$9+SQRT(S786*($G$9-$E$9)*($F$9-$E$9)),$G$9-SQRT((1-S786)*($G$9-$E$9)*($G$9-$F$9))))</f>
        <v>1</v>
      </c>
      <c r="F786" s="37" t="n">
        <f aca="false">1+IF($G$10=$E$10,$F$10,IF(T786&lt;($F$10-$E$10)/($G$10-$E$10),$E$10+SQRT(T786*($G$10-$E$10)*($F$10-$E$10)),$G$10-SQRT((1-T786)*($G$10-$E$10)*($G$10-$F$10))))</f>
        <v>1</v>
      </c>
      <c r="G786" s="38" t="n">
        <f aca="false">IF($G$11=$E$11,$F$11,IF(U786&lt;($F$11-$E$11)/($G$11-$E$11),$E$11+SQRT(U786*($G$11-$E$11)*($F$11-$E$11)),$G$11-SQRT((1-U786)*($G$11-$E$11)*($G$11-$F$11))))</f>
        <v>0</v>
      </c>
      <c r="H786" s="39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0</v>
      </c>
      <c r="I786" s="39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0</v>
      </c>
      <c r="J786" s="39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0</v>
      </c>
      <c r="K786" s="39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0</v>
      </c>
      <c r="L786" s="39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0</v>
      </c>
      <c r="M786" s="39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0</v>
      </c>
      <c r="N786" s="39" t="str">
        <f aca="false">IF(COUNT('Business Case'!B11:G11)=0,"",H786+NPV(G786,I786:M786))</f>
        <v/>
      </c>
      <c r="P786" s="40" t="n">
        <f aca="true">RAND()</f>
        <v>0.392364559999325</v>
      </c>
      <c r="Q786" s="40" t="n">
        <f aca="true">RAND()</f>
        <v>0.367647378367173</v>
      </c>
      <c r="R786" s="40" t="n">
        <f aca="true">RAND()</f>
        <v>0.612156828803227</v>
      </c>
      <c r="S786" s="40" t="n">
        <f aca="true">RAND()</f>
        <v>0.364549675385991</v>
      </c>
      <c r="T786" s="40" t="n">
        <f aca="true">RAND()</f>
        <v>0.569018543815955</v>
      </c>
      <c r="U786" s="40" t="n">
        <f aca="true">RAND()</f>
        <v>0.229029972062633</v>
      </c>
    </row>
    <row r="787" customFormat="false" ht="15" hidden="false" customHeight="false" outlineLevel="0" collapsed="false">
      <c r="A787" s="36" t="n">
        <v>707</v>
      </c>
      <c r="B787" s="37" t="n">
        <f aca="false">1+IF($G$6=$E$6,$F$6,IF(P787&lt;($F$6-$E$6)/($G$6-$E$6),$E$6+SQRT(P787*($G$6-$E$6)*($F$6-$E$6)),$G$6-SQRT((1-P787)*($G$6-$E$6)*($G$6-$F$6))))</f>
        <v>1</v>
      </c>
      <c r="C787" s="37" t="n">
        <f aca="false">1+IF($G$7=$E$7,$F$7,IF(Q787&lt;($F$7-$E$7)/($G$7-$E$7),$E$7+SQRT(Q787*($G$7-$E$7)*($F$7-$E$7)),$G$7-SQRT((1-Q787)*($G$7-$E$7)*($G$7-$F$7))))</f>
        <v>1</v>
      </c>
      <c r="D787" s="37" t="n">
        <f aca="false">1+IF($G$8=$E$8,$F$8,IF(R787&lt;($F$8-$E$8)/($G$8-$E$8),$E$8+SQRT(R787*($G$8-$E$8)*($F$8-$E$8)),$G$8-SQRT((1-R787)*($G$8-$E$8)*($G$8-$F$8))))</f>
        <v>1</v>
      </c>
      <c r="E787" s="37" t="n">
        <f aca="false">1+IF($G$9=$E$9,$F$9,IF(S787&lt;($F$9-$E$9)/($G$9-$E$9),$E$9+SQRT(S787*($G$9-$E$9)*($F$9-$E$9)),$G$9-SQRT((1-S787)*($G$9-$E$9)*($G$9-$F$9))))</f>
        <v>1</v>
      </c>
      <c r="F787" s="37" t="n">
        <f aca="false">1+IF($G$10=$E$10,$F$10,IF(T787&lt;($F$10-$E$10)/($G$10-$E$10),$E$10+SQRT(T787*($G$10-$E$10)*($F$10-$E$10)),$G$10-SQRT((1-T787)*($G$10-$E$10)*($G$10-$F$10))))</f>
        <v>1</v>
      </c>
      <c r="G787" s="38" t="n">
        <f aca="false">IF($G$11=$E$11,$F$11,IF(U787&lt;($F$11-$E$11)/($G$11-$E$11),$E$11+SQRT(U787*($G$11-$E$11)*($F$11-$E$11)),$G$11-SQRT((1-U787)*($G$11-$E$11)*($G$11-$F$11))))</f>
        <v>0</v>
      </c>
      <c r="H787" s="39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0</v>
      </c>
      <c r="I787" s="39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0</v>
      </c>
      <c r="J787" s="39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0</v>
      </c>
      <c r="K787" s="39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0</v>
      </c>
      <c r="L787" s="39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0</v>
      </c>
      <c r="M787" s="39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0</v>
      </c>
      <c r="N787" s="39" t="str">
        <f aca="false">IF(COUNT('Business Case'!B11:G11)=0,"",H787+NPV(G787,I787:M787))</f>
        <v/>
      </c>
      <c r="P787" s="40" t="n">
        <f aca="true">RAND()</f>
        <v>0.679298687702721</v>
      </c>
      <c r="Q787" s="40" t="n">
        <f aca="true">RAND()</f>
        <v>0.438599917645977</v>
      </c>
      <c r="R787" s="40" t="n">
        <f aca="true">RAND()</f>
        <v>0.174657818570573</v>
      </c>
      <c r="S787" s="40" t="n">
        <f aca="true">RAND()</f>
        <v>0.230599495233622</v>
      </c>
      <c r="T787" s="40" t="n">
        <f aca="true">RAND()</f>
        <v>0.0909322918999705</v>
      </c>
      <c r="U787" s="40" t="n">
        <f aca="true">RAND()</f>
        <v>0.166795427411171</v>
      </c>
    </row>
    <row r="788" customFormat="false" ht="15" hidden="false" customHeight="false" outlineLevel="0" collapsed="false">
      <c r="A788" s="36" t="n">
        <v>708</v>
      </c>
      <c r="B788" s="37" t="n">
        <f aca="false">1+IF($G$6=$E$6,$F$6,IF(P788&lt;($F$6-$E$6)/($G$6-$E$6),$E$6+SQRT(P788*($G$6-$E$6)*($F$6-$E$6)),$G$6-SQRT((1-P788)*($G$6-$E$6)*($G$6-$F$6))))</f>
        <v>1</v>
      </c>
      <c r="C788" s="37" t="n">
        <f aca="false">1+IF($G$7=$E$7,$F$7,IF(Q788&lt;($F$7-$E$7)/($G$7-$E$7),$E$7+SQRT(Q788*($G$7-$E$7)*($F$7-$E$7)),$G$7-SQRT((1-Q788)*($G$7-$E$7)*($G$7-$F$7))))</f>
        <v>1</v>
      </c>
      <c r="D788" s="37" t="n">
        <f aca="false">1+IF($G$8=$E$8,$F$8,IF(R788&lt;($F$8-$E$8)/($G$8-$E$8),$E$8+SQRT(R788*($G$8-$E$8)*($F$8-$E$8)),$G$8-SQRT((1-R788)*($G$8-$E$8)*($G$8-$F$8))))</f>
        <v>1</v>
      </c>
      <c r="E788" s="37" t="n">
        <f aca="false">1+IF($G$9=$E$9,$F$9,IF(S788&lt;($F$9-$E$9)/($G$9-$E$9),$E$9+SQRT(S788*($G$9-$E$9)*($F$9-$E$9)),$G$9-SQRT((1-S788)*($G$9-$E$9)*($G$9-$F$9))))</f>
        <v>1</v>
      </c>
      <c r="F788" s="37" t="n">
        <f aca="false">1+IF($G$10=$E$10,$F$10,IF(T788&lt;($F$10-$E$10)/($G$10-$E$10),$E$10+SQRT(T788*($G$10-$E$10)*($F$10-$E$10)),$G$10-SQRT((1-T788)*($G$10-$E$10)*($G$10-$F$10))))</f>
        <v>1</v>
      </c>
      <c r="G788" s="38" t="n">
        <f aca="false">IF($G$11=$E$11,$F$11,IF(U788&lt;($F$11-$E$11)/($G$11-$E$11),$E$11+SQRT(U788*($G$11-$E$11)*($F$11-$E$11)),$G$11-SQRT((1-U788)*($G$11-$E$11)*($G$11-$F$11))))</f>
        <v>0</v>
      </c>
      <c r="H788" s="39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0</v>
      </c>
      <c r="I788" s="39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0</v>
      </c>
      <c r="J788" s="39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0</v>
      </c>
      <c r="K788" s="39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0</v>
      </c>
      <c r="L788" s="39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0</v>
      </c>
      <c r="M788" s="39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0</v>
      </c>
      <c r="N788" s="39" t="str">
        <f aca="false">IF(COUNT('Business Case'!B11:G11)=0,"",H788+NPV(G788,I788:M788))</f>
        <v/>
      </c>
      <c r="P788" s="40" t="n">
        <f aca="true">RAND()</f>
        <v>0.0413010407423296</v>
      </c>
      <c r="Q788" s="40" t="n">
        <f aca="true">RAND()</f>
        <v>0.0803683372720315</v>
      </c>
      <c r="R788" s="40" t="n">
        <f aca="true">RAND()</f>
        <v>0.925175160932268</v>
      </c>
      <c r="S788" s="40" t="n">
        <f aca="true">RAND()</f>
        <v>0.621164996269799</v>
      </c>
      <c r="T788" s="40" t="n">
        <f aca="true">RAND()</f>
        <v>0.0379625656618148</v>
      </c>
      <c r="U788" s="40" t="n">
        <f aca="true">RAND()</f>
        <v>0.134712030934863</v>
      </c>
    </row>
    <row r="789" customFormat="false" ht="15" hidden="false" customHeight="false" outlineLevel="0" collapsed="false">
      <c r="A789" s="36" t="n">
        <v>709</v>
      </c>
      <c r="B789" s="37" t="n">
        <f aca="false">1+IF($G$6=$E$6,$F$6,IF(P789&lt;($F$6-$E$6)/($G$6-$E$6),$E$6+SQRT(P789*($G$6-$E$6)*($F$6-$E$6)),$G$6-SQRT((1-P789)*($G$6-$E$6)*($G$6-$F$6))))</f>
        <v>1</v>
      </c>
      <c r="C789" s="37" t="n">
        <f aca="false">1+IF($G$7=$E$7,$F$7,IF(Q789&lt;($F$7-$E$7)/($G$7-$E$7),$E$7+SQRT(Q789*($G$7-$E$7)*($F$7-$E$7)),$G$7-SQRT((1-Q789)*($G$7-$E$7)*($G$7-$F$7))))</f>
        <v>1</v>
      </c>
      <c r="D789" s="37" t="n">
        <f aca="false">1+IF($G$8=$E$8,$F$8,IF(R789&lt;($F$8-$E$8)/($G$8-$E$8),$E$8+SQRT(R789*($G$8-$E$8)*($F$8-$E$8)),$G$8-SQRT((1-R789)*($G$8-$E$8)*($G$8-$F$8))))</f>
        <v>1</v>
      </c>
      <c r="E789" s="37" t="n">
        <f aca="false">1+IF($G$9=$E$9,$F$9,IF(S789&lt;($F$9-$E$9)/($G$9-$E$9),$E$9+SQRT(S789*($G$9-$E$9)*($F$9-$E$9)),$G$9-SQRT((1-S789)*($G$9-$E$9)*($G$9-$F$9))))</f>
        <v>1</v>
      </c>
      <c r="F789" s="37" t="n">
        <f aca="false">1+IF($G$10=$E$10,$F$10,IF(T789&lt;($F$10-$E$10)/($G$10-$E$10),$E$10+SQRT(T789*($G$10-$E$10)*($F$10-$E$10)),$G$10-SQRT((1-T789)*($G$10-$E$10)*($G$10-$F$10))))</f>
        <v>1</v>
      </c>
      <c r="G789" s="38" t="n">
        <f aca="false">IF($G$11=$E$11,$F$11,IF(U789&lt;($F$11-$E$11)/($G$11-$E$11),$E$11+SQRT(U789*($G$11-$E$11)*($F$11-$E$11)),$G$11-SQRT((1-U789)*($G$11-$E$11)*($G$11-$F$11))))</f>
        <v>0</v>
      </c>
      <c r="H789" s="39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0</v>
      </c>
      <c r="I789" s="39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0</v>
      </c>
      <c r="J789" s="39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0</v>
      </c>
      <c r="K789" s="39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0</v>
      </c>
      <c r="L789" s="39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0</v>
      </c>
      <c r="M789" s="39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0</v>
      </c>
      <c r="N789" s="39" t="str">
        <f aca="false">IF(COUNT('Business Case'!B11:G11)=0,"",H789+NPV(G789,I789:M789))</f>
        <v/>
      </c>
      <c r="P789" s="40" t="n">
        <f aca="true">RAND()</f>
        <v>0.718902995995638</v>
      </c>
      <c r="Q789" s="40" t="n">
        <f aca="true">RAND()</f>
        <v>0.0363322829144077</v>
      </c>
      <c r="R789" s="40" t="n">
        <f aca="true">RAND()</f>
        <v>0.850085423461568</v>
      </c>
      <c r="S789" s="40" t="n">
        <f aca="true">RAND()</f>
        <v>0.409975544795505</v>
      </c>
      <c r="T789" s="40" t="n">
        <f aca="true">RAND()</f>
        <v>0.516549276781026</v>
      </c>
      <c r="U789" s="40" t="n">
        <f aca="true">RAND()</f>
        <v>0.98497819624268</v>
      </c>
    </row>
    <row r="790" customFormat="false" ht="15" hidden="false" customHeight="false" outlineLevel="0" collapsed="false">
      <c r="A790" s="36" t="n">
        <v>710</v>
      </c>
      <c r="B790" s="37" t="n">
        <f aca="false">1+IF($G$6=$E$6,$F$6,IF(P790&lt;($F$6-$E$6)/($G$6-$E$6),$E$6+SQRT(P790*($G$6-$E$6)*($F$6-$E$6)),$G$6-SQRT((1-P790)*($G$6-$E$6)*($G$6-$F$6))))</f>
        <v>1</v>
      </c>
      <c r="C790" s="37" t="n">
        <f aca="false">1+IF($G$7=$E$7,$F$7,IF(Q790&lt;($F$7-$E$7)/($G$7-$E$7),$E$7+SQRT(Q790*($G$7-$E$7)*($F$7-$E$7)),$G$7-SQRT((1-Q790)*($G$7-$E$7)*($G$7-$F$7))))</f>
        <v>1</v>
      </c>
      <c r="D790" s="37" t="n">
        <f aca="false">1+IF($G$8=$E$8,$F$8,IF(R790&lt;($F$8-$E$8)/($G$8-$E$8),$E$8+SQRT(R790*($G$8-$E$8)*($F$8-$E$8)),$G$8-SQRT((1-R790)*($G$8-$E$8)*($G$8-$F$8))))</f>
        <v>1</v>
      </c>
      <c r="E790" s="37" t="n">
        <f aca="false">1+IF($G$9=$E$9,$F$9,IF(S790&lt;($F$9-$E$9)/($G$9-$E$9),$E$9+SQRT(S790*($G$9-$E$9)*($F$9-$E$9)),$G$9-SQRT((1-S790)*($G$9-$E$9)*($G$9-$F$9))))</f>
        <v>1</v>
      </c>
      <c r="F790" s="37" t="n">
        <f aca="false">1+IF($G$10=$E$10,$F$10,IF(T790&lt;($F$10-$E$10)/($G$10-$E$10),$E$10+SQRT(T790*($G$10-$E$10)*($F$10-$E$10)),$G$10-SQRT((1-T790)*($G$10-$E$10)*($G$10-$F$10))))</f>
        <v>1</v>
      </c>
      <c r="G790" s="38" t="n">
        <f aca="false">IF($G$11=$E$11,$F$11,IF(U790&lt;($F$11-$E$11)/($G$11-$E$11),$E$11+SQRT(U790*($G$11-$E$11)*($F$11-$E$11)),$G$11-SQRT((1-U790)*($G$11-$E$11)*($G$11-$F$11))))</f>
        <v>0</v>
      </c>
      <c r="H790" s="39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0</v>
      </c>
      <c r="I790" s="39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0</v>
      </c>
      <c r="J790" s="39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0</v>
      </c>
      <c r="K790" s="39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0</v>
      </c>
      <c r="L790" s="39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0</v>
      </c>
      <c r="M790" s="39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0</v>
      </c>
      <c r="N790" s="39" t="str">
        <f aca="false">IF(COUNT('Business Case'!B11:G11)=0,"",H790+NPV(G790,I790:M790))</f>
        <v/>
      </c>
      <c r="P790" s="40" t="n">
        <f aca="true">RAND()</f>
        <v>0.192966669906635</v>
      </c>
      <c r="Q790" s="40" t="n">
        <f aca="true">RAND()</f>
        <v>0.857668706110345</v>
      </c>
      <c r="R790" s="40" t="n">
        <f aca="true">RAND()</f>
        <v>0.930841826269974</v>
      </c>
      <c r="S790" s="40" t="n">
        <f aca="true">RAND()</f>
        <v>0.834912898837709</v>
      </c>
      <c r="T790" s="40" t="n">
        <f aca="true">RAND()</f>
        <v>0.811022134064392</v>
      </c>
      <c r="U790" s="40" t="n">
        <f aca="true">RAND()</f>
        <v>0.428082463016696</v>
      </c>
    </row>
    <row r="791" customFormat="false" ht="15" hidden="false" customHeight="false" outlineLevel="0" collapsed="false">
      <c r="A791" s="36" t="n">
        <v>711</v>
      </c>
      <c r="B791" s="37" t="n">
        <f aca="false">1+IF($G$6=$E$6,$F$6,IF(P791&lt;($F$6-$E$6)/($G$6-$E$6),$E$6+SQRT(P791*($G$6-$E$6)*($F$6-$E$6)),$G$6-SQRT((1-P791)*($G$6-$E$6)*($G$6-$F$6))))</f>
        <v>1</v>
      </c>
      <c r="C791" s="37" t="n">
        <f aca="false">1+IF($G$7=$E$7,$F$7,IF(Q791&lt;($F$7-$E$7)/($G$7-$E$7),$E$7+SQRT(Q791*($G$7-$E$7)*($F$7-$E$7)),$G$7-SQRT((1-Q791)*($G$7-$E$7)*($G$7-$F$7))))</f>
        <v>1</v>
      </c>
      <c r="D791" s="37" t="n">
        <f aca="false">1+IF($G$8=$E$8,$F$8,IF(R791&lt;($F$8-$E$8)/($G$8-$E$8),$E$8+SQRT(R791*($G$8-$E$8)*($F$8-$E$8)),$G$8-SQRT((1-R791)*($G$8-$E$8)*($G$8-$F$8))))</f>
        <v>1</v>
      </c>
      <c r="E791" s="37" t="n">
        <f aca="false">1+IF($G$9=$E$9,$F$9,IF(S791&lt;($F$9-$E$9)/($G$9-$E$9),$E$9+SQRT(S791*($G$9-$E$9)*($F$9-$E$9)),$G$9-SQRT((1-S791)*($G$9-$E$9)*($G$9-$F$9))))</f>
        <v>1</v>
      </c>
      <c r="F791" s="37" t="n">
        <f aca="false">1+IF($G$10=$E$10,$F$10,IF(T791&lt;($F$10-$E$10)/($G$10-$E$10),$E$10+SQRT(T791*($G$10-$E$10)*($F$10-$E$10)),$G$10-SQRT((1-T791)*($G$10-$E$10)*($G$10-$F$10))))</f>
        <v>1</v>
      </c>
      <c r="G791" s="38" t="n">
        <f aca="false">IF($G$11=$E$11,$F$11,IF(U791&lt;($F$11-$E$11)/($G$11-$E$11),$E$11+SQRT(U791*($G$11-$E$11)*($F$11-$E$11)),$G$11-SQRT((1-U791)*($G$11-$E$11)*($G$11-$F$11))))</f>
        <v>0</v>
      </c>
      <c r="H791" s="39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0</v>
      </c>
      <c r="I791" s="39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0</v>
      </c>
      <c r="J791" s="39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0</v>
      </c>
      <c r="K791" s="39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0</v>
      </c>
      <c r="L791" s="39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0</v>
      </c>
      <c r="M791" s="39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0</v>
      </c>
      <c r="N791" s="39" t="str">
        <f aca="false">IF(COUNT('Business Case'!B11:G11)=0,"",H791+NPV(G791,I791:M791))</f>
        <v/>
      </c>
      <c r="P791" s="40" t="n">
        <f aca="true">RAND()</f>
        <v>0.180907076873042</v>
      </c>
      <c r="Q791" s="40" t="n">
        <f aca="true">RAND()</f>
        <v>0.0772250732383165</v>
      </c>
      <c r="R791" s="40" t="n">
        <f aca="true">RAND()</f>
        <v>0.738609066304085</v>
      </c>
      <c r="S791" s="40" t="n">
        <f aca="true">RAND()</f>
        <v>0.785622780087482</v>
      </c>
      <c r="T791" s="40" t="n">
        <f aca="true">RAND()</f>
        <v>0.206660299676835</v>
      </c>
      <c r="U791" s="40" t="n">
        <f aca="true">RAND()</f>
        <v>0.598244233212158</v>
      </c>
    </row>
    <row r="792" customFormat="false" ht="15" hidden="false" customHeight="false" outlineLevel="0" collapsed="false">
      <c r="A792" s="36" t="n">
        <v>712</v>
      </c>
      <c r="B792" s="37" t="n">
        <f aca="false">1+IF($G$6=$E$6,$F$6,IF(P792&lt;($F$6-$E$6)/($G$6-$E$6),$E$6+SQRT(P792*($G$6-$E$6)*($F$6-$E$6)),$G$6-SQRT((1-P792)*($G$6-$E$6)*($G$6-$F$6))))</f>
        <v>1</v>
      </c>
      <c r="C792" s="37" t="n">
        <f aca="false">1+IF($G$7=$E$7,$F$7,IF(Q792&lt;($F$7-$E$7)/($G$7-$E$7),$E$7+SQRT(Q792*($G$7-$E$7)*($F$7-$E$7)),$G$7-SQRT((1-Q792)*($G$7-$E$7)*($G$7-$F$7))))</f>
        <v>1</v>
      </c>
      <c r="D792" s="37" t="n">
        <f aca="false">1+IF($G$8=$E$8,$F$8,IF(R792&lt;($F$8-$E$8)/($G$8-$E$8),$E$8+SQRT(R792*($G$8-$E$8)*($F$8-$E$8)),$G$8-SQRT((1-R792)*($G$8-$E$8)*($G$8-$F$8))))</f>
        <v>1</v>
      </c>
      <c r="E792" s="37" t="n">
        <f aca="false">1+IF($G$9=$E$9,$F$9,IF(S792&lt;($F$9-$E$9)/($G$9-$E$9),$E$9+SQRT(S792*($G$9-$E$9)*($F$9-$E$9)),$G$9-SQRT((1-S792)*($G$9-$E$9)*($G$9-$F$9))))</f>
        <v>1</v>
      </c>
      <c r="F792" s="37" t="n">
        <f aca="false">1+IF($G$10=$E$10,$F$10,IF(T792&lt;($F$10-$E$10)/($G$10-$E$10),$E$10+SQRT(T792*($G$10-$E$10)*($F$10-$E$10)),$G$10-SQRT((1-T792)*($G$10-$E$10)*($G$10-$F$10))))</f>
        <v>1</v>
      </c>
      <c r="G792" s="38" t="n">
        <f aca="false">IF($G$11=$E$11,$F$11,IF(U792&lt;($F$11-$E$11)/($G$11-$E$11),$E$11+SQRT(U792*($G$11-$E$11)*($F$11-$E$11)),$G$11-SQRT((1-U792)*($G$11-$E$11)*($G$11-$F$11))))</f>
        <v>0</v>
      </c>
      <c r="H792" s="39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0</v>
      </c>
      <c r="I792" s="39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0</v>
      </c>
      <c r="J792" s="39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0</v>
      </c>
      <c r="K792" s="39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0</v>
      </c>
      <c r="L792" s="39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0</v>
      </c>
      <c r="M792" s="39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0</v>
      </c>
      <c r="N792" s="39" t="str">
        <f aca="false">IF(COUNT('Business Case'!B11:G11)=0,"",H792+NPV(G792,I792:M792))</f>
        <v/>
      </c>
      <c r="P792" s="40" t="n">
        <f aca="true">RAND()</f>
        <v>0.904027351516496</v>
      </c>
      <c r="Q792" s="40" t="n">
        <f aca="true">RAND()</f>
        <v>0.792977555836444</v>
      </c>
      <c r="R792" s="40" t="n">
        <f aca="true">RAND()</f>
        <v>0.773110983563268</v>
      </c>
      <c r="S792" s="40" t="n">
        <f aca="true">RAND()</f>
        <v>0.918063646764628</v>
      </c>
      <c r="T792" s="40" t="n">
        <f aca="true">RAND()</f>
        <v>0.0248590272293843</v>
      </c>
      <c r="U792" s="40" t="n">
        <f aca="true">RAND()</f>
        <v>0.668609978308119</v>
      </c>
    </row>
    <row r="793" customFormat="false" ht="15" hidden="false" customHeight="false" outlineLevel="0" collapsed="false">
      <c r="A793" s="36" t="n">
        <v>713</v>
      </c>
      <c r="B793" s="37" t="n">
        <f aca="false">1+IF($G$6=$E$6,$F$6,IF(P793&lt;($F$6-$E$6)/($G$6-$E$6),$E$6+SQRT(P793*($G$6-$E$6)*($F$6-$E$6)),$G$6-SQRT((1-P793)*($G$6-$E$6)*($G$6-$F$6))))</f>
        <v>1</v>
      </c>
      <c r="C793" s="37" t="n">
        <f aca="false">1+IF($G$7=$E$7,$F$7,IF(Q793&lt;($F$7-$E$7)/($G$7-$E$7),$E$7+SQRT(Q793*($G$7-$E$7)*($F$7-$E$7)),$G$7-SQRT((1-Q793)*($G$7-$E$7)*($G$7-$F$7))))</f>
        <v>1</v>
      </c>
      <c r="D793" s="37" t="n">
        <f aca="false">1+IF($G$8=$E$8,$F$8,IF(R793&lt;($F$8-$E$8)/($G$8-$E$8),$E$8+SQRT(R793*($G$8-$E$8)*($F$8-$E$8)),$G$8-SQRT((1-R793)*($G$8-$E$8)*($G$8-$F$8))))</f>
        <v>1</v>
      </c>
      <c r="E793" s="37" t="n">
        <f aca="false">1+IF($G$9=$E$9,$F$9,IF(S793&lt;($F$9-$E$9)/($G$9-$E$9),$E$9+SQRT(S793*($G$9-$E$9)*($F$9-$E$9)),$G$9-SQRT((1-S793)*($G$9-$E$9)*($G$9-$F$9))))</f>
        <v>1</v>
      </c>
      <c r="F793" s="37" t="n">
        <f aca="false">1+IF($G$10=$E$10,$F$10,IF(T793&lt;($F$10-$E$10)/($G$10-$E$10),$E$10+SQRT(T793*($G$10-$E$10)*($F$10-$E$10)),$G$10-SQRT((1-T793)*($G$10-$E$10)*($G$10-$F$10))))</f>
        <v>1</v>
      </c>
      <c r="G793" s="38" t="n">
        <f aca="false">IF($G$11=$E$11,$F$11,IF(U793&lt;($F$11-$E$11)/($G$11-$E$11),$E$11+SQRT(U793*($G$11-$E$11)*($F$11-$E$11)),$G$11-SQRT((1-U793)*($G$11-$E$11)*($G$11-$F$11))))</f>
        <v>0</v>
      </c>
      <c r="H793" s="39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0</v>
      </c>
      <c r="I793" s="39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0</v>
      </c>
      <c r="J793" s="39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0</v>
      </c>
      <c r="K793" s="39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0</v>
      </c>
      <c r="L793" s="39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0</v>
      </c>
      <c r="M793" s="39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0</v>
      </c>
      <c r="N793" s="39" t="str">
        <f aca="false">IF(COUNT('Business Case'!B11:G11)=0,"",H793+NPV(G793,I793:M793))</f>
        <v/>
      </c>
      <c r="P793" s="40" t="n">
        <f aca="true">RAND()</f>
        <v>0.0588474999679907</v>
      </c>
      <c r="Q793" s="40" t="n">
        <f aca="true">RAND()</f>
        <v>0.932487971696488</v>
      </c>
      <c r="R793" s="40" t="n">
        <f aca="true">RAND()</f>
        <v>0.653608390194629</v>
      </c>
      <c r="S793" s="40" t="n">
        <f aca="true">RAND()</f>
        <v>0.343211852377102</v>
      </c>
      <c r="T793" s="40" t="n">
        <f aca="true">RAND()</f>
        <v>0.6967150392071</v>
      </c>
      <c r="U793" s="40" t="n">
        <f aca="true">RAND()</f>
        <v>0.973747180311788</v>
      </c>
    </row>
    <row r="794" customFormat="false" ht="15" hidden="false" customHeight="false" outlineLevel="0" collapsed="false">
      <c r="A794" s="36" t="n">
        <v>714</v>
      </c>
      <c r="B794" s="37" t="n">
        <f aca="false">1+IF($G$6=$E$6,$F$6,IF(P794&lt;($F$6-$E$6)/($G$6-$E$6),$E$6+SQRT(P794*($G$6-$E$6)*($F$6-$E$6)),$G$6-SQRT((1-P794)*($G$6-$E$6)*($G$6-$F$6))))</f>
        <v>1</v>
      </c>
      <c r="C794" s="37" t="n">
        <f aca="false">1+IF($G$7=$E$7,$F$7,IF(Q794&lt;($F$7-$E$7)/($G$7-$E$7),$E$7+SQRT(Q794*($G$7-$E$7)*($F$7-$E$7)),$G$7-SQRT((1-Q794)*($G$7-$E$7)*($G$7-$F$7))))</f>
        <v>1</v>
      </c>
      <c r="D794" s="37" t="n">
        <f aca="false">1+IF($G$8=$E$8,$F$8,IF(R794&lt;($F$8-$E$8)/($G$8-$E$8),$E$8+SQRT(R794*($G$8-$E$8)*($F$8-$E$8)),$G$8-SQRT((1-R794)*($G$8-$E$8)*($G$8-$F$8))))</f>
        <v>1</v>
      </c>
      <c r="E794" s="37" t="n">
        <f aca="false">1+IF($G$9=$E$9,$F$9,IF(S794&lt;($F$9-$E$9)/($G$9-$E$9),$E$9+SQRT(S794*($G$9-$E$9)*($F$9-$E$9)),$G$9-SQRT((1-S794)*($G$9-$E$9)*($G$9-$F$9))))</f>
        <v>1</v>
      </c>
      <c r="F794" s="37" t="n">
        <f aca="false">1+IF($G$10=$E$10,$F$10,IF(T794&lt;($F$10-$E$10)/($G$10-$E$10),$E$10+SQRT(T794*($G$10-$E$10)*($F$10-$E$10)),$G$10-SQRT((1-T794)*($G$10-$E$10)*($G$10-$F$10))))</f>
        <v>1</v>
      </c>
      <c r="G794" s="38" t="n">
        <f aca="false">IF($G$11=$E$11,$F$11,IF(U794&lt;($F$11-$E$11)/($G$11-$E$11),$E$11+SQRT(U794*($G$11-$E$11)*($F$11-$E$11)),$G$11-SQRT((1-U794)*($G$11-$E$11)*($G$11-$F$11))))</f>
        <v>0</v>
      </c>
      <c r="H794" s="39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0</v>
      </c>
      <c r="I794" s="39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0</v>
      </c>
      <c r="J794" s="39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0</v>
      </c>
      <c r="K794" s="39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0</v>
      </c>
      <c r="L794" s="39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0</v>
      </c>
      <c r="M794" s="39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0</v>
      </c>
      <c r="N794" s="39" t="str">
        <f aca="false">IF(COUNT('Business Case'!B11:G11)=0,"",H794+NPV(G794,I794:M794))</f>
        <v/>
      </c>
      <c r="P794" s="40" t="n">
        <f aca="true">RAND()</f>
        <v>0.343877371911326</v>
      </c>
      <c r="Q794" s="40" t="n">
        <f aca="true">RAND()</f>
        <v>0.751526310194985</v>
      </c>
      <c r="R794" s="40" t="n">
        <f aca="true">RAND()</f>
        <v>0.531500161219236</v>
      </c>
      <c r="S794" s="40" t="n">
        <f aca="true">RAND()</f>
        <v>0.980811112537963</v>
      </c>
      <c r="T794" s="40" t="n">
        <f aca="true">RAND()</f>
        <v>0.133146008013838</v>
      </c>
      <c r="U794" s="40" t="n">
        <f aca="true">RAND()</f>
        <v>0.0719150244359396</v>
      </c>
    </row>
    <row r="795" customFormat="false" ht="15" hidden="false" customHeight="false" outlineLevel="0" collapsed="false">
      <c r="A795" s="36" t="n">
        <v>715</v>
      </c>
      <c r="B795" s="37" t="n">
        <f aca="false">1+IF($G$6=$E$6,$F$6,IF(P795&lt;($F$6-$E$6)/($G$6-$E$6),$E$6+SQRT(P795*($G$6-$E$6)*($F$6-$E$6)),$G$6-SQRT((1-P795)*($G$6-$E$6)*($G$6-$F$6))))</f>
        <v>1</v>
      </c>
      <c r="C795" s="37" t="n">
        <f aca="false">1+IF($G$7=$E$7,$F$7,IF(Q795&lt;($F$7-$E$7)/($G$7-$E$7),$E$7+SQRT(Q795*($G$7-$E$7)*($F$7-$E$7)),$G$7-SQRT((1-Q795)*($G$7-$E$7)*($G$7-$F$7))))</f>
        <v>1</v>
      </c>
      <c r="D795" s="37" t="n">
        <f aca="false">1+IF($G$8=$E$8,$F$8,IF(R795&lt;($F$8-$E$8)/($G$8-$E$8),$E$8+SQRT(R795*($G$8-$E$8)*($F$8-$E$8)),$G$8-SQRT((1-R795)*($G$8-$E$8)*($G$8-$F$8))))</f>
        <v>1</v>
      </c>
      <c r="E795" s="37" t="n">
        <f aca="false">1+IF($G$9=$E$9,$F$9,IF(S795&lt;($F$9-$E$9)/($G$9-$E$9),$E$9+SQRT(S795*($G$9-$E$9)*($F$9-$E$9)),$G$9-SQRT((1-S795)*($G$9-$E$9)*($G$9-$F$9))))</f>
        <v>1</v>
      </c>
      <c r="F795" s="37" t="n">
        <f aca="false">1+IF($G$10=$E$10,$F$10,IF(T795&lt;($F$10-$E$10)/($G$10-$E$10),$E$10+SQRT(T795*($G$10-$E$10)*($F$10-$E$10)),$G$10-SQRT((1-T795)*($G$10-$E$10)*($G$10-$F$10))))</f>
        <v>1</v>
      </c>
      <c r="G795" s="38" t="n">
        <f aca="false">IF($G$11=$E$11,$F$11,IF(U795&lt;($F$11-$E$11)/($G$11-$E$11),$E$11+SQRT(U795*($G$11-$E$11)*($F$11-$E$11)),$G$11-SQRT((1-U795)*($G$11-$E$11)*($G$11-$F$11))))</f>
        <v>0</v>
      </c>
      <c r="H795" s="39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0</v>
      </c>
      <c r="I795" s="39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0</v>
      </c>
      <c r="J795" s="39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0</v>
      </c>
      <c r="K795" s="39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0</v>
      </c>
      <c r="L795" s="39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0</v>
      </c>
      <c r="M795" s="39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0</v>
      </c>
      <c r="N795" s="39" t="str">
        <f aca="false">IF(COUNT('Business Case'!B11:G11)=0,"",H795+NPV(G795,I795:M795))</f>
        <v/>
      </c>
      <c r="P795" s="40" t="n">
        <f aca="true">RAND()</f>
        <v>0.460610140261454</v>
      </c>
      <c r="Q795" s="40" t="n">
        <f aca="true">RAND()</f>
        <v>0.0567556868762386</v>
      </c>
      <c r="R795" s="40" t="n">
        <f aca="true">RAND()</f>
        <v>0.343030127989455</v>
      </c>
      <c r="S795" s="40" t="n">
        <f aca="true">RAND()</f>
        <v>0.144335919273372</v>
      </c>
      <c r="T795" s="40" t="n">
        <f aca="true">RAND()</f>
        <v>0.221678751271563</v>
      </c>
      <c r="U795" s="40" t="n">
        <f aca="true">RAND()</f>
        <v>0.186641307358795</v>
      </c>
    </row>
    <row r="796" customFormat="false" ht="15" hidden="false" customHeight="false" outlineLevel="0" collapsed="false">
      <c r="A796" s="36" t="n">
        <v>716</v>
      </c>
      <c r="B796" s="37" t="n">
        <f aca="false">1+IF($G$6=$E$6,$F$6,IF(P796&lt;($F$6-$E$6)/($G$6-$E$6),$E$6+SQRT(P796*($G$6-$E$6)*($F$6-$E$6)),$G$6-SQRT((1-P796)*($G$6-$E$6)*($G$6-$F$6))))</f>
        <v>1</v>
      </c>
      <c r="C796" s="37" t="n">
        <f aca="false">1+IF($G$7=$E$7,$F$7,IF(Q796&lt;($F$7-$E$7)/($G$7-$E$7),$E$7+SQRT(Q796*($G$7-$E$7)*($F$7-$E$7)),$G$7-SQRT((1-Q796)*($G$7-$E$7)*($G$7-$F$7))))</f>
        <v>1</v>
      </c>
      <c r="D796" s="37" t="n">
        <f aca="false">1+IF($G$8=$E$8,$F$8,IF(R796&lt;($F$8-$E$8)/($G$8-$E$8),$E$8+SQRT(R796*($G$8-$E$8)*($F$8-$E$8)),$G$8-SQRT((1-R796)*($G$8-$E$8)*($G$8-$F$8))))</f>
        <v>1</v>
      </c>
      <c r="E796" s="37" t="n">
        <f aca="false">1+IF($G$9=$E$9,$F$9,IF(S796&lt;($F$9-$E$9)/($G$9-$E$9),$E$9+SQRT(S796*($G$9-$E$9)*($F$9-$E$9)),$G$9-SQRT((1-S796)*($G$9-$E$9)*($G$9-$F$9))))</f>
        <v>1</v>
      </c>
      <c r="F796" s="37" t="n">
        <f aca="false">1+IF($G$10=$E$10,$F$10,IF(T796&lt;($F$10-$E$10)/($G$10-$E$10),$E$10+SQRT(T796*($G$10-$E$10)*($F$10-$E$10)),$G$10-SQRT((1-T796)*($G$10-$E$10)*($G$10-$F$10))))</f>
        <v>1</v>
      </c>
      <c r="G796" s="38" t="n">
        <f aca="false">IF($G$11=$E$11,$F$11,IF(U796&lt;($F$11-$E$11)/($G$11-$E$11),$E$11+SQRT(U796*($G$11-$E$11)*($F$11-$E$11)),$G$11-SQRT((1-U796)*($G$11-$E$11)*($G$11-$F$11))))</f>
        <v>0</v>
      </c>
      <c r="H796" s="39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0</v>
      </c>
      <c r="I796" s="39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0</v>
      </c>
      <c r="J796" s="39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0</v>
      </c>
      <c r="K796" s="39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0</v>
      </c>
      <c r="L796" s="39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0</v>
      </c>
      <c r="M796" s="39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0</v>
      </c>
      <c r="N796" s="39" t="str">
        <f aca="false">IF(COUNT('Business Case'!B11:G11)=0,"",H796+NPV(G796,I796:M796))</f>
        <v/>
      </c>
      <c r="P796" s="40" t="n">
        <f aca="true">RAND()</f>
        <v>0.0935373526722218</v>
      </c>
      <c r="Q796" s="40" t="n">
        <f aca="true">RAND()</f>
        <v>0.0112055568903786</v>
      </c>
      <c r="R796" s="40" t="n">
        <f aca="true">RAND()</f>
        <v>0.258598884828287</v>
      </c>
      <c r="S796" s="40" t="n">
        <f aca="true">RAND()</f>
        <v>0.268147863136293</v>
      </c>
      <c r="T796" s="40" t="n">
        <f aca="true">RAND()</f>
        <v>0.241490943228044</v>
      </c>
      <c r="U796" s="40" t="n">
        <f aca="true">RAND()</f>
        <v>0.46277108171596</v>
      </c>
    </row>
    <row r="797" customFormat="false" ht="15" hidden="false" customHeight="false" outlineLevel="0" collapsed="false">
      <c r="A797" s="36" t="n">
        <v>717</v>
      </c>
      <c r="B797" s="37" t="n">
        <f aca="false">1+IF($G$6=$E$6,$F$6,IF(P797&lt;($F$6-$E$6)/($G$6-$E$6),$E$6+SQRT(P797*($G$6-$E$6)*($F$6-$E$6)),$G$6-SQRT((1-P797)*($G$6-$E$6)*($G$6-$F$6))))</f>
        <v>1</v>
      </c>
      <c r="C797" s="37" t="n">
        <f aca="false">1+IF($G$7=$E$7,$F$7,IF(Q797&lt;($F$7-$E$7)/($G$7-$E$7),$E$7+SQRT(Q797*($G$7-$E$7)*($F$7-$E$7)),$G$7-SQRT((1-Q797)*($G$7-$E$7)*($G$7-$F$7))))</f>
        <v>1</v>
      </c>
      <c r="D797" s="37" t="n">
        <f aca="false">1+IF($G$8=$E$8,$F$8,IF(R797&lt;($F$8-$E$8)/($G$8-$E$8),$E$8+SQRT(R797*($G$8-$E$8)*($F$8-$E$8)),$G$8-SQRT((1-R797)*($G$8-$E$8)*($G$8-$F$8))))</f>
        <v>1</v>
      </c>
      <c r="E797" s="37" t="n">
        <f aca="false">1+IF($G$9=$E$9,$F$9,IF(S797&lt;($F$9-$E$9)/($G$9-$E$9),$E$9+SQRT(S797*($G$9-$E$9)*($F$9-$E$9)),$G$9-SQRT((1-S797)*($G$9-$E$9)*($G$9-$F$9))))</f>
        <v>1</v>
      </c>
      <c r="F797" s="37" t="n">
        <f aca="false">1+IF($G$10=$E$10,$F$10,IF(T797&lt;($F$10-$E$10)/($G$10-$E$10),$E$10+SQRT(T797*($G$10-$E$10)*($F$10-$E$10)),$G$10-SQRT((1-T797)*($G$10-$E$10)*($G$10-$F$10))))</f>
        <v>1</v>
      </c>
      <c r="G797" s="38" t="n">
        <f aca="false">IF($G$11=$E$11,$F$11,IF(U797&lt;($F$11-$E$11)/($G$11-$E$11),$E$11+SQRT(U797*($G$11-$E$11)*($F$11-$E$11)),$G$11-SQRT((1-U797)*($G$11-$E$11)*($G$11-$F$11))))</f>
        <v>0</v>
      </c>
      <c r="H797" s="39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0</v>
      </c>
      <c r="I797" s="39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0</v>
      </c>
      <c r="J797" s="39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0</v>
      </c>
      <c r="K797" s="39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0</v>
      </c>
      <c r="L797" s="39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0</v>
      </c>
      <c r="M797" s="39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0</v>
      </c>
      <c r="N797" s="39" t="str">
        <f aca="false">IF(COUNT('Business Case'!B11:G11)=0,"",H797+NPV(G797,I797:M797))</f>
        <v/>
      </c>
      <c r="P797" s="40" t="n">
        <f aca="true">RAND()</f>
        <v>0.285852347122954</v>
      </c>
      <c r="Q797" s="40" t="n">
        <f aca="true">RAND()</f>
        <v>0.439780833220036</v>
      </c>
      <c r="R797" s="40" t="n">
        <f aca="true">RAND()</f>
        <v>0.831535581222557</v>
      </c>
      <c r="S797" s="40" t="n">
        <f aca="true">RAND()</f>
        <v>0.461070511927816</v>
      </c>
      <c r="T797" s="40" t="n">
        <f aca="true">RAND()</f>
        <v>0.128023053633963</v>
      </c>
      <c r="U797" s="40" t="n">
        <f aca="true">RAND()</f>
        <v>0.881954309666992</v>
      </c>
    </row>
    <row r="798" customFormat="false" ht="15" hidden="false" customHeight="false" outlineLevel="0" collapsed="false">
      <c r="A798" s="36" t="n">
        <v>718</v>
      </c>
      <c r="B798" s="37" t="n">
        <f aca="false">1+IF($G$6=$E$6,$F$6,IF(P798&lt;($F$6-$E$6)/($G$6-$E$6),$E$6+SQRT(P798*($G$6-$E$6)*($F$6-$E$6)),$G$6-SQRT((1-P798)*($G$6-$E$6)*($G$6-$F$6))))</f>
        <v>1</v>
      </c>
      <c r="C798" s="37" t="n">
        <f aca="false">1+IF($G$7=$E$7,$F$7,IF(Q798&lt;($F$7-$E$7)/($G$7-$E$7),$E$7+SQRT(Q798*($G$7-$E$7)*($F$7-$E$7)),$G$7-SQRT((1-Q798)*($G$7-$E$7)*($G$7-$F$7))))</f>
        <v>1</v>
      </c>
      <c r="D798" s="37" t="n">
        <f aca="false">1+IF($G$8=$E$8,$F$8,IF(R798&lt;($F$8-$E$8)/($G$8-$E$8),$E$8+SQRT(R798*($G$8-$E$8)*($F$8-$E$8)),$G$8-SQRT((1-R798)*($G$8-$E$8)*($G$8-$F$8))))</f>
        <v>1</v>
      </c>
      <c r="E798" s="37" t="n">
        <f aca="false">1+IF($G$9=$E$9,$F$9,IF(S798&lt;($F$9-$E$9)/($G$9-$E$9),$E$9+SQRT(S798*($G$9-$E$9)*($F$9-$E$9)),$G$9-SQRT((1-S798)*($G$9-$E$9)*($G$9-$F$9))))</f>
        <v>1</v>
      </c>
      <c r="F798" s="37" t="n">
        <f aca="false">1+IF($G$10=$E$10,$F$10,IF(T798&lt;($F$10-$E$10)/($G$10-$E$10),$E$10+SQRT(T798*($G$10-$E$10)*($F$10-$E$10)),$G$10-SQRT((1-T798)*($G$10-$E$10)*($G$10-$F$10))))</f>
        <v>1</v>
      </c>
      <c r="G798" s="38" t="n">
        <f aca="false">IF($G$11=$E$11,$F$11,IF(U798&lt;($F$11-$E$11)/($G$11-$E$11),$E$11+SQRT(U798*($G$11-$E$11)*($F$11-$E$11)),$G$11-SQRT((1-U798)*($G$11-$E$11)*($G$11-$F$11))))</f>
        <v>0</v>
      </c>
      <c r="H798" s="39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0</v>
      </c>
      <c r="I798" s="39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0</v>
      </c>
      <c r="J798" s="39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0</v>
      </c>
      <c r="K798" s="39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0</v>
      </c>
      <c r="L798" s="39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0</v>
      </c>
      <c r="M798" s="39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0</v>
      </c>
      <c r="N798" s="39" t="str">
        <f aca="false">IF(COUNT('Business Case'!B11:G11)=0,"",H798+NPV(G798,I798:M798))</f>
        <v/>
      </c>
      <c r="P798" s="40" t="n">
        <f aca="true">RAND()</f>
        <v>0.589012624807841</v>
      </c>
      <c r="Q798" s="40" t="n">
        <f aca="true">RAND()</f>
        <v>0.144328020069853</v>
      </c>
      <c r="R798" s="40" t="n">
        <f aca="true">RAND()</f>
        <v>0.89330352496986</v>
      </c>
      <c r="S798" s="40" t="n">
        <f aca="true">RAND()</f>
        <v>0.919187238937892</v>
      </c>
      <c r="T798" s="40" t="n">
        <f aca="true">RAND()</f>
        <v>0.0488130500033328</v>
      </c>
      <c r="U798" s="40" t="n">
        <f aca="true">RAND()</f>
        <v>0.26256586000507</v>
      </c>
    </row>
    <row r="799" customFormat="false" ht="15" hidden="false" customHeight="false" outlineLevel="0" collapsed="false">
      <c r="A799" s="36" t="n">
        <v>719</v>
      </c>
      <c r="B799" s="37" t="n">
        <f aca="false">1+IF($G$6=$E$6,$F$6,IF(P799&lt;($F$6-$E$6)/($G$6-$E$6),$E$6+SQRT(P799*($G$6-$E$6)*($F$6-$E$6)),$G$6-SQRT((1-P799)*($G$6-$E$6)*($G$6-$F$6))))</f>
        <v>1</v>
      </c>
      <c r="C799" s="37" t="n">
        <f aca="false">1+IF($G$7=$E$7,$F$7,IF(Q799&lt;($F$7-$E$7)/($G$7-$E$7),$E$7+SQRT(Q799*($G$7-$E$7)*($F$7-$E$7)),$G$7-SQRT((1-Q799)*($G$7-$E$7)*($G$7-$F$7))))</f>
        <v>1</v>
      </c>
      <c r="D799" s="37" t="n">
        <f aca="false">1+IF($G$8=$E$8,$F$8,IF(R799&lt;($F$8-$E$8)/($G$8-$E$8),$E$8+SQRT(R799*($G$8-$E$8)*($F$8-$E$8)),$G$8-SQRT((1-R799)*($G$8-$E$8)*($G$8-$F$8))))</f>
        <v>1</v>
      </c>
      <c r="E799" s="37" t="n">
        <f aca="false">1+IF($G$9=$E$9,$F$9,IF(S799&lt;($F$9-$E$9)/($G$9-$E$9),$E$9+SQRT(S799*($G$9-$E$9)*($F$9-$E$9)),$G$9-SQRT((1-S799)*($G$9-$E$9)*($G$9-$F$9))))</f>
        <v>1</v>
      </c>
      <c r="F799" s="37" t="n">
        <f aca="false">1+IF($G$10=$E$10,$F$10,IF(T799&lt;($F$10-$E$10)/($G$10-$E$10),$E$10+SQRT(T799*($G$10-$E$10)*($F$10-$E$10)),$G$10-SQRT((1-T799)*($G$10-$E$10)*($G$10-$F$10))))</f>
        <v>1</v>
      </c>
      <c r="G799" s="38" t="n">
        <f aca="false">IF($G$11=$E$11,$F$11,IF(U799&lt;($F$11-$E$11)/($G$11-$E$11),$E$11+SQRT(U799*($G$11-$E$11)*($F$11-$E$11)),$G$11-SQRT((1-U799)*($G$11-$E$11)*($G$11-$F$11))))</f>
        <v>0</v>
      </c>
      <c r="H799" s="39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0</v>
      </c>
      <c r="I799" s="39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0</v>
      </c>
      <c r="J799" s="39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0</v>
      </c>
      <c r="K799" s="39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0</v>
      </c>
      <c r="L799" s="39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0</v>
      </c>
      <c r="M799" s="39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0</v>
      </c>
      <c r="N799" s="39" t="str">
        <f aca="false">IF(COUNT('Business Case'!B11:G11)=0,"",H799+NPV(G799,I799:M799))</f>
        <v/>
      </c>
      <c r="P799" s="40" t="n">
        <f aca="true">RAND()</f>
        <v>0.813877043229115</v>
      </c>
      <c r="Q799" s="40" t="n">
        <f aca="true">RAND()</f>
        <v>0.701581732667062</v>
      </c>
      <c r="R799" s="40" t="n">
        <f aca="true">RAND()</f>
        <v>0.944764451789568</v>
      </c>
      <c r="S799" s="40" t="n">
        <f aca="true">RAND()</f>
        <v>0.565963472992399</v>
      </c>
      <c r="T799" s="40" t="n">
        <f aca="true">RAND()</f>
        <v>0.89690049741206</v>
      </c>
      <c r="U799" s="40" t="n">
        <f aca="true">RAND()</f>
        <v>0.935879154683347</v>
      </c>
    </row>
    <row r="800" customFormat="false" ht="15" hidden="false" customHeight="false" outlineLevel="0" collapsed="false">
      <c r="A800" s="36" t="n">
        <v>720</v>
      </c>
      <c r="B800" s="37" t="n">
        <f aca="false">1+IF($G$6=$E$6,$F$6,IF(P800&lt;($F$6-$E$6)/($G$6-$E$6),$E$6+SQRT(P800*($G$6-$E$6)*($F$6-$E$6)),$G$6-SQRT((1-P800)*($G$6-$E$6)*($G$6-$F$6))))</f>
        <v>1</v>
      </c>
      <c r="C800" s="37" t="n">
        <f aca="false">1+IF($G$7=$E$7,$F$7,IF(Q800&lt;($F$7-$E$7)/($G$7-$E$7),$E$7+SQRT(Q800*($G$7-$E$7)*($F$7-$E$7)),$G$7-SQRT((1-Q800)*($G$7-$E$7)*($G$7-$F$7))))</f>
        <v>1</v>
      </c>
      <c r="D800" s="37" t="n">
        <f aca="false">1+IF($G$8=$E$8,$F$8,IF(R800&lt;($F$8-$E$8)/($G$8-$E$8),$E$8+SQRT(R800*($G$8-$E$8)*($F$8-$E$8)),$G$8-SQRT((1-R800)*($G$8-$E$8)*($G$8-$F$8))))</f>
        <v>1</v>
      </c>
      <c r="E800" s="37" t="n">
        <f aca="false">1+IF($G$9=$E$9,$F$9,IF(S800&lt;($F$9-$E$9)/($G$9-$E$9),$E$9+SQRT(S800*($G$9-$E$9)*($F$9-$E$9)),$G$9-SQRT((1-S800)*($G$9-$E$9)*($G$9-$F$9))))</f>
        <v>1</v>
      </c>
      <c r="F800" s="37" t="n">
        <f aca="false">1+IF($G$10=$E$10,$F$10,IF(T800&lt;($F$10-$E$10)/($G$10-$E$10),$E$10+SQRT(T800*($G$10-$E$10)*($F$10-$E$10)),$G$10-SQRT((1-T800)*($G$10-$E$10)*($G$10-$F$10))))</f>
        <v>1</v>
      </c>
      <c r="G800" s="38" t="n">
        <f aca="false">IF($G$11=$E$11,$F$11,IF(U800&lt;($F$11-$E$11)/($G$11-$E$11),$E$11+SQRT(U800*($G$11-$E$11)*($F$11-$E$11)),$G$11-SQRT((1-U800)*($G$11-$E$11)*($G$11-$F$11))))</f>
        <v>0</v>
      </c>
      <c r="H800" s="39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0</v>
      </c>
      <c r="I800" s="39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0</v>
      </c>
      <c r="J800" s="39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0</v>
      </c>
      <c r="K800" s="39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0</v>
      </c>
      <c r="L800" s="39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0</v>
      </c>
      <c r="M800" s="39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0</v>
      </c>
      <c r="N800" s="39" t="str">
        <f aca="false">IF(COUNT('Business Case'!B11:G11)=0,"",H800+NPV(G800,I800:M800))</f>
        <v/>
      </c>
      <c r="P800" s="40" t="n">
        <f aca="true">RAND()</f>
        <v>0.882825458432591</v>
      </c>
      <c r="Q800" s="40" t="n">
        <f aca="true">RAND()</f>
        <v>0.206177506402564</v>
      </c>
      <c r="R800" s="40" t="n">
        <f aca="true">RAND()</f>
        <v>0.778576974524522</v>
      </c>
      <c r="S800" s="40" t="n">
        <f aca="true">RAND()</f>
        <v>0.829265407334665</v>
      </c>
      <c r="T800" s="40" t="n">
        <f aca="true">RAND()</f>
        <v>0.0908188108108094</v>
      </c>
      <c r="U800" s="40" t="n">
        <f aca="true">RAND()</f>
        <v>0.851251710217942</v>
      </c>
    </row>
    <row r="801" customFormat="false" ht="15" hidden="false" customHeight="false" outlineLevel="0" collapsed="false">
      <c r="A801" s="36" t="n">
        <v>721</v>
      </c>
      <c r="B801" s="37" t="n">
        <f aca="false">1+IF($G$6=$E$6,$F$6,IF(P801&lt;($F$6-$E$6)/($G$6-$E$6),$E$6+SQRT(P801*($G$6-$E$6)*($F$6-$E$6)),$G$6-SQRT((1-P801)*($G$6-$E$6)*($G$6-$F$6))))</f>
        <v>1</v>
      </c>
      <c r="C801" s="37" t="n">
        <f aca="false">1+IF($G$7=$E$7,$F$7,IF(Q801&lt;($F$7-$E$7)/($G$7-$E$7),$E$7+SQRT(Q801*($G$7-$E$7)*($F$7-$E$7)),$G$7-SQRT((1-Q801)*($G$7-$E$7)*($G$7-$F$7))))</f>
        <v>1</v>
      </c>
      <c r="D801" s="37" t="n">
        <f aca="false">1+IF($G$8=$E$8,$F$8,IF(R801&lt;($F$8-$E$8)/($G$8-$E$8),$E$8+SQRT(R801*($G$8-$E$8)*($F$8-$E$8)),$G$8-SQRT((1-R801)*($G$8-$E$8)*($G$8-$F$8))))</f>
        <v>1</v>
      </c>
      <c r="E801" s="37" t="n">
        <f aca="false">1+IF($G$9=$E$9,$F$9,IF(S801&lt;($F$9-$E$9)/($G$9-$E$9),$E$9+SQRT(S801*($G$9-$E$9)*($F$9-$E$9)),$G$9-SQRT((1-S801)*($G$9-$E$9)*($G$9-$F$9))))</f>
        <v>1</v>
      </c>
      <c r="F801" s="37" t="n">
        <f aca="false">1+IF($G$10=$E$10,$F$10,IF(T801&lt;($F$10-$E$10)/($G$10-$E$10),$E$10+SQRT(T801*($G$10-$E$10)*($F$10-$E$10)),$G$10-SQRT((1-T801)*($G$10-$E$10)*($G$10-$F$10))))</f>
        <v>1</v>
      </c>
      <c r="G801" s="38" t="n">
        <f aca="false">IF($G$11=$E$11,$F$11,IF(U801&lt;($F$11-$E$11)/($G$11-$E$11),$E$11+SQRT(U801*($G$11-$E$11)*($F$11-$E$11)),$G$11-SQRT((1-U801)*($G$11-$E$11)*($G$11-$F$11))))</f>
        <v>0</v>
      </c>
      <c r="H801" s="39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0</v>
      </c>
      <c r="I801" s="39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0</v>
      </c>
      <c r="J801" s="39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0</v>
      </c>
      <c r="K801" s="39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0</v>
      </c>
      <c r="L801" s="39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0</v>
      </c>
      <c r="M801" s="39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0</v>
      </c>
      <c r="N801" s="39" t="str">
        <f aca="false">IF(COUNT('Business Case'!B11:G11)=0,"",H801+NPV(G801,I801:M801))</f>
        <v/>
      </c>
      <c r="P801" s="40" t="n">
        <f aca="true">RAND()</f>
        <v>0.235635635140589</v>
      </c>
      <c r="Q801" s="40" t="n">
        <f aca="true">RAND()</f>
        <v>0.24959707529413</v>
      </c>
      <c r="R801" s="40" t="n">
        <f aca="true">RAND()</f>
        <v>0.65559609407112</v>
      </c>
      <c r="S801" s="40" t="n">
        <f aca="true">RAND()</f>
        <v>0.554978096348226</v>
      </c>
      <c r="T801" s="40" t="n">
        <f aca="true">RAND()</f>
        <v>0.193444044349726</v>
      </c>
      <c r="U801" s="40" t="n">
        <f aca="true">RAND()</f>
        <v>0.557265313666964</v>
      </c>
    </row>
    <row r="802" customFormat="false" ht="15" hidden="false" customHeight="false" outlineLevel="0" collapsed="false">
      <c r="A802" s="36" t="n">
        <v>722</v>
      </c>
      <c r="B802" s="37" t="n">
        <f aca="false">1+IF($G$6=$E$6,$F$6,IF(P802&lt;($F$6-$E$6)/($G$6-$E$6),$E$6+SQRT(P802*($G$6-$E$6)*($F$6-$E$6)),$G$6-SQRT((1-P802)*($G$6-$E$6)*($G$6-$F$6))))</f>
        <v>1</v>
      </c>
      <c r="C802" s="37" t="n">
        <f aca="false">1+IF($G$7=$E$7,$F$7,IF(Q802&lt;($F$7-$E$7)/($G$7-$E$7),$E$7+SQRT(Q802*($G$7-$E$7)*($F$7-$E$7)),$G$7-SQRT((1-Q802)*($G$7-$E$7)*($G$7-$F$7))))</f>
        <v>1</v>
      </c>
      <c r="D802" s="37" t="n">
        <f aca="false">1+IF($G$8=$E$8,$F$8,IF(R802&lt;($F$8-$E$8)/($G$8-$E$8),$E$8+SQRT(R802*($G$8-$E$8)*($F$8-$E$8)),$G$8-SQRT((1-R802)*($G$8-$E$8)*($G$8-$F$8))))</f>
        <v>1</v>
      </c>
      <c r="E802" s="37" t="n">
        <f aca="false">1+IF($G$9=$E$9,$F$9,IF(S802&lt;($F$9-$E$9)/($G$9-$E$9),$E$9+SQRT(S802*($G$9-$E$9)*($F$9-$E$9)),$G$9-SQRT((1-S802)*($G$9-$E$9)*($G$9-$F$9))))</f>
        <v>1</v>
      </c>
      <c r="F802" s="37" t="n">
        <f aca="false">1+IF($G$10=$E$10,$F$10,IF(T802&lt;($F$10-$E$10)/($G$10-$E$10),$E$10+SQRT(T802*($G$10-$E$10)*($F$10-$E$10)),$G$10-SQRT((1-T802)*($G$10-$E$10)*($G$10-$F$10))))</f>
        <v>1</v>
      </c>
      <c r="G802" s="38" t="n">
        <f aca="false">IF($G$11=$E$11,$F$11,IF(U802&lt;($F$11-$E$11)/($G$11-$E$11),$E$11+SQRT(U802*($G$11-$E$11)*($F$11-$E$11)),$G$11-SQRT((1-U802)*($G$11-$E$11)*($G$11-$F$11))))</f>
        <v>0</v>
      </c>
      <c r="H802" s="39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0</v>
      </c>
      <c r="I802" s="39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0</v>
      </c>
      <c r="J802" s="39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0</v>
      </c>
      <c r="K802" s="39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0</v>
      </c>
      <c r="L802" s="39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0</v>
      </c>
      <c r="M802" s="39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0</v>
      </c>
      <c r="N802" s="39" t="str">
        <f aca="false">IF(COUNT('Business Case'!B11:G11)=0,"",H802+NPV(G802,I802:M802))</f>
        <v/>
      </c>
      <c r="P802" s="40" t="n">
        <f aca="true">RAND()</f>
        <v>0.631086421739449</v>
      </c>
      <c r="Q802" s="40" t="n">
        <f aca="true">RAND()</f>
        <v>0.202650422400115</v>
      </c>
      <c r="R802" s="40" t="n">
        <f aca="true">RAND()</f>
        <v>0.282791239943176</v>
      </c>
      <c r="S802" s="40" t="n">
        <f aca="true">RAND()</f>
        <v>0.90101446382117</v>
      </c>
      <c r="T802" s="40" t="n">
        <f aca="true">RAND()</f>
        <v>0.394921784166169</v>
      </c>
      <c r="U802" s="40" t="n">
        <f aca="true">RAND()</f>
        <v>0.401641796378999</v>
      </c>
    </row>
    <row r="803" customFormat="false" ht="15" hidden="false" customHeight="false" outlineLevel="0" collapsed="false">
      <c r="A803" s="36" t="n">
        <v>723</v>
      </c>
      <c r="B803" s="37" t="n">
        <f aca="false">1+IF($G$6=$E$6,$F$6,IF(P803&lt;($F$6-$E$6)/($G$6-$E$6),$E$6+SQRT(P803*($G$6-$E$6)*($F$6-$E$6)),$G$6-SQRT((1-P803)*($G$6-$E$6)*($G$6-$F$6))))</f>
        <v>1</v>
      </c>
      <c r="C803" s="37" t="n">
        <f aca="false">1+IF($G$7=$E$7,$F$7,IF(Q803&lt;($F$7-$E$7)/($G$7-$E$7),$E$7+SQRT(Q803*($G$7-$E$7)*($F$7-$E$7)),$G$7-SQRT((1-Q803)*($G$7-$E$7)*($G$7-$F$7))))</f>
        <v>1</v>
      </c>
      <c r="D803" s="37" t="n">
        <f aca="false">1+IF($G$8=$E$8,$F$8,IF(R803&lt;($F$8-$E$8)/($G$8-$E$8),$E$8+SQRT(R803*($G$8-$E$8)*($F$8-$E$8)),$G$8-SQRT((1-R803)*($G$8-$E$8)*($G$8-$F$8))))</f>
        <v>1</v>
      </c>
      <c r="E803" s="37" t="n">
        <f aca="false">1+IF($G$9=$E$9,$F$9,IF(S803&lt;($F$9-$E$9)/($G$9-$E$9),$E$9+SQRT(S803*($G$9-$E$9)*($F$9-$E$9)),$G$9-SQRT((1-S803)*($G$9-$E$9)*($G$9-$F$9))))</f>
        <v>1</v>
      </c>
      <c r="F803" s="37" t="n">
        <f aca="false">1+IF($G$10=$E$10,$F$10,IF(T803&lt;($F$10-$E$10)/($G$10-$E$10),$E$10+SQRT(T803*($G$10-$E$10)*($F$10-$E$10)),$G$10-SQRT((1-T803)*($G$10-$E$10)*($G$10-$F$10))))</f>
        <v>1</v>
      </c>
      <c r="G803" s="38" t="n">
        <f aca="false">IF($G$11=$E$11,$F$11,IF(U803&lt;($F$11-$E$11)/($G$11-$E$11),$E$11+SQRT(U803*($G$11-$E$11)*($F$11-$E$11)),$G$11-SQRT((1-U803)*($G$11-$E$11)*($G$11-$F$11))))</f>
        <v>0</v>
      </c>
      <c r="H803" s="39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0</v>
      </c>
      <c r="I803" s="39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0</v>
      </c>
      <c r="J803" s="39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0</v>
      </c>
      <c r="K803" s="39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0</v>
      </c>
      <c r="L803" s="39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0</v>
      </c>
      <c r="M803" s="39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0</v>
      </c>
      <c r="N803" s="39" t="str">
        <f aca="false">IF(COUNT('Business Case'!B11:G11)=0,"",H803+NPV(G803,I803:M803))</f>
        <v/>
      </c>
      <c r="P803" s="40" t="n">
        <f aca="true">RAND()</f>
        <v>0.266994298369797</v>
      </c>
      <c r="Q803" s="40" t="n">
        <f aca="true">RAND()</f>
        <v>0.859555459152796</v>
      </c>
      <c r="R803" s="40" t="n">
        <f aca="true">RAND()</f>
        <v>0.980530290140367</v>
      </c>
      <c r="S803" s="40" t="n">
        <f aca="true">RAND()</f>
        <v>0.427652727757252</v>
      </c>
      <c r="T803" s="40" t="n">
        <f aca="true">RAND()</f>
        <v>0.678866220663738</v>
      </c>
      <c r="U803" s="40" t="n">
        <f aca="true">RAND()</f>
        <v>0.443870448293146</v>
      </c>
    </row>
    <row r="804" customFormat="false" ht="15" hidden="false" customHeight="false" outlineLevel="0" collapsed="false">
      <c r="A804" s="36" t="n">
        <v>724</v>
      </c>
      <c r="B804" s="37" t="n">
        <f aca="false">1+IF($G$6=$E$6,$F$6,IF(P804&lt;($F$6-$E$6)/($G$6-$E$6),$E$6+SQRT(P804*($G$6-$E$6)*($F$6-$E$6)),$G$6-SQRT((1-P804)*($G$6-$E$6)*($G$6-$F$6))))</f>
        <v>1</v>
      </c>
      <c r="C804" s="37" t="n">
        <f aca="false">1+IF($G$7=$E$7,$F$7,IF(Q804&lt;($F$7-$E$7)/($G$7-$E$7),$E$7+SQRT(Q804*($G$7-$E$7)*($F$7-$E$7)),$G$7-SQRT((1-Q804)*($G$7-$E$7)*($G$7-$F$7))))</f>
        <v>1</v>
      </c>
      <c r="D804" s="37" t="n">
        <f aca="false">1+IF($G$8=$E$8,$F$8,IF(R804&lt;($F$8-$E$8)/($G$8-$E$8),$E$8+SQRT(R804*($G$8-$E$8)*($F$8-$E$8)),$G$8-SQRT((1-R804)*($G$8-$E$8)*($G$8-$F$8))))</f>
        <v>1</v>
      </c>
      <c r="E804" s="37" t="n">
        <f aca="false">1+IF($G$9=$E$9,$F$9,IF(S804&lt;($F$9-$E$9)/($G$9-$E$9),$E$9+SQRT(S804*($G$9-$E$9)*($F$9-$E$9)),$G$9-SQRT((1-S804)*($G$9-$E$9)*($G$9-$F$9))))</f>
        <v>1</v>
      </c>
      <c r="F804" s="37" t="n">
        <f aca="false">1+IF($G$10=$E$10,$F$10,IF(T804&lt;($F$10-$E$10)/($G$10-$E$10),$E$10+SQRT(T804*($G$10-$E$10)*($F$10-$E$10)),$G$10-SQRT((1-T804)*($G$10-$E$10)*($G$10-$F$10))))</f>
        <v>1</v>
      </c>
      <c r="G804" s="38" t="n">
        <f aca="false">IF($G$11=$E$11,$F$11,IF(U804&lt;($F$11-$E$11)/($G$11-$E$11),$E$11+SQRT(U804*($G$11-$E$11)*($F$11-$E$11)),$G$11-SQRT((1-U804)*($G$11-$E$11)*($G$11-$F$11))))</f>
        <v>0</v>
      </c>
      <c r="H804" s="39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0</v>
      </c>
      <c r="I804" s="39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0</v>
      </c>
      <c r="J804" s="39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0</v>
      </c>
      <c r="K804" s="39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0</v>
      </c>
      <c r="L804" s="39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0</v>
      </c>
      <c r="M804" s="39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0</v>
      </c>
      <c r="N804" s="39" t="str">
        <f aca="false">IF(COUNT('Business Case'!B11:G11)=0,"",H804+NPV(G804,I804:M804))</f>
        <v/>
      </c>
      <c r="P804" s="40" t="n">
        <f aca="true">RAND()</f>
        <v>0.380508225433388</v>
      </c>
      <c r="Q804" s="40" t="n">
        <f aca="true">RAND()</f>
        <v>0.0380491855786508</v>
      </c>
      <c r="R804" s="40" t="n">
        <f aca="true">RAND()</f>
        <v>0.0639610719294854</v>
      </c>
      <c r="S804" s="40" t="n">
        <f aca="true">RAND()</f>
        <v>0.573102267640484</v>
      </c>
      <c r="T804" s="40" t="n">
        <f aca="true">RAND()</f>
        <v>0.287087061871968</v>
      </c>
      <c r="U804" s="40" t="n">
        <f aca="true">RAND()</f>
        <v>0.302820822285739</v>
      </c>
    </row>
    <row r="805" customFormat="false" ht="15" hidden="false" customHeight="false" outlineLevel="0" collapsed="false">
      <c r="A805" s="36" t="n">
        <v>725</v>
      </c>
      <c r="B805" s="37" t="n">
        <f aca="false">1+IF($G$6=$E$6,$F$6,IF(P805&lt;($F$6-$E$6)/($G$6-$E$6),$E$6+SQRT(P805*($G$6-$E$6)*($F$6-$E$6)),$G$6-SQRT((1-P805)*($G$6-$E$6)*($G$6-$F$6))))</f>
        <v>1</v>
      </c>
      <c r="C805" s="37" t="n">
        <f aca="false">1+IF($G$7=$E$7,$F$7,IF(Q805&lt;($F$7-$E$7)/($G$7-$E$7),$E$7+SQRT(Q805*($G$7-$E$7)*($F$7-$E$7)),$G$7-SQRT((1-Q805)*($G$7-$E$7)*($G$7-$F$7))))</f>
        <v>1</v>
      </c>
      <c r="D805" s="37" t="n">
        <f aca="false">1+IF($G$8=$E$8,$F$8,IF(R805&lt;($F$8-$E$8)/($G$8-$E$8),$E$8+SQRT(R805*($G$8-$E$8)*($F$8-$E$8)),$G$8-SQRT((1-R805)*($G$8-$E$8)*($G$8-$F$8))))</f>
        <v>1</v>
      </c>
      <c r="E805" s="37" t="n">
        <f aca="false">1+IF($G$9=$E$9,$F$9,IF(S805&lt;($F$9-$E$9)/($G$9-$E$9),$E$9+SQRT(S805*($G$9-$E$9)*($F$9-$E$9)),$G$9-SQRT((1-S805)*($G$9-$E$9)*($G$9-$F$9))))</f>
        <v>1</v>
      </c>
      <c r="F805" s="37" t="n">
        <f aca="false">1+IF($G$10=$E$10,$F$10,IF(T805&lt;($F$10-$E$10)/($G$10-$E$10),$E$10+SQRT(T805*($G$10-$E$10)*($F$10-$E$10)),$G$10-SQRT((1-T805)*($G$10-$E$10)*($G$10-$F$10))))</f>
        <v>1</v>
      </c>
      <c r="G805" s="38" t="n">
        <f aca="false">IF($G$11=$E$11,$F$11,IF(U805&lt;($F$11-$E$11)/($G$11-$E$11),$E$11+SQRT(U805*($G$11-$E$11)*($F$11-$E$11)),$G$11-SQRT((1-U805)*($G$11-$E$11)*($G$11-$F$11))))</f>
        <v>0</v>
      </c>
      <c r="H805" s="39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0</v>
      </c>
      <c r="I805" s="39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0</v>
      </c>
      <c r="J805" s="39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0</v>
      </c>
      <c r="K805" s="39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0</v>
      </c>
      <c r="L805" s="39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0</v>
      </c>
      <c r="M805" s="39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0</v>
      </c>
      <c r="N805" s="39" t="str">
        <f aca="false">IF(COUNT('Business Case'!B11:G11)=0,"",H805+NPV(G805,I805:M805))</f>
        <v/>
      </c>
      <c r="P805" s="40" t="n">
        <f aca="true">RAND()</f>
        <v>0.13351165144867</v>
      </c>
      <c r="Q805" s="40" t="n">
        <f aca="true">RAND()</f>
        <v>0.007684150906761</v>
      </c>
      <c r="R805" s="40" t="n">
        <f aca="true">RAND()</f>
        <v>0.31042688231116</v>
      </c>
      <c r="S805" s="40" t="n">
        <f aca="true">RAND()</f>
        <v>0.929370367656757</v>
      </c>
      <c r="T805" s="40" t="n">
        <f aca="true">RAND()</f>
        <v>0.0561585107602424</v>
      </c>
      <c r="U805" s="40" t="n">
        <f aca="true">RAND()</f>
        <v>0.741694007382388</v>
      </c>
    </row>
    <row r="806" customFormat="false" ht="15" hidden="false" customHeight="false" outlineLevel="0" collapsed="false">
      <c r="A806" s="36" t="n">
        <v>726</v>
      </c>
      <c r="B806" s="37" t="n">
        <f aca="false">1+IF($G$6=$E$6,$F$6,IF(P806&lt;($F$6-$E$6)/($G$6-$E$6),$E$6+SQRT(P806*($G$6-$E$6)*($F$6-$E$6)),$G$6-SQRT((1-P806)*($G$6-$E$6)*($G$6-$F$6))))</f>
        <v>1</v>
      </c>
      <c r="C806" s="37" t="n">
        <f aca="false">1+IF($G$7=$E$7,$F$7,IF(Q806&lt;($F$7-$E$7)/($G$7-$E$7),$E$7+SQRT(Q806*($G$7-$E$7)*($F$7-$E$7)),$G$7-SQRT((1-Q806)*($G$7-$E$7)*($G$7-$F$7))))</f>
        <v>1</v>
      </c>
      <c r="D806" s="37" t="n">
        <f aca="false">1+IF($G$8=$E$8,$F$8,IF(R806&lt;($F$8-$E$8)/($G$8-$E$8),$E$8+SQRT(R806*($G$8-$E$8)*($F$8-$E$8)),$G$8-SQRT((1-R806)*($G$8-$E$8)*($G$8-$F$8))))</f>
        <v>1</v>
      </c>
      <c r="E806" s="37" t="n">
        <f aca="false">1+IF($G$9=$E$9,$F$9,IF(S806&lt;($F$9-$E$9)/($G$9-$E$9),$E$9+SQRT(S806*($G$9-$E$9)*($F$9-$E$9)),$G$9-SQRT((1-S806)*($G$9-$E$9)*($G$9-$F$9))))</f>
        <v>1</v>
      </c>
      <c r="F806" s="37" t="n">
        <f aca="false">1+IF($G$10=$E$10,$F$10,IF(T806&lt;($F$10-$E$10)/($G$10-$E$10),$E$10+SQRT(T806*($G$10-$E$10)*($F$10-$E$10)),$G$10-SQRT((1-T806)*($G$10-$E$10)*($G$10-$F$10))))</f>
        <v>1</v>
      </c>
      <c r="G806" s="38" t="n">
        <f aca="false">IF($G$11=$E$11,$F$11,IF(U806&lt;($F$11-$E$11)/($G$11-$E$11),$E$11+SQRT(U806*($G$11-$E$11)*($F$11-$E$11)),$G$11-SQRT((1-U806)*($G$11-$E$11)*($G$11-$F$11))))</f>
        <v>0</v>
      </c>
      <c r="H806" s="39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0</v>
      </c>
      <c r="I806" s="39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0</v>
      </c>
      <c r="J806" s="39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0</v>
      </c>
      <c r="K806" s="39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0</v>
      </c>
      <c r="L806" s="39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0</v>
      </c>
      <c r="M806" s="39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0</v>
      </c>
      <c r="N806" s="39" t="str">
        <f aca="false">IF(COUNT('Business Case'!B11:G11)=0,"",H806+NPV(G806,I806:M806))</f>
        <v/>
      </c>
      <c r="P806" s="40" t="n">
        <f aca="true">RAND()</f>
        <v>0.724354847800289</v>
      </c>
      <c r="Q806" s="40" t="n">
        <f aca="true">RAND()</f>
        <v>0.208641039215354</v>
      </c>
      <c r="R806" s="40" t="n">
        <f aca="true">RAND()</f>
        <v>0.131734385850095</v>
      </c>
      <c r="S806" s="40" t="n">
        <f aca="true">RAND()</f>
        <v>0.446356060331841</v>
      </c>
      <c r="T806" s="40" t="n">
        <f aca="true">RAND()</f>
        <v>0.0392992616341386</v>
      </c>
      <c r="U806" s="40" t="n">
        <f aca="true">RAND()</f>
        <v>0.185552895557695</v>
      </c>
    </row>
    <row r="807" customFormat="false" ht="15" hidden="false" customHeight="false" outlineLevel="0" collapsed="false">
      <c r="A807" s="36" t="n">
        <v>727</v>
      </c>
      <c r="B807" s="37" t="n">
        <f aca="false">1+IF($G$6=$E$6,$F$6,IF(P807&lt;($F$6-$E$6)/($G$6-$E$6),$E$6+SQRT(P807*($G$6-$E$6)*($F$6-$E$6)),$G$6-SQRT((1-P807)*($G$6-$E$6)*($G$6-$F$6))))</f>
        <v>1</v>
      </c>
      <c r="C807" s="37" t="n">
        <f aca="false">1+IF($G$7=$E$7,$F$7,IF(Q807&lt;($F$7-$E$7)/($G$7-$E$7),$E$7+SQRT(Q807*($G$7-$E$7)*($F$7-$E$7)),$G$7-SQRT((1-Q807)*($G$7-$E$7)*($G$7-$F$7))))</f>
        <v>1</v>
      </c>
      <c r="D807" s="37" t="n">
        <f aca="false">1+IF($G$8=$E$8,$F$8,IF(R807&lt;($F$8-$E$8)/($G$8-$E$8),$E$8+SQRT(R807*($G$8-$E$8)*($F$8-$E$8)),$G$8-SQRT((1-R807)*($G$8-$E$8)*($G$8-$F$8))))</f>
        <v>1</v>
      </c>
      <c r="E807" s="37" t="n">
        <f aca="false">1+IF($G$9=$E$9,$F$9,IF(S807&lt;($F$9-$E$9)/($G$9-$E$9),$E$9+SQRT(S807*($G$9-$E$9)*($F$9-$E$9)),$G$9-SQRT((1-S807)*($G$9-$E$9)*($G$9-$F$9))))</f>
        <v>1</v>
      </c>
      <c r="F807" s="37" t="n">
        <f aca="false">1+IF($G$10=$E$10,$F$10,IF(T807&lt;($F$10-$E$10)/($G$10-$E$10),$E$10+SQRT(T807*($G$10-$E$10)*($F$10-$E$10)),$G$10-SQRT((1-T807)*($G$10-$E$10)*($G$10-$F$10))))</f>
        <v>1</v>
      </c>
      <c r="G807" s="38" t="n">
        <f aca="false">IF($G$11=$E$11,$F$11,IF(U807&lt;($F$11-$E$11)/($G$11-$E$11),$E$11+SQRT(U807*($G$11-$E$11)*($F$11-$E$11)),$G$11-SQRT((1-U807)*($G$11-$E$11)*($G$11-$F$11))))</f>
        <v>0</v>
      </c>
      <c r="H807" s="39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0</v>
      </c>
      <c r="I807" s="39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0</v>
      </c>
      <c r="J807" s="39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0</v>
      </c>
      <c r="K807" s="39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0</v>
      </c>
      <c r="L807" s="39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0</v>
      </c>
      <c r="M807" s="39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0</v>
      </c>
      <c r="N807" s="39" t="str">
        <f aca="false">IF(COUNT('Business Case'!B11:G11)=0,"",H807+NPV(G807,I807:M807))</f>
        <v/>
      </c>
      <c r="P807" s="40" t="n">
        <f aca="true">RAND()</f>
        <v>0.352231766873654</v>
      </c>
      <c r="Q807" s="40" t="n">
        <f aca="true">RAND()</f>
        <v>0.405201541862641</v>
      </c>
      <c r="R807" s="40" t="n">
        <f aca="true">RAND()</f>
        <v>0.751029222632868</v>
      </c>
      <c r="S807" s="40" t="n">
        <f aca="true">RAND()</f>
        <v>0.984853757448138</v>
      </c>
      <c r="T807" s="40" t="n">
        <f aca="true">RAND()</f>
        <v>0.493361022676196</v>
      </c>
      <c r="U807" s="40" t="n">
        <f aca="true">RAND()</f>
        <v>0.864259135897267</v>
      </c>
    </row>
    <row r="808" customFormat="false" ht="15" hidden="false" customHeight="false" outlineLevel="0" collapsed="false">
      <c r="A808" s="36" t="n">
        <v>728</v>
      </c>
      <c r="B808" s="37" t="n">
        <f aca="false">1+IF($G$6=$E$6,$F$6,IF(P808&lt;($F$6-$E$6)/($G$6-$E$6),$E$6+SQRT(P808*($G$6-$E$6)*($F$6-$E$6)),$G$6-SQRT((1-P808)*($G$6-$E$6)*($G$6-$F$6))))</f>
        <v>1</v>
      </c>
      <c r="C808" s="37" t="n">
        <f aca="false">1+IF($G$7=$E$7,$F$7,IF(Q808&lt;($F$7-$E$7)/($G$7-$E$7),$E$7+SQRT(Q808*($G$7-$E$7)*($F$7-$E$7)),$G$7-SQRT((1-Q808)*($G$7-$E$7)*($G$7-$F$7))))</f>
        <v>1</v>
      </c>
      <c r="D808" s="37" t="n">
        <f aca="false">1+IF($G$8=$E$8,$F$8,IF(R808&lt;($F$8-$E$8)/($G$8-$E$8),$E$8+SQRT(R808*($G$8-$E$8)*($F$8-$E$8)),$G$8-SQRT((1-R808)*($G$8-$E$8)*($G$8-$F$8))))</f>
        <v>1</v>
      </c>
      <c r="E808" s="37" t="n">
        <f aca="false">1+IF($G$9=$E$9,$F$9,IF(S808&lt;($F$9-$E$9)/($G$9-$E$9),$E$9+SQRT(S808*($G$9-$E$9)*($F$9-$E$9)),$G$9-SQRT((1-S808)*($G$9-$E$9)*($G$9-$F$9))))</f>
        <v>1</v>
      </c>
      <c r="F808" s="37" t="n">
        <f aca="false">1+IF($G$10=$E$10,$F$10,IF(T808&lt;($F$10-$E$10)/($G$10-$E$10),$E$10+SQRT(T808*($G$10-$E$10)*($F$10-$E$10)),$G$10-SQRT((1-T808)*($G$10-$E$10)*($G$10-$F$10))))</f>
        <v>1</v>
      </c>
      <c r="G808" s="38" t="n">
        <f aca="false">IF($G$11=$E$11,$F$11,IF(U808&lt;($F$11-$E$11)/($G$11-$E$11),$E$11+SQRT(U808*($G$11-$E$11)*($F$11-$E$11)),$G$11-SQRT((1-U808)*($G$11-$E$11)*($G$11-$F$11))))</f>
        <v>0</v>
      </c>
      <c r="H808" s="39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0</v>
      </c>
      <c r="I808" s="39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0</v>
      </c>
      <c r="J808" s="39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0</v>
      </c>
      <c r="K808" s="39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0</v>
      </c>
      <c r="L808" s="39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0</v>
      </c>
      <c r="M808" s="39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0</v>
      </c>
      <c r="N808" s="39" t="str">
        <f aca="false">IF(COUNT('Business Case'!B11:G11)=0,"",H808+NPV(G808,I808:M808))</f>
        <v/>
      </c>
      <c r="P808" s="40" t="n">
        <f aca="true">RAND()</f>
        <v>0.884333752568882</v>
      </c>
      <c r="Q808" s="40" t="n">
        <f aca="true">RAND()</f>
        <v>0.155602124645332</v>
      </c>
      <c r="R808" s="40" t="n">
        <f aca="true">RAND()</f>
        <v>0.557245077512129</v>
      </c>
      <c r="S808" s="40" t="n">
        <f aca="true">RAND()</f>
        <v>0.796831148141978</v>
      </c>
      <c r="T808" s="40" t="n">
        <f aca="true">RAND()</f>
        <v>0.624255810971519</v>
      </c>
      <c r="U808" s="40" t="n">
        <f aca="true">RAND()</f>
        <v>0.336745775551714</v>
      </c>
    </row>
    <row r="809" customFormat="false" ht="15" hidden="false" customHeight="false" outlineLevel="0" collapsed="false">
      <c r="A809" s="36" t="n">
        <v>729</v>
      </c>
      <c r="B809" s="37" t="n">
        <f aca="false">1+IF($G$6=$E$6,$F$6,IF(P809&lt;($F$6-$E$6)/($G$6-$E$6),$E$6+SQRT(P809*($G$6-$E$6)*($F$6-$E$6)),$G$6-SQRT((1-P809)*($G$6-$E$6)*($G$6-$F$6))))</f>
        <v>1</v>
      </c>
      <c r="C809" s="37" t="n">
        <f aca="false">1+IF($G$7=$E$7,$F$7,IF(Q809&lt;($F$7-$E$7)/($G$7-$E$7),$E$7+SQRT(Q809*($G$7-$E$7)*($F$7-$E$7)),$G$7-SQRT((1-Q809)*($G$7-$E$7)*($G$7-$F$7))))</f>
        <v>1</v>
      </c>
      <c r="D809" s="37" t="n">
        <f aca="false">1+IF($G$8=$E$8,$F$8,IF(R809&lt;($F$8-$E$8)/($G$8-$E$8),$E$8+SQRT(R809*($G$8-$E$8)*($F$8-$E$8)),$G$8-SQRT((1-R809)*($G$8-$E$8)*($G$8-$F$8))))</f>
        <v>1</v>
      </c>
      <c r="E809" s="37" t="n">
        <f aca="false">1+IF($G$9=$E$9,$F$9,IF(S809&lt;($F$9-$E$9)/($G$9-$E$9),$E$9+SQRT(S809*($G$9-$E$9)*($F$9-$E$9)),$G$9-SQRT((1-S809)*($G$9-$E$9)*($G$9-$F$9))))</f>
        <v>1</v>
      </c>
      <c r="F809" s="37" t="n">
        <f aca="false">1+IF($G$10=$E$10,$F$10,IF(T809&lt;($F$10-$E$10)/($G$10-$E$10),$E$10+SQRT(T809*($G$10-$E$10)*($F$10-$E$10)),$G$10-SQRT((1-T809)*($G$10-$E$10)*($G$10-$F$10))))</f>
        <v>1</v>
      </c>
      <c r="G809" s="38" t="n">
        <f aca="false">IF($G$11=$E$11,$F$11,IF(U809&lt;($F$11-$E$11)/($G$11-$E$11),$E$11+SQRT(U809*($G$11-$E$11)*($F$11-$E$11)),$G$11-SQRT((1-U809)*($G$11-$E$11)*($G$11-$F$11))))</f>
        <v>0</v>
      </c>
      <c r="H809" s="39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0</v>
      </c>
      <c r="I809" s="39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0</v>
      </c>
      <c r="J809" s="39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0</v>
      </c>
      <c r="K809" s="39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0</v>
      </c>
      <c r="L809" s="39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0</v>
      </c>
      <c r="M809" s="39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0</v>
      </c>
      <c r="N809" s="39" t="str">
        <f aca="false">IF(COUNT('Business Case'!B11:G11)=0,"",H809+NPV(G809,I809:M809))</f>
        <v/>
      </c>
      <c r="P809" s="40" t="n">
        <f aca="true">RAND()</f>
        <v>0.992827691488461</v>
      </c>
      <c r="Q809" s="40" t="n">
        <f aca="true">RAND()</f>
        <v>0.941333971726854</v>
      </c>
      <c r="R809" s="40" t="n">
        <f aca="true">RAND()</f>
        <v>0.015320089840955</v>
      </c>
      <c r="S809" s="40" t="n">
        <f aca="true">RAND()</f>
        <v>0.366346348335222</v>
      </c>
      <c r="T809" s="40" t="n">
        <f aca="true">RAND()</f>
        <v>0.11798832074527</v>
      </c>
      <c r="U809" s="40" t="n">
        <f aca="true">RAND()</f>
        <v>0.364995976562642</v>
      </c>
    </row>
    <row r="810" customFormat="false" ht="15" hidden="false" customHeight="false" outlineLevel="0" collapsed="false">
      <c r="A810" s="36" t="n">
        <v>730</v>
      </c>
      <c r="B810" s="37" t="n">
        <f aca="false">1+IF($G$6=$E$6,$F$6,IF(P810&lt;($F$6-$E$6)/($G$6-$E$6),$E$6+SQRT(P810*($G$6-$E$6)*($F$6-$E$6)),$G$6-SQRT((1-P810)*($G$6-$E$6)*($G$6-$F$6))))</f>
        <v>1</v>
      </c>
      <c r="C810" s="37" t="n">
        <f aca="false">1+IF($G$7=$E$7,$F$7,IF(Q810&lt;($F$7-$E$7)/($G$7-$E$7),$E$7+SQRT(Q810*($G$7-$E$7)*($F$7-$E$7)),$G$7-SQRT((1-Q810)*($G$7-$E$7)*($G$7-$F$7))))</f>
        <v>1</v>
      </c>
      <c r="D810" s="37" t="n">
        <f aca="false">1+IF($G$8=$E$8,$F$8,IF(R810&lt;($F$8-$E$8)/($G$8-$E$8),$E$8+SQRT(R810*($G$8-$E$8)*($F$8-$E$8)),$G$8-SQRT((1-R810)*($G$8-$E$8)*($G$8-$F$8))))</f>
        <v>1</v>
      </c>
      <c r="E810" s="37" t="n">
        <f aca="false">1+IF($G$9=$E$9,$F$9,IF(S810&lt;($F$9-$E$9)/($G$9-$E$9),$E$9+SQRT(S810*($G$9-$E$9)*($F$9-$E$9)),$G$9-SQRT((1-S810)*($G$9-$E$9)*($G$9-$F$9))))</f>
        <v>1</v>
      </c>
      <c r="F810" s="37" t="n">
        <f aca="false">1+IF($G$10=$E$10,$F$10,IF(T810&lt;($F$10-$E$10)/($G$10-$E$10),$E$10+SQRT(T810*($G$10-$E$10)*($F$10-$E$10)),$G$10-SQRT((1-T810)*($G$10-$E$10)*($G$10-$F$10))))</f>
        <v>1</v>
      </c>
      <c r="G810" s="38" t="n">
        <f aca="false">IF($G$11=$E$11,$F$11,IF(U810&lt;($F$11-$E$11)/($G$11-$E$11),$E$11+SQRT(U810*($G$11-$E$11)*($F$11-$E$11)),$G$11-SQRT((1-U810)*($G$11-$E$11)*($G$11-$F$11))))</f>
        <v>0</v>
      </c>
      <c r="H810" s="39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0</v>
      </c>
      <c r="I810" s="39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0</v>
      </c>
      <c r="J810" s="39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0</v>
      </c>
      <c r="K810" s="39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0</v>
      </c>
      <c r="L810" s="39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0</v>
      </c>
      <c r="M810" s="39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0</v>
      </c>
      <c r="N810" s="39" t="str">
        <f aca="false">IF(COUNT('Business Case'!B11:G11)=0,"",H810+NPV(G810,I810:M810))</f>
        <v/>
      </c>
      <c r="P810" s="40" t="n">
        <f aca="true">RAND()</f>
        <v>0.599523567642997</v>
      </c>
      <c r="Q810" s="40" t="n">
        <f aca="true">RAND()</f>
        <v>0.19329878411741</v>
      </c>
      <c r="R810" s="40" t="n">
        <f aca="true">RAND()</f>
        <v>0.65147422358394</v>
      </c>
      <c r="S810" s="40" t="n">
        <f aca="true">RAND()</f>
        <v>0.918309784881362</v>
      </c>
      <c r="T810" s="40" t="n">
        <f aca="true">RAND()</f>
        <v>0.270453064353927</v>
      </c>
      <c r="U810" s="40" t="n">
        <f aca="true">RAND()</f>
        <v>0.784133875425306</v>
      </c>
    </row>
    <row r="811" customFormat="false" ht="15" hidden="false" customHeight="false" outlineLevel="0" collapsed="false">
      <c r="A811" s="36" t="n">
        <v>731</v>
      </c>
      <c r="B811" s="37" t="n">
        <f aca="false">1+IF($G$6=$E$6,$F$6,IF(P811&lt;($F$6-$E$6)/($G$6-$E$6),$E$6+SQRT(P811*($G$6-$E$6)*($F$6-$E$6)),$G$6-SQRT((1-P811)*($G$6-$E$6)*($G$6-$F$6))))</f>
        <v>1</v>
      </c>
      <c r="C811" s="37" t="n">
        <f aca="false">1+IF($G$7=$E$7,$F$7,IF(Q811&lt;($F$7-$E$7)/($G$7-$E$7),$E$7+SQRT(Q811*($G$7-$E$7)*($F$7-$E$7)),$G$7-SQRT((1-Q811)*($G$7-$E$7)*($G$7-$F$7))))</f>
        <v>1</v>
      </c>
      <c r="D811" s="37" t="n">
        <f aca="false">1+IF($G$8=$E$8,$F$8,IF(R811&lt;($F$8-$E$8)/($G$8-$E$8),$E$8+SQRT(R811*($G$8-$E$8)*($F$8-$E$8)),$G$8-SQRT((1-R811)*($G$8-$E$8)*($G$8-$F$8))))</f>
        <v>1</v>
      </c>
      <c r="E811" s="37" t="n">
        <f aca="false">1+IF($G$9=$E$9,$F$9,IF(S811&lt;($F$9-$E$9)/($G$9-$E$9),$E$9+SQRT(S811*($G$9-$E$9)*($F$9-$E$9)),$G$9-SQRT((1-S811)*($G$9-$E$9)*($G$9-$F$9))))</f>
        <v>1</v>
      </c>
      <c r="F811" s="37" t="n">
        <f aca="false">1+IF($G$10=$E$10,$F$10,IF(T811&lt;($F$10-$E$10)/($G$10-$E$10),$E$10+SQRT(T811*($G$10-$E$10)*($F$10-$E$10)),$G$10-SQRT((1-T811)*($G$10-$E$10)*($G$10-$F$10))))</f>
        <v>1</v>
      </c>
      <c r="G811" s="38" t="n">
        <f aca="false">IF($G$11=$E$11,$F$11,IF(U811&lt;($F$11-$E$11)/($G$11-$E$11),$E$11+SQRT(U811*($G$11-$E$11)*($F$11-$E$11)),$G$11-SQRT((1-U811)*($G$11-$E$11)*($G$11-$F$11))))</f>
        <v>0</v>
      </c>
      <c r="H811" s="39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0</v>
      </c>
      <c r="I811" s="39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0</v>
      </c>
      <c r="J811" s="39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0</v>
      </c>
      <c r="K811" s="39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0</v>
      </c>
      <c r="L811" s="39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0</v>
      </c>
      <c r="M811" s="39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0</v>
      </c>
      <c r="N811" s="39" t="str">
        <f aca="false">IF(COUNT('Business Case'!B11:G11)=0,"",H811+NPV(G811,I811:M811))</f>
        <v/>
      </c>
      <c r="P811" s="40" t="n">
        <f aca="true">RAND()</f>
        <v>0.728168635826326</v>
      </c>
      <c r="Q811" s="40" t="n">
        <f aca="true">RAND()</f>
        <v>0.383234755169635</v>
      </c>
      <c r="R811" s="40" t="n">
        <f aca="true">RAND()</f>
        <v>0.667448026563876</v>
      </c>
      <c r="S811" s="40" t="n">
        <f aca="true">RAND()</f>
        <v>0.174897757761829</v>
      </c>
      <c r="T811" s="40" t="n">
        <f aca="true">RAND()</f>
        <v>0.665906085858393</v>
      </c>
      <c r="U811" s="40" t="n">
        <f aca="true">RAND()</f>
        <v>0.150847056397105</v>
      </c>
    </row>
    <row r="812" customFormat="false" ht="15" hidden="false" customHeight="false" outlineLevel="0" collapsed="false">
      <c r="A812" s="36" t="n">
        <v>732</v>
      </c>
      <c r="B812" s="37" t="n">
        <f aca="false">1+IF($G$6=$E$6,$F$6,IF(P812&lt;($F$6-$E$6)/($G$6-$E$6),$E$6+SQRT(P812*($G$6-$E$6)*($F$6-$E$6)),$G$6-SQRT((1-P812)*($G$6-$E$6)*($G$6-$F$6))))</f>
        <v>1</v>
      </c>
      <c r="C812" s="37" t="n">
        <f aca="false">1+IF($G$7=$E$7,$F$7,IF(Q812&lt;($F$7-$E$7)/($G$7-$E$7),$E$7+SQRT(Q812*($G$7-$E$7)*($F$7-$E$7)),$G$7-SQRT((1-Q812)*($G$7-$E$7)*($G$7-$F$7))))</f>
        <v>1</v>
      </c>
      <c r="D812" s="37" t="n">
        <f aca="false">1+IF($G$8=$E$8,$F$8,IF(R812&lt;($F$8-$E$8)/($G$8-$E$8),$E$8+SQRT(R812*($G$8-$E$8)*($F$8-$E$8)),$G$8-SQRT((1-R812)*($G$8-$E$8)*($G$8-$F$8))))</f>
        <v>1</v>
      </c>
      <c r="E812" s="37" t="n">
        <f aca="false">1+IF($G$9=$E$9,$F$9,IF(S812&lt;($F$9-$E$9)/($G$9-$E$9),$E$9+SQRT(S812*($G$9-$E$9)*($F$9-$E$9)),$G$9-SQRT((1-S812)*($G$9-$E$9)*($G$9-$F$9))))</f>
        <v>1</v>
      </c>
      <c r="F812" s="37" t="n">
        <f aca="false">1+IF($G$10=$E$10,$F$10,IF(T812&lt;($F$10-$E$10)/($G$10-$E$10),$E$10+SQRT(T812*($G$10-$E$10)*($F$10-$E$10)),$G$10-SQRT((1-T812)*($G$10-$E$10)*($G$10-$F$10))))</f>
        <v>1</v>
      </c>
      <c r="G812" s="38" t="n">
        <f aca="false">IF($G$11=$E$11,$F$11,IF(U812&lt;($F$11-$E$11)/($G$11-$E$11),$E$11+SQRT(U812*($G$11-$E$11)*($F$11-$E$11)),$G$11-SQRT((1-U812)*($G$11-$E$11)*($G$11-$F$11))))</f>
        <v>0</v>
      </c>
      <c r="H812" s="39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0</v>
      </c>
      <c r="I812" s="39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0</v>
      </c>
      <c r="J812" s="39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0</v>
      </c>
      <c r="K812" s="39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0</v>
      </c>
      <c r="L812" s="39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0</v>
      </c>
      <c r="M812" s="39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0</v>
      </c>
      <c r="N812" s="39" t="str">
        <f aca="false">IF(COUNT('Business Case'!B11:G11)=0,"",H812+NPV(G812,I812:M812))</f>
        <v/>
      </c>
      <c r="P812" s="40" t="n">
        <f aca="true">RAND()</f>
        <v>0.884238357690814</v>
      </c>
      <c r="Q812" s="40" t="n">
        <f aca="true">RAND()</f>
        <v>0.654133456754224</v>
      </c>
      <c r="R812" s="40" t="n">
        <f aca="true">RAND()</f>
        <v>0.601684660389652</v>
      </c>
      <c r="S812" s="40" t="n">
        <f aca="true">RAND()</f>
        <v>0.386659647051781</v>
      </c>
      <c r="T812" s="40" t="n">
        <f aca="true">RAND()</f>
        <v>0.985424441755953</v>
      </c>
      <c r="U812" s="40" t="n">
        <f aca="true">RAND()</f>
        <v>0.248574478480932</v>
      </c>
    </row>
    <row r="813" customFormat="false" ht="15" hidden="false" customHeight="false" outlineLevel="0" collapsed="false">
      <c r="A813" s="36" t="n">
        <v>733</v>
      </c>
      <c r="B813" s="37" t="n">
        <f aca="false">1+IF($G$6=$E$6,$F$6,IF(P813&lt;($F$6-$E$6)/($G$6-$E$6),$E$6+SQRT(P813*($G$6-$E$6)*($F$6-$E$6)),$G$6-SQRT((1-P813)*($G$6-$E$6)*($G$6-$F$6))))</f>
        <v>1</v>
      </c>
      <c r="C813" s="37" t="n">
        <f aca="false">1+IF($G$7=$E$7,$F$7,IF(Q813&lt;($F$7-$E$7)/($G$7-$E$7),$E$7+SQRT(Q813*($G$7-$E$7)*($F$7-$E$7)),$G$7-SQRT((1-Q813)*($G$7-$E$7)*($G$7-$F$7))))</f>
        <v>1</v>
      </c>
      <c r="D813" s="37" t="n">
        <f aca="false">1+IF($G$8=$E$8,$F$8,IF(R813&lt;($F$8-$E$8)/($G$8-$E$8),$E$8+SQRT(R813*($G$8-$E$8)*($F$8-$E$8)),$G$8-SQRT((1-R813)*($G$8-$E$8)*($G$8-$F$8))))</f>
        <v>1</v>
      </c>
      <c r="E813" s="37" t="n">
        <f aca="false">1+IF($G$9=$E$9,$F$9,IF(S813&lt;($F$9-$E$9)/($G$9-$E$9),$E$9+SQRT(S813*($G$9-$E$9)*($F$9-$E$9)),$G$9-SQRT((1-S813)*($G$9-$E$9)*($G$9-$F$9))))</f>
        <v>1</v>
      </c>
      <c r="F813" s="37" t="n">
        <f aca="false">1+IF($G$10=$E$10,$F$10,IF(T813&lt;($F$10-$E$10)/($G$10-$E$10),$E$10+SQRT(T813*($G$10-$E$10)*($F$10-$E$10)),$G$10-SQRT((1-T813)*($G$10-$E$10)*($G$10-$F$10))))</f>
        <v>1</v>
      </c>
      <c r="G813" s="38" t="n">
        <f aca="false">IF($G$11=$E$11,$F$11,IF(U813&lt;($F$11-$E$11)/($G$11-$E$11),$E$11+SQRT(U813*($G$11-$E$11)*($F$11-$E$11)),$G$11-SQRT((1-U813)*($G$11-$E$11)*($G$11-$F$11))))</f>
        <v>0</v>
      </c>
      <c r="H813" s="39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0</v>
      </c>
      <c r="I813" s="39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0</v>
      </c>
      <c r="J813" s="39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0</v>
      </c>
      <c r="K813" s="39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0</v>
      </c>
      <c r="L813" s="39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0</v>
      </c>
      <c r="M813" s="39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0</v>
      </c>
      <c r="N813" s="39" t="str">
        <f aca="false">IF(COUNT('Business Case'!B11:G11)=0,"",H813+NPV(G813,I813:M813))</f>
        <v/>
      </c>
      <c r="P813" s="40" t="n">
        <f aca="true">RAND()</f>
        <v>0.248266125449232</v>
      </c>
      <c r="Q813" s="40" t="n">
        <f aca="true">RAND()</f>
        <v>0.51542939340301</v>
      </c>
      <c r="R813" s="40" t="n">
        <f aca="true">RAND()</f>
        <v>0.340357647818547</v>
      </c>
      <c r="S813" s="40" t="n">
        <f aca="true">RAND()</f>
        <v>0.658699427048916</v>
      </c>
      <c r="T813" s="40" t="n">
        <f aca="true">RAND()</f>
        <v>0.493637386506625</v>
      </c>
      <c r="U813" s="40" t="n">
        <f aca="true">RAND()</f>
        <v>0.974303661451067</v>
      </c>
    </row>
    <row r="814" customFormat="false" ht="15" hidden="false" customHeight="false" outlineLevel="0" collapsed="false">
      <c r="A814" s="36" t="n">
        <v>734</v>
      </c>
      <c r="B814" s="37" t="n">
        <f aca="false">1+IF($G$6=$E$6,$F$6,IF(P814&lt;($F$6-$E$6)/($G$6-$E$6),$E$6+SQRT(P814*($G$6-$E$6)*($F$6-$E$6)),$G$6-SQRT((1-P814)*($G$6-$E$6)*($G$6-$F$6))))</f>
        <v>1</v>
      </c>
      <c r="C814" s="37" t="n">
        <f aca="false">1+IF($G$7=$E$7,$F$7,IF(Q814&lt;($F$7-$E$7)/($G$7-$E$7),$E$7+SQRT(Q814*($G$7-$E$7)*($F$7-$E$7)),$G$7-SQRT((1-Q814)*($G$7-$E$7)*($G$7-$F$7))))</f>
        <v>1</v>
      </c>
      <c r="D814" s="37" t="n">
        <f aca="false">1+IF($G$8=$E$8,$F$8,IF(R814&lt;($F$8-$E$8)/($G$8-$E$8),$E$8+SQRT(R814*($G$8-$E$8)*($F$8-$E$8)),$G$8-SQRT((1-R814)*($G$8-$E$8)*($G$8-$F$8))))</f>
        <v>1</v>
      </c>
      <c r="E814" s="37" t="n">
        <f aca="false">1+IF($G$9=$E$9,$F$9,IF(S814&lt;($F$9-$E$9)/($G$9-$E$9),$E$9+SQRT(S814*($G$9-$E$9)*($F$9-$E$9)),$G$9-SQRT((1-S814)*($G$9-$E$9)*($G$9-$F$9))))</f>
        <v>1</v>
      </c>
      <c r="F814" s="37" t="n">
        <f aca="false">1+IF($G$10=$E$10,$F$10,IF(T814&lt;($F$10-$E$10)/($G$10-$E$10),$E$10+SQRT(T814*($G$10-$E$10)*($F$10-$E$10)),$G$10-SQRT((1-T814)*($G$10-$E$10)*($G$10-$F$10))))</f>
        <v>1</v>
      </c>
      <c r="G814" s="38" t="n">
        <f aca="false">IF($G$11=$E$11,$F$11,IF(U814&lt;($F$11-$E$11)/($G$11-$E$11),$E$11+SQRT(U814*($G$11-$E$11)*($F$11-$E$11)),$G$11-SQRT((1-U814)*($G$11-$E$11)*($G$11-$F$11))))</f>
        <v>0</v>
      </c>
      <c r="H814" s="39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0</v>
      </c>
      <c r="I814" s="39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0</v>
      </c>
      <c r="J814" s="39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0</v>
      </c>
      <c r="K814" s="39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0</v>
      </c>
      <c r="L814" s="39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0</v>
      </c>
      <c r="M814" s="39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0</v>
      </c>
      <c r="N814" s="39" t="str">
        <f aca="false">IF(COUNT('Business Case'!B11:G11)=0,"",H814+NPV(G814,I814:M814))</f>
        <v/>
      </c>
      <c r="P814" s="40" t="n">
        <f aca="true">RAND()</f>
        <v>0.459286188959505</v>
      </c>
      <c r="Q814" s="40" t="n">
        <f aca="true">RAND()</f>
        <v>0.0300146287252477</v>
      </c>
      <c r="R814" s="40" t="n">
        <f aca="true">RAND()</f>
        <v>0.870919655870506</v>
      </c>
      <c r="S814" s="40" t="n">
        <f aca="true">RAND()</f>
        <v>0.333416561785177</v>
      </c>
      <c r="T814" s="40" t="n">
        <f aca="true">RAND()</f>
        <v>0.115430212504853</v>
      </c>
      <c r="U814" s="40" t="n">
        <f aca="true">RAND()</f>
        <v>0.125288820620832</v>
      </c>
    </row>
    <row r="815" customFormat="false" ht="15" hidden="false" customHeight="false" outlineLevel="0" collapsed="false">
      <c r="A815" s="36" t="n">
        <v>735</v>
      </c>
      <c r="B815" s="37" t="n">
        <f aca="false">1+IF($G$6=$E$6,$F$6,IF(P815&lt;($F$6-$E$6)/($G$6-$E$6),$E$6+SQRT(P815*($G$6-$E$6)*($F$6-$E$6)),$G$6-SQRT((1-P815)*($G$6-$E$6)*($G$6-$F$6))))</f>
        <v>1</v>
      </c>
      <c r="C815" s="37" t="n">
        <f aca="false">1+IF($G$7=$E$7,$F$7,IF(Q815&lt;($F$7-$E$7)/($G$7-$E$7),$E$7+SQRT(Q815*($G$7-$E$7)*($F$7-$E$7)),$G$7-SQRT((1-Q815)*($G$7-$E$7)*($G$7-$F$7))))</f>
        <v>1</v>
      </c>
      <c r="D815" s="37" t="n">
        <f aca="false">1+IF($G$8=$E$8,$F$8,IF(R815&lt;($F$8-$E$8)/($G$8-$E$8),$E$8+SQRT(R815*($G$8-$E$8)*($F$8-$E$8)),$G$8-SQRT((1-R815)*($G$8-$E$8)*($G$8-$F$8))))</f>
        <v>1</v>
      </c>
      <c r="E815" s="37" t="n">
        <f aca="false">1+IF($G$9=$E$9,$F$9,IF(S815&lt;($F$9-$E$9)/($G$9-$E$9),$E$9+SQRT(S815*($G$9-$E$9)*($F$9-$E$9)),$G$9-SQRT((1-S815)*($G$9-$E$9)*($G$9-$F$9))))</f>
        <v>1</v>
      </c>
      <c r="F815" s="37" t="n">
        <f aca="false">1+IF($G$10=$E$10,$F$10,IF(T815&lt;($F$10-$E$10)/($G$10-$E$10),$E$10+SQRT(T815*($G$10-$E$10)*($F$10-$E$10)),$G$10-SQRT((1-T815)*($G$10-$E$10)*($G$10-$F$10))))</f>
        <v>1</v>
      </c>
      <c r="G815" s="38" t="n">
        <f aca="false">IF($G$11=$E$11,$F$11,IF(U815&lt;($F$11-$E$11)/($G$11-$E$11),$E$11+SQRT(U815*($G$11-$E$11)*($F$11-$E$11)),$G$11-SQRT((1-U815)*($G$11-$E$11)*($G$11-$F$11))))</f>
        <v>0</v>
      </c>
      <c r="H815" s="39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0</v>
      </c>
      <c r="I815" s="39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0</v>
      </c>
      <c r="J815" s="39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0</v>
      </c>
      <c r="K815" s="39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0</v>
      </c>
      <c r="L815" s="39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0</v>
      </c>
      <c r="M815" s="39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0</v>
      </c>
      <c r="N815" s="39" t="str">
        <f aca="false">IF(COUNT('Business Case'!B11:G11)=0,"",H815+NPV(G815,I815:M815))</f>
        <v/>
      </c>
      <c r="P815" s="40" t="n">
        <f aca="true">RAND()</f>
        <v>0.0893788075775894</v>
      </c>
      <c r="Q815" s="40" t="n">
        <f aca="true">RAND()</f>
        <v>0.576722603971023</v>
      </c>
      <c r="R815" s="40" t="n">
        <f aca="true">RAND()</f>
        <v>0.642575546511261</v>
      </c>
      <c r="S815" s="40" t="n">
        <f aca="true">RAND()</f>
        <v>0.97353125999777</v>
      </c>
      <c r="T815" s="40" t="n">
        <f aca="true">RAND()</f>
        <v>0.386886792254592</v>
      </c>
      <c r="U815" s="40" t="n">
        <f aca="true">RAND()</f>
        <v>0.327999331967321</v>
      </c>
    </row>
    <row r="816" customFormat="false" ht="15" hidden="false" customHeight="false" outlineLevel="0" collapsed="false">
      <c r="A816" s="36" t="n">
        <v>736</v>
      </c>
      <c r="B816" s="37" t="n">
        <f aca="false">1+IF($G$6=$E$6,$F$6,IF(P816&lt;($F$6-$E$6)/($G$6-$E$6),$E$6+SQRT(P816*($G$6-$E$6)*($F$6-$E$6)),$G$6-SQRT((1-P816)*($G$6-$E$6)*($G$6-$F$6))))</f>
        <v>1</v>
      </c>
      <c r="C816" s="37" t="n">
        <f aca="false">1+IF($G$7=$E$7,$F$7,IF(Q816&lt;($F$7-$E$7)/($G$7-$E$7),$E$7+SQRT(Q816*($G$7-$E$7)*($F$7-$E$7)),$G$7-SQRT((1-Q816)*($G$7-$E$7)*($G$7-$F$7))))</f>
        <v>1</v>
      </c>
      <c r="D816" s="37" t="n">
        <f aca="false">1+IF($G$8=$E$8,$F$8,IF(R816&lt;($F$8-$E$8)/($G$8-$E$8),$E$8+SQRT(R816*($G$8-$E$8)*($F$8-$E$8)),$G$8-SQRT((1-R816)*($G$8-$E$8)*($G$8-$F$8))))</f>
        <v>1</v>
      </c>
      <c r="E816" s="37" t="n">
        <f aca="false">1+IF($G$9=$E$9,$F$9,IF(S816&lt;($F$9-$E$9)/($G$9-$E$9),$E$9+SQRT(S816*($G$9-$E$9)*($F$9-$E$9)),$G$9-SQRT((1-S816)*($G$9-$E$9)*($G$9-$F$9))))</f>
        <v>1</v>
      </c>
      <c r="F816" s="37" t="n">
        <f aca="false">1+IF($G$10=$E$10,$F$10,IF(T816&lt;($F$10-$E$10)/($G$10-$E$10),$E$10+SQRT(T816*($G$10-$E$10)*($F$10-$E$10)),$G$10-SQRT((1-T816)*($G$10-$E$10)*($G$10-$F$10))))</f>
        <v>1</v>
      </c>
      <c r="G816" s="38" t="n">
        <f aca="false">IF($G$11=$E$11,$F$11,IF(U816&lt;($F$11-$E$11)/($G$11-$E$11),$E$11+SQRT(U816*($G$11-$E$11)*($F$11-$E$11)),$G$11-SQRT((1-U816)*($G$11-$E$11)*($G$11-$F$11))))</f>
        <v>0</v>
      </c>
      <c r="H816" s="39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0</v>
      </c>
      <c r="I816" s="39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0</v>
      </c>
      <c r="J816" s="39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0</v>
      </c>
      <c r="K816" s="39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0</v>
      </c>
      <c r="L816" s="39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0</v>
      </c>
      <c r="M816" s="39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0</v>
      </c>
      <c r="N816" s="39" t="str">
        <f aca="false">IF(COUNT('Business Case'!B11:G11)=0,"",H816+NPV(G816,I816:M816))</f>
        <v/>
      </c>
      <c r="P816" s="40" t="n">
        <f aca="true">RAND()</f>
        <v>0.142057031148781</v>
      </c>
      <c r="Q816" s="40" t="n">
        <f aca="true">RAND()</f>
        <v>0.211093513111925</v>
      </c>
      <c r="R816" s="40" t="n">
        <f aca="true">RAND()</f>
        <v>0.760754247987705</v>
      </c>
      <c r="S816" s="40" t="n">
        <f aca="true">RAND()</f>
        <v>0.702358813995025</v>
      </c>
      <c r="T816" s="40" t="n">
        <f aca="true">RAND()</f>
        <v>0.94352714104386</v>
      </c>
      <c r="U816" s="40" t="n">
        <f aca="true">RAND()</f>
        <v>0.540587386585515</v>
      </c>
    </row>
    <row r="817" customFormat="false" ht="15" hidden="false" customHeight="false" outlineLevel="0" collapsed="false">
      <c r="A817" s="36" t="n">
        <v>737</v>
      </c>
      <c r="B817" s="37" t="n">
        <f aca="false">1+IF($G$6=$E$6,$F$6,IF(P817&lt;($F$6-$E$6)/($G$6-$E$6),$E$6+SQRT(P817*($G$6-$E$6)*($F$6-$E$6)),$G$6-SQRT((1-P817)*($G$6-$E$6)*($G$6-$F$6))))</f>
        <v>1</v>
      </c>
      <c r="C817" s="37" t="n">
        <f aca="false">1+IF($G$7=$E$7,$F$7,IF(Q817&lt;($F$7-$E$7)/($G$7-$E$7),$E$7+SQRT(Q817*($G$7-$E$7)*($F$7-$E$7)),$G$7-SQRT((1-Q817)*($G$7-$E$7)*($G$7-$F$7))))</f>
        <v>1</v>
      </c>
      <c r="D817" s="37" t="n">
        <f aca="false">1+IF($G$8=$E$8,$F$8,IF(R817&lt;($F$8-$E$8)/($G$8-$E$8),$E$8+SQRT(R817*($G$8-$E$8)*($F$8-$E$8)),$G$8-SQRT((1-R817)*($G$8-$E$8)*($G$8-$F$8))))</f>
        <v>1</v>
      </c>
      <c r="E817" s="37" t="n">
        <f aca="false">1+IF($G$9=$E$9,$F$9,IF(S817&lt;($F$9-$E$9)/($G$9-$E$9),$E$9+SQRT(S817*($G$9-$E$9)*($F$9-$E$9)),$G$9-SQRT((1-S817)*($G$9-$E$9)*($G$9-$F$9))))</f>
        <v>1</v>
      </c>
      <c r="F817" s="37" t="n">
        <f aca="false">1+IF($G$10=$E$10,$F$10,IF(T817&lt;($F$10-$E$10)/($G$10-$E$10),$E$10+SQRT(T817*($G$10-$E$10)*($F$10-$E$10)),$G$10-SQRT((1-T817)*($G$10-$E$10)*($G$10-$F$10))))</f>
        <v>1</v>
      </c>
      <c r="G817" s="38" t="n">
        <f aca="false">IF($G$11=$E$11,$F$11,IF(U817&lt;($F$11-$E$11)/($G$11-$E$11),$E$11+SQRT(U817*($G$11-$E$11)*($F$11-$E$11)),$G$11-SQRT((1-U817)*($G$11-$E$11)*($G$11-$F$11))))</f>
        <v>0</v>
      </c>
      <c r="H817" s="39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0</v>
      </c>
      <c r="I817" s="39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0</v>
      </c>
      <c r="J817" s="39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0</v>
      </c>
      <c r="K817" s="39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0</v>
      </c>
      <c r="L817" s="39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0</v>
      </c>
      <c r="M817" s="39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0</v>
      </c>
      <c r="N817" s="39" t="str">
        <f aca="false">IF(COUNT('Business Case'!B11:G11)=0,"",H817+NPV(G817,I817:M817))</f>
        <v/>
      </c>
      <c r="P817" s="40" t="n">
        <f aca="true">RAND()</f>
        <v>0.465473819753268</v>
      </c>
      <c r="Q817" s="40" t="n">
        <f aca="true">RAND()</f>
        <v>0.242350979024589</v>
      </c>
      <c r="R817" s="40" t="n">
        <f aca="true">RAND()</f>
        <v>0.203682953347405</v>
      </c>
      <c r="S817" s="40" t="n">
        <f aca="true">RAND()</f>
        <v>0.676440752482621</v>
      </c>
      <c r="T817" s="40" t="n">
        <f aca="true">RAND()</f>
        <v>0.391236112449379</v>
      </c>
      <c r="U817" s="40" t="n">
        <f aca="true">RAND()</f>
        <v>0.078236985364268</v>
      </c>
    </row>
    <row r="818" customFormat="false" ht="15" hidden="false" customHeight="false" outlineLevel="0" collapsed="false">
      <c r="A818" s="36" t="n">
        <v>738</v>
      </c>
      <c r="B818" s="37" t="n">
        <f aca="false">1+IF($G$6=$E$6,$F$6,IF(P818&lt;($F$6-$E$6)/($G$6-$E$6),$E$6+SQRT(P818*($G$6-$E$6)*($F$6-$E$6)),$G$6-SQRT((1-P818)*($G$6-$E$6)*($G$6-$F$6))))</f>
        <v>1</v>
      </c>
      <c r="C818" s="37" t="n">
        <f aca="false">1+IF($G$7=$E$7,$F$7,IF(Q818&lt;($F$7-$E$7)/($G$7-$E$7),$E$7+SQRT(Q818*($G$7-$E$7)*($F$7-$E$7)),$G$7-SQRT((1-Q818)*($G$7-$E$7)*($G$7-$F$7))))</f>
        <v>1</v>
      </c>
      <c r="D818" s="37" t="n">
        <f aca="false">1+IF($G$8=$E$8,$F$8,IF(R818&lt;($F$8-$E$8)/($G$8-$E$8),$E$8+SQRT(R818*($G$8-$E$8)*($F$8-$E$8)),$G$8-SQRT((1-R818)*($G$8-$E$8)*($G$8-$F$8))))</f>
        <v>1</v>
      </c>
      <c r="E818" s="37" t="n">
        <f aca="false">1+IF($G$9=$E$9,$F$9,IF(S818&lt;($F$9-$E$9)/($G$9-$E$9),$E$9+SQRT(S818*($G$9-$E$9)*($F$9-$E$9)),$G$9-SQRT((1-S818)*($G$9-$E$9)*($G$9-$F$9))))</f>
        <v>1</v>
      </c>
      <c r="F818" s="37" t="n">
        <f aca="false">1+IF($G$10=$E$10,$F$10,IF(T818&lt;($F$10-$E$10)/($G$10-$E$10),$E$10+SQRT(T818*($G$10-$E$10)*($F$10-$E$10)),$G$10-SQRT((1-T818)*($G$10-$E$10)*($G$10-$F$10))))</f>
        <v>1</v>
      </c>
      <c r="G818" s="38" t="n">
        <f aca="false">IF($G$11=$E$11,$F$11,IF(U818&lt;($F$11-$E$11)/($G$11-$E$11),$E$11+SQRT(U818*($G$11-$E$11)*($F$11-$E$11)),$G$11-SQRT((1-U818)*($G$11-$E$11)*($G$11-$F$11))))</f>
        <v>0</v>
      </c>
      <c r="H818" s="39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0</v>
      </c>
      <c r="I818" s="39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0</v>
      </c>
      <c r="J818" s="39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0</v>
      </c>
      <c r="K818" s="39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0</v>
      </c>
      <c r="L818" s="39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0</v>
      </c>
      <c r="M818" s="39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0</v>
      </c>
      <c r="N818" s="39" t="str">
        <f aca="false">IF(COUNT('Business Case'!B11:G11)=0,"",H818+NPV(G818,I818:M818))</f>
        <v/>
      </c>
      <c r="P818" s="40" t="n">
        <f aca="true">RAND()</f>
        <v>0.0434575189591651</v>
      </c>
      <c r="Q818" s="40" t="n">
        <f aca="true">RAND()</f>
        <v>0.282125889081656</v>
      </c>
      <c r="R818" s="40" t="n">
        <f aca="true">RAND()</f>
        <v>0.686137344603174</v>
      </c>
      <c r="S818" s="40" t="n">
        <f aca="true">RAND()</f>
        <v>0.396627211562122</v>
      </c>
      <c r="T818" s="40" t="n">
        <f aca="true">RAND()</f>
        <v>0.218126080237454</v>
      </c>
      <c r="U818" s="40" t="n">
        <f aca="true">RAND()</f>
        <v>0.0800818198823472</v>
      </c>
    </row>
    <row r="819" customFormat="false" ht="15" hidden="false" customHeight="false" outlineLevel="0" collapsed="false">
      <c r="A819" s="36" t="n">
        <v>739</v>
      </c>
      <c r="B819" s="37" t="n">
        <f aca="false">1+IF($G$6=$E$6,$F$6,IF(P819&lt;($F$6-$E$6)/($G$6-$E$6),$E$6+SQRT(P819*($G$6-$E$6)*($F$6-$E$6)),$G$6-SQRT((1-P819)*($G$6-$E$6)*($G$6-$F$6))))</f>
        <v>1</v>
      </c>
      <c r="C819" s="37" t="n">
        <f aca="false">1+IF($G$7=$E$7,$F$7,IF(Q819&lt;($F$7-$E$7)/($G$7-$E$7),$E$7+SQRT(Q819*($G$7-$E$7)*($F$7-$E$7)),$G$7-SQRT((1-Q819)*($G$7-$E$7)*($G$7-$F$7))))</f>
        <v>1</v>
      </c>
      <c r="D819" s="37" t="n">
        <f aca="false">1+IF($G$8=$E$8,$F$8,IF(R819&lt;($F$8-$E$8)/($G$8-$E$8),$E$8+SQRT(R819*($G$8-$E$8)*($F$8-$E$8)),$G$8-SQRT((1-R819)*($G$8-$E$8)*($G$8-$F$8))))</f>
        <v>1</v>
      </c>
      <c r="E819" s="37" t="n">
        <f aca="false">1+IF($G$9=$E$9,$F$9,IF(S819&lt;($F$9-$E$9)/($G$9-$E$9),$E$9+SQRT(S819*($G$9-$E$9)*($F$9-$E$9)),$G$9-SQRT((1-S819)*($G$9-$E$9)*($G$9-$F$9))))</f>
        <v>1</v>
      </c>
      <c r="F819" s="37" t="n">
        <f aca="false">1+IF($G$10=$E$10,$F$10,IF(T819&lt;($F$10-$E$10)/($G$10-$E$10),$E$10+SQRT(T819*($G$10-$E$10)*($F$10-$E$10)),$G$10-SQRT((1-T819)*($G$10-$E$10)*($G$10-$F$10))))</f>
        <v>1</v>
      </c>
      <c r="G819" s="38" t="n">
        <f aca="false">IF($G$11=$E$11,$F$11,IF(U819&lt;($F$11-$E$11)/($G$11-$E$11),$E$11+SQRT(U819*($G$11-$E$11)*($F$11-$E$11)),$G$11-SQRT((1-U819)*($G$11-$E$11)*($G$11-$F$11))))</f>
        <v>0</v>
      </c>
      <c r="H819" s="39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0</v>
      </c>
      <c r="I819" s="39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0</v>
      </c>
      <c r="J819" s="39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0</v>
      </c>
      <c r="K819" s="39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0</v>
      </c>
      <c r="L819" s="39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0</v>
      </c>
      <c r="M819" s="39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0</v>
      </c>
      <c r="N819" s="39" t="str">
        <f aca="false">IF(COUNT('Business Case'!B11:G11)=0,"",H819+NPV(G819,I819:M819))</f>
        <v/>
      </c>
      <c r="P819" s="40" t="n">
        <f aca="true">RAND()</f>
        <v>0.94703365434942</v>
      </c>
      <c r="Q819" s="40" t="n">
        <f aca="true">RAND()</f>
        <v>0.0952562464886902</v>
      </c>
      <c r="R819" s="40" t="n">
        <f aca="true">RAND()</f>
        <v>0.945290724721488</v>
      </c>
      <c r="S819" s="40" t="n">
        <f aca="true">RAND()</f>
        <v>0.1863880847028</v>
      </c>
      <c r="T819" s="40" t="n">
        <f aca="true">RAND()</f>
        <v>0.636846561101912</v>
      </c>
      <c r="U819" s="40" t="n">
        <f aca="true">RAND()</f>
        <v>0.873391484622693</v>
      </c>
    </row>
    <row r="820" customFormat="false" ht="15" hidden="false" customHeight="false" outlineLevel="0" collapsed="false">
      <c r="A820" s="36" t="n">
        <v>740</v>
      </c>
      <c r="B820" s="37" t="n">
        <f aca="false">1+IF($G$6=$E$6,$F$6,IF(P820&lt;($F$6-$E$6)/($G$6-$E$6),$E$6+SQRT(P820*($G$6-$E$6)*($F$6-$E$6)),$G$6-SQRT((1-P820)*($G$6-$E$6)*($G$6-$F$6))))</f>
        <v>1</v>
      </c>
      <c r="C820" s="37" t="n">
        <f aca="false">1+IF($G$7=$E$7,$F$7,IF(Q820&lt;($F$7-$E$7)/($G$7-$E$7),$E$7+SQRT(Q820*($G$7-$E$7)*($F$7-$E$7)),$G$7-SQRT((1-Q820)*($G$7-$E$7)*($G$7-$F$7))))</f>
        <v>1</v>
      </c>
      <c r="D820" s="37" t="n">
        <f aca="false">1+IF($G$8=$E$8,$F$8,IF(R820&lt;($F$8-$E$8)/($G$8-$E$8),$E$8+SQRT(R820*($G$8-$E$8)*($F$8-$E$8)),$G$8-SQRT((1-R820)*($G$8-$E$8)*($G$8-$F$8))))</f>
        <v>1</v>
      </c>
      <c r="E820" s="37" t="n">
        <f aca="false">1+IF($G$9=$E$9,$F$9,IF(S820&lt;($F$9-$E$9)/($G$9-$E$9),$E$9+SQRT(S820*($G$9-$E$9)*($F$9-$E$9)),$G$9-SQRT((1-S820)*($G$9-$E$9)*($G$9-$F$9))))</f>
        <v>1</v>
      </c>
      <c r="F820" s="37" t="n">
        <f aca="false">1+IF($G$10=$E$10,$F$10,IF(T820&lt;($F$10-$E$10)/($G$10-$E$10),$E$10+SQRT(T820*($G$10-$E$10)*($F$10-$E$10)),$G$10-SQRT((1-T820)*($G$10-$E$10)*($G$10-$F$10))))</f>
        <v>1</v>
      </c>
      <c r="G820" s="38" t="n">
        <f aca="false">IF($G$11=$E$11,$F$11,IF(U820&lt;($F$11-$E$11)/($G$11-$E$11),$E$11+SQRT(U820*($G$11-$E$11)*($F$11-$E$11)),$G$11-SQRT((1-U820)*($G$11-$E$11)*($G$11-$F$11))))</f>
        <v>0</v>
      </c>
      <c r="H820" s="39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0</v>
      </c>
      <c r="I820" s="39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0</v>
      </c>
      <c r="J820" s="39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0</v>
      </c>
      <c r="K820" s="39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0</v>
      </c>
      <c r="L820" s="39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0</v>
      </c>
      <c r="M820" s="39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0</v>
      </c>
      <c r="N820" s="39" t="str">
        <f aca="false">IF(COUNT('Business Case'!B11:G11)=0,"",H820+NPV(G820,I820:M820))</f>
        <v/>
      </c>
      <c r="P820" s="40" t="n">
        <f aca="true">RAND()</f>
        <v>0.825476438356607</v>
      </c>
      <c r="Q820" s="40" t="n">
        <f aca="true">RAND()</f>
        <v>0.243928209198069</v>
      </c>
      <c r="R820" s="40" t="n">
        <f aca="true">RAND()</f>
        <v>0.650146029354228</v>
      </c>
      <c r="S820" s="40" t="n">
        <f aca="true">RAND()</f>
        <v>0.298901396962855</v>
      </c>
      <c r="T820" s="40" t="n">
        <f aca="true">RAND()</f>
        <v>0.692248745537896</v>
      </c>
      <c r="U820" s="40" t="n">
        <f aca="true">RAND()</f>
        <v>0.969505446152164</v>
      </c>
    </row>
    <row r="821" customFormat="false" ht="15" hidden="false" customHeight="false" outlineLevel="0" collapsed="false">
      <c r="A821" s="36" t="n">
        <v>741</v>
      </c>
      <c r="B821" s="37" t="n">
        <f aca="false">1+IF($G$6=$E$6,$F$6,IF(P821&lt;($F$6-$E$6)/($G$6-$E$6),$E$6+SQRT(P821*($G$6-$E$6)*($F$6-$E$6)),$G$6-SQRT((1-P821)*($G$6-$E$6)*($G$6-$F$6))))</f>
        <v>1</v>
      </c>
      <c r="C821" s="37" t="n">
        <f aca="false">1+IF($G$7=$E$7,$F$7,IF(Q821&lt;($F$7-$E$7)/($G$7-$E$7),$E$7+SQRT(Q821*($G$7-$E$7)*($F$7-$E$7)),$G$7-SQRT((1-Q821)*($G$7-$E$7)*($G$7-$F$7))))</f>
        <v>1</v>
      </c>
      <c r="D821" s="37" t="n">
        <f aca="false">1+IF($G$8=$E$8,$F$8,IF(R821&lt;($F$8-$E$8)/($G$8-$E$8),$E$8+SQRT(R821*($G$8-$E$8)*($F$8-$E$8)),$G$8-SQRT((1-R821)*($G$8-$E$8)*($G$8-$F$8))))</f>
        <v>1</v>
      </c>
      <c r="E821" s="37" t="n">
        <f aca="false">1+IF($G$9=$E$9,$F$9,IF(S821&lt;($F$9-$E$9)/($G$9-$E$9),$E$9+SQRT(S821*($G$9-$E$9)*($F$9-$E$9)),$G$9-SQRT((1-S821)*($G$9-$E$9)*($G$9-$F$9))))</f>
        <v>1</v>
      </c>
      <c r="F821" s="37" t="n">
        <f aca="false">1+IF($G$10=$E$10,$F$10,IF(T821&lt;($F$10-$E$10)/($G$10-$E$10),$E$10+SQRT(T821*($G$10-$E$10)*($F$10-$E$10)),$G$10-SQRT((1-T821)*($G$10-$E$10)*($G$10-$F$10))))</f>
        <v>1</v>
      </c>
      <c r="G821" s="38" t="n">
        <f aca="false">IF($G$11=$E$11,$F$11,IF(U821&lt;($F$11-$E$11)/($G$11-$E$11),$E$11+SQRT(U821*($G$11-$E$11)*($F$11-$E$11)),$G$11-SQRT((1-U821)*($G$11-$E$11)*($G$11-$F$11))))</f>
        <v>0</v>
      </c>
      <c r="H821" s="39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0</v>
      </c>
      <c r="I821" s="39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0</v>
      </c>
      <c r="J821" s="39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0</v>
      </c>
      <c r="K821" s="39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0</v>
      </c>
      <c r="L821" s="39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0</v>
      </c>
      <c r="M821" s="39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0</v>
      </c>
      <c r="N821" s="39" t="str">
        <f aca="false">IF(COUNT('Business Case'!B11:G11)=0,"",H821+NPV(G821,I821:M821))</f>
        <v/>
      </c>
      <c r="P821" s="40" t="n">
        <f aca="true">RAND()</f>
        <v>0.34223804153099</v>
      </c>
      <c r="Q821" s="40" t="n">
        <f aca="true">RAND()</f>
        <v>0.535933360996802</v>
      </c>
      <c r="R821" s="40" t="n">
        <f aca="true">RAND()</f>
        <v>0.362430612190455</v>
      </c>
      <c r="S821" s="40" t="n">
        <f aca="true">RAND()</f>
        <v>0.56192563408697</v>
      </c>
      <c r="T821" s="40" t="n">
        <f aca="true">RAND()</f>
        <v>0.849838800377798</v>
      </c>
      <c r="U821" s="40" t="n">
        <f aca="true">RAND()</f>
        <v>0.170346842860402</v>
      </c>
    </row>
    <row r="822" customFormat="false" ht="15" hidden="false" customHeight="false" outlineLevel="0" collapsed="false">
      <c r="A822" s="36" t="n">
        <v>742</v>
      </c>
      <c r="B822" s="37" t="n">
        <f aca="false">1+IF($G$6=$E$6,$F$6,IF(P822&lt;($F$6-$E$6)/($G$6-$E$6),$E$6+SQRT(P822*($G$6-$E$6)*($F$6-$E$6)),$G$6-SQRT((1-P822)*($G$6-$E$6)*($G$6-$F$6))))</f>
        <v>1</v>
      </c>
      <c r="C822" s="37" t="n">
        <f aca="false">1+IF($G$7=$E$7,$F$7,IF(Q822&lt;($F$7-$E$7)/($G$7-$E$7),$E$7+SQRT(Q822*($G$7-$E$7)*($F$7-$E$7)),$G$7-SQRT((1-Q822)*($G$7-$E$7)*($G$7-$F$7))))</f>
        <v>1</v>
      </c>
      <c r="D822" s="37" t="n">
        <f aca="false">1+IF($G$8=$E$8,$F$8,IF(R822&lt;($F$8-$E$8)/($G$8-$E$8),$E$8+SQRT(R822*($G$8-$E$8)*($F$8-$E$8)),$G$8-SQRT((1-R822)*($G$8-$E$8)*($G$8-$F$8))))</f>
        <v>1</v>
      </c>
      <c r="E822" s="37" t="n">
        <f aca="false">1+IF($G$9=$E$9,$F$9,IF(S822&lt;($F$9-$E$9)/($G$9-$E$9),$E$9+SQRT(S822*($G$9-$E$9)*($F$9-$E$9)),$G$9-SQRT((1-S822)*($G$9-$E$9)*($G$9-$F$9))))</f>
        <v>1</v>
      </c>
      <c r="F822" s="37" t="n">
        <f aca="false">1+IF($G$10=$E$10,$F$10,IF(T822&lt;($F$10-$E$10)/($G$10-$E$10),$E$10+SQRT(T822*($G$10-$E$10)*($F$10-$E$10)),$G$10-SQRT((1-T822)*($G$10-$E$10)*($G$10-$F$10))))</f>
        <v>1</v>
      </c>
      <c r="G822" s="38" t="n">
        <f aca="false">IF($G$11=$E$11,$F$11,IF(U822&lt;($F$11-$E$11)/($G$11-$E$11),$E$11+SQRT(U822*($G$11-$E$11)*($F$11-$E$11)),$G$11-SQRT((1-U822)*($G$11-$E$11)*($G$11-$F$11))))</f>
        <v>0</v>
      </c>
      <c r="H822" s="39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0</v>
      </c>
      <c r="I822" s="39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0</v>
      </c>
      <c r="J822" s="39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0</v>
      </c>
      <c r="K822" s="39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0</v>
      </c>
      <c r="L822" s="39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0</v>
      </c>
      <c r="M822" s="39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0</v>
      </c>
      <c r="N822" s="39" t="str">
        <f aca="false">IF(COUNT('Business Case'!B11:G11)=0,"",H822+NPV(G822,I822:M822))</f>
        <v/>
      </c>
      <c r="P822" s="40" t="n">
        <f aca="true">RAND()</f>
        <v>0.371679136626281</v>
      </c>
      <c r="Q822" s="40" t="n">
        <f aca="true">RAND()</f>
        <v>0.79444244070624</v>
      </c>
      <c r="R822" s="40" t="n">
        <f aca="true">RAND()</f>
        <v>0.0683763937283057</v>
      </c>
      <c r="S822" s="40" t="n">
        <f aca="true">RAND()</f>
        <v>0.717708014221765</v>
      </c>
      <c r="T822" s="40" t="n">
        <f aca="true">RAND()</f>
        <v>0.812507876073804</v>
      </c>
      <c r="U822" s="40" t="n">
        <f aca="true">RAND()</f>
        <v>0.29056369929018</v>
      </c>
    </row>
    <row r="823" customFormat="false" ht="15" hidden="false" customHeight="false" outlineLevel="0" collapsed="false">
      <c r="A823" s="36" t="n">
        <v>743</v>
      </c>
      <c r="B823" s="37" t="n">
        <f aca="false">1+IF($G$6=$E$6,$F$6,IF(P823&lt;($F$6-$E$6)/($G$6-$E$6),$E$6+SQRT(P823*($G$6-$E$6)*($F$6-$E$6)),$G$6-SQRT((1-P823)*($G$6-$E$6)*($G$6-$F$6))))</f>
        <v>1</v>
      </c>
      <c r="C823" s="37" t="n">
        <f aca="false">1+IF($G$7=$E$7,$F$7,IF(Q823&lt;($F$7-$E$7)/($G$7-$E$7),$E$7+SQRT(Q823*($G$7-$E$7)*($F$7-$E$7)),$G$7-SQRT((1-Q823)*($G$7-$E$7)*($G$7-$F$7))))</f>
        <v>1</v>
      </c>
      <c r="D823" s="37" t="n">
        <f aca="false">1+IF($G$8=$E$8,$F$8,IF(R823&lt;($F$8-$E$8)/($G$8-$E$8),$E$8+SQRT(R823*($G$8-$E$8)*($F$8-$E$8)),$G$8-SQRT((1-R823)*($G$8-$E$8)*($G$8-$F$8))))</f>
        <v>1</v>
      </c>
      <c r="E823" s="37" t="n">
        <f aca="false">1+IF($G$9=$E$9,$F$9,IF(S823&lt;($F$9-$E$9)/($G$9-$E$9),$E$9+SQRT(S823*($G$9-$E$9)*($F$9-$E$9)),$G$9-SQRT((1-S823)*($G$9-$E$9)*($G$9-$F$9))))</f>
        <v>1</v>
      </c>
      <c r="F823" s="37" t="n">
        <f aca="false">1+IF($G$10=$E$10,$F$10,IF(T823&lt;($F$10-$E$10)/($G$10-$E$10),$E$10+SQRT(T823*($G$10-$E$10)*($F$10-$E$10)),$G$10-SQRT((1-T823)*($G$10-$E$10)*($G$10-$F$10))))</f>
        <v>1</v>
      </c>
      <c r="G823" s="38" t="n">
        <f aca="false">IF($G$11=$E$11,$F$11,IF(U823&lt;($F$11-$E$11)/($G$11-$E$11),$E$11+SQRT(U823*($G$11-$E$11)*($F$11-$E$11)),$G$11-SQRT((1-U823)*($G$11-$E$11)*($G$11-$F$11))))</f>
        <v>0</v>
      </c>
      <c r="H823" s="39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0</v>
      </c>
      <c r="I823" s="39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0</v>
      </c>
      <c r="J823" s="39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0</v>
      </c>
      <c r="K823" s="39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0</v>
      </c>
      <c r="L823" s="39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0</v>
      </c>
      <c r="M823" s="39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0</v>
      </c>
      <c r="N823" s="39" t="str">
        <f aca="false">IF(COUNT('Business Case'!B11:G11)=0,"",H823+NPV(G823,I823:M823))</f>
        <v/>
      </c>
      <c r="P823" s="40" t="n">
        <f aca="true">RAND()</f>
        <v>0.0519750380594622</v>
      </c>
      <c r="Q823" s="40" t="n">
        <f aca="true">RAND()</f>
        <v>0.675035409830793</v>
      </c>
      <c r="R823" s="40" t="n">
        <f aca="true">RAND()</f>
        <v>0.178627939512998</v>
      </c>
      <c r="S823" s="40" t="n">
        <f aca="true">RAND()</f>
        <v>0.241169805534168</v>
      </c>
      <c r="T823" s="40" t="n">
        <f aca="true">RAND()</f>
        <v>0.0178373573687319</v>
      </c>
      <c r="U823" s="40" t="n">
        <f aca="true">RAND()</f>
        <v>0.598706218912967</v>
      </c>
    </row>
    <row r="824" customFormat="false" ht="15" hidden="false" customHeight="false" outlineLevel="0" collapsed="false">
      <c r="A824" s="36" t="n">
        <v>744</v>
      </c>
      <c r="B824" s="37" t="n">
        <f aca="false">1+IF($G$6=$E$6,$F$6,IF(P824&lt;($F$6-$E$6)/($G$6-$E$6),$E$6+SQRT(P824*($G$6-$E$6)*($F$6-$E$6)),$G$6-SQRT((1-P824)*($G$6-$E$6)*($G$6-$F$6))))</f>
        <v>1</v>
      </c>
      <c r="C824" s="37" t="n">
        <f aca="false">1+IF($G$7=$E$7,$F$7,IF(Q824&lt;($F$7-$E$7)/($G$7-$E$7),$E$7+SQRT(Q824*($G$7-$E$7)*($F$7-$E$7)),$G$7-SQRT((1-Q824)*($G$7-$E$7)*($G$7-$F$7))))</f>
        <v>1</v>
      </c>
      <c r="D824" s="37" t="n">
        <f aca="false">1+IF($G$8=$E$8,$F$8,IF(R824&lt;($F$8-$E$8)/($G$8-$E$8),$E$8+SQRT(R824*($G$8-$E$8)*($F$8-$E$8)),$G$8-SQRT((1-R824)*($G$8-$E$8)*($G$8-$F$8))))</f>
        <v>1</v>
      </c>
      <c r="E824" s="37" t="n">
        <f aca="false">1+IF($G$9=$E$9,$F$9,IF(S824&lt;($F$9-$E$9)/($G$9-$E$9),$E$9+SQRT(S824*($G$9-$E$9)*($F$9-$E$9)),$G$9-SQRT((1-S824)*($G$9-$E$9)*($G$9-$F$9))))</f>
        <v>1</v>
      </c>
      <c r="F824" s="37" t="n">
        <f aca="false">1+IF($G$10=$E$10,$F$10,IF(T824&lt;($F$10-$E$10)/($G$10-$E$10),$E$10+SQRT(T824*($G$10-$E$10)*($F$10-$E$10)),$G$10-SQRT((1-T824)*($G$10-$E$10)*($G$10-$F$10))))</f>
        <v>1</v>
      </c>
      <c r="G824" s="38" t="n">
        <f aca="false">IF($G$11=$E$11,$F$11,IF(U824&lt;($F$11-$E$11)/($G$11-$E$11),$E$11+SQRT(U824*($G$11-$E$11)*($F$11-$E$11)),$G$11-SQRT((1-U824)*($G$11-$E$11)*($G$11-$F$11))))</f>
        <v>0</v>
      </c>
      <c r="H824" s="39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0</v>
      </c>
      <c r="I824" s="39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0</v>
      </c>
      <c r="J824" s="39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0</v>
      </c>
      <c r="K824" s="39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0</v>
      </c>
      <c r="L824" s="39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0</v>
      </c>
      <c r="M824" s="39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0</v>
      </c>
      <c r="N824" s="39" t="str">
        <f aca="false">IF(COUNT('Business Case'!B11:G11)=0,"",H824+NPV(G824,I824:M824))</f>
        <v/>
      </c>
      <c r="P824" s="40" t="n">
        <f aca="true">RAND()</f>
        <v>0.564797368466472</v>
      </c>
      <c r="Q824" s="40" t="n">
        <f aca="true">RAND()</f>
        <v>0.864595667313196</v>
      </c>
      <c r="R824" s="40" t="n">
        <f aca="true">RAND()</f>
        <v>0.383212184481025</v>
      </c>
      <c r="S824" s="40" t="n">
        <f aca="true">RAND()</f>
        <v>0.897077126841407</v>
      </c>
      <c r="T824" s="40" t="n">
        <f aca="true">RAND()</f>
        <v>0.791396428083561</v>
      </c>
      <c r="U824" s="40" t="n">
        <f aca="true">RAND()</f>
        <v>0.662351825701165</v>
      </c>
    </row>
    <row r="825" customFormat="false" ht="15" hidden="false" customHeight="false" outlineLevel="0" collapsed="false">
      <c r="A825" s="36" t="n">
        <v>745</v>
      </c>
      <c r="B825" s="37" t="n">
        <f aca="false">1+IF($G$6=$E$6,$F$6,IF(P825&lt;($F$6-$E$6)/($G$6-$E$6),$E$6+SQRT(P825*($G$6-$E$6)*($F$6-$E$6)),$G$6-SQRT((1-P825)*($G$6-$E$6)*($G$6-$F$6))))</f>
        <v>1</v>
      </c>
      <c r="C825" s="37" t="n">
        <f aca="false">1+IF($G$7=$E$7,$F$7,IF(Q825&lt;($F$7-$E$7)/($G$7-$E$7),$E$7+SQRT(Q825*($G$7-$E$7)*($F$7-$E$7)),$G$7-SQRT((1-Q825)*($G$7-$E$7)*($G$7-$F$7))))</f>
        <v>1</v>
      </c>
      <c r="D825" s="37" t="n">
        <f aca="false">1+IF($G$8=$E$8,$F$8,IF(R825&lt;($F$8-$E$8)/($G$8-$E$8),$E$8+SQRT(R825*($G$8-$E$8)*($F$8-$E$8)),$G$8-SQRT((1-R825)*($G$8-$E$8)*($G$8-$F$8))))</f>
        <v>1</v>
      </c>
      <c r="E825" s="37" t="n">
        <f aca="false">1+IF($G$9=$E$9,$F$9,IF(S825&lt;($F$9-$E$9)/($G$9-$E$9),$E$9+SQRT(S825*($G$9-$E$9)*($F$9-$E$9)),$G$9-SQRT((1-S825)*($G$9-$E$9)*($G$9-$F$9))))</f>
        <v>1</v>
      </c>
      <c r="F825" s="37" t="n">
        <f aca="false">1+IF($G$10=$E$10,$F$10,IF(T825&lt;($F$10-$E$10)/($G$10-$E$10),$E$10+SQRT(T825*($G$10-$E$10)*($F$10-$E$10)),$G$10-SQRT((1-T825)*($G$10-$E$10)*($G$10-$F$10))))</f>
        <v>1</v>
      </c>
      <c r="G825" s="38" t="n">
        <f aca="false">IF($G$11=$E$11,$F$11,IF(U825&lt;($F$11-$E$11)/($G$11-$E$11),$E$11+SQRT(U825*($G$11-$E$11)*($F$11-$E$11)),$G$11-SQRT((1-U825)*($G$11-$E$11)*($G$11-$F$11))))</f>
        <v>0</v>
      </c>
      <c r="H825" s="39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0</v>
      </c>
      <c r="I825" s="39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0</v>
      </c>
      <c r="J825" s="39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0</v>
      </c>
      <c r="K825" s="39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0</v>
      </c>
      <c r="L825" s="39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0</v>
      </c>
      <c r="M825" s="39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0</v>
      </c>
      <c r="N825" s="39" t="str">
        <f aca="false">IF(COUNT('Business Case'!B11:G11)=0,"",H825+NPV(G825,I825:M825))</f>
        <v/>
      </c>
      <c r="P825" s="40" t="n">
        <f aca="true">RAND()</f>
        <v>0.293894922111587</v>
      </c>
      <c r="Q825" s="40" t="n">
        <f aca="true">RAND()</f>
        <v>0.0498801290669025</v>
      </c>
      <c r="R825" s="40" t="n">
        <f aca="true">RAND()</f>
        <v>0.671160653374999</v>
      </c>
      <c r="S825" s="40" t="n">
        <f aca="true">RAND()</f>
        <v>0.662422162948706</v>
      </c>
      <c r="T825" s="40" t="n">
        <f aca="true">RAND()</f>
        <v>0.532401075239421</v>
      </c>
      <c r="U825" s="40" t="n">
        <f aca="true">RAND()</f>
        <v>0.957454773461275</v>
      </c>
    </row>
    <row r="826" customFormat="false" ht="15" hidden="false" customHeight="false" outlineLevel="0" collapsed="false">
      <c r="A826" s="36" t="n">
        <v>746</v>
      </c>
      <c r="B826" s="37" t="n">
        <f aca="false">1+IF($G$6=$E$6,$F$6,IF(P826&lt;($F$6-$E$6)/($G$6-$E$6),$E$6+SQRT(P826*($G$6-$E$6)*($F$6-$E$6)),$G$6-SQRT((1-P826)*($G$6-$E$6)*($G$6-$F$6))))</f>
        <v>1</v>
      </c>
      <c r="C826" s="37" t="n">
        <f aca="false">1+IF($G$7=$E$7,$F$7,IF(Q826&lt;($F$7-$E$7)/($G$7-$E$7),$E$7+SQRT(Q826*($G$7-$E$7)*($F$7-$E$7)),$G$7-SQRT((1-Q826)*($G$7-$E$7)*($G$7-$F$7))))</f>
        <v>1</v>
      </c>
      <c r="D826" s="37" t="n">
        <f aca="false">1+IF($G$8=$E$8,$F$8,IF(R826&lt;($F$8-$E$8)/($G$8-$E$8),$E$8+SQRT(R826*($G$8-$E$8)*($F$8-$E$8)),$G$8-SQRT((1-R826)*($G$8-$E$8)*($G$8-$F$8))))</f>
        <v>1</v>
      </c>
      <c r="E826" s="37" t="n">
        <f aca="false">1+IF($G$9=$E$9,$F$9,IF(S826&lt;($F$9-$E$9)/($G$9-$E$9),$E$9+SQRT(S826*($G$9-$E$9)*($F$9-$E$9)),$G$9-SQRT((1-S826)*($G$9-$E$9)*($G$9-$F$9))))</f>
        <v>1</v>
      </c>
      <c r="F826" s="37" t="n">
        <f aca="false">1+IF($G$10=$E$10,$F$10,IF(T826&lt;($F$10-$E$10)/($G$10-$E$10),$E$10+SQRT(T826*($G$10-$E$10)*($F$10-$E$10)),$G$10-SQRT((1-T826)*($G$10-$E$10)*($G$10-$F$10))))</f>
        <v>1</v>
      </c>
      <c r="G826" s="38" t="n">
        <f aca="false">IF($G$11=$E$11,$F$11,IF(U826&lt;($F$11-$E$11)/($G$11-$E$11),$E$11+SQRT(U826*($G$11-$E$11)*($F$11-$E$11)),$G$11-SQRT((1-U826)*($G$11-$E$11)*($G$11-$F$11))))</f>
        <v>0</v>
      </c>
      <c r="H826" s="39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0</v>
      </c>
      <c r="I826" s="39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0</v>
      </c>
      <c r="J826" s="39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0</v>
      </c>
      <c r="K826" s="39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0</v>
      </c>
      <c r="L826" s="39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0</v>
      </c>
      <c r="M826" s="39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0</v>
      </c>
      <c r="N826" s="39" t="str">
        <f aca="false">IF(COUNT('Business Case'!B11:G11)=0,"",H826+NPV(G826,I826:M826))</f>
        <v/>
      </c>
      <c r="P826" s="40" t="n">
        <f aca="true">RAND()</f>
        <v>0.174713206223729</v>
      </c>
      <c r="Q826" s="40" t="n">
        <f aca="true">RAND()</f>
        <v>0.801072935470651</v>
      </c>
      <c r="R826" s="40" t="n">
        <f aca="true">RAND()</f>
        <v>0.7801313247216</v>
      </c>
      <c r="S826" s="40" t="n">
        <f aca="true">RAND()</f>
        <v>0.751668327299986</v>
      </c>
      <c r="T826" s="40" t="n">
        <f aca="true">RAND()</f>
        <v>0.234762750789051</v>
      </c>
      <c r="U826" s="40" t="n">
        <f aca="true">RAND()</f>
        <v>0.411694589773442</v>
      </c>
    </row>
    <row r="827" customFormat="false" ht="15" hidden="false" customHeight="false" outlineLevel="0" collapsed="false">
      <c r="A827" s="36" t="n">
        <v>747</v>
      </c>
      <c r="B827" s="37" t="n">
        <f aca="false">1+IF($G$6=$E$6,$F$6,IF(P827&lt;($F$6-$E$6)/($G$6-$E$6),$E$6+SQRT(P827*($G$6-$E$6)*($F$6-$E$6)),$G$6-SQRT((1-P827)*($G$6-$E$6)*($G$6-$F$6))))</f>
        <v>1</v>
      </c>
      <c r="C827" s="37" t="n">
        <f aca="false">1+IF($G$7=$E$7,$F$7,IF(Q827&lt;($F$7-$E$7)/($G$7-$E$7),$E$7+SQRT(Q827*($G$7-$E$7)*($F$7-$E$7)),$G$7-SQRT((1-Q827)*($G$7-$E$7)*($G$7-$F$7))))</f>
        <v>1</v>
      </c>
      <c r="D827" s="37" t="n">
        <f aca="false">1+IF($G$8=$E$8,$F$8,IF(R827&lt;($F$8-$E$8)/($G$8-$E$8),$E$8+SQRT(R827*($G$8-$E$8)*($F$8-$E$8)),$G$8-SQRT((1-R827)*($G$8-$E$8)*($G$8-$F$8))))</f>
        <v>1</v>
      </c>
      <c r="E827" s="37" t="n">
        <f aca="false">1+IF($G$9=$E$9,$F$9,IF(S827&lt;($F$9-$E$9)/($G$9-$E$9),$E$9+SQRT(S827*($G$9-$E$9)*($F$9-$E$9)),$G$9-SQRT((1-S827)*($G$9-$E$9)*($G$9-$F$9))))</f>
        <v>1</v>
      </c>
      <c r="F827" s="37" t="n">
        <f aca="false">1+IF($G$10=$E$10,$F$10,IF(T827&lt;($F$10-$E$10)/($G$10-$E$10),$E$10+SQRT(T827*($G$10-$E$10)*($F$10-$E$10)),$G$10-SQRT((1-T827)*($G$10-$E$10)*($G$10-$F$10))))</f>
        <v>1</v>
      </c>
      <c r="G827" s="38" t="n">
        <f aca="false">IF($G$11=$E$11,$F$11,IF(U827&lt;($F$11-$E$11)/($G$11-$E$11),$E$11+SQRT(U827*($G$11-$E$11)*($F$11-$E$11)),$G$11-SQRT((1-U827)*($G$11-$E$11)*($G$11-$F$11))))</f>
        <v>0</v>
      </c>
      <c r="H827" s="39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0</v>
      </c>
      <c r="I827" s="39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0</v>
      </c>
      <c r="J827" s="39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0</v>
      </c>
      <c r="K827" s="39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0</v>
      </c>
      <c r="L827" s="39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0</v>
      </c>
      <c r="M827" s="39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0</v>
      </c>
      <c r="N827" s="39" t="str">
        <f aca="false">IF(COUNT('Business Case'!B11:G11)=0,"",H827+NPV(G827,I827:M827))</f>
        <v/>
      </c>
      <c r="P827" s="40" t="n">
        <f aca="true">RAND()</f>
        <v>0.437477343299561</v>
      </c>
      <c r="Q827" s="40" t="n">
        <f aca="true">RAND()</f>
        <v>0.52368833504413</v>
      </c>
      <c r="R827" s="40" t="n">
        <f aca="true">RAND()</f>
        <v>0.560041763914936</v>
      </c>
      <c r="S827" s="40" t="n">
        <f aca="true">RAND()</f>
        <v>0.87111231369676</v>
      </c>
      <c r="T827" s="40" t="n">
        <f aca="true">RAND()</f>
        <v>0.896457361902106</v>
      </c>
      <c r="U827" s="40" t="n">
        <f aca="true">RAND()</f>
        <v>0.223365364055484</v>
      </c>
    </row>
    <row r="828" customFormat="false" ht="15" hidden="false" customHeight="false" outlineLevel="0" collapsed="false">
      <c r="A828" s="36" t="n">
        <v>748</v>
      </c>
      <c r="B828" s="37" t="n">
        <f aca="false">1+IF($G$6=$E$6,$F$6,IF(P828&lt;($F$6-$E$6)/($G$6-$E$6),$E$6+SQRT(P828*($G$6-$E$6)*($F$6-$E$6)),$G$6-SQRT((1-P828)*($G$6-$E$6)*($G$6-$F$6))))</f>
        <v>1</v>
      </c>
      <c r="C828" s="37" t="n">
        <f aca="false">1+IF($G$7=$E$7,$F$7,IF(Q828&lt;($F$7-$E$7)/($G$7-$E$7),$E$7+SQRT(Q828*($G$7-$E$7)*($F$7-$E$7)),$G$7-SQRT((1-Q828)*($G$7-$E$7)*($G$7-$F$7))))</f>
        <v>1</v>
      </c>
      <c r="D828" s="37" t="n">
        <f aca="false">1+IF($G$8=$E$8,$F$8,IF(R828&lt;($F$8-$E$8)/($G$8-$E$8),$E$8+SQRT(R828*($G$8-$E$8)*($F$8-$E$8)),$G$8-SQRT((1-R828)*($G$8-$E$8)*($G$8-$F$8))))</f>
        <v>1</v>
      </c>
      <c r="E828" s="37" t="n">
        <f aca="false">1+IF($G$9=$E$9,$F$9,IF(S828&lt;($F$9-$E$9)/($G$9-$E$9),$E$9+SQRT(S828*($G$9-$E$9)*($F$9-$E$9)),$G$9-SQRT((1-S828)*($G$9-$E$9)*($G$9-$F$9))))</f>
        <v>1</v>
      </c>
      <c r="F828" s="37" t="n">
        <f aca="false">1+IF($G$10=$E$10,$F$10,IF(T828&lt;($F$10-$E$10)/($G$10-$E$10),$E$10+SQRT(T828*($G$10-$E$10)*($F$10-$E$10)),$G$10-SQRT((1-T828)*($G$10-$E$10)*($G$10-$F$10))))</f>
        <v>1</v>
      </c>
      <c r="G828" s="38" t="n">
        <f aca="false">IF($G$11=$E$11,$F$11,IF(U828&lt;($F$11-$E$11)/($G$11-$E$11),$E$11+SQRT(U828*($G$11-$E$11)*($F$11-$E$11)),$G$11-SQRT((1-U828)*($G$11-$E$11)*($G$11-$F$11))))</f>
        <v>0</v>
      </c>
      <c r="H828" s="39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0</v>
      </c>
      <c r="I828" s="39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0</v>
      </c>
      <c r="J828" s="39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0</v>
      </c>
      <c r="K828" s="39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0</v>
      </c>
      <c r="L828" s="39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0</v>
      </c>
      <c r="M828" s="39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0</v>
      </c>
      <c r="N828" s="39" t="str">
        <f aca="false">IF(COUNT('Business Case'!B11:G11)=0,"",H828+NPV(G828,I828:M828))</f>
        <v/>
      </c>
      <c r="P828" s="40" t="n">
        <f aca="true">RAND()</f>
        <v>0.247729930600875</v>
      </c>
      <c r="Q828" s="40" t="n">
        <f aca="true">RAND()</f>
        <v>0.124182787110983</v>
      </c>
      <c r="R828" s="40" t="n">
        <f aca="true">RAND()</f>
        <v>0.863489187572478</v>
      </c>
      <c r="S828" s="40" t="n">
        <f aca="true">RAND()</f>
        <v>0.622490462719776</v>
      </c>
      <c r="T828" s="40" t="n">
        <f aca="true">RAND()</f>
        <v>0.401475757810497</v>
      </c>
      <c r="U828" s="40" t="n">
        <f aca="true">RAND()</f>
        <v>0.885671827819018</v>
      </c>
    </row>
    <row r="829" customFormat="false" ht="15" hidden="false" customHeight="false" outlineLevel="0" collapsed="false">
      <c r="A829" s="36" t="n">
        <v>749</v>
      </c>
      <c r="B829" s="37" t="n">
        <f aca="false">1+IF($G$6=$E$6,$F$6,IF(P829&lt;($F$6-$E$6)/($G$6-$E$6),$E$6+SQRT(P829*($G$6-$E$6)*($F$6-$E$6)),$G$6-SQRT((1-P829)*($G$6-$E$6)*($G$6-$F$6))))</f>
        <v>1</v>
      </c>
      <c r="C829" s="37" t="n">
        <f aca="false">1+IF($G$7=$E$7,$F$7,IF(Q829&lt;($F$7-$E$7)/($G$7-$E$7),$E$7+SQRT(Q829*($G$7-$E$7)*($F$7-$E$7)),$G$7-SQRT((1-Q829)*($G$7-$E$7)*($G$7-$F$7))))</f>
        <v>1</v>
      </c>
      <c r="D829" s="37" t="n">
        <f aca="false">1+IF($G$8=$E$8,$F$8,IF(R829&lt;($F$8-$E$8)/($G$8-$E$8),$E$8+SQRT(R829*($G$8-$E$8)*($F$8-$E$8)),$G$8-SQRT((1-R829)*($G$8-$E$8)*($G$8-$F$8))))</f>
        <v>1</v>
      </c>
      <c r="E829" s="37" t="n">
        <f aca="false">1+IF($G$9=$E$9,$F$9,IF(S829&lt;($F$9-$E$9)/($G$9-$E$9),$E$9+SQRT(S829*($G$9-$E$9)*($F$9-$E$9)),$G$9-SQRT((1-S829)*($G$9-$E$9)*($G$9-$F$9))))</f>
        <v>1</v>
      </c>
      <c r="F829" s="37" t="n">
        <f aca="false">1+IF($G$10=$E$10,$F$10,IF(T829&lt;($F$10-$E$10)/($G$10-$E$10),$E$10+SQRT(T829*($G$10-$E$10)*($F$10-$E$10)),$G$10-SQRT((1-T829)*($G$10-$E$10)*($G$10-$F$10))))</f>
        <v>1</v>
      </c>
      <c r="G829" s="38" t="n">
        <f aca="false">IF($G$11=$E$11,$F$11,IF(U829&lt;($F$11-$E$11)/($G$11-$E$11),$E$11+SQRT(U829*($G$11-$E$11)*($F$11-$E$11)),$G$11-SQRT((1-U829)*($G$11-$E$11)*($G$11-$F$11))))</f>
        <v>0</v>
      </c>
      <c r="H829" s="39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0</v>
      </c>
      <c r="I829" s="39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0</v>
      </c>
      <c r="J829" s="39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0</v>
      </c>
      <c r="K829" s="39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0</v>
      </c>
      <c r="L829" s="39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0</v>
      </c>
      <c r="M829" s="39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0</v>
      </c>
      <c r="N829" s="39" t="str">
        <f aca="false">IF(COUNT('Business Case'!B11:G11)=0,"",H829+NPV(G829,I829:M829))</f>
        <v/>
      </c>
      <c r="P829" s="40" t="n">
        <f aca="true">RAND()</f>
        <v>0.572870318553767</v>
      </c>
      <c r="Q829" s="40" t="n">
        <f aca="true">RAND()</f>
        <v>0.972366510710784</v>
      </c>
      <c r="R829" s="40" t="n">
        <f aca="true">RAND()</f>
        <v>0.764545168258194</v>
      </c>
      <c r="S829" s="40" t="n">
        <f aca="true">RAND()</f>
        <v>0.637449540160697</v>
      </c>
      <c r="T829" s="40" t="n">
        <f aca="true">RAND()</f>
        <v>0.90439734855922</v>
      </c>
      <c r="U829" s="40" t="n">
        <f aca="true">RAND()</f>
        <v>0.724073226467184</v>
      </c>
    </row>
    <row r="830" customFormat="false" ht="15" hidden="false" customHeight="false" outlineLevel="0" collapsed="false">
      <c r="A830" s="36" t="n">
        <v>750</v>
      </c>
      <c r="B830" s="37" t="n">
        <f aca="false">1+IF($G$6=$E$6,$F$6,IF(P830&lt;($F$6-$E$6)/($G$6-$E$6),$E$6+SQRT(P830*($G$6-$E$6)*($F$6-$E$6)),$G$6-SQRT((1-P830)*($G$6-$E$6)*($G$6-$F$6))))</f>
        <v>1</v>
      </c>
      <c r="C830" s="37" t="n">
        <f aca="false">1+IF($G$7=$E$7,$F$7,IF(Q830&lt;($F$7-$E$7)/($G$7-$E$7),$E$7+SQRT(Q830*($G$7-$E$7)*($F$7-$E$7)),$G$7-SQRT((1-Q830)*($G$7-$E$7)*($G$7-$F$7))))</f>
        <v>1</v>
      </c>
      <c r="D830" s="37" t="n">
        <f aca="false">1+IF($G$8=$E$8,$F$8,IF(R830&lt;($F$8-$E$8)/($G$8-$E$8),$E$8+SQRT(R830*($G$8-$E$8)*($F$8-$E$8)),$G$8-SQRT((1-R830)*($G$8-$E$8)*($G$8-$F$8))))</f>
        <v>1</v>
      </c>
      <c r="E830" s="37" t="n">
        <f aca="false">1+IF($G$9=$E$9,$F$9,IF(S830&lt;($F$9-$E$9)/($G$9-$E$9),$E$9+SQRT(S830*($G$9-$E$9)*($F$9-$E$9)),$G$9-SQRT((1-S830)*($G$9-$E$9)*($G$9-$F$9))))</f>
        <v>1</v>
      </c>
      <c r="F830" s="37" t="n">
        <f aca="false">1+IF($G$10=$E$10,$F$10,IF(T830&lt;($F$10-$E$10)/($G$10-$E$10),$E$10+SQRT(T830*($G$10-$E$10)*($F$10-$E$10)),$G$10-SQRT((1-T830)*($G$10-$E$10)*($G$10-$F$10))))</f>
        <v>1</v>
      </c>
      <c r="G830" s="38" t="n">
        <f aca="false">IF($G$11=$E$11,$F$11,IF(U830&lt;($F$11-$E$11)/($G$11-$E$11),$E$11+SQRT(U830*($G$11-$E$11)*($F$11-$E$11)),$G$11-SQRT((1-U830)*($G$11-$E$11)*($G$11-$F$11))))</f>
        <v>0</v>
      </c>
      <c r="H830" s="39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0</v>
      </c>
      <c r="I830" s="39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0</v>
      </c>
      <c r="J830" s="39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0</v>
      </c>
      <c r="K830" s="39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0</v>
      </c>
      <c r="L830" s="39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0</v>
      </c>
      <c r="M830" s="39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0</v>
      </c>
      <c r="N830" s="39" t="str">
        <f aca="false">IF(COUNT('Business Case'!B11:G11)=0,"",H830+NPV(G830,I830:M830))</f>
        <v/>
      </c>
      <c r="P830" s="40" t="n">
        <f aca="true">RAND()</f>
        <v>0.442760963538253</v>
      </c>
      <c r="Q830" s="40" t="n">
        <f aca="true">RAND()</f>
        <v>0.987816541895074</v>
      </c>
      <c r="R830" s="40" t="n">
        <f aca="true">RAND()</f>
        <v>0.308246100811852</v>
      </c>
      <c r="S830" s="40" t="n">
        <f aca="true">RAND()</f>
        <v>0.181090613334047</v>
      </c>
      <c r="T830" s="40" t="n">
        <f aca="true">RAND()</f>
        <v>0.747666319640157</v>
      </c>
      <c r="U830" s="40" t="n">
        <f aca="true">RAND()</f>
        <v>0.178273757293326</v>
      </c>
    </row>
    <row r="831" customFormat="false" ht="15" hidden="false" customHeight="false" outlineLevel="0" collapsed="false">
      <c r="A831" s="36" t="n">
        <v>751</v>
      </c>
      <c r="B831" s="37" t="n">
        <f aca="false">1+IF($G$6=$E$6,$F$6,IF(P831&lt;($F$6-$E$6)/($G$6-$E$6),$E$6+SQRT(P831*($G$6-$E$6)*($F$6-$E$6)),$G$6-SQRT((1-P831)*($G$6-$E$6)*($G$6-$F$6))))</f>
        <v>1</v>
      </c>
      <c r="C831" s="37" t="n">
        <f aca="false">1+IF($G$7=$E$7,$F$7,IF(Q831&lt;($F$7-$E$7)/($G$7-$E$7),$E$7+SQRT(Q831*($G$7-$E$7)*($F$7-$E$7)),$G$7-SQRT((1-Q831)*($G$7-$E$7)*($G$7-$F$7))))</f>
        <v>1</v>
      </c>
      <c r="D831" s="37" t="n">
        <f aca="false">1+IF($G$8=$E$8,$F$8,IF(R831&lt;($F$8-$E$8)/($G$8-$E$8),$E$8+SQRT(R831*($G$8-$E$8)*($F$8-$E$8)),$G$8-SQRT((1-R831)*($G$8-$E$8)*($G$8-$F$8))))</f>
        <v>1</v>
      </c>
      <c r="E831" s="37" t="n">
        <f aca="false">1+IF($G$9=$E$9,$F$9,IF(S831&lt;($F$9-$E$9)/($G$9-$E$9),$E$9+SQRT(S831*($G$9-$E$9)*($F$9-$E$9)),$G$9-SQRT((1-S831)*($G$9-$E$9)*($G$9-$F$9))))</f>
        <v>1</v>
      </c>
      <c r="F831" s="37" t="n">
        <f aca="false">1+IF($G$10=$E$10,$F$10,IF(T831&lt;($F$10-$E$10)/($G$10-$E$10),$E$10+SQRT(T831*($G$10-$E$10)*($F$10-$E$10)),$G$10-SQRT((1-T831)*($G$10-$E$10)*($G$10-$F$10))))</f>
        <v>1</v>
      </c>
      <c r="G831" s="38" t="n">
        <f aca="false">IF($G$11=$E$11,$F$11,IF(U831&lt;($F$11-$E$11)/($G$11-$E$11),$E$11+SQRT(U831*($G$11-$E$11)*($F$11-$E$11)),$G$11-SQRT((1-U831)*($G$11-$E$11)*($G$11-$F$11))))</f>
        <v>0</v>
      </c>
      <c r="H831" s="39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0</v>
      </c>
      <c r="I831" s="39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0</v>
      </c>
      <c r="J831" s="39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0</v>
      </c>
      <c r="K831" s="39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0</v>
      </c>
      <c r="L831" s="39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0</v>
      </c>
      <c r="M831" s="39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0</v>
      </c>
      <c r="N831" s="39" t="str">
        <f aca="false">IF(COUNT('Business Case'!B11:G11)=0,"",H831+NPV(G831,I831:M831))</f>
        <v/>
      </c>
      <c r="P831" s="40" t="n">
        <f aca="true">RAND()</f>
        <v>0.0200541592350783</v>
      </c>
      <c r="Q831" s="40" t="n">
        <f aca="true">RAND()</f>
        <v>0.380746056657438</v>
      </c>
      <c r="R831" s="40" t="n">
        <f aca="true">RAND()</f>
        <v>0.372238672714376</v>
      </c>
      <c r="S831" s="40" t="n">
        <f aca="true">RAND()</f>
        <v>0.773147500365948</v>
      </c>
      <c r="T831" s="40" t="n">
        <f aca="true">RAND()</f>
        <v>0.986559854041559</v>
      </c>
      <c r="U831" s="40" t="n">
        <f aca="true">RAND()</f>
        <v>0.932107667517711</v>
      </c>
    </row>
    <row r="832" customFormat="false" ht="15" hidden="false" customHeight="false" outlineLevel="0" collapsed="false">
      <c r="A832" s="36" t="n">
        <v>752</v>
      </c>
      <c r="B832" s="37" t="n">
        <f aca="false">1+IF($G$6=$E$6,$F$6,IF(P832&lt;($F$6-$E$6)/($G$6-$E$6),$E$6+SQRT(P832*($G$6-$E$6)*($F$6-$E$6)),$G$6-SQRT((1-P832)*($G$6-$E$6)*($G$6-$F$6))))</f>
        <v>1</v>
      </c>
      <c r="C832" s="37" t="n">
        <f aca="false">1+IF($G$7=$E$7,$F$7,IF(Q832&lt;($F$7-$E$7)/($G$7-$E$7),$E$7+SQRT(Q832*($G$7-$E$7)*($F$7-$E$7)),$G$7-SQRT((1-Q832)*($G$7-$E$7)*($G$7-$F$7))))</f>
        <v>1</v>
      </c>
      <c r="D832" s="37" t="n">
        <f aca="false">1+IF($G$8=$E$8,$F$8,IF(R832&lt;($F$8-$E$8)/($G$8-$E$8),$E$8+SQRT(R832*($G$8-$E$8)*($F$8-$E$8)),$G$8-SQRT((1-R832)*($G$8-$E$8)*($G$8-$F$8))))</f>
        <v>1</v>
      </c>
      <c r="E832" s="37" t="n">
        <f aca="false">1+IF($G$9=$E$9,$F$9,IF(S832&lt;($F$9-$E$9)/($G$9-$E$9),$E$9+SQRT(S832*($G$9-$E$9)*($F$9-$E$9)),$G$9-SQRT((1-S832)*($G$9-$E$9)*($G$9-$F$9))))</f>
        <v>1</v>
      </c>
      <c r="F832" s="37" t="n">
        <f aca="false">1+IF($G$10=$E$10,$F$10,IF(T832&lt;($F$10-$E$10)/($G$10-$E$10),$E$10+SQRT(T832*($G$10-$E$10)*($F$10-$E$10)),$G$10-SQRT((1-T832)*($G$10-$E$10)*($G$10-$F$10))))</f>
        <v>1</v>
      </c>
      <c r="G832" s="38" t="n">
        <f aca="false">IF($G$11=$E$11,$F$11,IF(U832&lt;($F$11-$E$11)/($G$11-$E$11),$E$11+SQRT(U832*($G$11-$E$11)*($F$11-$E$11)),$G$11-SQRT((1-U832)*($G$11-$E$11)*($G$11-$F$11))))</f>
        <v>0</v>
      </c>
      <c r="H832" s="39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0</v>
      </c>
      <c r="I832" s="39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0</v>
      </c>
      <c r="J832" s="39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0</v>
      </c>
      <c r="K832" s="39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0</v>
      </c>
      <c r="L832" s="39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0</v>
      </c>
      <c r="M832" s="39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0</v>
      </c>
      <c r="N832" s="39" t="str">
        <f aca="false">IF(COUNT('Business Case'!B11:G11)=0,"",H832+NPV(G832,I832:M832))</f>
        <v/>
      </c>
      <c r="P832" s="40" t="n">
        <f aca="true">RAND()</f>
        <v>0.0115945362328488</v>
      </c>
      <c r="Q832" s="40" t="n">
        <f aca="true">RAND()</f>
        <v>0.291542312770427</v>
      </c>
      <c r="R832" s="40" t="n">
        <f aca="true">RAND()</f>
        <v>0.848327517906697</v>
      </c>
      <c r="S832" s="40" t="n">
        <f aca="true">RAND()</f>
        <v>0.65947324544158</v>
      </c>
      <c r="T832" s="40" t="n">
        <f aca="true">RAND()</f>
        <v>0.242493576136558</v>
      </c>
      <c r="U832" s="40" t="n">
        <f aca="true">RAND()</f>
        <v>0.048068589469064</v>
      </c>
    </row>
    <row r="833" customFormat="false" ht="15" hidden="false" customHeight="false" outlineLevel="0" collapsed="false">
      <c r="A833" s="36" t="n">
        <v>753</v>
      </c>
      <c r="B833" s="37" t="n">
        <f aca="false">1+IF($G$6=$E$6,$F$6,IF(P833&lt;($F$6-$E$6)/($G$6-$E$6),$E$6+SQRT(P833*($G$6-$E$6)*($F$6-$E$6)),$G$6-SQRT((1-P833)*($G$6-$E$6)*($G$6-$F$6))))</f>
        <v>1</v>
      </c>
      <c r="C833" s="37" t="n">
        <f aca="false">1+IF($G$7=$E$7,$F$7,IF(Q833&lt;($F$7-$E$7)/($G$7-$E$7),$E$7+SQRT(Q833*($G$7-$E$7)*($F$7-$E$7)),$G$7-SQRT((1-Q833)*($G$7-$E$7)*($G$7-$F$7))))</f>
        <v>1</v>
      </c>
      <c r="D833" s="37" t="n">
        <f aca="false">1+IF($G$8=$E$8,$F$8,IF(R833&lt;($F$8-$E$8)/($G$8-$E$8),$E$8+SQRT(R833*($G$8-$E$8)*($F$8-$E$8)),$G$8-SQRT((1-R833)*($G$8-$E$8)*($G$8-$F$8))))</f>
        <v>1</v>
      </c>
      <c r="E833" s="37" t="n">
        <f aca="false">1+IF($G$9=$E$9,$F$9,IF(S833&lt;($F$9-$E$9)/($G$9-$E$9),$E$9+SQRT(S833*($G$9-$E$9)*($F$9-$E$9)),$G$9-SQRT((1-S833)*($G$9-$E$9)*($G$9-$F$9))))</f>
        <v>1</v>
      </c>
      <c r="F833" s="37" t="n">
        <f aca="false">1+IF($G$10=$E$10,$F$10,IF(T833&lt;($F$10-$E$10)/($G$10-$E$10),$E$10+SQRT(T833*($G$10-$E$10)*($F$10-$E$10)),$G$10-SQRT((1-T833)*($G$10-$E$10)*($G$10-$F$10))))</f>
        <v>1</v>
      </c>
      <c r="G833" s="38" t="n">
        <f aca="false">IF($G$11=$E$11,$F$11,IF(U833&lt;($F$11-$E$11)/($G$11-$E$11),$E$11+SQRT(U833*($G$11-$E$11)*($F$11-$E$11)),$G$11-SQRT((1-U833)*($G$11-$E$11)*($G$11-$F$11))))</f>
        <v>0</v>
      </c>
      <c r="H833" s="39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0</v>
      </c>
      <c r="I833" s="39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0</v>
      </c>
      <c r="J833" s="39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0</v>
      </c>
      <c r="K833" s="39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0</v>
      </c>
      <c r="L833" s="39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0</v>
      </c>
      <c r="M833" s="39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0</v>
      </c>
      <c r="N833" s="39" t="str">
        <f aca="false">IF(COUNT('Business Case'!B11:G11)=0,"",H833+NPV(G833,I833:M833))</f>
        <v/>
      </c>
      <c r="P833" s="40" t="n">
        <f aca="true">RAND()</f>
        <v>0.59765779306174</v>
      </c>
      <c r="Q833" s="40" t="n">
        <f aca="true">RAND()</f>
        <v>0.117134876233563</v>
      </c>
      <c r="R833" s="40" t="n">
        <f aca="true">RAND()</f>
        <v>0.980021229133369</v>
      </c>
      <c r="S833" s="40" t="n">
        <f aca="true">RAND()</f>
        <v>0.289141180531812</v>
      </c>
      <c r="T833" s="40" t="n">
        <f aca="true">RAND()</f>
        <v>0.588923893642012</v>
      </c>
      <c r="U833" s="40" t="n">
        <f aca="true">RAND()</f>
        <v>0.809659821956453</v>
      </c>
    </row>
    <row r="834" customFormat="false" ht="15" hidden="false" customHeight="false" outlineLevel="0" collapsed="false">
      <c r="A834" s="36" t="n">
        <v>754</v>
      </c>
      <c r="B834" s="37" t="n">
        <f aca="false">1+IF($G$6=$E$6,$F$6,IF(P834&lt;($F$6-$E$6)/($G$6-$E$6),$E$6+SQRT(P834*($G$6-$E$6)*($F$6-$E$6)),$G$6-SQRT((1-P834)*($G$6-$E$6)*($G$6-$F$6))))</f>
        <v>1</v>
      </c>
      <c r="C834" s="37" t="n">
        <f aca="false">1+IF($G$7=$E$7,$F$7,IF(Q834&lt;($F$7-$E$7)/($G$7-$E$7),$E$7+SQRT(Q834*($G$7-$E$7)*($F$7-$E$7)),$G$7-SQRT((1-Q834)*($G$7-$E$7)*($G$7-$F$7))))</f>
        <v>1</v>
      </c>
      <c r="D834" s="37" t="n">
        <f aca="false">1+IF($G$8=$E$8,$F$8,IF(R834&lt;($F$8-$E$8)/($G$8-$E$8),$E$8+SQRT(R834*($G$8-$E$8)*($F$8-$E$8)),$G$8-SQRT((1-R834)*($G$8-$E$8)*($G$8-$F$8))))</f>
        <v>1</v>
      </c>
      <c r="E834" s="37" t="n">
        <f aca="false">1+IF($G$9=$E$9,$F$9,IF(S834&lt;($F$9-$E$9)/($G$9-$E$9),$E$9+SQRT(S834*($G$9-$E$9)*($F$9-$E$9)),$G$9-SQRT((1-S834)*($G$9-$E$9)*($G$9-$F$9))))</f>
        <v>1</v>
      </c>
      <c r="F834" s="37" t="n">
        <f aca="false">1+IF($G$10=$E$10,$F$10,IF(T834&lt;($F$10-$E$10)/($G$10-$E$10),$E$10+SQRT(T834*($G$10-$E$10)*($F$10-$E$10)),$G$10-SQRT((1-T834)*($G$10-$E$10)*($G$10-$F$10))))</f>
        <v>1</v>
      </c>
      <c r="G834" s="38" t="n">
        <f aca="false">IF($G$11=$E$11,$F$11,IF(U834&lt;($F$11-$E$11)/($G$11-$E$11),$E$11+SQRT(U834*($G$11-$E$11)*($F$11-$E$11)),$G$11-SQRT((1-U834)*($G$11-$E$11)*($G$11-$F$11))))</f>
        <v>0</v>
      </c>
      <c r="H834" s="39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0</v>
      </c>
      <c r="I834" s="39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0</v>
      </c>
      <c r="J834" s="39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0</v>
      </c>
      <c r="K834" s="39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0</v>
      </c>
      <c r="L834" s="39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0</v>
      </c>
      <c r="M834" s="39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0</v>
      </c>
      <c r="N834" s="39" t="str">
        <f aca="false">IF(COUNT('Business Case'!B11:G11)=0,"",H834+NPV(G834,I834:M834))</f>
        <v/>
      </c>
      <c r="P834" s="40" t="n">
        <f aca="true">RAND()</f>
        <v>0.664139789699454</v>
      </c>
      <c r="Q834" s="40" t="n">
        <f aca="true">RAND()</f>
        <v>0.306017982195534</v>
      </c>
      <c r="R834" s="40" t="n">
        <f aca="true">RAND()</f>
        <v>0.279821279034788</v>
      </c>
      <c r="S834" s="40" t="n">
        <f aca="true">RAND()</f>
        <v>0.221275296259747</v>
      </c>
      <c r="T834" s="40" t="n">
        <f aca="true">RAND()</f>
        <v>0.946658039339224</v>
      </c>
      <c r="U834" s="40" t="n">
        <f aca="true">RAND()</f>
        <v>0.662584571277151</v>
      </c>
    </row>
    <row r="835" customFormat="false" ht="15" hidden="false" customHeight="false" outlineLevel="0" collapsed="false">
      <c r="A835" s="36" t="n">
        <v>755</v>
      </c>
      <c r="B835" s="37" t="n">
        <f aca="false">1+IF($G$6=$E$6,$F$6,IF(P835&lt;($F$6-$E$6)/($G$6-$E$6),$E$6+SQRT(P835*($G$6-$E$6)*($F$6-$E$6)),$G$6-SQRT((1-P835)*($G$6-$E$6)*($G$6-$F$6))))</f>
        <v>1</v>
      </c>
      <c r="C835" s="37" t="n">
        <f aca="false">1+IF($G$7=$E$7,$F$7,IF(Q835&lt;($F$7-$E$7)/($G$7-$E$7),$E$7+SQRT(Q835*($G$7-$E$7)*($F$7-$E$7)),$G$7-SQRT((1-Q835)*($G$7-$E$7)*($G$7-$F$7))))</f>
        <v>1</v>
      </c>
      <c r="D835" s="37" t="n">
        <f aca="false">1+IF($G$8=$E$8,$F$8,IF(R835&lt;($F$8-$E$8)/($G$8-$E$8),$E$8+SQRT(R835*($G$8-$E$8)*($F$8-$E$8)),$G$8-SQRT((1-R835)*($G$8-$E$8)*($G$8-$F$8))))</f>
        <v>1</v>
      </c>
      <c r="E835" s="37" t="n">
        <f aca="false">1+IF($G$9=$E$9,$F$9,IF(S835&lt;($F$9-$E$9)/($G$9-$E$9),$E$9+SQRT(S835*($G$9-$E$9)*($F$9-$E$9)),$G$9-SQRT((1-S835)*($G$9-$E$9)*($G$9-$F$9))))</f>
        <v>1</v>
      </c>
      <c r="F835" s="37" t="n">
        <f aca="false">1+IF($G$10=$E$10,$F$10,IF(T835&lt;($F$10-$E$10)/($G$10-$E$10),$E$10+SQRT(T835*($G$10-$E$10)*($F$10-$E$10)),$G$10-SQRT((1-T835)*($G$10-$E$10)*($G$10-$F$10))))</f>
        <v>1</v>
      </c>
      <c r="G835" s="38" t="n">
        <f aca="false">IF($G$11=$E$11,$F$11,IF(U835&lt;($F$11-$E$11)/($G$11-$E$11),$E$11+SQRT(U835*($G$11-$E$11)*($F$11-$E$11)),$G$11-SQRT((1-U835)*($G$11-$E$11)*($G$11-$F$11))))</f>
        <v>0</v>
      </c>
      <c r="H835" s="39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0</v>
      </c>
      <c r="I835" s="39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0</v>
      </c>
      <c r="J835" s="39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0</v>
      </c>
      <c r="K835" s="39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0</v>
      </c>
      <c r="L835" s="39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0</v>
      </c>
      <c r="M835" s="39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0</v>
      </c>
      <c r="N835" s="39" t="str">
        <f aca="false">IF(COUNT('Business Case'!B11:G11)=0,"",H835+NPV(G835,I835:M835))</f>
        <v/>
      </c>
      <c r="P835" s="40" t="n">
        <f aca="true">RAND()</f>
        <v>0.300580311472723</v>
      </c>
      <c r="Q835" s="40" t="n">
        <f aca="true">RAND()</f>
        <v>0.306460034046057</v>
      </c>
      <c r="R835" s="40" t="n">
        <f aca="true">RAND()</f>
        <v>0.944227630378216</v>
      </c>
      <c r="S835" s="40" t="n">
        <f aca="true">RAND()</f>
        <v>0.409540240619591</v>
      </c>
      <c r="T835" s="40" t="n">
        <f aca="true">RAND()</f>
        <v>0.619667829519936</v>
      </c>
      <c r="U835" s="40" t="n">
        <f aca="true">RAND()</f>
        <v>0.485633918044887</v>
      </c>
    </row>
    <row r="836" customFormat="false" ht="15" hidden="false" customHeight="false" outlineLevel="0" collapsed="false">
      <c r="A836" s="36" t="n">
        <v>756</v>
      </c>
      <c r="B836" s="37" t="n">
        <f aca="false">1+IF($G$6=$E$6,$F$6,IF(P836&lt;($F$6-$E$6)/($G$6-$E$6),$E$6+SQRT(P836*($G$6-$E$6)*($F$6-$E$6)),$G$6-SQRT((1-P836)*($G$6-$E$6)*($G$6-$F$6))))</f>
        <v>1</v>
      </c>
      <c r="C836" s="37" t="n">
        <f aca="false">1+IF($G$7=$E$7,$F$7,IF(Q836&lt;($F$7-$E$7)/($G$7-$E$7),$E$7+SQRT(Q836*($G$7-$E$7)*($F$7-$E$7)),$G$7-SQRT((1-Q836)*($G$7-$E$7)*($G$7-$F$7))))</f>
        <v>1</v>
      </c>
      <c r="D836" s="37" t="n">
        <f aca="false">1+IF($G$8=$E$8,$F$8,IF(R836&lt;($F$8-$E$8)/($G$8-$E$8),$E$8+SQRT(R836*($G$8-$E$8)*($F$8-$E$8)),$G$8-SQRT((1-R836)*($G$8-$E$8)*($G$8-$F$8))))</f>
        <v>1</v>
      </c>
      <c r="E836" s="37" t="n">
        <f aca="false">1+IF($G$9=$E$9,$F$9,IF(S836&lt;($F$9-$E$9)/($G$9-$E$9),$E$9+SQRT(S836*($G$9-$E$9)*($F$9-$E$9)),$G$9-SQRT((1-S836)*($G$9-$E$9)*($G$9-$F$9))))</f>
        <v>1</v>
      </c>
      <c r="F836" s="37" t="n">
        <f aca="false">1+IF($G$10=$E$10,$F$10,IF(T836&lt;($F$10-$E$10)/($G$10-$E$10),$E$10+SQRT(T836*($G$10-$E$10)*($F$10-$E$10)),$G$10-SQRT((1-T836)*($G$10-$E$10)*($G$10-$F$10))))</f>
        <v>1</v>
      </c>
      <c r="G836" s="38" t="n">
        <f aca="false">IF($G$11=$E$11,$F$11,IF(U836&lt;($F$11-$E$11)/($G$11-$E$11),$E$11+SQRT(U836*($G$11-$E$11)*($F$11-$E$11)),$G$11-SQRT((1-U836)*($G$11-$E$11)*($G$11-$F$11))))</f>
        <v>0</v>
      </c>
      <c r="H836" s="39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0</v>
      </c>
      <c r="I836" s="39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0</v>
      </c>
      <c r="J836" s="39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0</v>
      </c>
      <c r="K836" s="39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0</v>
      </c>
      <c r="L836" s="39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0</v>
      </c>
      <c r="M836" s="39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0</v>
      </c>
      <c r="N836" s="39" t="str">
        <f aca="false">IF(COUNT('Business Case'!B11:G11)=0,"",H836+NPV(G836,I836:M836))</f>
        <v/>
      </c>
      <c r="P836" s="40" t="n">
        <f aca="true">RAND()</f>
        <v>0.343155979935438</v>
      </c>
      <c r="Q836" s="40" t="n">
        <f aca="true">RAND()</f>
        <v>0.204323804335341</v>
      </c>
      <c r="R836" s="40" t="n">
        <f aca="true">RAND()</f>
        <v>0.676032259764929</v>
      </c>
      <c r="S836" s="40" t="n">
        <f aca="true">RAND()</f>
        <v>0.179594006654926</v>
      </c>
      <c r="T836" s="40" t="n">
        <f aca="true">RAND()</f>
        <v>0.481219106954402</v>
      </c>
      <c r="U836" s="40" t="n">
        <f aca="true">RAND()</f>
        <v>0.223165201630243</v>
      </c>
    </row>
    <row r="837" customFormat="false" ht="15" hidden="false" customHeight="false" outlineLevel="0" collapsed="false">
      <c r="A837" s="36" t="n">
        <v>757</v>
      </c>
      <c r="B837" s="37" t="n">
        <f aca="false">1+IF($G$6=$E$6,$F$6,IF(P837&lt;($F$6-$E$6)/($G$6-$E$6),$E$6+SQRT(P837*($G$6-$E$6)*($F$6-$E$6)),$G$6-SQRT((1-P837)*($G$6-$E$6)*($G$6-$F$6))))</f>
        <v>1</v>
      </c>
      <c r="C837" s="37" t="n">
        <f aca="false">1+IF($G$7=$E$7,$F$7,IF(Q837&lt;($F$7-$E$7)/($G$7-$E$7),$E$7+SQRT(Q837*($G$7-$E$7)*($F$7-$E$7)),$G$7-SQRT((1-Q837)*($G$7-$E$7)*($G$7-$F$7))))</f>
        <v>1</v>
      </c>
      <c r="D837" s="37" t="n">
        <f aca="false">1+IF($G$8=$E$8,$F$8,IF(R837&lt;($F$8-$E$8)/($G$8-$E$8),$E$8+SQRT(R837*($G$8-$E$8)*($F$8-$E$8)),$G$8-SQRT((1-R837)*($G$8-$E$8)*($G$8-$F$8))))</f>
        <v>1</v>
      </c>
      <c r="E837" s="37" t="n">
        <f aca="false">1+IF($G$9=$E$9,$F$9,IF(S837&lt;($F$9-$E$9)/($G$9-$E$9),$E$9+SQRT(S837*($G$9-$E$9)*($F$9-$E$9)),$G$9-SQRT((1-S837)*($G$9-$E$9)*($G$9-$F$9))))</f>
        <v>1</v>
      </c>
      <c r="F837" s="37" t="n">
        <f aca="false">1+IF($G$10=$E$10,$F$10,IF(T837&lt;($F$10-$E$10)/($G$10-$E$10),$E$10+SQRT(T837*($G$10-$E$10)*($F$10-$E$10)),$G$10-SQRT((1-T837)*($G$10-$E$10)*($G$10-$F$10))))</f>
        <v>1</v>
      </c>
      <c r="G837" s="38" t="n">
        <f aca="false">IF($G$11=$E$11,$F$11,IF(U837&lt;($F$11-$E$11)/($G$11-$E$11),$E$11+SQRT(U837*($G$11-$E$11)*($F$11-$E$11)),$G$11-SQRT((1-U837)*($G$11-$E$11)*($G$11-$F$11))))</f>
        <v>0</v>
      </c>
      <c r="H837" s="39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0</v>
      </c>
      <c r="I837" s="39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0</v>
      </c>
      <c r="J837" s="39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0</v>
      </c>
      <c r="K837" s="39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0</v>
      </c>
      <c r="L837" s="39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0</v>
      </c>
      <c r="M837" s="39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0</v>
      </c>
      <c r="N837" s="39" t="str">
        <f aca="false">IF(COUNT('Business Case'!B11:G11)=0,"",H837+NPV(G837,I837:M837))</f>
        <v/>
      </c>
      <c r="P837" s="40" t="n">
        <f aca="true">RAND()</f>
        <v>0.338502757316727</v>
      </c>
      <c r="Q837" s="40" t="n">
        <f aca="true">RAND()</f>
        <v>0.57024101310008</v>
      </c>
      <c r="R837" s="40" t="n">
        <f aca="true">RAND()</f>
        <v>0.262797212169346</v>
      </c>
      <c r="S837" s="40" t="n">
        <f aca="true">RAND()</f>
        <v>0.554704317777682</v>
      </c>
      <c r="T837" s="40" t="n">
        <f aca="true">RAND()</f>
        <v>0.273419777468789</v>
      </c>
      <c r="U837" s="40" t="n">
        <f aca="true">RAND()</f>
        <v>0.471407167467463</v>
      </c>
    </row>
    <row r="838" customFormat="false" ht="15" hidden="false" customHeight="false" outlineLevel="0" collapsed="false">
      <c r="A838" s="36" t="n">
        <v>758</v>
      </c>
      <c r="B838" s="37" t="n">
        <f aca="false">1+IF($G$6=$E$6,$F$6,IF(P838&lt;($F$6-$E$6)/($G$6-$E$6),$E$6+SQRT(P838*($G$6-$E$6)*($F$6-$E$6)),$G$6-SQRT((1-P838)*($G$6-$E$6)*($G$6-$F$6))))</f>
        <v>1</v>
      </c>
      <c r="C838" s="37" t="n">
        <f aca="false">1+IF($G$7=$E$7,$F$7,IF(Q838&lt;($F$7-$E$7)/($G$7-$E$7),$E$7+SQRT(Q838*($G$7-$E$7)*($F$7-$E$7)),$G$7-SQRT((1-Q838)*($G$7-$E$7)*($G$7-$F$7))))</f>
        <v>1</v>
      </c>
      <c r="D838" s="37" t="n">
        <f aca="false">1+IF($G$8=$E$8,$F$8,IF(R838&lt;($F$8-$E$8)/($G$8-$E$8),$E$8+SQRT(R838*($G$8-$E$8)*($F$8-$E$8)),$G$8-SQRT((1-R838)*($G$8-$E$8)*($G$8-$F$8))))</f>
        <v>1</v>
      </c>
      <c r="E838" s="37" t="n">
        <f aca="false">1+IF($G$9=$E$9,$F$9,IF(S838&lt;($F$9-$E$9)/($G$9-$E$9),$E$9+SQRT(S838*($G$9-$E$9)*($F$9-$E$9)),$G$9-SQRT((1-S838)*($G$9-$E$9)*($G$9-$F$9))))</f>
        <v>1</v>
      </c>
      <c r="F838" s="37" t="n">
        <f aca="false">1+IF($G$10=$E$10,$F$10,IF(T838&lt;($F$10-$E$10)/($G$10-$E$10),$E$10+SQRT(T838*($G$10-$E$10)*($F$10-$E$10)),$G$10-SQRT((1-T838)*($G$10-$E$10)*($G$10-$F$10))))</f>
        <v>1</v>
      </c>
      <c r="G838" s="38" t="n">
        <f aca="false">IF($G$11=$E$11,$F$11,IF(U838&lt;($F$11-$E$11)/($G$11-$E$11),$E$11+SQRT(U838*($G$11-$E$11)*($F$11-$E$11)),$G$11-SQRT((1-U838)*($G$11-$E$11)*($G$11-$F$11))))</f>
        <v>0</v>
      </c>
      <c r="H838" s="39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0</v>
      </c>
      <c r="I838" s="39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0</v>
      </c>
      <c r="J838" s="39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0</v>
      </c>
      <c r="K838" s="39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0</v>
      </c>
      <c r="L838" s="39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0</v>
      </c>
      <c r="M838" s="39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0</v>
      </c>
      <c r="N838" s="39" t="str">
        <f aca="false">IF(COUNT('Business Case'!B11:G11)=0,"",H838+NPV(G838,I838:M838))</f>
        <v/>
      </c>
      <c r="P838" s="40" t="n">
        <f aca="true">RAND()</f>
        <v>0.199189881830009</v>
      </c>
      <c r="Q838" s="40" t="n">
        <f aca="true">RAND()</f>
        <v>0.808498859235599</v>
      </c>
      <c r="R838" s="40" t="n">
        <f aca="true">RAND()</f>
        <v>0.709333079699089</v>
      </c>
      <c r="S838" s="40" t="n">
        <f aca="true">RAND()</f>
        <v>0.361868222546287</v>
      </c>
      <c r="T838" s="40" t="n">
        <f aca="true">RAND()</f>
        <v>0.965017525191912</v>
      </c>
      <c r="U838" s="40" t="n">
        <f aca="true">RAND()</f>
        <v>0.959108791637163</v>
      </c>
    </row>
    <row r="839" customFormat="false" ht="15" hidden="false" customHeight="false" outlineLevel="0" collapsed="false">
      <c r="A839" s="36" t="n">
        <v>759</v>
      </c>
      <c r="B839" s="37" t="n">
        <f aca="false">1+IF($G$6=$E$6,$F$6,IF(P839&lt;($F$6-$E$6)/($G$6-$E$6),$E$6+SQRT(P839*($G$6-$E$6)*($F$6-$E$6)),$G$6-SQRT((1-P839)*($G$6-$E$6)*($G$6-$F$6))))</f>
        <v>1</v>
      </c>
      <c r="C839" s="37" t="n">
        <f aca="false">1+IF($G$7=$E$7,$F$7,IF(Q839&lt;($F$7-$E$7)/($G$7-$E$7),$E$7+SQRT(Q839*($G$7-$E$7)*($F$7-$E$7)),$G$7-SQRT((1-Q839)*($G$7-$E$7)*($G$7-$F$7))))</f>
        <v>1</v>
      </c>
      <c r="D839" s="37" t="n">
        <f aca="false">1+IF($G$8=$E$8,$F$8,IF(R839&lt;($F$8-$E$8)/($G$8-$E$8),$E$8+SQRT(R839*($G$8-$E$8)*($F$8-$E$8)),$G$8-SQRT((1-R839)*($G$8-$E$8)*($G$8-$F$8))))</f>
        <v>1</v>
      </c>
      <c r="E839" s="37" t="n">
        <f aca="false">1+IF($G$9=$E$9,$F$9,IF(S839&lt;($F$9-$E$9)/($G$9-$E$9),$E$9+SQRT(S839*($G$9-$E$9)*($F$9-$E$9)),$G$9-SQRT((1-S839)*($G$9-$E$9)*($G$9-$F$9))))</f>
        <v>1</v>
      </c>
      <c r="F839" s="37" t="n">
        <f aca="false">1+IF($G$10=$E$10,$F$10,IF(T839&lt;($F$10-$E$10)/($G$10-$E$10),$E$10+SQRT(T839*($G$10-$E$10)*($F$10-$E$10)),$G$10-SQRT((1-T839)*($G$10-$E$10)*($G$10-$F$10))))</f>
        <v>1</v>
      </c>
      <c r="G839" s="38" t="n">
        <f aca="false">IF($G$11=$E$11,$F$11,IF(U839&lt;($F$11-$E$11)/($G$11-$E$11),$E$11+SQRT(U839*($G$11-$E$11)*($F$11-$E$11)),$G$11-SQRT((1-U839)*($G$11-$E$11)*($G$11-$F$11))))</f>
        <v>0</v>
      </c>
      <c r="H839" s="39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0</v>
      </c>
      <c r="I839" s="39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0</v>
      </c>
      <c r="J839" s="39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0</v>
      </c>
      <c r="K839" s="39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0</v>
      </c>
      <c r="L839" s="39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0</v>
      </c>
      <c r="M839" s="39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0</v>
      </c>
      <c r="N839" s="39" t="str">
        <f aca="false">IF(COUNT('Business Case'!B11:G11)=0,"",H839+NPV(G839,I839:M839))</f>
        <v/>
      </c>
      <c r="P839" s="40" t="n">
        <f aca="true">RAND()</f>
        <v>0.693121483332945</v>
      </c>
      <c r="Q839" s="40" t="n">
        <f aca="true">RAND()</f>
        <v>0.145208799399413</v>
      </c>
      <c r="R839" s="40" t="n">
        <f aca="true">RAND()</f>
        <v>0.819648361274453</v>
      </c>
      <c r="S839" s="40" t="n">
        <f aca="true">RAND()</f>
        <v>0.373428110119169</v>
      </c>
      <c r="T839" s="40" t="n">
        <f aca="true">RAND()</f>
        <v>0.978008278123128</v>
      </c>
      <c r="U839" s="40" t="n">
        <f aca="true">RAND()</f>
        <v>0.0653818956799695</v>
      </c>
    </row>
    <row r="840" customFormat="false" ht="15" hidden="false" customHeight="false" outlineLevel="0" collapsed="false">
      <c r="A840" s="36" t="n">
        <v>760</v>
      </c>
      <c r="B840" s="37" t="n">
        <f aca="false">1+IF($G$6=$E$6,$F$6,IF(P840&lt;($F$6-$E$6)/($G$6-$E$6),$E$6+SQRT(P840*($G$6-$E$6)*($F$6-$E$6)),$G$6-SQRT((1-P840)*($G$6-$E$6)*($G$6-$F$6))))</f>
        <v>1</v>
      </c>
      <c r="C840" s="37" t="n">
        <f aca="false">1+IF($G$7=$E$7,$F$7,IF(Q840&lt;($F$7-$E$7)/($G$7-$E$7),$E$7+SQRT(Q840*($G$7-$E$7)*($F$7-$E$7)),$G$7-SQRT((1-Q840)*($G$7-$E$7)*($G$7-$F$7))))</f>
        <v>1</v>
      </c>
      <c r="D840" s="37" t="n">
        <f aca="false">1+IF($G$8=$E$8,$F$8,IF(R840&lt;($F$8-$E$8)/($G$8-$E$8),$E$8+SQRT(R840*($G$8-$E$8)*($F$8-$E$8)),$G$8-SQRT((1-R840)*($G$8-$E$8)*($G$8-$F$8))))</f>
        <v>1</v>
      </c>
      <c r="E840" s="37" t="n">
        <f aca="false">1+IF($G$9=$E$9,$F$9,IF(S840&lt;($F$9-$E$9)/($G$9-$E$9),$E$9+SQRT(S840*($G$9-$E$9)*($F$9-$E$9)),$G$9-SQRT((1-S840)*($G$9-$E$9)*($G$9-$F$9))))</f>
        <v>1</v>
      </c>
      <c r="F840" s="37" t="n">
        <f aca="false">1+IF($G$10=$E$10,$F$10,IF(T840&lt;($F$10-$E$10)/($G$10-$E$10),$E$10+SQRT(T840*($G$10-$E$10)*($F$10-$E$10)),$G$10-SQRT((1-T840)*($G$10-$E$10)*($G$10-$F$10))))</f>
        <v>1</v>
      </c>
      <c r="G840" s="38" t="n">
        <f aca="false">IF($G$11=$E$11,$F$11,IF(U840&lt;($F$11-$E$11)/($G$11-$E$11),$E$11+SQRT(U840*($G$11-$E$11)*($F$11-$E$11)),$G$11-SQRT((1-U840)*($G$11-$E$11)*($G$11-$F$11))))</f>
        <v>0</v>
      </c>
      <c r="H840" s="39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0</v>
      </c>
      <c r="I840" s="39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0</v>
      </c>
      <c r="J840" s="39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0</v>
      </c>
      <c r="K840" s="39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0</v>
      </c>
      <c r="L840" s="39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0</v>
      </c>
      <c r="M840" s="39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0</v>
      </c>
      <c r="N840" s="39" t="str">
        <f aca="false">IF(COUNT('Business Case'!B11:G11)=0,"",H840+NPV(G840,I840:M840))</f>
        <v/>
      </c>
      <c r="P840" s="40" t="n">
        <f aca="true">RAND()</f>
        <v>0.710550374961838</v>
      </c>
      <c r="Q840" s="40" t="n">
        <f aca="true">RAND()</f>
        <v>0.873306812406426</v>
      </c>
      <c r="R840" s="40" t="n">
        <f aca="true">RAND()</f>
        <v>0.83576115673428</v>
      </c>
      <c r="S840" s="40" t="n">
        <f aca="true">RAND()</f>
        <v>0.104963460841415</v>
      </c>
      <c r="T840" s="40" t="n">
        <f aca="true">RAND()</f>
        <v>0.228425325076798</v>
      </c>
      <c r="U840" s="40" t="n">
        <f aca="true">RAND()</f>
        <v>0.714666299833559</v>
      </c>
    </row>
    <row r="841" customFormat="false" ht="15" hidden="false" customHeight="false" outlineLevel="0" collapsed="false">
      <c r="A841" s="36" t="n">
        <v>761</v>
      </c>
      <c r="B841" s="37" t="n">
        <f aca="false">1+IF($G$6=$E$6,$F$6,IF(P841&lt;($F$6-$E$6)/($G$6-$E$6),$E$6+SQRT(P841*($G$6-$E$6)*($F$6-$E$6)),$G$6-SQRT((1-P841)*($G$6-$E$6)*($G$6-$F$6))))</f>
        <v>1</v>
      </c>
      <c r="C841" s="37" t="n">
        <f aca="false">1+IF($G$7=$E$7,$F$7,IF(Q841&lt;($F$7-$E$7)/($G$7-$E$7),$E$7+SQRT(Q841*($G$7-$E$7)*($F$7-$E$7)),$G$7-SQRT((1-Q841)*($G$7-$E$7)*($G$7-$F$7))))</f>
        <v>1</v>
      </c>
      <c r="D841" s="37" t="n">
        <f aca="false">1+IF($G$8=$E$8,$F$8,IF(R841&lt;($F$8-$E$8)/($G$8-$E$8),$E$8+SQRT(R841*($G$8-$E$8)*($F$8-$E$8)),$G$8-SQRT((1-R841)*($G$8-$E$8)*($G$8-$F$8))))</f>
        <v>1</v>
      </c>
      <c r="E841" s="37" t="n">
        <f aca="false">1+IF($G$9=$E$9,$F$9,IF(S841&lt;($F$9-$E$9)/($G$9-$E$9),$E$9+SQRT(S841*($G$9-$E$9)*($F$9-$E$9)),$G$9-SQRT((1-S841)*($G$9-$E$9)*($G$9-$F$9))))</f>
        <v>1</v>
      </c>
      <c r="F841" s="37" t="n">
        <f aca="false">1+IF($G$10=$E$10,$F$10,IF(T841&lt;($F$10-$E$10)/($G$10-$E$10),$E$10+SQRT(T841*($G$10-$E$10)*($F$10-$E$10)),$G$10-SQRT((1-T841)*($G$10-$E$10)*($G$10-$F$10))))</f>
        <v>1</v>
      </c>
      <c r="G841" s="38" t="n">
        <f aca="false">IF($G$11=$E$11,$F$11,IF(U841&lt;($F$11-$E$11)/($G$11-$E$11),$E$11+SQRT(U841*($G$11-$E$11)*($F$11-$E$11)),$G$11-SQRT((1-U841)*($G$11-$E$11)*($G$11-$F$11))))</f>
        <v>0</v>
      </c>
      <c r="H841" s="39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0</v>
      </c>
      <c r="I841" s="39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0</v>
      </c>
      <c r="J841" s="39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0</v>
      </c>
      <c r="K841" s="39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0</v>
      </c>
      <c r="L841" s="39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0</v>
      </c>
      <c r="M841" s="39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0</v>
      </c>
      <c r="N841" s="39" t="str">
        <f aca="false">IF(COUNT('Business Case'!B11:G11)=0,"",H841+NPV(G841,I841:M841))</f>
        <v/>
      </c>
      <c r="P841" s="40" t="n">
        <f aca="true">RAND()</f>
        <v>0.545569907750132</v>
      </c>
      <c r="Q841" s="40" t="n">
        <f aca="true">RAND()</f>
        <v>0.882194939136001</v>
      </c>
      <c r="R841" s="40" t="n">
        <f aca="true">RAND()</f>
        <v>0.102467951833087</v>
      </c>
      <c r="S841" s="40" t="n">
        <f aca="true">RAND()</f>
        <v>0.989307060737098</v>
      </c>
      <c r="T841" s="40" t="n">
        <f aca="true">RAND()</f>
        <v>0.284462884714641</v>
      </c>
      <c r="U841" s="40" t="n">
        <f aca="true">RAND()</f>
        <v>0.0436787459783989</v>
      </c>
    </row>
    <row r="842" customFormat="false" ht="15" hidden="false" customHeight="false" outlineLevel="0" collapsed="false">
      <c r="A842" s="36" t="n">
        <v>762</v>
      </c>
      <c r="B842" s="37" t="n">
        <f aca="false">1+IF($G$6=$E$6,$F$6,IF(P842&lt;($F$6-$E$6)/($G$6-$E$6),$E$6+SQRT(P842*($G$6-$E$6)*($F$6-$E$6)),$G$6-SQRT((1-P842)*($G$6-$E$6)*($G$6-$F$6))))</f>
        <v>1</v>
      </c>
      <c r="C842" s="37" t="n">
        <f aca="false">1+IF($G$7=$E$7,$F$7,IF(Q842&lt;($F$7-$E$7)/($G$7-$E$7),$E$7+SQRT(Q842*($G$7-$E$7)*($F$7-$E$7)),$G$7-SQRT((1-Q842)*($G$7-$E$7)*($G$7-$F$7))))</f>
        <v>1</v>
      </c>
      <c r="D842" s="37" t="n">
        <f aca="false">1+IF($G$8=$E$8,$F$8,IF(R842&lt;($F$8-$E$8)/($G$8-$E$8),$E$8+SQRT(R842*($G$8-$E$8)*($F$8-$E$8)),$G$8-SQRT((1-R842)*($G$8-$E$8)*($G$8-$F$8))))</f>
        <v>1</v>
      </c>
      <c r="E842" s="37" t="n">
        <f aca="false">1+IF($G$9=$E$9,$F$9,IF(S842&lt;($F$9-$E$9)/($G$9-$E$9),$E$9+SQRT(S842*($G$9-$E$9)*($F$9-$E$9)),$G$9-SQRT((1-S842)*($G$9-$E$9)*($G$9-$F$9))))</f>
        <v>1</v>
      </c>
      <c r="F842" s="37" t="n">
        <f aca="false">1+IF($G$10=$E$10,$F$10,IF(T842&lt;($F$10-$E$10)/($G$10-$E$10),$E$10+SQRT(T842*($G$10-$E$10)*($F$10-$E$10)),$G$10-SQRT((1-T842)*($G$10-$E$10)*($G$10-$F$10))))</f>
        <v>1</v>
      </c>
      <c r="G842" s="38" t="n">
        <f aca="false">IF($G$11=$E$11,$F$11,IF(U842&lt;($F$11-$E$11)/($G$11-$E$11),$E$11+SQRT(U842*($G$11-$E$11)*($F$11-$E$11)),$G$11-SQRT((1-U842)*($G$11-$E$11)*($G$11-$F$11))))</f>
        <v>0</v>
      </c>
      <c r="H842" s="39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0</v>
      </c>
      <c r="I842" s="39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0</v>
      </c>
      <c r="J842" s="39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0</v>
      </c>
      <c r="K842" s="39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0</v>
      </c>
      <c r="L842" s="39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0</v>
      </c>
      <c r="M842" s="39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0</v>
      </c>
      <c r="N842" s="39" t="str">
        <f aca="false">IF(COUNT('Business Case'!B11:G11)=0,"",H842+NPV(G842,I842:M842))</f>
        <v/>
      </c>
      <c r="P842" s="40" t="n">
        <f aca="true">RAND()</f>
        <v>0.322190561789039</v>
      </c>
      <c r="Q842" s="40" t="n">
        <f aca="true">RAND()</f>
        <v>0.490076748195551</v>
      </c>
      <c r="R842" s="40" t="n">
        <f aca="true">RAND()</f>
        <v>0.810087148577182</v>
      </c>
      <c r="S842" s="40" t="n">
        <f aca="true">RAND()</f>
        <v>0.634797730242078</v>
      </c>
      <c r="T842" s="40" t="n">
        <f aca="true">RAND()</f>
        <v>0.618549155094188</v>
      </c>
      <c r="U842" s="40" t="n">
        <f aca="true">RAND()</f>
        <v>0.0203203933175932</v>
      </c>
    </row>
    <row r="843" customFormat="false" ht="15" hidden="false" customHeight="false" outlineLevel="0" collapsed="false">
      <c r="A843" s="36" t="n">
        <v>763</v>
      </c>
      <c r="B843" s="37" t="n">
        <f aca="false">1+IF($G$6=$E$6,$F$6,IF(P843&lt;($F$6-$E$6)/($G$6-$E$6),$E$6+SQRT(P843*($G$6-$E$6)*($F$6-$E$6)),$G$6-SQRT((1-P843)*($G$6-$E$6)*($G$6-$F$6))))</f>
        <v>1</v>
      </c>
      <c r="C843" s="37" t="n">
        <f aca="false">1+IF($G$7=$E$7,$F$7,IF(Q843&lt;($F$7-$E$7)/($G$7-$E$7),$E$7+SQRT(Q843*($G$7-$E$7)*($F$7-$E$7)),$G$7-SQRT((1-Q843)*($G$7-$E$7)*($G$7-$F$7))))</f>
        <v>1</v>
      </c>
      <c r="D843" s="37" t="n">
        <f aca="false">1+IF($G$8=$E$8,$F$8,IF(R843&lt;($F$8-$E$8)/($G$8-$E$8),$E$8+SQRT(R843*($G$8-$E$8)*($F$8-$E$8)),$G$8-SQRT((1-R843)*($G$8-$E$8)*($G$8-$F$8))))</f>
        <v>1</v>
      </c>
      <c r="E843" s="37" t="n">
        <f aca="false">1+IF($G$9=$E$9,$F$9,IF(S843&lt;($F$9-$E$9)/($G$9-$E$9),$E$9+SQRT(S843*($G$9-$E$9)*($F$9-$E$9)),$G$9-SQRT((1-S843)*($G$9-$E$9)*($G$9-$F$9))))</f>
        <v>1</v>
      </c>
      <c r="F843" s="37" t="n">
        <f aca="false">1+IF($G$10=$E$10,$F$10,IF(T843&lt;($F$10-$E$10)/($G$10-$E$10),$E$10+SQRT(T843*($G$10-$E$10)*($F$10-$E$10)),$G$10-SQRT((1-T843)*($G$10-$E$10)*($G$10-$F$10))))</f>
        <v>1</v>
      </c>
      <c r="G843" s="38" t="n">
        <f aca="false">IF($G$11=$E$11,$F$11,IF(U843&lt;($F$11-$E$11)/($G$11-$E$11),$E$11+SQRT(U843*($G$11-$E$11)*($F$11-$E$11)),$G$11-SQRT((1-U843)*($G$11-$E$11)*($G$11-$F$11))))</f>
        <v>0</v>
      </c>
      <c r="H843" s="39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0</v>
      </c>
      <c r="I843" s="39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0</v>
      </c>
      <c r="J843" s="39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0</v>
      </c>
      <c r="K843" s="39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0</v>
      </c>
      <c r="L843" s="39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0</v>
      </c>
      <c r="M843" s="39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0</v>
      </c>
      <c r="N843" s="39" t="str">
        <f aca="false">IF(COUNT('Business Case'!B11:G11)=0,"",H843+NPV(G843,I843:M843))</f>
        <v/>
      </c>
      <c r="P843" s="40" t="n">
        <f aca="true">RAND()</f>
        <v>0.212656224612787</v>
      </c>
      <c r="Q843" s="40" t="n">
        <f aca="true">RAND()</f>
        <v>0.313327966685257</v>
      </c>
      <c r="R843" s="40" t="n">
        <f aca="true">RAND()</f>
        <v>0.69770486093371</v>
      </c>
      <c r="S843" s="40" t="n">
        <f aca="true">RAND()</f>
        <v>0.307132404816161</v>
      </c>
      <c r="T843" s="40" t="n">
        <f aca="true">RAND()</f>
        <v>0.191216969211153</v>
      </c>
      <c r="U843" s="40" t="n">
        <f aca="true">RAND()</f>
        <v>0.595371503012199</v>
      </c>
    </row>
    <row r="844" customFormat="false" ht="15" hidden="false" customHeight="false" outlineLevel="0" collapsed="false">
      <c r="A844" s="36" t="n">
        <v>764</v>
      </c>
      <c r="B844" s="37" t="n">
        <f aca="false">1+IF($G$6=$E$6,$F$6,IF(P844&lt;($F$6-$E$6)/($G$6-$E$6),$E$6+SQRT(P844*($G$6-$E$6)*($F$6-$E$6)),$G$6-SQRT((1-P844)*($G$6-$E$6)*($G$6-$F$6))))</f>
        <v>1</v>
      </c>
      <c r="C844" s="37" t="n">
        <f aca="false">1+IF($G$7=$E$7,$F$7,IF(Q844&lt;($F$7-$E$7)/($G$7-$E$7),$E$7+SQRT(Q844*($G$7-$E$7)*($F$7-$E$7)),$G$7-SQRT((1-Q844)*($G$7-$E$7)*($G$7-$F$7))))</f>
        <v>1</v>
      </c>
      <c r="D844" s="37" t="n">
        <f aca="false">1+IF($G$8=$E$8,$F$8,IF(R844&lt;($F$8-$E$8)/($G$8-$E$8),$E$8+SQRT(R844*($G$8-$E$8)*($F$8-$E$8)),$G$8-SQRT((1-R844)*($G$8-$E$8)*($G$8-$F$8))))</f>
        <v>1</v>
      </c>
      <c r="E844" s="37" t="n">
        <f aca="false">1+IF($G$9=$E$9,$F$9,IF(S844&lt;($F$9-$E$9)/($G$9-$E$9),$E$9+SQRT(S844*($G$9-$E$9)*($F$9-$E$9)),$G$9-SQRT((1-S844)*($G$9-$E$9)*($G$9-$F$9))))</f>
        <v>1</v>
      </c>
      <c r="F844" s="37" t="n">
        <f aca="false">1+IF($G$10=$E$10,$F$10,IF(T844&lt;($F$10-$E$10)/($G$10-$E$10),$E$10+SQRT(T844*($G$10-$E$10)*($F$10-$E$10)),$G$10-SQRT((1-T844)*($G$10-$E$10)*($G$10-$F$10))))</f>
        <v>1</v>
      </c>
      <c r="G844" s="38" t="n">
        <f aca="false">IF($G$11=$E$11,$F$11,IF(U844&lt;($F$11-$E$11)/($G$11-$E$11),$E$11+SQRT(U844*($G$11-$E$11)*($F$11-$E$11)),$G$11-SQRT((1-U844)*($G$11-$E$11)*($G$11-$F$11))))</f>
        <v>0</v>
      </c>
      <c r="H844" s="39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0</v>
      </c>
      <c r="I844" s="39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0</v>
      </c>
      <c r="J844" s="39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0</v>
      </c>
      <c r="K844" s="39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0</v>
      </c>
      <c r="L844" s="39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0</v>
      </c>
      <c r="M844" s="39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0</v>
      </c>
      <c r="N844" s="39" t="str">
        <f aca="false">IF(COUNT('Business Case'!B11:G11)=0,"",H844+NPV(G844,I844:M844))</f>
        <v/>
      </c>
      <c r="P844" s="40" t="n">
        <f aca="true">RAND()</f>
        <v>0.753463230381934</v>
      </c>
      <c r="Q844" s="40" t="n">
        <f aca="true">RAND()</f>
        <v>0.336758976019427</v>
      </c>
      <c r="R844" s="40" t="n">
        <f aca="true">RAND()</f>
        <v>0.984529515069485</v>
      </c>
      <c r="S844" s="40" t="n">
        <f aca="true">RAND()</f>
        <v>0.184049478378258</v>
      </c>
      <c r="T844" s="40" t="n">
        <f aca="true">RAND()</f>
        <v>0.691799664690293</v>
      </c>
      <c r="U844" s="40" t="n">
        <f aca="true">RAND()</f>
        <v>0.00235708951527784</v>
      </c>
    </row>
    <row r="845" customFormat="false" ht="15" hidden="false" customHeight="false" outlineLevel="0" collapsed="false">
      <c r="A845" s="36" t="n">
        <v>765</v>
      </c>
      <c r="B845" s="37" t="n">
        <f aca="false">1+IF($G$6=$E$6,$F$6,IF(P845&lt;($F$6-$E$6)/($G$6-$E$6),$E$6+SQRT(P845*($G$6-$E$6)*($F$6-$E$6)),$G$6-SQRT((1-P845)*($G$6-$E$6)*($G$6-$F$6))))</f>
        <v>1</v>
      </c>
      <c r="C845" s="37" t="n">
        <f aca="false">1+IF($G$7=$E$7,$F$7,IF(Q845&lt;($F$7-$E$7)/($G$7-$E$7),$E$7+SQRT(Q845*($G$7-$E$7)*($F$7-$E$7)),$G$7-SQRT((1-Q845)*($G$7-$E$7)*($G$7-$F$7))))</f>
        <v>1</v>
      </c>
      <c r="D845" s="37" t="n">
        <f aca="false">1+IF($G$8=$E$8,$F$8,IF(R845&lt;($F$8-$E$8)/($G$8-$E$8),$E$8+SQRT(R845*($G$8-$E$8)*($F$8-$E$8)),$G$8-SQRT((1-R845)*($G$8-$E$8)*($G$8-$F$8))))</f>
        <v>1</v>
      </c>
      <c r="E845" s="37" t="n">
        <f aca="false">1+IF($G$9=$E$9,$F$9,IF(S845&lt;($F$9-$E$9)/($G$9-$E$9),$E$9+SQRT(S845*($G$9-$E$9)*($F$9-$E$9)),$G$9-SQRT((1-S845)*($G$9-$E$9)*($G$9-$F$9))))</f>
        <v>1</v>
      </c>
      <c r="F845" s="37" t="n">
        <f aca="false">1+IF($G$10=$E$10,$F$10,IF(T845&lt;($F$10-$E$10)/($G$10-$E$10),$E$10+SQRT(T845*($G$10-$E$10)*($F$10-$E$10)),$G$10-SQRT((1-T845)*($G$10-$E$10)*($G$10-$F$10))))</f>
        <v>1</v>
      </c>
      <c r="G845" s="38" t="n">
        <f aca="false">IF($G$11=$E$11,$F$11,IF(U845&lt;($F$11-$E$11)/($G$11-$E$11),$E$11+SQRT(U845*($G$11-$E$11)*($F$11-$E$11)),$G$11-SQRT((1-U845)*($G$11-$E$11)*($G$11-$F$11))))</f>
        <v>0</v>
      </c>
      <c r="H845" s="39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0</v>
      </c>
      <c r="I845" s="39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0</v>
      </c>
      <c r="J845" s="39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0</v>
      </c>
      <c r="K845" s="39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0</v>
      </c>
      <c r="L845" s="39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0</v>
      </c>
      <c r="M845" s="39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0</v>
      </c>
      <c r="N845" s="39" t="str">
        <f aca="false">IF(COUNT('Business Case'!B11:G11)=0,"",H845+NPV(G845,I845:M845))</f>
        <v/>
      </c>
      <c r="P845" s="40" t="n">
        <f aca="true">RAND()</f>
        <v>0.037561392595319</v>
      </c>
      <c r="Q845" s="40" t="n">
        <f aca="true">RAND()</f>
        <v>0.859677411816918</v>
      </c>
      <c r="R845" s="40" t="n">
        <f aca="true">RAND()</f>
        <v>0.418785002647187</v>
      </c>
      <c r="S845" s="40" t="n">
        <f aca="true">RAND()</f>
        <v>0.608570733140665</v>
      </c>
      <c r="T845" s="40" t="n">
        <f aca="true">RAND()</f>
        <v>0.699993067665947</v>
      </c>
      <c r="U845" s="40" t="n">
        <f aca="true">RAND()</f>
        <v>0.131201943301316</v>
      </c>
    </row>
    <row r="846" customFormat="false" ht="15" hidden="false" customHeight="false" outlineLevel="0" collapsed="false">
      <c r="A846" s="36" t="n">
        <v>766</v>
      </c>
      <c r="B846" s="37" t="n">
        <f aca="false">1+IF($G$6=$E$6,$F$6,IF(P846&lt;($F$6-$E$6)/($G$6-$E$6),$E$6+SQRT(P846*($G$6-$E$6)*($F$6-$E$6)),$G$6-SQRT((1-P846)*($G$6-$E$6)*($G$6-$F$6))))</f>
        <v>1</v>
      </c>
      <c r="C846" s="37" t="n">
        <f aca="false">1+IF($G$7=$E$7,$F$7,IF(Q846&lt;($F$7-$E$7)/($G$7-$E$7),$E$7+SQRT(Q846*($G$7-$E$7)*($F$7-$E$7)),$G$7-SQRT((1-Q846)*($G$7-$E$7)*($G$7-$F$7))))</f>
        <v>1</v>
      </c>
      <c r="D846" s="37" t="n">
        <f aca="false">1+IF($G$8=$E$8,$F$8,IF(R846&lt;($F$8-$E$8)/($G$8-$E$8),$E$8+SQRT(R846*($G$8-$E$8)*($F$8-$E$8)),$G$8-SQRT((1-R846)*($G$8-$E$8)*($G$8-$F$8))))</f>
        <v>1</v>
      </c>
      <c r="E846" s="37" t="n">
        <f aca="false">1+IF($G$9=$E$9,$F$9,IF(S846&lt;($F$9-$E$9)/($G$9-$E$9),$E$9+SQRT(S846*($G$9-$E$9)*($F$9-$E$9)),$G$9-SQRT((1-S846)*($G$9-$E$9)*($G$9-$F$9))))</f>
        <v>1</v>
      </c>
      <c r="F846" s="37" t="n">
        <f aca="false">1+IF($G$10=$E$10,$F$10,IF(T846&lt;($F$10-$E$10)/($G$10-$E$10),$E$10+SQRT(T846*($G$10-$E$10)*($F$10-$E$10)),$G$10-SQRT((1-T846)*($G$10-$E$10)*($G$10-$F$10))))</f>
        <v>1</v>
      </c>
      <c r="G846" s="38" t="n">
        <f aca="false">IF($G$11=$E$11,$F$11,IF(U846&lt;($F$11-$E$11)/($G$11-$E$11),$E$11+SQRT(U846*($G$11-$E$11)*($F$11-$E$11)),$G$11-SQRT((1-U846)*($G$11-$E$11)*($G$11-$F$11))))</f>
        <v>0</v>
      </c>
      <c r="H846" s="39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0</v>
      </c>
      <c r="I846" s="39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0</v>
      </c>
      <c r="J846" s="39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0</v>
      </c>
      <c r="K846" s="39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0</v>
      </c>
      <c r="L846" s="39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0</v>
      </c>
      <c r="M846" s="39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0</v>
      </c>
      <c r="N846" s="39" t="str">
        <f aca="false">IF(COUNT('Business Case'!B11:G11)=0,"",H846+NPV(G846,I846:M846))</f>
        <v/>
      </c>
      <c r="P846" s="40" t="n">
        <f aca="true">RAND()</f>
        <v>0.965271056132817</v>
      </c>
      <c r="Q846" s="40" t="n">
        <f aca="true">RAND()</f>
        <v>0.54866644860928</v>
      </c>
      <c r="R846" s="40" t="n">
        <f aca="true">RAND()</f>
        <v>0.777638405335786</v>
      </c>
      <c r="S846" s="40" t="n">
        <f aca="true">RAND()</f>
        <v>0.683785950022854</v>
      </c>
      <c r="T846" s="40" t="n">
        <f aca="true">RAND()</f>
        <v>0.996994287131083</v>
      </c>
      <c r="U846" s="40" t="n">
        <f aca="true">RAND()</f>
        <v>0.17375166522422</v>
      </c>
    </row>
    <row r="847" customFormat="false" ht="15" hidden="false" customHeight="false" outlineLevel="0" collapsed="false">
      <c r="A847" s="36" t="n">
        <v>767</v>
      </c>
      <c r="B847" s="37" t="n">
        <f aca="false">1+IF($G$6=$E$6,$F$6,IF(P847&lt;($F$6-$E$6)/($G$6-$E$6),$E$6+SQRT(P847*($G$6-$E$6)*($F$6-$E$6)),$G$6-SQRT((1-P847)*($G$6-$E$6)*($G$6-$F$6))))</f>
        <v>1</v>
      </c>
      <c r="C847" s="37" t="n">
        <f aca="false">1+IF($G$7=$E$7,$F$7,IF(Q847&lt;($F$7-$E$7)/($G$7-$E$7),$E$7+SQRT(Q847*($G$7-$E$7)*($F$7-$E$7)),$G$7-SQRT((1-Q847)*($G$7-$E$7)*($G$7-$F$7))))</f>
        <v>1</v>
      </c>
      <c r="D847" s="37" t="n">
        <f aca="false">1+IF($G$8=$E$8,$F$8,IF(R847&lt;($F$8-$E$8)/($G$8-$E$8),$E$8+SQRT(R847*($G$8-$E$8)*($F$8-$E$8)),$G$8-SQRT((1-R847)*($G$8-$E$8)*($G$8-$F$8))))</f>
        <v>1</v>
      </c>
      <c r="E847" s="37" t="n">
        <f aca="false">1+IF($G$9=$E$9,$F$9,IF(S847&lt;($F$9-$E$9)/($G$9-$E$9),$E$9+SQRT(S847*($G$9-$E$9)*($F$9-$E$9)),$G$9-SQRT((1-S847)*($G$9-$E$9)*($G$9-$F$9))))</f>
        <v>1</v>
      </c>
      <c r="F847" s="37" t="n">
        <f aca="false">1+IF($G$10=$E$10,$F$10,IF(T847&lt;($F$10-$E$10)/($G$10-$E$10),$E$10+SQRT(T847*($G$10-$E$10)*($F$10-$E$10)),$G$10-SQRT((1-T847)*($G$10-$E$10)*($G$10-$F$10))))</f>
        <v>1</v>
      </c>
      <c r="G847" s="38" t="n">
        <f aca="false">IF($G$11=$E$11,$F$11,IF(U847&lt;($F$11-$E$11)/($G$11-$E$11),$E$11+SQRT(U847*($G$11-$E$11)*($F$11-$E$11)),$G$11-SQRT((1-U847)*($G$11-$E$11)*($G$11-$F$11))))</f>
        <v>0</v>
      </c>
      <c r="H847" s="39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0</v>
      </c>
      <c r="I847" s="39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0</v>
      </c>
      <c r="J847" s="39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0</v>
      </c>
      <c r="K847" s="39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0</v>
      </c>
      <c r="L847" s="39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0</v>
      </c>
      <c r="M847" s="39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0</v>
      </c>
      <c r="N847" s="39" t="str">
        <f aca="false">IF(COUNT('Business Case'!B11:G11)=0,"",H847+NPV(G847,I847:M847))</f>
        <v/>
      </c>
      <c r="P847" s="40" t="n">
        <f aca="true">RAND()</f>
        <v>0.0265161695236537</v>
      </c>
      <c r="Q847" s="40" t="n">
        <f aca="true">RAND()</f>
        <v>0.13772158518725</v>
      </c>
      <c r="R847" s="40" t="n">
        <f aca="true">RAND()</f>
        <v>0.0470112363654086</v>
      </c>
      <c r="S847" s="40" t="n">
        <f aca="true">RAND()</f>
        <v>0.902348256843324</v>
      </c>
      <c r="T847" s="40" t="n">
        <f aca="true">RAND()</f>
        <v>0.657301876266682</v>
      </c>
      <c r="U847" s="40" t="n">
        <f aca="true">RAND()</f>
        <v>0.0724365531547618</v>
      </c>
    </row>
    <row r="848" customFormat="false" ht="15" hidden="false" customHeight="false" outlineLevel="0" collapsed="false">
      <c r="A848" s="36" t="n">
        <v>768</v>
      </c>
      <c r="B848" s="37" t="n">
        <f aca="false">1+IF($G$6=$E$6,$F$6,IF(P848&lt;($F$6-$E$6)/($G$6-$E$6),$E$6+SQRT(P848*($G$6-$E$6)*($F$6-$E$6)),$G$6-SQRT((1-P848)*($G$6-$E$6)*($G$6-$F$6))))</f>
        <v>1</v>
      </c>
      <c r="C848" s="37" t="n">
        <f aca="false">1+IF($G$7=$E$7,$F$7,IF(Q848&lt;($F$7-$E$7)/($G$7-$E$7),$E$7+SQRT(Q848*($G$7-$E$7)*($F$7-$E$7)),$G$7-SQRT((1-Q848)*($G$7-$E$7)*($G$7-$F$7))))</f>
        <v>1</v>
      </c>
      <c r="D848" s="37" t="n">
        <f aca="false">1+IF($G$8=$E$8,$F$8,IF(R848&lt;($F$8-$E$8)/($G$8-$E$8),$E$8+SQRT(R848*($G$8-$E$8)*($F$8-$E$8)),$G$8-SQRT((1-R848)*($G$8-$E$8)*($G$8-$F$8))))</f>
        <v>1</v>
      </c>
      <c r="E848" s="37" t="n">
        <f aca="false">1+IF($G$9=$E$9,$F$9,IF(S848&lt;($F$9-$E$9)/($G$9-$E$9),$E$9+SQRT(S848*($G$9-$E$9)*($F$9-$E$9)),$G$9-SQRT((1-S848)*($G$9-$E$9)*($G$9-$F$9))))</f>
        <v>1</v>
      </c>
      <c r="F848" s="37" t="n">
        <f aca="false">1+IF($G$10=$E$10,$F$10,IF(T848&lt;($F$10-$E$10)/($G$10-$E$10),$E$10+SQRT(T848*($G$10-$E$10)*($F$10-$E$10)),$G$10-SQRT((1-T848)*($G$10-$E$10)*($G$10-$F$10))))</f>
        <v>1</v>
      </c>
      <c r="G848" s="38" t="n">
        <f aca="false">IF($G$11=$E$11,$F$11,IF(U848&lt;($F$11-$E$11)/($G$11-$E$11),$E$11+SQRT(U848*($G$11-$E$11)*($F$11-$E$11)),$G$11-SQRT((1-U848)*($G$11-$E$11)*($G$11-$F$11))))</f>
        <v>0</v>
      </c>
      <c r="H848" s="39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0</v>
      </c>
      <c r="I848" s="39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0</v>
      </c>
      <c r="J848" s="39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0</v>
      </c>
      <c r="K848" s="39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0</v>
      </c>
      <c r="L848" s="39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0</v>
      </c>
      <c r="M848" s="39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0</v>
      </c>
      <c r="N848" s="39" t="str">
        <f aca="false">IF(COUNT('Business Case'!B11:G11)=0,"",H848+NPV(G848,I848:M848))</f>
        <v/>
      </c>
      <c r="P848" s="40" t="n">
        <f aca="true">RAND()</f>
        <v>0.579810427560301</v>
      </c>
      <c r="Q848" s="40" t="n">
        <f aca="true">RAND()</f>
        <v>0.0785573824389374</v>
      </c>
      <c r="R848" s="40" t="n">
        <f aca="true">RAND()</f>
        <v>0.364095907069709</v>
      </c>
      <c r="S848" s="40" t="n">
        <f aca="true">RAND()</f>
        <v>0.59411527243287</v>
      </c>
      <c r="T848" s="40" t="n">
        <f aca="true">RAND()</f>
        <v>0.899459530058104</v>
      </c>
      <c r="U848" s="40" t="n">
        <f aca="true">RAND()</f>
        <v>0.486724406784147</v>
      </c>
    </row>
    <row r="849" customFormat="false" ht="15" hidden="false" customHeight="false" outlineLevel="0" collapsed="false">
      <c r="A849" s="36" t="n">
        <v>769</v>
      </c>
      <c r="B849" s="37" t="n">
        <f aca="false">1+IF($G$6=$E$6,$F$6,IF(P849&lt;($F$6-$E$6)/($G$6-$E$6),$E$6+SQRT(P849*($G$6-$E$6)*($F$6-$E$6)),$G$6-SQRT((1-P849)*($G$6-$E$6)*($G$6-$F$6))))</f>
        <v>1</v>
      </c>
      <c r="C849" s="37" t="n">
        <f aca="false">1+IF($G$7=$E$7,$F$7,IF(Q849&lt;($F$7-$E$7)/($G$7-$E$7),$E$7+SQRT(Q849*($G$7-$E$7)*($F$7-$E$7)),$G$7-SQRT((1-Q849)*($G$7-$E$7)*($G$7-$F$7))))</f>
        <v>1</v>
      </c>
      <c r="D849" s="37" t="n">
        <f aca="false">1+IF($G$8=$E$8,$F$8,IF(R849&lt;($F$8-$E$8)/($G$8-$E$8),$E$8+SQRT(R849*($G$8-$E$8)*($F$8-$E$8)),$G$8-SQRT((1-R849)*($G$8-$E$8)*($G$8-$F$8))))</f>
        <v>1</v>
      </c>
      <c r="E849" s="37" t="n">
        <f aca="false">1+IF($G$9=$E$9,$F$9,IF(S849&lt;($F$9-$E$9)/($G$9-$E$9),$E$9+SQRT(S849*($G$9-$E$9)*($F$9-$E$9)),$G$9-SQRT((1-S849)*($G$9-$E$9)*($G$9-$F$9))))</f>
        <v>1</v>
      </c>
      <c r="F849" s="37" t="n">
        <f aca="false">1+IF($G$10=$E$10,$F$10,IF(T849&lt;($F$10-$E$10)/($G$10-$E$10),$E$10+SQRT(T849*($G$10-$E$10)*($F$10-$E$10)),$G$10-SQRT((1-T849)*($G$10-$E$10)*($G$10-$F$10))))</f>
        <v>1</v>
      </c>
      <c r="G849" s="38" t="n">
        <f aca="false">IF($G$11=$E$11,$F$11,IF(U849&lt;($F$11-$E$11)/($G$11-$E$11),$E$11+SQRT(U849*($G$11-$E$11)*($F$11-$E$11)),$G$11-SQRT((1-U849)*($G$11-$E$11)*($G$11-$F$11))))</f>
        <v>0</v>
      </c>
      <c r="H849" s="39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0</v>
      </c>
      <c r="I849" s="39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0</v>
      </c>
      <c r="J849" s="39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0</v>
      </c>
      <c r="K849" s="39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0</v>
      </c>
      <c r="L849" s="39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0</v>
      </c>
      <c r="M849" s="39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0</v>
      </c>
      <c r="N849" s="39" t="str">
        <f aca="false">IF(COUNT('Business Case'!B11:G11)=0,"",H849+NPV(G849,I849:M849))</f>
        <v/>
      </c>
      <c r="P849" s="40" t="n">
        <f aca="true">RAND()</f>
        <v>0.965392440416045</v>
      </c>
      <c r="Q849" s="40" t="n">
        <f aca="true">RAND()</f>
        <v>0.125819134204649</v>
      </c>
      <c r="R849" s="40" t="n">
        <f aca="true">RAND()</f>
        <v>0.769450810985897</v>
      </c>
      <c r="S849" s="40" t="n">
        <f aca="true">RAND()</f>
        <v>0.347473001649626</v>
      </c>
      <c r="T849" s="40" t="n">
        <f aca="true">RAND()</f>
        <v>0.918762580735151</v>
      </c>
      <c r="U849" s="40" t="n">
        <f aca="true">RAND()</f>
        <v>0.786297186669076</v>
      </c>
    </row>
    <row r="850" customFormat="false" ht="15" hidden="false" customHeight="false" outlineLevel="0" collapsed="false">
      <c r="A850" s="36" t="n">
        <v>770</v>
      </c>
      <c r="B850" s="37" t="n">
        <f aca="false">1+IF($G$6=$E$6,$F$6,IF(P850&lt;($F$6-$E$6)/($G$6-$E$6),$E$6+SQRT(P850*($G$6-$E$6)*($F$6-$E$6)),$G$6-SQRT((1-P850)*($G$6-$E$6)*($G$6-$F$6))))</f>
        <v>1</v>
      </c>
      <c r="C850" s="37" t="n">
        <f aca="false">1+IF($G$7=$E$7,$F$7,IF(Q850&lt;($F$7-$E$7)/($G$7-$E$7),$E$7+SQRT(Q850*($G$7-$E$7)*($F$7-$E$7)),$G$7-SQRT((1-Q850)*($G$7-$E$7)*($G$7-$F$7))))</f>
        <v>1</v>
      </c>
      <c r="D850" s="37" t="n">
        <f aca="false">1+IF($G$8=$E$8,$F$8,IF(R850&lt;($F$8-$E$8)/($G$8-$E$8),$E$8+SQRT(R850*($G$8-$E$8)*($F$8-$E$8)),$G$8-SQRT((1-R850)*($G$8-$E$8)*($G$8-$F$8))))</f>
        <v>1</v>
      </c>
      <c r="E850" s="37" t="n">
        <f aca="false">1+IF($G$9=$E$9,$F$9,IF(S850&lt;($F$9-$E$9)/($G$9-$E$9),$E$9+SQRT(S850*($G$9-$E$9)*($F$9-$E$9)),$G$9-SQRT((1-S850)*($G$9-$E$9)*($G$9-$F$9))))</f>
        <v>1</v>
      </c>
      <c r="F850" s="37" t="n">
        <f aca="false">1+IF($G$10=$E$10,$F$10,IF(T850&lt;($F$10-$E$10)/($G$10-$E$10),$E$10+SQRT(T850*($G$10-$E$10)*($F$10-$E$10)),$G$10-SQRT((1-T850)*($G$10-$E$10)*($G$10-$F$10))))</f>
        <v>1</v>
      </c>
      <c r="G850" s="38" t="n">
        <f aca="false">IF($G$11=$E$11,$F$11,IF(U850&lt;($F$11-$E$11)/($G$11-$E$11),$E$11+SQRT(U850*($G$11-$E$11)*($F$11-$E$11)),$G$11-SQRT((1-U850)*($G$11-$E$11)*($G$11-$F$11))))</f>
        <v>0</v>
      </c>
      <c r="H850" s="39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0</v>
      </c>
      <c r="I850" s="39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0</v>
      </c>
      <c r="J850" s="39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0</v>
      </c>
      <c r="K850" s="39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0</v>
      </c>
      <c r="L850" s="39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0</v>
      </c>
      <c r="M850" s="39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0</v>
      </c>
      <c r="N850" s="39" t="str">
        <f aca="false">IF(COUNT('Business Case'!B11:G11)=0,"",H850+NPV(G850,I850:M850))</f>
        <v/>
      </c>
      <c r="P850" s="40" t="n">
        <f aca="true">RAND()</f>
        <v>0.429549117426873</v>
      </c>
      <c r="Q850" s="40" t="n">
        <f aca="true">RAND()</f>
        <v>0.0902675646261111</v>
      </c>
      <c r="R850" s="40" t="n">
        <f aca="true">RAND()</f>
        <v>0.235890216421176</v>
      </c>
      <c r="S850" s="40" t="n">
        <f aca="true">RAND()</f>
        <v>0.0832703983627962</v>
      </c>
      <c r="T850" s="40" t="n">
        <f aca="true">RAND()</f>
        <v>0.165399423478582</v>
      </c>
      <c r="U850" s="40" t="n">
        <f aca="true">RAND()</f>
        <v>0.831847258920098</v>
      </c>
    </row>
    <row r="851" customFormat="false" ht="15" hidden="false" customHeight="false" outlineLevel="0" collapsed="false">
      <c r="A851" s="36" t="n">
        <v>771</v>
      </c>
      <c r="B851" s="37" t="n">
        <f aca="false">1+IF($G$6=$E$6,$F$6,IF(P851&lt;($F$6-$E$6)/($G$6-$E$6),$E$6+SQRT(P851*($G$6-$E$6)*($F$6-$E$6)),$G$6-SQRT((1-P851)*($G$6-$E$6)*($G$6-$F$6))))</f>
        <v>1</v>
      </c>
      <c r="C851" s="37" t="n">
        <f aca="false">1+IF($G$7=$E$7,$F$7,IF(Q851&lt;($F$7-$E$7)/($G$7-$E$7),$E$7+SQRT(Q851*($G$7-$E$7)*($F$7-$E$7)),$G$7-SQRT((1-Q851)*($G$7-$E$7)*($G$7-$F$7))))</f>
        <v>1</v>
      </c>
      <c r="D851" s="37" t="n">
        <f aca="false">1+IF($G$8=$E$8,$F$8,IF(R851&lt;($F$8-$E$8)/($G$8-$E$8),$E$8+SQRT(R851*($G$8-$E$8)*($F$8-$E$8)),$G$8-SQRT((1-R851)*($G$8-$E$8)*($G$8-$F$8))))</f>
        <v>1</v>
      </c>
      <c r="E851" s="37" t="n">
        <f aca="false">1+IF($G$9=$E$9,$F$9,IF(S851&lt;($F$9-$E$9)/($G$9-$E$9),$E$9+SQRT(S851*($G$9-$E$9)*($F$9-$E$9)),$G$9-SQRT((1-S851)*($G$9-$E$9)*($G$9-$F$9))))</f>
        <v>1</v>
      </c>
      <c r="F851" s="37" t="n">
        <f aca="false">1+IF($G$10=$E$10,$F$10,IF(T851&lt;($F$10-$E$10)/($G$10-$E$10),$E$10+SQRT(T851*($G$10-$E$10)*($F$10-$E$10)),$G$10-SQRT((1-T851)*($G$10-$E$10)*($G$10-$F$10))))</f>
        <v>1</v>
      </c>
      <c r="G851" s="38" t="n">
        <f aca="false">IF($G$11=$E$11,$F$11,IF(U851&lt;($F$11-$E$11)/($G$11-$E$11),$E$11+SQRT(U851*($G$11-$E$11)*($F$11-$E$11)),$G$11-SQRT((1-U851)*($G$11-$E$11)*($G$11-$F$11))))</f>
        <v>0</v>
      </c>
      <c r="H851" s="39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0</v>
      </c>
      <c r="I851" s="39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0</v>
      </c>
      <c r="J851" s="39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0</v>
      </c>
      <c r="K851" s="39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0</v>
      </c>
      <c r="L851" s="39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0</v>
      </c>
      <c r="M851" s="39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0</v>
      </c>
      <c r="N851" s="39" t="str">
        <f aca="false">IF(COUNT('Business Case'!B11:G11)=0,"",H851+NPV(G851,I851:M851))</f>
        <v/>
      </c>
      <c r="P851" s="40" t="n">
        <f aca="true">RAND()</f>
        <v>0.447170948874836</v>
      </c>
      <c r="Q851" s="40" t="n">
        <f aca="true">RAND()</f>
        <v>0.678373943416769</v>
      </c>
      <c r="R851" s="40" t="n">
        <f aca="true">RAND()</f>
        <v>0.566035106853594</v>
      </c>
      <c r="S851" s="40" t="n">
        <f aca="true">RAND()</f>
        <v>0.916436891858059</v>
      </c>
      <c r="T851" s="40" t="n">
        <f aca="true">RAND()</f>
        <v>0.414747537287606</v>
      </c>
      <c r="U851" s="40" t="n">
        <f aca="true">RAND()</f>
        <v>0.869895828590819</v>
      </c>
    </row>
    <row r="852" customFormat="false" ht="15" hidden="false" customHeight="false" outlineLevel="0" collapsed="false">
      <c r="A852" s="36" t="n">
        <v>772</v>
      </c>
      <c r="B852" s="37" t="n">
        <f aca="false">1+IF($G$6=$E$6,$F$6,IF(P852&lt;($F$6-$E$6)/($G$6-$E$6),$E$6+SQRT(P852*($G$6-$E$6)*($F$6-$E$6)),$G$6-SQRT((1-P852)*($G$6-$E$6)*($G$6-$F$6))))</f>
        <v>1</v>
      </c>
      <c r="C852" s="37" t="n">
        <f aca="false">1+IF($G$7=$E$7,$F$7,IF(Q852&lt;($F$7-$E$7)/($G$7-$E$7),$E$7+SQRT(Q852*($G$7-$E$7)*($F$7-$E$7)),$G$7-SQRT((1-Q852)*($G$7-$E$7)*($G$7-$F$7))))</f>
        <v>1</v>
      </c>
      <c r="D852" s="37" t="n">
        <f aca="false">1+IF($G$8=$E$8,$F$8,IF(R852&lt;($F$8-$E$8)/($G$8-$E$8),$E$8+SQRT(R852*($G$8-$E$8)*($F$8-$E$8)),$G$8-SQRT((1-R852)*($G$8-$E$8)*($G$8-$F$8))))</f>
        <v>1</v>
      </c>
      <c r="E852" s="37" t="n">
        <f aca="false">1+IF($G$9=$E$9,$F$9,IF(S852&lt;($F$9-$E$9)/($G$9-$E$9),$E$9+SQRT(S852*($G$9-$E$9)*($F$9-$E$9)),$G$9-SQRT((1-S852)*($G$9-$E$9)*($G$9-$F$9))))</f>
        <v>1</v>
      </c>
      <c r="F852" s="37" t="n">
        <f aca="false">1+IF($G$10=$E$10,$F$10,IF(T852&lt;($F$10-$E$10)/($G$10-$E$10),$E$10+SQRT(T852*($G$10-$E$10)*($F$10-$E$10)),$G$10-SQRT((1-T852)*($G$10-$E$10)*($G$10-$F$10))))</f>
        <v>1</v>
      </c>
      <c r="G852" s="38" t="n">
        <f aca="false">IF($G$11=$E$11,$F$11,IF(U852&lt;($F$11-$E$11)/($G$11-$E$11),$E$11+SQRT(U852*($G$11-$E$11)*($F$11-$E$11)),$G$11-SQRT((1-U852)*($G$11-$E$11)*($G$11-$F$11))))</f>
        <v>0</v>
      </c>
      <c r="H852" s="39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0</v>
      </c>
      <c r="I852" s="39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0</v>
      </c>
      <c r="J852" s="39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0</v>
      </c>
      <c r="K852" s="39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0</v>
      </c>
      <c r="L852" s="39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0</v>
      </c>
      <c r="M852" s="39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0</v>
      </c>
      <c r="N852" s="39" t="str">
        <f aca="false">IF(COUNT('Business Case'!B11:G11)=0,"",H852+NPV(G852,I852:M852))</f>
        <v/>
      </c>
      <c r="P852" s="40" t="n">
        <f aca="true">RAND()</f>
        <v>0.721919173999713</v>
      </c>
      <c r="Q852" s="40" t="n">
        <f aca="true">RAND()</f>
        <v>0.437219841345717</v>
      </c>
      <c r="R852" s="40" t="n">
        <f aca="true">RAND()</f>
        <v>0.736624900188215</v>
      </c>
      <c r="S852" s="40" t="n">
        <f aca="true">RAND()</f>
        <v>0.520202811219658</v>
      </c>
      <c r="T852" s="40" t="n">
        <f aca="true">RAND()</f>
        <v>0.151005197147671</v>
      </c>
      <c r="U852" s="40" t="n">
        <f aca="true">RAND()</f>
        <v>0.891975097756328</v>
      </c>
    </row>
    <row r="853" customFormat="false" ht="15" hidden="false" customHeight="false" outlineLevel="0" collapsed="false">
      <c r="A853" s="36" t="n">
        <v>773</v>
      </c>
      <c r="B853" s="37" t="n">
        <f aca="false">1+IF($G$6=$E$6,$F$6,IF(P853&lt;($F$6-$E$6)/($G$6-$E$6),$E$6+SQRT(P853*($G$6-$E$6)*($F$6-$E$6)),$G$6-SQRT((1-P853)*($G$6-$E$6)*($G$6-$F$6))))</f>
        <v>1</v>
      </c>
      <c r="C853" s="37" t="n">
        <f aca="false">1+IF($G$7=$E$7,$F$7,IF(Q853&lt;($F$7-$E$7)/($G$7-$E$7),$E$7+SQRT(Q853*($G$7-$E$7)*($F$7-$E$7)),$G$7-SQRT((1-Q853)*($G$7-$E$7)*($G$7-$F$7))))</f>
        <v>1</v>
      </c>
      <c r="D853" s="37" t="n">
        <f aca="false">1+IF($G$8=$E$8,$F$8,IF(R853&lt;($F$8-$E$8)/($G$8-$E$8),$E$8+SQRT(R853*($G$8-$E$8)*($F$8-$E$8)),$G$8-SQRT((1-R853)*($G$8-$E$8)*($G$8-$F$8))))</f>
        <v>1</v>
      </c>
      <c r="E853" s="37" t="n">
        <f aca="false">1+IF($G$9=$E$9,$F$9,IF(S853&lt;($F$9-$E$9)/($G$9-$E$9),$E$9+SQRT(S853*($G$9-$E$9)*($F$9-$E$9)),$G$9-SQRT((1-S853)*($G$9-$E$9)*($G$9-$F$9))))</f>
        <v>1</v>
      </c>
      <c r="F853" s="37" t="n">
        <f aca="false">1+IF($G$10=$E$10,$F$10,IF(T853&lt;($F$10-$E$10)/($G$10-$E$10),$E$10+SQRT(T853*($G$10-$E$10)*($F$10-$E$10)),$G$10-SQRT((1-T853)*($G$10-$E$10)*($G$10-$F$10))))</f>
        <v>1</v>
      </c>
      <c r="G853" s="38" t="n">
        <f aca="false">IF($G$11=$E$11,$F$11,IF(U853&lt;($F$11-$E$11)/($G$11-$E$11),$E$11+SQRT(U853*($G$11-$E$11)*($F$11-$E$11)),$G$11-SQRT((1-U853)*($G$11-$E$11)*($G$11-$F$11))))</f>
        <v>0</v>
      </c>
      <c r="H853" s="39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0</v>
      </c>
      <c r="I853" s="39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0</v>
      </c>
      <c r="J853" s="39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0</v>
      </c>
      <c r="K853" s="39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0</v>
      </c>
      <c r="L853" s="39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0</v>
      </c>
      <c r="M853" s="39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0</v>
      </c>
      <c r="N853" s="39" t="str">
        <f aca="false">IF(COUNT('Business Case'!B11:G11)=0,"",H853+NPV(G853,I853:M853))</f>
        <v/>
      </c>
      <c r="P853" s="40" t="n">
        <f aca="true">RAND()</f>
        <v>0.654569615195542</v>
      </c>
      <c r="Q853" s="40" t="n">
        <f aca="true">RAND()</f>
        <v>0.172292912022834</v>
      </c>
      <c r="R853" s="40" t="n">
        <f aca="true">RAND()</f>
        <v>0.452092991223098</v>
      </c>
      <c r="S853" s="40" t="n">
        <f aca="true">RAND()</f>
        <v>0.0778496478330894</v>
      </c>
      <c r="T853" s="40" t="n">
        <f aca="true">RAND()</f>
        <v>0.710253582039231</v>
      </c>
      <c r="U853" s="40" t="n">
        <f aca="true">RAND()</f>
        <v>0.411716153184887</v>
      </c>
    </row>
    <row r="854" customFormat="false" ht="15" hidden="false" customHeight="false" outlineLevel="0" collapsed="false">
      <c r="A854" s="36" t="n">
        <v>774</v>
      </c>
      <c r="B854" s="37" t="n">
        <f aca="false">1+IF($G$6=$E$6,$F$6,IF(P854&lt;($F$6-$E$6)/($G$6-$E$6),$E$6+SQRT(P854*($G$6-$E$6)*($F$6-$E$6)),$G$6-SQRT((1-P854)*($G$6-$E$6)*($G$6-$F$6))))</f>
        <v>1</v>
      </c>
      <c r="C854" s="37" t="n">
        <f aca="false">1+IF($G$7=$E$7,$F$7,IF(Q854&lt;($F$7-$E$7)/($G$7-$E$7),$E$7+SQRT(Q854*($G$7-$E$7)*($F$7-$E$7)),$G$7-SQRT((1-Q854)*($G$7-$E$7)*($G$7-$F$7))))</f>
        <v>1</v>
      </c>
      <c r="D854" s="37" t="n">
        <f aca="false">1+IF($G$8=$E$8,$F$8,IF(R854&lt;($F$8-$E$8)/($G$8-$E$8),$E$8+SQRT(R854*($G$8-$E$8)*($F$8-$E$8)),$G$8-SQRT((1-R854)*($G$8-$E$8)*($G$8-$F$8))))</f>
        <v>1</v>
      </c>
      <c r="E854" s="37" t="n">
        <f aca="false">1+IF($G$9=$E$9,$F$9,IF(S854&lt;($F$9-$E$9)/($G$9-$E$9),$E$9+SQRT(S854*($G$9-$E$9)*($F$9-$E$9)),$G$9-SQRT((1-S854)*($G$9-$E$9)*($G$9-$F$9))))</f>
        <v>1</v>
      </c>
      <c r="F854" s="37" t="n">
        <f aca="false">1+IF($G$10=$E$10,$F$10,IF(T854&lt;($F$10-$E$10)/($G$10-$E$10),$E$10+SQRT(T854*($G$10-$E$10)*($F$10-$E$10)),$G$10-SQRT((1-T854)*($G$10-$E$10)*($G$10-$F$10))))</f>
        <v>1</v>
      </c>
      <c r="G854" s="38" t="n">
        <f aca="false">IF($G$11=$E$11,$F$11,IF(U854&lt;($F$11-$E$11)/($G$11-$E$11),$E$11+SQRT(U854*($G$11-$E$11)*($F$11-$E$11)),$G$11-SQRT((1-U854)*($G$11-$E$11)*($G$11-$F$11))))</f>
        <v>0</v>
      </c>
      <c r="H854" s="39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0</v>
      </c>
      <c r="I854" s="39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0</v>
      </c>
      <c r="J854" s="39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0</v>
      </c>
      <c r="K854" s="39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0</v>
      </c>
      <c r="L854" s="39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0</v>
      </c>
      <c r="M854" s="39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0</v>
      </c>
      <c r="N854" s="39" t="str">
        <f aca="false">IF(COUNT('Business Case'!B11:G11)=0,"",H854+NPV(G854,I854:M854))</f>
        <v/>
      </c>
      <c r="P854" s="40" t="n">
        <f aca="true">RAND()</f>
        <v>0.00131689210432746</v>
      </c>
      <c r="Q854" s="40" t="n">
        <f aca="true">RAND()</f>
        <v>0.474602540619223</v>
      </c>
      <c r="R854" s="40" t="n">
        <f aca="true">RAND()</f>
        <v>0.59368216033208</v>
      </c>
      <c r="S854" s="40" t="n">
        <f aca="true">RAND()</f>
        <v>0.303969174712166</v>
      </c>
      <c r="T854" s="40" t="n">
        <f aca="true">RAND()</f>
        <v>0.0725831829877661</v>
      </c>
      <c r="U854" s="40" t="n">
        <f aca="true">RAND()</f>
        <v>0.62363614434377</v>
      </c>
    </row>
    <row r="855" customFormat="false" ht="15" hidden="false" customHeight="false" outlineLevel="0" collapsed="false">
      <c r="A855" s="36" t="n">
        <v>775</v>
      </c>
      <c r="B855" s="37" t="n">
        <f aca="false">1+IF($G$6=$E$6,$F$6,IF(P855&lt;($F$6-$E$6)/($G$6-$E$6),$E$6+SQRT(P855*($G$6-$E$6)*($F$6-$E$6)),$G$6-SQRT((1-P855)*($G$6-$E$6)*($G$6-$F$6))))</f>
        <v>1</v>
      </c>
      <c r="C855" s="37" t="n">
        <f aca="false">1+IF($G$7=$E$7,$F$7,IF(Q855&lt;($F$7-$E$7)/($G$7-$E$7),$E$7+SQRT(Q855*($G$7-$E$7)*($F$7-$E$7)),$G$7-SQRT((1-Q855)*($G$7-$E$7)*($G$7-$F$7))))</f>
        <v>1</v>
      </c>
      <c r="D855" s="37" t="n">
        <f aca="false">1+IF($G$8=$E$8,$F$8,IF(R855&lt;($F$8-$E$8)/($G$8-$E$8),$E$8+SQRT(R855*($G$8-$E$8)*($F$8-$E$8)),$G$8-SQRT((1-R855)*($G$8-$E$8)*($G$8-$F$8))))</f>
        <v>1</v>
      </c>
      <c r="E855" s="37" t="n">
        <f aca="false">1+IF($G$9=$E$9,$F$9,IF(S855&lt;($F$9-$E$9)/($G$9-$E$9),$E$9+SQRT(S855*($G$9-$E$9)*($F$9-$E$9)),$G$9-SQRT((1-S855)*($G$9-$E$9)*($G$9-$F$9))))</f>
        <v>1</v>
      </c>
      <c r="F855" s="37" t="n">
        <f aca="false">1+IF($G$10=$E$10,$F$10,IF(T855&lt;($F$10-$E$10)/($G$10-$E$10),$E$10+SQRT(T855*($G$10-$E$10)*($F$10-$E$10)),$G$10-SQRT((1-T855)*($G$10-$E$10)*($G$10-$F$10))))</f>
        <v>1</v>
      </c>
      <c r="G855" s="38" t="n">
        <f aca="false">IF($G$11=$E$11,$F$11,IF(U855&lt;($F$11-$E$11)/($G$11-$E$11),$E$11+SQRT(U855*($G$11-$E$11)*($F$11-$E$11)),$G$11-SQRT((1-U855)*($G$11-$E$11)*($G$11-$F$11))))</f>
        <v>0</v>
      </c>
      <c r="H855" s="39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0</v>
      </c>
      <c r="I855" s="39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0</v>
      </c>
      <c r="J855" s="39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0</v>
      </c>
      <c r="K855" s="39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0</v>
      </c>
      <c r="L855" s="39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0</v>
      </c>
      <c r="M855" s="39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0</v>
      </c>
      <c r="N855" s="39" t="str">
        <f aca="false">IF(COUNT('Business Case'!B11:G11)=0,"",H855+NPV(G855,I855:M855))</f>
        <v/>
      </c>
      <c r="P855" s="40" t="n">
        <f aca="true">RAND()</f>
        <v>0.763632134014704</v>
      </c>
      <c r="Q855" s="40" t="n">
        <f aca="true">RAND()</f>
        <v>0.39612836117158</v>
      </c>
      <c r="R855" s="40" t="n">
        <f aca="true">RAND()</f>
        <v>0.686216374482827</v>
      </c>
      <c r="S855" s="40" t="n">
        <f aca="true">RAND()</f>
        <v>0.306164338646748</v>
      </c>
      <c r="T855" s="40" t="n">
        <f aca="true">RAND()</f>
        <v>0.312536052963719</v>
      </c>
      <c r="U855" s="40" t="n">
        <f aca="true">RAND()</f>
        <v>0.54397873615612</v>
      </c>
    </row>
    <row r="856" customFormat="false" ht="15" hidden="false" customHeight="false" outlineLevel="0" collapsed="false">
      <c r="A856" s="36" t="n">
        <v>776</v>
      </c>
      <c r="B856" s="37" t="n">
        <f aca="false">1+IF($G$6=$E$6,$F$6,IF(P856&lt;($F$6-$E$6)/($G$6-$E$6),$E$6+SQRT(P856*($G$6-$E$6)*($F$6-$E$6)),$G$6-SQRT((1-P856)*($G$6-$E$6)*($G$6-$F$6))))</f>
        <v>1</v>
      </c>
      <c r="C856" s="37" t="n">
        <f aca="false">1+IF($G$7=$E$7,$F$7,IF(Q856&lt;($F$7-$E$7)/($G$7-$E$7),$E$7+SQRT(Q856*($G$7-$E$7)*($F$7-$E$7)),$G$7-SQRT((1-Q856)*($G$7-$E$7)*($G$7-$F$7))))</f>
        <v>1</v>
      </c>
      <c r="D856" s="37" t="n">
        <f aca="false">1+IF($G$8=$E$8,$F$8,IF(R856&lt;($F$8-$E$8)/($G$8-$E$8),$E$8+SQRT(R856*($G$8-$E$8)*($F$8-$E$8)),$G$8-SQRT((1-R856)*($G$8-$E$8)*($G$8-$F$8))))</f>
        <v>1</v>
      </c>
      <c r="E856" s="37" t="n">
        <f aca="false">1+IF($G$9=$E$9,$F$9,IF(S856&lt;($F$9-$E$9)/($G$9-$E$9),$E$9+SQRT(S856*($G$9-$E$9)*($F$9-$E$9)),$G$9-SQRT((1-S856)*($G$9-$E$9)*($G$9-$F$9))))</f>
        <v>1</v>
      </c>
      <c r="F856" s="37" t="n">
        <f aca="false">1+IF($G$10=$E$10,$F$10,IF(T856&lt;($F$10-$E$10)/($G$10-$E$10),$E$10+SQRT(T856*($G$10-$E$10)*($F$10-$E$10)),$G$10-SQRT((1-T856)*($G$10-$E$10)*($G$10-$F$10))))</f>
        <v>1</v>
      </c>
      <c r="G856" s="38" t="n">
        <f aca="false">IF($G$11=$E$11,$F$11,IF(U856&lt;($F$11-$E$11)/($G$11-$E$11),$E$11+SQRT(U856*($G$11-$E$11)*($F$11-$E$11)),$G$11-SQRT((1-U856)*($G$11-$E$11)*($G$11-$F$11))))</f>
        <v>0</v>
      </c>
      <c r="H856" s="39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0</v>
      </c>
      <c r="I856" s="39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0</v>
      </c>
      <c r="J856" s="39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0</v>
      </c>
      <c r="K856" s="39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0</v>
      </c>
      <c r="L856" s="39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0</v>
      </c>
      <c r="M856" s="39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0</v>
      </c>
      <c r="N856" s="39" t="str">
        <f aca="false">IF(COUNT('Business Case'!B11:G11)=0,"",H856+NPV(G856,I856:M856))</f>
        <v/>
      </c>
      <c r="P856" s="40" t="n">
        <f aca="true">RAND()</f>
        <v>0.368746086994247</v>
      </c>
      <c r="Q856" s="40" t="n">
        <f aca="true">RAND()</f>
        <v>0.609385441669868</v>
      </c>
      <c r="R856" s="40" t="n">
        <f aca="true">RAND()</f>
        <v>0.461586088159386</v>
      </c>
      <c r="S856" s="40" t="n">
        <f aca="true">RAND()</f>
        <v>0.771053676145184</v>
      </c>
      <c r="T856" s="40" t="n">
        <f aca="true">RAND()</f>
        <v>0.537412154340188</v>
      </c>
      <c r="U856" s="40" t="n">
        <f aca="true">RAND()</f>
        <v>0.55437454091331</v>
      </c>
    </row>
    <row r="857" customFormat="false" ht="15" hidden="false" customHeight="false" outlineLevel="0" collapsed="false">
      <c r="A857" s="36" t="n">
        <v>777</v>
      </c>
      <c r="B857" s="37" t="n">
        <f aca="false">1+IF($G$6=$E$6,$F$6,IF(P857&lt;($F$6-$E$6)/($G$6-$E$6),$E$6+SQRT(P857*($G$6-$E$6)*($F$6-$E$6)),$G$6-SQRT((1-P857)*($G$6-$E$6)*($G$6-$F$6))))</f>
        <v>1</v>
      </c>
      <c r="C857" s="37" t="n">
        <f aca="false">1+IF($G$7=$E$7,$F$7,IF(Q857&lt;($F$7-$E$7)/($G$7-$E$7),$E$7+SQRT(Q857*($G$7-$E$7)*($F$7-$E$7)),$G$7-SQRT((1-Q857)*($G$7-$E$7)*($G$7-$F$7))))</f>
        <v>1</v>
      </c>
      <c r="D857" s="37" t="n">
        <f aca="false">1+IF($G$8=$E$8,$F$8,IF(R857&lt;($F$8-$E$8)/($G$8-$E$8),$E$8+SQRT(R857*($G$8-$E$8)*($F$8-$E$8)),$G$8-SQRT((1-R857)*($G$8-$E$8)*($G$8-$F$8))))</f>
        <v>1</v>
      </c>
      <c r="E857" s="37" t="n">
        <f aca="false">1+IF($G$9=$E$9,$F$9,IF(S857&lt;($F$9-$E$9)/($G$9-$E$9),$E$9+SQRT(S857*($G$9-$E$9)*($F$9-$E$9)),$G$9-SQRT((1-S857)*($G$9-$E$9)*($G$9-$F$9))))</f>
        <v>1</v>
      </c>
      <c r="F857" s="37" t="n">
        <f aca="false">1+IF($G$10=$E$10,$F$10,IF(T857&lt;($F$10-$E$10)/($G$10-$E$10),$E$10+SQRT(T857*($G$10-$E$10)*($F$10-$E$10)),$G$10-SQRT((1-T857)*($G$10-$E$10)*($G$10-$F$10))))</f>
        <v>1</v>
      </c>
      <c r="G857" s="38" t="n">
        <f aca="false">IF($G$11=$E$11,$F$11,IF(U857&lt;($F$11-$E$11)/($G$11-$E$11),$E$11+SQRT(U857*($G$11-$E$11)*($F$11-$E$11)),$G$11-SQRT((1-U857)*($G$11-$E$11)*($G$11-$F$11))))</f>
        <v>0</v>
      </c>
      <c r="H857" s="39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0</v>
      </c>
      <c r="I857" s="39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0</v>
      </c>
      <c r="J857" s="39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0</v>
      </c>
      <c r="K857" s="39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0</v>
      </c>
      <c r="L857" s="39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0</v>
      </c>
      <c r="M857" s="39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0</v>
      </c>
      <c r="N857" s="39" t="str">
        <f aca="false">IF(COUNT('Business Case'!B11:G11)=0,"",H857+NPV(G857,I857:M857))</f>
        <v/>
      </c>
      <c r="P857" s="40" t="n">
        <f aca="true">RAND()</f>
        <v>0.560977186189082</v>
      </c>
      <c r="Q857" s="40" t="n">
        <f aca="true">RAND()</f>
        <v>0.435836136637422</v>
      </c>
      <c r="R857" s="40" t="n">
        <f aca="true">RAND()</f>
        <v>0.610284409379127</v>
      </c>
      <c r="S857" s="40" t="n">
        <f aca="true">RAND()</f>
        <v>0.964247090502664</v>
      </c>
      <c r="T857" s="40" t="n">
        <f aca="true">RAND()</f>
        <v>0.639317179132199</v>
      </c>
      <c r="U857" s="40" t="n">
        <f aca="true">RAND()</f>
        <v>0.786468963516677</v>
      </c>
    </row>
    <row r="858" customFormat="false" ht="15" hidden="false" customHeight="false" outlineLevel="0" collapsed="false">
      <c r="A858" s="36" t="n">
        <v>778</v>
      </c>
      <c r="B858" s="37" t="n">
        <f aca="false">1+IF($G$6=$E$6,$F$6,IF(P858&lt;($F$6-$E$6)/($G$6-$E$6),$E$6+SQRT(P858*($G$6-$E$6)*($F$6-$E$6)),$G$6-SQRT((1-P858)*($G$6-$E$6)*($G$6-$F$6))))</f>
        <v>1</v>
      </c>
      <c r="C858" s="37" t="n">
        <f aca="false">1+IF($G$7=$E$7,$F$7,IF(Q858&lt;($F$7-$E$7)/($G$7-$E$7),$E$7+SQRT(Q858*($G$7-$E$7)*($F$7-$E$7)),$G$7-SQRT((1-Q858)*($G$7-$E$7)*($G$7-$F$7))))</f>
        <v>1</v>
      </c>
      <c r="D858" s="37" t="n">
        <f aca="false">1+IF($G$8=$E$8,$F$8,IF(R858&lt;($F$8-$E$8)/($G$8-$E$8),$E$8+SQRT(R858*($G$8-$E$8)*($F$8-$E$8)),$G$8-SQRT((1-R858)*($G$8-$E$8)*($G$8-$F$8))))</f>
        <v>1</v>
      </c>
      <c r="E858" s="37" t="n">
        <f aca="false">1+IF($G$9=$E$9,$F$9,IF(S858&lt;($F$9-$E$9)/($G$9-$E$9),$E$9+SQRT(S858*($G$9-$E$9)*($F$9-$E$9)),$G$9-SQRT((1-S858)*($G$9-$E$9)*($G$9-$F$9))))</f>
        <v>1</v>
      </c>
      <c r="F858" s="37" t="n">
        <f aca="false">1+IF($G$10=$E$10,$F$10,IF(T858&lt;($F$10-$E$10)/($G$10-$E$10),$E$10+SQRT(T858*($G$10-$E$10)*($F$10-$E$10)),$G$10-SQRT((1-T858)*($G$10-$E$10)*($G$10-$F$10))))</f>
        <v>1</v>
      </c>
      <c r="G858" s="38" t="n">
        <f aca="false">IF($G$11=$E$11,$F$11,IF(U858&lt;($F$11-$E$11)/($G$11-$E$11),$E$11+SQRT(U858*($G$11-$E$11)*($F$11-$E$11)),$G$11-SQRT((1-U858)*($G$11-$E$11)*($G$11-$F$11))))</f>
        <v>0</v>
      </c>
      <c r="H858" s="39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0</v>
      </c>
      <c r="I858" s="39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0</v>
      </c>
      <c r="J858" s="39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0</v>
      </c>
      <c r="K858" s="39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0</v>
      </c>
      <c r="L858" s="39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0</v>
      </c>
      <c r="M858" s="39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0</v>
      </c>
      <c r="N858" s="39" t="str">
        <f aca="false">IF(COUNT('Business Case'!B11:G11)=0,"",H858+NPV(G858,I858:M858))</f>
        <v/>
      </c>
      <c r="P858" s="40" t="n">
        <f aca="true">RAND()</f>
        <v>0.249262826169687</v>
      </c>
      <c r="Q858" s="40" t="n">
        <f aca="true">RAND()</f>
        <v>0.271461961721273</v>
      </c>
      <c r="R858" s="40" t="n">
        <f aca="true">RAND()</f>
        <v>0.597234584236666</v>
      </c>
      <c r="S858" s="40" t="n">
        <f aca="true">RAND()</f>
        <v>0.158063096671259</v>
      </c>
      <c r="T858" s="40" t="n">
        <f aca="true">RAND()</f>
        <v>0.494967366058872</v>
      </c>
      <c r="U858" s="40" t="n">
        <f aca="true">RAND()</f>
        <v>0.365713466466275</v>
      </c>
    </row>
    <row r="859" customFormat="false" ht="15" hidden="false" customHeight="false" outlineLevel="0" collapsed="false">
      <c r="A859" s="36" t="n">
        <v>779</v>
      </c>
      <c r="B859" s="37" t="n">
        <f aca="false">1+IF($G$6=$E$6,$F$6,IF(P859&lt;($F$6-$E$6)/($G$6-$E$6),$E$6+SQRT(P859*($G$6-$E$6)*($F$6-$E$6)),$G$6-SQRT((1-P859)*($G$6-$E$6)*($G$6-$F$6))))</f>
        <v>1</v>
      </c>
      <c r="C859" s="37" t="n">
        <f aca="false">1+IF($G$7=$E$7,$F$7,IF(Q859&lt;($F$7-$E$7)/($G$7-$E$7),$E$7+SQRT(Q859*($G$7-$E$7)*($F$7-$E$7)),$G$7-SQRT((1-Q859)*($G$7-$E$7)*($G$7-$F$7))))</f>
        <v>1</v>
      </c>
      <c r="D859" s="37" t="n">
        <f aca="false">1+IF($G$8=$E$8,$F$8,IF(R859&lt;($F$8-$E$8)/($G$8-$E$8),$E$8+SQRT(R859*($G$8-$E$8)*($F$8-$E$8)),$G$8-SQRT((1-R859)*($G$8-$E$8)*($G$8-$F$8))))</f>
        <v>1</v>
      </c>
      <c r="E859" s="37" t="n">
        <f aca="false">1+IF($G$9=$E$9,$F$9,IF(S859&lt;($F$9-$E$9)/($G$9-$E$9),$E$9+SQRT(S859*($G$9-$E$9)*($F$9-$E$9)),$G$9-SQRT((1-S859)*($G$9-$E$9)*($G$9-$F$9))))</f>
        <v>1</v>
      </c>
      <c r="F859" s="37" t="n">
        <f aca="false">1+IF($G$10=$E$10,$F$10,IF(T859&lt;($F$10-$E$10)/($G$10-$E$10),$E$10+SQRT(T859*($G$10-$E$10)*($F$10-$E$10)),$G$10-SQRT((1-T859)*($G$10-$E$10)*($G$10-$F$10))))</f>
        <v>1</v>
      </c>
      <c r="G859" s="38" t="n">
        <f aca="false">IF($G$11=$E$11,$F$11,IF(U859&lt;($F$11-$E$11)/($G$11-$E$11),$E$11+SQRT(U859*($G$11-$E$11)*($F$11-$E$11)),$G$11-SQRT((1-U859)*($G$11-$E$11)*($G$11-$F$11))))</f>
        <v>0</v>
      </c>
      <c r="H859" s="39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0</v>
      </c>
      <c r="I859" s="39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0</v>
      </c>
      <c r="J859" s="39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0</v>
      </c>
      <c r="K859" s="39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0</v>
      </c>
      <c r="L859" s="39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0</v>
      </c>
      <c r="M859" s="39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0</v>
      </c>
      <c r="N859" s="39" t="str">
        <f aca="false">IF(COUNT('Business Case'!B11:G11)=0,"",H859+NPV(G859,I859:M859))</f>
        <v/>
      </c>
      <c r="P859" s="40" t="n">
        <f aca="true">RAND()</f>
        <v>0.520820597710811</v>
      </c>
      <c r="Q859" s="40" t="n">
        <f aca="true">RAND()</f>
        <v>0.495614861698279</v>
      </c>
      <c r="R859" s="40" t="n">
        <f aca="true">RAND()</f>
        <v>0.331716815547651</v>
      </c>
      <c r="S859" s="40" t="n">
        <f aca="true">RAND()</f>
        <v>0.852862634332713</v>
      </c>
      <c r="T859" s="40" t="n">
        <f aca="true">RAND()</f>
        <v>0.500584463363915</v>
      </c>
      <c r="U859" s="40" t="n">
        <f aca="true">RAND()</f>
        <v>0.895176308690683</v>
      </c>
    </row>
    <row r="860" customFormat="false" ht="15" hidden="false" customHeight="false" outlineLevel="0" collapsed="false">
      <c r="A860" s="36" t="n">
        <v>780</v>
      </c>
      <c r="B860" s="37" t="n">
        <f aca="false">1+IF($G$6=$E$6,$F$6,IF(P860&lt;($F$6-$E$6)/($G$6-$E$6),$E$6+SQRT(P860*($G$6-$E$6)*($F$6-$E$6)),$G$6-SQRT((1-P860)*($G$6-$E$6)*($G$6-$F$6))))</f>
        <v>1</v>
      </c>
      <c r="C860" s="37" t="n">
        <f aca="false">1+IF($G$7=$E$7,$F$7,IF(Q860&lt;($F$7-$E$7)/($G$7-$E$7),$E$7+SQRT(Q860*($G$7-$E$7)*($F$7-$E$7)),$G$7-SQRT((1-Q860)*($G$7-$E$7)*($G$7-$F$7))))</f>
        <v>1</v>
      </c>
      <c r="D860" s="37" t="n">
        <f aca="false">1+IF($G$8=$E$8,$F$8,IF(R860&lt;($F$8-$E$8)/($G$8-$E$8),$E$8+SQRT(R860*($G$8-$E$8)*($F$8-$E$8)),$G$8-SQRT((1-R860)*($G$8-$E$8)*($G$8-$F$8))))</f>
        <v>1</v>
      </c>
      <c r="E860" s="37" t="n">
        <f aca="false">1+IF($G$9=$E$9,$F$9,IF(S860&lt;($F$9-$E$9)/($G$9-$E$9),$E$9+SQRT(S860*($G$9-$E$9)*($F$9-$E$9)),$G$9-SQRT((1-S860)*($G$9-$E$9)*($G$9-$F$9))))</f>
        <v>1</v>
      </c>
      <c r="F860" s="37" t="n">
        <f aca="false">1+IF($G$10=$E$10,$F$10,IF(T860&lt;($F$10-$E$10)/($G$10-$E$10),$E$10+SQRT(T860*($G$10-$E$10)*($F$10-$E$10)),$G$10-SQRT((1-T860)*($G$10-$E$10)*($G$10-$F$10))))</f>
        <v>1</v>
      </c>
      <c r="G860" s="38" t="n">
        <f aca="false">IF($G$11=$E$11,$F$11,IF(U860&lt;($F$11-$E$11)/($G$11-$E$11),$E$11+SQRT(U860*($G$11-$E$11)*($F$11-$E$11)),$G$11-SQRT((1-U860)*($G$11-$E$11)*($G$11-$F$11))))</f>
        <v>0</v>
      </c>
      <c r="H860" s="39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0</v>
      </c>
      <c r="I860" s="39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0</v>
      </c>
      <c r="J860" s="39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0</v>
      </c>
      <c r="K860" s="39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0</v>
      </c>
      <c r="L860" s="39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0</v>
      </c>
      <c r="M860" s="39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0</v>
      </c>
      <c r="N860" s="39" t="str">
        <f aca="false">IF(COUNT('Business Case'!B11:G11)=0,"",H860+NPV(G860,I860:M860))</f>
        <v/>
      </c>
      <c r="P860" s="40" t="n">
        <f aca="true">RAND()</f>
        <v>0.542692751981067</v>
      </c>
      <c r="Q860" s="40" t="n">
        <f aca="true">RAND()</f>
        <v>0.235412694824088</v>
      </c>
      <c r="R860" s="40" t="n">
        <f aca="true">RAND()</f>
        <v>0.0679938676126991</v>
      </c>
      <c r="S860" s="40" t="n">
        <f aca="true">RAND()</f>
        <v>0.0906782418401874</v>
      </c>
      <c r="T860" s="40" t="n">
        <f aca="true">RAND()</f>
        <v>0.0771004480957483</v>
      </c>
      <c r="U860" s="40" t="n">
        <f aca="true">RAND()</f>
        <v>0.422840879733954</v>
      </c>
    </row>
    <row r="861" customFormat="false" ht="15" hidden="false" customHeight="false" outlineLevel="0" collapsed="false">
      <c r="A861" s="36" t="n">
        <v>781</v>
      </c>
      <c r="B861" s="37" t="n">
        <f aca="false">1+IF($G$6=$E$6,$F$6,IF(P861&lt;($F$6-$E$6)/($G$6-$E$6),$E$6+SQRT(P861*($G$6-$E$6)*($F$6-$E$6)),$G$6-SQRT((1-P861)*($G$6-$E$6)*($G$6-$F$6))))</f>
        <v>1</v>
      </c>
      <c r="C861" s="37" t="n">
        <f aca="false">1+IF($G$7=$E$7,$F$7,IF(Q861&lt;($F$7-$E$7)/($G$7-$E$7),$E$7+SQRT(Q861*($G$7-$E$7)*($F$7-$E$7)),$G$7-SQRT((1-Q861)*($G$7-$E$7)*($G$7-$F$7))))</f>
        <v>1</v>
      </c>
      <c r="D861" s="37" t="n">
        <f aca="false">1+IF($G$8=$E$8,$F$8,IF(R861&lt;($F$8-$E$8)/($G$8-$E$8),$E$8+SQRT(R861*($G$8-$E$8)*($F$8-$E$8)),$G$8-SQRT((1-R861)*($G$8-$E$8)*($G$8-$F$8))))</f>
        <v>1</v>
      </c>
      <c r="E861" s="37" t="n">
        <f aca="false">1+IF($G$9=$E$9,$F$9,IF(S861&lt;($F$9-$E$9)/($G$9-$E$9),$E$9+SQRT(S861*($G$9-$E$9)*($F$9-$E$9)),$G$9-SQRT((1-S861)*($G$9-$E$9)*($G$9-$F$9))))</f>
        <v>1</v>
      </c>
      <c r="F861" s="37" t="n">
        <f aca="false">1+IF($G$10=$E$10,$F$10,IF(T861&lt;($F$10-$E$10)/($G$10-$E$10),$E$10+SQRT(T861*($G$10-$E$10)*($F$10-$E$10)),$G$10-SQRT((1-T861)*($G$10-$E$10)*($G$10-$F$10))))</f>
        <v>1</v>
      </c>
      <c r="G861" s="38" t="n">
        <f aca="false">IF($G$11=$E$11,$F$11,IF(U861&lt;($F$11-$E$11)/($G$11-$E$11),$E$11+SQRT(U861*($G$11-$E$11)*($F$11-$E$11)),$G$11-SQRT((1-U861)*($G$11-$E$11)*($G$11-$F$11))))</f>
        <v>0</v>
      </c>
      <c r="H861" s="39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0</v>
      </c>
      <c r="I861" s="39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0</v>
      </c>
      <c r="J861" s="39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0</v>
      </c>
      <c r="K861" s="39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0</v>
      </c>
      <c r="L861" s="39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0</v>
      </c>
      <c r="M861" s="39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0</v>
      </c>
      <c r="N861" s="39" t="str">
        <f aca="false">IF(COUNT('Business Case'!B11:G11)=0,"",H861+NPV(G861,I861:M861))</f>
        <v/>
      </c>
      <c r="P861" s="40" t="n">
        <f aca="true">RAND()</f>
        <v>0.634592103416198</v>
      </c>
      <c r="Q861" s="40" t="n">
        <f aca="true">RAND()</f>
        <v>0.175873181110256</v>
      </c>
      <c r="R861" s="40" t="n">
        <f aca="true">RAND()</f>
        <v>0.0919112906477172</v>
      </c>
      <c r="S861" s="40" t="n">
        <f aca="true">RAND()</f>
        <v>0.243708999357789</v>
      </c>
      <c r="T861" s="40" t="n">
        <f aca="true">RAND()</f>
        <v>0.794174603954864</v>
      </c>
      <c r="U861" s="40" t="n">
        <f aca="true">RAND()</f>
        <v>0.314470856513136</v>
      </c>
    </row>
    <row r="862" customFormat="false" ht="15" hidden="false" customHeight="false" outlineLevel="0" collapsed="false">
      <c r="A862" s="36" t="n">
        <v>782</v>
      </c>
      <c r="B862" s="37" t="n">
        <f aca="false">1+IF($G$6=$E$6,$F$6,IF(P862&lt;($F$6-$E$6)/($G$6-$E$6),$E$6+SQRT(P862*($G$6-$E$6)*($F$6-$E$6)),$G$6-SQRT((1-P862)*($G$6-$E$6)*($G$6-$F$6))))</f>
        <v>1</v>
      </c>
      <c r="C862" s="37" t="n">
        <f aca="false">1+IF($G$7=$E$7,$F$7,IF(Q862&lt;($F$7-$E$7)/($G$7-$E$7),$E$7+SQRT(Q862*($G$7-$E$7)*($F$7-$E$7)),$G$7-SQRT((1-Q862)*($G$7-$E$7)*($G$7-$F$7))))</f>
        <v>1</v>
      </c>
      <c r="D862" s="37" t="n">
        <f aca="false">1+IF($G$8=$E$8,$F$8,IF(R862&lt;($F$8-$E$8)/($G$8-$E$8),$E$8+SQRT(R862*($G$8-$E$8)*($F$8-$E$8)),$G$8-SQRT((1-R862)*($G$8-$E$8)*($G$8-$F$8))))</f>
        <v>1</v>
      </c>
      <c r="E862" s="37" t="n">
        <f aca="false">1+IF($G$9=$E$9,$F$9,IF(S862&lt;($F$9-$E$9)/($G$9-$E$9),$E$9+SQRT(S862*($G$9-$E$9)*($F$9-$E$9)),$G$9-SQRT((1-S862)*($G$9-$E$9)*($G$9-$F$9))))</f>
        <v>1</v>
      </c>
      <c r="F862" s="37" t="n">
        <f aca="false">1+IF($G$10=$E$10,$F$10,IF(T862&lt;($F$10-$E$10)/($G$10-$E$10),$E$10+SQRT(T862*($G$10-$E$10)*($F$10-$E$10)),$G$10-SQRT((1-T862)*($G$10-$E$10)*($G$10-$F$10))))</f>
        <v>1</v>
      </c>
      <c r="G862" s="38" t="n">
        <f aca="false">IF($G$11=$E$11,$F$11,IF(U862&lt;($F$11-$E$11)/($G$11-$E$11),$E$11+SQRT(U862*($G$11-$E$11)*($F$11-$E$11)),$G$11-SQRT((1-U862)*($G$11-$E$11)*($G$11-$F$11))))</f>
        <v>0</v>
      </c>
      <c r="H862" s="39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0</v>
      </c>
      <c r="I862" s="39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0</v>
      </c>
      <c r="J862" s="39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0</v>
      </c>
      <c r="K862" s="39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0</v>
      </c>
      <c r="L862" s="39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0</v>
      </c>
      <c r="M862" s="39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0</v>
      </c>
      <c r="N862" s="39" t="str">
        <f aca="false">IF(COUNT('Business Case'!B11:G11)=0,"",H862+NPV(G862,I862:M862))</f>
        <v/>
      </c>
      <c r="P862" s="40" t="n">
        <f aca="true">RAND()</f>
        <v>0.869491219588483</v>
      </c>
      <c r="Q862" s="40" t="n">
        <f aca="true">RAND()</f>
        <v>0.713071352100672</v>
      </c>
      <c r="R862" s="40" t="n">
        <f aca="true">RAND()</f>
        <v>0.705010077987998</v>
      </c>
      <c r="S862" s="40" t="n">
        <f aca="true">RAND()</f>
        <v>0.0976160849676474</v>
      </c>
      <c r="T862" s="40" t="n">
        <f aca="true">RAND()</f>
        <v>0.572153267634791</v>
      </c>
      <c r="U862" s="40" t="n">
        <f aca="true">RAND()</f>
        <v>0.269009166130149</v>
      </c>
    </row>
    <row r="863" customFormat="false" ht="15" hidden="false" customHeight="false" outlineLevel="0" collapsed="false">
      <c r="A863" s="36" t="n">
        <v>783</v>
      </c>
      <c r="B863" s="37" t="n">
        <f aca="false">1+IF($G$6=$E$6,$F$6,IF(P863&lt;($F$6-$E$6)/($G$6-$E$6),$E$6+SQRT(P863*($G$6-$E$6)*($F$6-$E$6)),$G$6-SQRT((1-P863)*($G$6-$E$6)*($G$6-$F$6))))</f>
        <v>1</v>
      </c>
      <c r="C863" s="37" t="n">
        <f aca="false">1+IF($G$7=$E$7,$F$7,IF(Q863&lt;($F$7-$E$7)/($G$7-$E$7),$E$7+SQRT(Q863*($G$7-$E$7)*($F$7-$E$7)),$G$7-SQRT((1-Q863)*($G$7-$E$7)*($G$7-$F$7))))</f>
        <v>1</v>
      </c>
      <c r="D863" s="37" t="n">
        <f aca="false">1+IF($G$8=$E$8,$F$8,IF(R863&lt;($F$8-$E$8)/($G$8-$E$8),$E$8+SQRT(R863*($G$8-$E$8)*($F$8-$E$8)),$G$8-SQRT((1-R863)*($G$8-$E$8)*($G$8-$F$8))))</f>
        <v>1</v>
      </c>
      <c r="E863" s="37" t="n">
        <f aca="false">1+IF($G$9=$E$9,$F$9,IF(S863&lt;($F$9-$E$9)/($G$9-$E$9),$E$9+SQRT(S863*($G$9-$E$9)*($F$9-$E$9)),$G$9-SQRT((1-S863)*($G$9-$E$9)*($G$9-$F$9))))</f>
        <v>1</v>
      </c>
      <c r="F863" s="37" t="n">
        <f aca="false">1+IF($G$10=$E$10,$F$10,IF(T863&lt;($F$10-$E$10)/($G$10-$E$10),$E$10+SQRT(T863*($G$10-$E$10)*($F$10-$E$10)),$G$10-SQRT((1-T863)*($G$10-$E$10)*($G$10-$F$10))))</f>
        <v>1</v>
      </c>
      <c r="G863" s="38" t="n">
        <f aca="false">IF($G$11=$E$11,$F$11,IF(U863&lt;($F$11-$E$11)/($G$11-$E$11),$E$11+SQRT(U863*($G$11-$E$11)*($F$11-$E$11)),$G$11-SQRT((1-U863)*($G$11-$E$11)*($G$11-$F$11))))</f>
        <v>0</v>
      </c>
      <c r="H863" s="39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0</v>
      </c>
      <c r="I863" s="39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0</v>
      </c>
      <c r="J863" s="39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0</v>
      </c>
      <c r="K863" s="39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0</v>
      </c>
      <c r="L863" s="39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0</v>
      </c>
      <c r="M863" s="39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0</v>
      </c>
      <c r="N863" s="39" t="str">
        <f aca="false">IF(COUNT('Business Case'!B11:G11)=0,"",H863+NPV(G863,I863:M863))</f>
        <v/>
      </c>
      <c r="P863" s="40" t="n">
        <f aca="true">RAND()</f>
        <v>0.579798513301319</v>
      </c>
      <c r="Q863" s="40" t="n">
        <f aca="true">RAND()</f>
        <v>0.50085874921119</v>
      </c>
      <c r="R863" s="40" t="n">
        <f aca="true">RAND()</f>
        <v>0.115110541127479</v>
      </c>
      <c r="S863" s="40" t="n">
        <f aca="true">RAND()</f>
        <v>0.698387588052799</v>
      </c>
      <c r="T863" s="40" t="n">
        <f aca="true">RAND()</f>
        <v>0.0770356303504337</v>
      </c>
      <c r="U863" s="40" t="n">
        <f aca="true">RAND()</f>
        <v>0.520324766374579</v>
      </c>
    </row>
    <row r="864" customFormat="false" ht="15" hidden="false" customHeight="false" outlineLevel="0" collapsed="false">
      <c r="A864" s="36" t="n">
        <v>784</v>
      </c>
      <c r="B864" s="37" t="n">
        <f aca="false">1+IF($G$6=$E$6,$F$6,IF(P864&lt;($F$6-$E$6)/($G$6-$E$6),$E$6+SQRT(P864*($G$6-$E$6)*($F$6-$E$6)),$G$6-SQRT((1-P864)*($G$6-$E$6)*($G$6-$F$6))))</f>
        <v>1</v>
      </c>
      <c r="C864" s="37" t="n">
        <f aca="false">1+IF($G$7=$E$7,$F$7,IF(Q864&lt;($F$7-$E$7)/($G$7-$E$7),$E$7+SQRT(Q864*($G$7-$E$7)*($F$7-$E$7)),$G$7-SQRT((1-Q864)*($G$7-$E$7)*($G$7-$F$7))))</f>
        <v>1</v>
      </c>
      <c r="D864" s="37" t="n">
        <f aca="false">1+IF($G$8=$E$8,$F$8,IF(R864&lt;($F$8-$E$8)/($G$8-$E$8),$E$8+SQRT(R864*($G$8-$E$8)*($F$8-$E$8)),$G$8-SQRT((1-R864)*($G$8-$E$8)*($G$8-$F$8))))</f>
        <v>1</v>
      </c>
      <c r="E864" s="37" t="n">
        <f aca="false">1+IF($G$9=$E$9,$F$9,IF(S864&lt;($F$9-$E$9)/($G$9-$E$9),$E$9+SQRT(S864*($G$9-$E$9)*($F$9-$E$9)),$G$9-SQRT((1-S864)*($G$9-$E$9)*($G$9-$F$9))))</f>
        <v>1</v>
      </c>
      <c r="F864" s="37" t="n">
        <f aca="false">1+IF($G$10=$E$10,$F$10,IF(T864&lt;($F$10-$E$10)/($G$10-$E$10),$E$10+SQRT(T864*($G$10-$E$10)*($F$10-$E$10)),$G$10-SQRT((1-T864)*($G$10-$E$10)*($G$10-$F$10))))</f>
        <v>1</v>
      </c>
      <c r="G864" s="38" t="n">
        <f aca="false">IF($G$11=$E$11,$F$11,IF(U864&lt;($F$11-$E$11)/($G$11-$E$11),$E$11+SQRT(U864*($G$11-$E$11)*($F$11-$E$11)),$G$11-SQRT((1-U864)*($G$11-$E$11)*($G$11-$F$11))))</f>
        <v>0</v>
      </c>
      <c r="H864" s="39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0</v>
      </c>
      <c r="I864" s="39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0</v>
      </c>
      <c r="J864" s="39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0</v>
      </c>
      <c r="K864" s="39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0</v>
      </c>
      <c r="L864" s="39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0</v>
      </c>
      <c r="M864" s="39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0</v>
      </c>
      <c r="N864" s="39" t="str">
        <f aca="false">IF(COUNT('Business Case'!B11:G11)=0,"",H864+NPV(G864,I864:M864))</f>
        <v/>
      </c>
      <c r="P864" s="40" t="n">
        <f aca="true">RAND()</f>
        <v>0.342649485960643</v>
      </c>
      <c r="Q864" s="40" t="n">
        <f aca="true">RAND()</f>
        <v>0.460561103447682</v>
      </c>
      <c r="R864" s="40" t="n">
        <f aca="true">RAND()</f>
        <v>0.492888487510642</v>
      </c>
      <c r="S864" s="40" t="n">
        <f aca="true">RAND()</f>
        <v>0.638518551014696</v>
      </c>
      <c r="T864" s="40" t="n">
        <f aca="true">RAND()</f>
        <v>0.554139495910211</v>
      </c>
      <c r="U864" s="40" t="n">
        <f aca="true">RAND()</f>
        <v>0.57822478709354</v>
      </c>
    </row>
    <row r="865" customFormat="false" ht="15" hidden="false" customHeight="false" outlineLevel="0" collapsed="false">
      <c r="A865" s="36" t="n">
        <v>785</v>
      </c>
      <c r="B865" s="37" t="n">
        <f aca="false">1+IF($G$6=$E$6,$F$6,IF(P865&lt;($F$6-$E$6)/($G$6-$E$6),$E$6+SQRT(P865*($G$6-$E$6)*($F$6-$E$6)),$G$6-SQRT((1-P865)*($G$6-$E$6)*($G$6-$F$6))))</f>
        <v>1</v>
      </c>
      <c r="C865" s="37" t="n">
        <f aca="false">1+IF($G$7=$E$7,$F$7,IF(Q865&lt;($F$7-$E$7)/($G$7-$E$7),$E$7+SQRT(Q865*($G$7-$E$7)*($F$7-$E$7)),$G$7-SQRT((1-Q865)*($G$7-$E$7)*($G$7-$F$7))))</f>
        <v>1</v>
      </c>
      <c r="D865" s="37" t="n">
        <f aca="false">1+IF($G$8=$E$8,$F$8,IF(R865&lt;($F$8-$E$8)/($G$8-$E$8),$E$8+SQRT(R865*($G$8-$E$8)*($F$8-$E$8)),$G$8-SQRT((1-R865)*($G$8-$E$8)*($G$8-$F$8))))</f>
        <v>1</v>
      </c>
      <c r="E865" s="37" t="n">
        <f aca="false">1+IF($G$9=$E$9,$F$9,IF(S865&lt;($F$9-$E$9)/($G$9-$E$9),$E$9+SQRT(S865*($G$9-$E$9)*($F$9-$E$9)),$G$9-SQRT((1-S865)*($G$9-$E$9)*($G$9-$F$9))))</f>
        <v>1</v>
      </c>
      <c r="F865" s="37" t="n">
        <f aca="false">1+IF($G$10=$E$10,$F$10,IF(T865&lt;($F$10-$E$10)/($G$10-$E$10),$E$10+SQRT(T865*($G$10-$E$10)*($F$10-$E$10)),$G$10-SQRT((1-T865)*($G$10-$E$10)*($G$10-$F$10))))</f>
        <v>1</v>
      </c>
      <c r="G865" s="38" t="n">
        <f aca="false">IF($G$11=$E$11,$F$11,IF(U865&lt;($F$11-$E$11)/($G$11-$E$11),$E$11+SQRT(U865*($G$11-$E$11)*($F$11-$E$11)),$G$11-SQRT((1-U865)*($G$11-$E$11)*($G$11-$F$11))))</f>
        <v>0</v>
      </c>
      <c r="H865" s="39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0</v>
      </c>
      <c r="I865" s="39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0</v>
      </c>
      <c r="J865" s="39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0</v>
      </c>
      <c r="K865" s="39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0</v>
      </c>
      <c r="L865" s="39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0</v>
      </c>
      <c r="M865" s="39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0</v>
      </c>
      <c r="N865" s="39" t="str">
        <f aca="false">IF(COUNT('Business Case'!B11:G11)=0,"",H865+NPV(G865,I865:M865))</f>
        <v/>
      </c>
      <c r="P865" s="40" t="n">
        <f aca="true">RAND()</f>
        <v>0.640970854519045</v>
      </c>
      <c r="Q865" s="40" t="n">
        <f aca="true">RAND()</f>
        <v>0.89782437099664</v>
      </c>
      <c r="R865" s="40" t="n">
        <f aca="true">RAND()</f>
        <v>0.922300778418733</v>
      </c>
      <c r="S865" s="40" t="n">
        <f aca="true">RAND()</f>
        <v>0.836441895804106</v>
      </c>
      <c r="T865" s="40" t="n">
        <f aca="true">RAND()</f>
        <v>0.254872884899842</v>
      </c>
      <c r="U865" s="40" t="n">
        <f aca="true">RAND()</f>
        <v>0.702126679400177</v>
      </c>
    </row>
    <row r="866" customFormat="false" ht="15" hidden="false" customHeight="false" outlineLevel="0" collapsed="false">
      <c r="A866" s="36" t="n">
        <v>786</v>
      </c>
      <c r="B866" s="37" t="n">
        <f aca="false">1+IF($G$6=$E$6,$F$6,IF(P866&lt;($F$6-$E$6)/($G$6-$E$6),$E$6+SQRT(P866*($G$6-$E$6)*($F$6-$E$6)),$G$6-SQRT((1-P866)*($G$6-$E$6)*($G$6-$F$6))))</f>
        <v>1</v>
      </c>
      <c r="C866" s="37" t="n">
        <f aca="false">1+IF($G$7=$E$7,$F$7,IF(Q866&lt;($F$7-$E$7)/($G$7-$E$7),$E$7+SQRT(Q866*($G$7-$E$7)*($F$7-$E$7)),$G$7-SQRT((1-Q866)*($G$7-$E$7)*($G$7-$F$7))))</f>
        <v>1</v>
      </c>
      <c r="D866" s="37" t="n">
        <f aca="false">1+IF($G$8=$E$8,$F$8,IF(R866&lt;($F$8-$E$8)/($G$8-$E$8),$E$8+SQRT(R866*($G$8-$E$8)*($F$8-$E$8)),$G$8-SQRT((1-R866)*($G$8-$E$8)*($G$8-$F$8))))</f>
        <v>1</v>
      </c>
      <c r="E866" s="37" t="n">
        <f aca="false">1+IF($G$9=$E$9,$F$9,IF(S866&lt;($F$9-$E$9)/($G$9-$E$9),$E$9+SQRT(S866*($G$9-$E$9)*($F$9-$E$9)),$G$9-SQRT((1-S866)*($G$9-$E$9)*($G$9-$F$9))))</f>
        <v>1</v>
      </c>
      <c r="F866" s="37" t="n">
        <f aca="false">1+IF($G$10=$E$10,$F$10,IF(T866&lt;($F$10-$E$10)/($G$10-$E$10),$E$10+SQRT(T866*($G$10-$E$10)*($F$10-$E$10)),$G$10-SQRT((1-T866)*($G$10-$E$10)*($G$10-$F$10))))</f>
        <v>1</v>
      </c>
      <c r="G866" s="38" t="n">
        <f aca="false">IF($G$11=$E$11,$F$11,IF(U866&lt;($F$11-$E$11)/($G$11-$E$11),$E$11+SQRT(U866*($G$11-$E$11)*($F$11-$E$11)),$G$11-SQRT((1-U866)*($G$11-$E$11)*($G$11-$F$11))))</f>
        <v>0</v>
      </c>
      <c r="H866" s="39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0</v>
      </c>
      <c r="I866" s="39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0</v>
      </c>
      <c r="J866" s="39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0</v>
      </c>
      <c r="K866" s="39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0</v>
      </c>
      <c r="L866" s="39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0</v>
      </c>
      <c r="M866" s="39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0</v>
      </c>
      <c r="N866" s="39" t="str">
        <f aca="false">IF(COUNT('Business Case'!B11:G11)=0,"",H866+NPV(G866,I866:M866))</f>
        <v/>
      </c>
      <c r="P866" s="40" t="n">
        <f aca="true">RAND()</f>
        <v>0.792613654064556</v>
      </c>
      <c r="Q866" s="40" t="n">
        <f aca="true">RAND()</f>
        <v>0.229114762157</v>
      </c>
      <c r="R866" s="40" t="n">
        <f aca="true">RAND()</f>
        <v>0.968957017419206</v>
      </c>
      <c r="S866" s="40" t="n">
        <f aca="true">RAND()</f>
        <v>0.953274684889334</v>
      </c>
      <c r="T866" s="40" t="n">
        <f aca="true">RAND()</f>
        <v>0.448883368920271</v>
      </c>
      <c r="U866" s="40" t="n">
        <f aca="true">RAND()</f>
        <v>0.568659627580169</v>
      </c>
    </row>
    <row r="867" customFormat="false" ht="15" hidden="false" customHeight="false" outlineLevel="0" collapsed="false">
      <c r="A867" s="36" t="n">
        <v>787</v>
      </c>
      <c r="B867" s="37" t="n">
        <f aca="false">1+IF($G$6=$E$6,$F$6,IF(P867&lt;($F$6-$E$6)/($G$6-$E$6),$E$6+SQRT(P867*($G$6-$E$6)*($F$6-$E$6)),$G$6-SQRT((1-P867)*($G$6-$E$6)*($G$6-$F$6))))</f>
        <v>1</v>
      </c>
      <c r="C867" s="37" t="n">
        <f aca="false">1+IF($G$7=$E$7,$F$7,IF(Q867&lt;($F$7-$E$7)/($G$7-$E$7),$E$7+SQRT(Q867*($G$7-$E$7)*($F$7-$E$7)),$G$7-SQRT((1-Q867)*($G$7-$E$7)*($G$7-$F$7))))</f>
        <v>1</v>
      </c>
      <c r="D867" s="37" t="n">
        <f aca="false">1+IF($G$8=$E$8,$F$8,IF(R867&lt;($F$8-$E$8)/($G$8-$E$8),$E$8+SQRT(R867*($G$8-$E$8)*($F$8-$E$8)),$G$8-SQRT((1-R867)*($G$8-$E$8)*($G$8-$F$8))))</f>
        <v>1</v>
      </c>
      <c r="E867" s="37" t="n">
        <f aca="false">1+IF($G$9=$E$9,$F$9,IF(S867&lt;($F$9-$E$9)/($G$9-$E$9),$E$9+SQRT(S867*($G$9-$E$9)*($F$9-$E$9)),$G$9-SQRT((1-S867)*($G$9-$E$9)*($G$9-$F$9))))</f>
        <v>1</v>
      </c>
      <c r="F867" s="37" t="n">
        <f aca="false">1+IF($G$10=$E$10,$F$10,IF(T867&lt;($F$10-$E$10)/($G$10-$E$10),$E$10+SQRT(T867*($G$10-$E$10)*($F$10-$E$10)),$G$10-SQRT((1-T867)*($G$10-$E$10)*($G$10-$F$10))))</f>
        <v>1</v>
      </c>
      <c r="G867" s="38" t="n">
        <f aca="false">IF($G$11=$E$11,$F$11,IF(U867&lt;($F$11-$E$11)/($G$11-$E$11),$E$11+SQRT(U867*($G$11-$E$11)*($F$11-$E$11)),$G$11-SQRT((1-U867)*($G$11-$E$11)*($G$11-$F$11))))</f>
        <v>0</v>
      </c>
      <c r="H867" s="39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0</v>
      </c>
      <c r="I867" s="39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0</v>
      </c>
      <c r="J867" s="39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0</v>
      </c>
      <c r="K867" s="39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0</v>
      </c>
      <c r="L867" s="39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0</v>
      </c>
      <c r="M867" s="39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0</v>
      </c>
      <c r="N867" s="39" t="str">
        <f aca="false">IF(COUNT('Business Case'!B11:G11)=0,"",H867+NPV(G867,I867:M867))</f>
        <v/>
      </c>
      <c r="P867" s="40" t="n">
        <f aca="true">RAND()</f>
        <v>0.380699362594656</v>
      </c>
      <c r="Q867" s="40" t="n">
        <f aca="true">RAND()</f>
        <v>0.491114478621617</v>
      </c>
      <c r="R867" s="40" t="n">
        <f aca="true">RAND()</f>
        <v>0.0361161906587719</v>
      </c>
      <c r="S867" s="40" t="n">
        <f aca="true">RAND()</f>
        <v>0.434666425637183</v>
      </c>
      <c r="T867" s="40" t="n">
        <f aca="true">RAND()</f>
        <v>0.897356401579361</v>
      </c>
      <c r="U867" s="40" t="n">
        <f aca="true">RAND()</f>
        <v>0.514274501836285</v>
      </c>
    </row>
    <row r="868" customFormat="false" ht="15" hidden="false" customHeight="false" outlineLevel="0" collapsed="false">
      <c r="A868" s="36" t="n">
        <v>788</v>
      </c>
      <c r="B868" s="37" t="n">
        <f aca="false">1+IF($G$6=$E$6,$F$6,IF(P868&lt;($F$6-$E$6)/($G$6-$E$6),$E$6+SQRT(P868*($G$6-$E$6)*($F$6-$E$6)),$G$6-SQRT((1-P868)*($G$6-$E$6)*($G$6-$F$6))))</f>
        <v>1</v>
      </c>
      <c r="C868" s="37" t="n">
        <f aca="false">1+IF($G$7=$E$7,$F$7,IF(Q868&lt;($F$7-$E$7)/($G$7-$E$7),$E$7+SQRT(Q868*($G$7-$E$7)*($F$7-$E$7)),$G$7-SQRT((1-Q868)*($G$7-$E$7)*($G$7-$F$7))))</f>
        <v>1</v>
      </c>
      <c r="D868" s="37" t="n">
        <f aca="false">1+IF($G$8=$E$8,$F$8,IF(R868&lt;($F$8-$E$8)/($G$8-$E$8),$E$8+SQRT(R868*($G$8-$E$8)*($F$8-$E$8)),$G$8-SQRT((1-R868)*($G$8-$E$8)*($G$8-$F$8))))</f>
        <v>1</v>
      </c>
      <c r="E868" s="37" t="n">
        <f aca="false">1+IF($G$9=$E$9,$F$9,IF(S868&lt;($F$9-$E$9)/($G$9-$E$9),$E$9+SQRT(S868*($G$9-$E$9)*($F$9-$E$9)),$G$9-SQRT((1-S868)*($G$9-$E$9)*($G$9-$F$9))))</f>
        <v>1</v>
      </c>
      <c r="F868" s="37" t="n">
        <f aca="false">1+IF($G$10=$E$10,$F$10,IF(T868&lt;($F$10-$E$10)/($G$10-$E$10),$E$10+SQRT(T868*($G$10-$E$10)*($F$10-$E$10)),$G$10-SQRT((1-T868)*($G$10-$E$10)*($G$10-$F$10))))</f>
        <v>1</v>
      </c>
      <c r="G868" s="38" t="n">
        <f aca="false">IF($G$11=$E$11,$F$11,IF(U868&lt;($F$11-$E$11)/($G$11-$E$11),$E$11+SQRT(U868*($G$11-$E$11)*($F$11-$E$11)),$G$11-SQRT((1-U868)*($G$11-$E$11)*($G$11-$F$11))))</f>
        <v>0</v>
      </c>
      <c r="H868" s="39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0</v>
      </c>
      <c r="I868" s="39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0</v>
      </c>
      <c r="J868" s="39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0</v>
      </c>
      <c r="K868" s="39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0</v>
      </c>
      <c r="L868" s="39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0</v>
      </c>
      <c r="M868" s="39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0</v>
      </c>
      <c r="N868" s="39" t="str">
        <f aca="false">IF(COUNT('Business Case'!B11:G11)=0,"",H868+NPV(G868,I868:M868))</f>
        <v/>
      </c>
      <c r="P868" s="40" t="n">
        <f aca="true">RAND()</f>
        <v>0.986477824942785</v>
      </c>
      <c r="Q868" s="40" t="n">
        <f aca="true">RAND()</f>
        <v>0.076221845609787</v>
      </c>
      <c r="R868" s="40" t="n">
        <f aca="true">RAND()</f>
        <v>0.36359353708928</v>
      </c>
      <c r="S868" s="40" t="n">
        <f aca="true">RAND()</f>
        <v>0.604278653885435</v>
      </c>
      <c r="T868" s="40" t="n">
        <f aca="true">RAND()</f>
        <v>0.473039946034859</v>
      </c>
      <c r="U868" s="40" t="n">
        <f aca="true">RAND()</f>
        <v>0.424272543825376</v>
      </c>
    </row>
    <row r="869" customFormat="false" ht="15" hidden="false" customHeight="false" outlineLevel="0" collapsed="false">
      <c r="A869" s="36" t="n">
        <v>789</v>
      </c>
      <c r="B869" s="37" t="n">
        <f aca="false">1+IF($G$6=$E$6,$F$6,IF(P869&lt;($F$6-$E$6)/($G$6-$E$6),$E$6+SQRT(P869*($G$6-$E$6)*($F$6-$E$6)),$G$6-SQRT((1-P869)*($G$6-$E$6)*($G$6-$F$6))))</f>
        <v>1</v>
      </c>
      <c r="C869" s="37" t="n">
        <f aca="false">1+IF($G$7=$E$7,$F$7,IF(Q869&lt;($F$7-$E$7)/($G$7-$E$7),$E$7+SQRT(Q869*($G$7-$E$7)*($F$7-$E$7)),$G$7-SQRT((1-Q869)*($G$7-$E$7)*($G$7-$F$7))))</f>
        <v>1</v>
      </c>
      <c r="D869" s="37" t="n">
        <f aca="false">1+IF($G$8=$E$8,$F$8,IF(R869&lt;($F$8-$E$8)/($G$8-$E$8),$E$8+SQRT(R869*($G$8-$E$8)*($F$8-$E$8)),$G$8-SQRT((1-R869)*($G$8-$E$8)*($G$8-$F$8))))</f>
        <v>1</v>
      </c>
      <c r="E869" s="37" t="n">
        <f aca="false">1+IF($G$9=$E$9,$F$9,IF(S869&lt;($F$9-$E$9)/($G$9-$E$9),$E$9+SQRT(S869*($G$9-$E$9)*($F$9-$E$9)),$G$9-SQRT((1-S869)*($G$9-$E$9)*($G$9-$F$9))))</f>
        <v>1</v>
      </c>
      <c r="F869" s="37" t="n">
        <f aca="false">1+IF($G$10=$E$10,$F$10,IF(T869&lt;($F$10-$E$10)/($G$10-$E$10),$E$10+SQRT(T869*($G$10-$E$10)*($F$10-$E$10)),$G$10-SQRT((1-T869)*($G$10-$E$10)*($G$10-$F$10))))</f>
        <v>1</v>
      </c>
      <c r="G869" s="38" t="n">
        <f aca="false">IF($G$11=$E$11,$F$11,IF(U869&lt;($F$11-$E$11)/($G$11-$E$11),$E$11+SQRT(U869*($G$11-$E$11)*($F$11-$E$11)),$G$11-SQRT((1-U869)*($G$11-$E$11)*($G$11-$F$11))))</f>
        <v>0</v>
      </c>
      <c r="H869" s="39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0</v>
      </c>
      <c r="I869" s="39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0</v>
      </c>
      <c r="J869" s="39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0</v>
      </c>
      <c r="K869" s="39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0</v>
      </c>
      <c r="L869" s="39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0</v>
      </c>
      <c r="M869" s="39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0</v>
      </c>
      <c r="N869" s="39" t="str">
        <f aca="false">IF(COUNT('Business Case'!B11:G11)=0,"",H869+NPV(G869,I869:M869))</f>
        <v/>
      </c>
      <c r="P869" s="40" t="n">
        <f aca="true">RAND()</f>
        <v>0.472705109050814</v>
      </c>
      <c r="Q869" s="40" t="n">
        <f aca="true">RAND()</f>
        <v>0.221359833833959</v>
      </c>
      <c r="R869" s="40" t="n">
        <f aca="true">RAND()</f>
        <v>0.873920226060144</v>
      </c>
      <c r="S869" s="40" t="n">
        <f aca="true">RAND()</f>
        <v>0.667250262010946</v>
      </c>
      <c r="T869" s="40" t="n">
        <f aca="true">RAND()</f>
        <v>0.37885210431138</v>
      </c>
      <c r="U869" s="40" t="n">
        <f aca="true">RAND()</f>
        <v>0.181374821892378</v>
      </c>
    </row>
    <row r="870" customFormat="false" ht="15" hidden="false" customHeight="false" outlineLevel="0" collapsed="false">
      <c r="A870" s="36" t="n">
        <v>790</v>
      </c>
      <c r="B870" s="37" t="n">
        <f aca="false">1+IF($G$6=$E$6,$F$6,IF(P870&lt;($F$6-$E$6)/($G$6-$E$6),$E$6+SQRT(P870*($G$6-$E$6)*($F$6-$E$6)),$G$6-SQRT((1-P870)*($G$6-$E$6)*($G$6-$F$6))))</f>
        <v>1</v>
      </c>
      <c r="C870" s="37" t="n">
        <f aca="false">1+IF($G$7=$E$7,$F$7,IF(Q870&lt;($F$7-$E$7)/($G$7-$E$7),$E$7+SQRT(Q870*($G$7-$E$7)*($F$7-$E$7)),$G$7-SQRT((1-Q870)*($G$7-$E$7)*($G$7-$F$7))))</f>
        <v>1</v>
      </c>
      <c r="D870" s="37" t="n">
        <f aca="false">1+IF($G$8=$E$8,$F$8,IF(R870&lt;($F$8-$E$8)/($G$8-$E$8),$E$8+SQRT(R870*($G$8-$E$8)*($F$8-$E$8)),$G$8-SQRT((1-R870)*($G$8-$E$8)*($G$8-$F$8))))</f>
        <v>1</v>
      </c>
      <c r="E870" s="37" t="n">
        <f aca="false">1+IF($G$9=$E$9,$F$9,IF(S870&lt;($F$9-$E$9)/($G$9-$E$9),$E$9+SQRT(S870*($G$9-$E$9)*($F$9-$E$9)),$G$9-SQRT((1-S870)*($G$9-$E$9)*($G$9-$F$9))))</f>
        <v>1</v>
      </c>
      <c r="F870" s="37" t="n">
        <f aca="false">1+IF($G$10=$E$10,$F$10,IF(T870&lt;($F$10-$E$10)/($G$10-$E$10),$E$10+SQRT(T870*($G$10-$E$10)*($F$10-$E$10)),$G$10-SQRT((1-T870)*($G$10-$E$10)*($G$10-$F$10))))</f>
        <v>1</v>
      </c>
      <c r="G870" s="38" t="n">
        <f aca="false">IF($G$11=$E$11,$F$11,IF(U870&lt;($F$11-$E$11)/($G$11-$E$11),$E$11+SQRT(U870*($G$11-$E$11)*($F$11-$E$11)),$G$11-SQRT((1-U870)*($G$11-$E$11)*($G$11-$F$11))))</f>
        <v>0</v>
      </c>
      <c r="H870" s="39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0</v>
      </c>
      <c r="I870" s="39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0</v>
      </c>
      <c r="J870" s="39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0</v>
      </c>
      <c r="K870" s="39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0</v>
      </c>
      <c r="L870" s="39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0</v>
      </c>
      <c r="M870" s="39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0</v>
      </c>
      <c r="N870" s="39" t="str">
        <f aca="false">IF(COUNT('Business Case'!B11:G11)=0,"",H870+NPV(G870,I870:M870))</f>
        <v/>
      </c>
      <c r="P870" s="40" t="n">
        <f aca="true">RAND()</f>
        <v>0.288050381676923</v>
      </c>
      <c r="Q870" s="40" t="n">
        <f aca="true">RAND()</f>
        <v>0.379514928231751</v>
      </c>
      <c r="R870" s="40" t="n">
        <f aca="true">RAND()</f>
        <v>0.0784972040740813</v>
      </c>
      <c r="S870" s="40" t="n">
        <f aca="true">RAND()</f>
        <v>0.172312220687317</v>
      </c>
      <c r="T870" s="40" t="n">
        <f aca="true">RAND()</f>
        <v>0.0112258121742195</v>
      </c>
      <c r="U870" s="40" t="n">
        <f aca="true">RAND()</f>
        <v>0.0583167344538917</v>
      </c>
    </row>
    <row r="871" customFormat="false" ht="15" hidden="false" customHeight="false" outlineLevel="0" collapsed="false">
      <c r="A871" s="36" t="n">
        <v>791</v>
      </c>
      <c r="B871" s="37" t="n">
        <f aca="false">1+IF($G$6=$E$6,$F$6,IF(P871&lt;($F$6-$E$6)/($G$6-$E$6),$E$6+SQRT(P871*($G$6-$E$6)*($F$6-$E$6)),$G$6-SQRT((1-P871)*($G$6-$E$6)*($G$6-$F$6))))</f>
        <v>1</v>
      </c>
      <c r="C871" s="37" t="n">
        <f aca="false">1+IF($G$7=$E$7,$F$7,IF(Q871&lt;($F$7-$E$7)/($G$7-$E$7),$E$7+SQRT(Q871*($G$7-$E$7)*($F$7-$E$7)),$G$7-SQRT((1-Q871)*($G$7-$E$7)*($G$7-$F$7))))</f>
        <v>1</v>
      </c>
      <c r="D871" s="37" t="n">
        <f aca="false">1+IF($G$8=$E$8,$F$8,IF(R871&lt;($F$8-$E$8)/($G$8-$E$8),$E$8+SQRT(R871*($G$8-$E$8)*($F$8-$E$8)),$G$8-SQRT((1-R871)*($G$8-$E$8)*($G$8-$F$8))))</f>
        <v>1</v>
      </c>
      <c r="E871" s="37" t="n">
        <f aca="false">1+IF($G$9=$E$9,$F$9,IF(S871&lt;($F$9-$E$9)/($G$9-$E$9),$E$9+SQRT(S871*($G$9-$E$9)*($F$9-$E$9)),$G$9-SQRT((1-S871)*($G$9-$E$9)*($G$9-$F$9))))</f>
        <v>1</v>
      </c>
      <c r="F871" s="37" t="n">
        <f aca="false">1+IF($G$10=$E$10,$F$10,IF(T871&lt;($F$10-$E$10)/($G$10-$E$10),$E$10+SQRT(T871*($G$10-$E$10)*($F$10-$E$10)),$G$10-SQRT((1-T871)*($G$10-$E$10)*($G$10-$F$10))))</f>
        <v>1</v>
      </c>
      <c r="G871" s="38" t="n">
        <f aca="false">IF($G$11=$E$11,$F$11,IF(U871&lt;($F$11-$E$11)/($G$11-$E$11),$E$11+SQRT(U871*($G$11-$E$11)*($F$11-$E$11)),$G$11-SQRT((1-U871)*($G$11-$E$11)*($G$11-$F$11))))</f>
        <v>0</v>
      </c>
      <c r="H871" s="39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0</v>
      </c>
      <c r="I871" s="39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0</v>
      </c>
      <c r="J871" s="39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0</v>
      </c>
      <c r="K871" s="39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0</v>
      </c>
      <c r="L871" s="39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0</v>
      </c>
      <c r="M871" s="39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0</v>
      </c>
      <c r="N871" s="39" t="str">
        <f aca="false">IF(COUNT('Business Case'!B11:G11)=0,"",H871+NPV(G871,I871:M871))</f>
        <v/>
      </c>
      <c r="P871" s="40" t="n">
        <f aca="true">RAND()</f>
        <v>0.492061713533888</v>
      </c>
      <c r="Q871" s="40" t="n">
        <f aca="true">RAND()</f>
        <v>0.993775369076693</v>
      </c>
      <c r="R871" s="40" t="n">
        <f aca="true">RAND()</f>
        <v>0.604676823965249</v>
      </c>
      <c r="S871" s="40" t="n">
        <f aca="true">RAND()</f>
        <v>0.29117507707366</v>
      </c>
      <c r="T871" s="40" t="n">
        <f aca="true">RAND()</f>
        <v>0.979770211406542</v>
      </c>
      <c r="U871" s="40" t="n">
        <f aca="true">RAND()</f>
        <v>0.247822813160379</v>
      </c>
    </row>
    <row r="872" customFormat="false" ht="15" hidden="false" customHeight="false" outlineLevel="0" collapsed="false">
      <c r="A872" s="36" t="n">
        <v>792</v>
      </c>
      <c r="B872" s="37" t="n">
        <f aca="false">1+IF($G$6=$E$6,$F$6,IF(P872&lt;($F$6-$E$6)/($G$6-$E$6),$E$6+SQRT(P872*($G$6-$E$6)*($F$6-$E$6)),$G$6-SQRT((1-P872)*($G$6-$E$6)*($G$6-$F$6))))</f>
        <v>1</v>
      </c>
      <c r="C872" s="37" t="n">
        <f aca="false">1+IF($G$7=$E$7,$F$7,IF(Q872&lt;($F$7-$E$7)/($G$7-$E$7),$E$7+SQRT(Q872*($G$7-$E$7)*($F$7-$E$7)),$G$7-SQRT((1-Q872)*($G$7-$E$7)*($G$7-$F$7))))</f>
        <v>1</v>
      </c>
      <c r="D872" s="37" t="n">
        <f aca="false">1+IF($G$8=$E$8,$F$8,IF(R872&lt;($F$8-$E$8)/($G$8-$E$8),$E$8+SQRT(R872*($G$8-$E$8)*($F$8-$E$8)),$G$8-SQRT((1-R872)*($G$8-$E$8)*($G$8-$F$8))))</f>
        <v>1</v>
      </c>
      <c r="E872" s="37" t="n">
        <f aca="false">1+IF($G$9=$E$9,$F$9,IF(S872&lt;($F$9-$E$9)/($G$9-$E$9),$E$9+SQRT(S872*($G$9-$E$9)*($F$9-$E$9)),$G$9-SQRT((1-S872)*($G$9-$E$9)*($G$9-$F$9))))</f>
        <v>1</v>
      </c>
      <c r="F872" s="37" t="n">
        <f aca="false">1+IF($G$10=$E$10,$F$10,IF(T872&lt;($F$10-$E$10)/($G$10-$E$10),$E$10+SQRT(T872*($G$10-$E$10)*($F$10-$E$10)),$G$10-SQRT((1-T872)*($G$10-$E$10)*($G$10-$F$10))))</f>
        <v>1</v>
      </c>
      <c r="G872" s="38" t="n">
        <f aca="false">IF($G$11=$E$11,$F$11,IF(U872&lt;($F$11-$E$11)/($G$11-$E$11),$E$11+SQRT(U872*($G$11-$E$11)*($F$11-$E$11)),$G$11-SQRT((1-U872)*($G$11-$E$11)*($G$11-$F$11))))</f>
        <v>0</v>
      </c>
      <c r="H872" s="39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0</v>
      </c>
      <c r="I872" s="39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0</v>
      </c>
      <c r="J872" s="39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0</v>
      </c>
      <c r="K872" s="39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0</v>
      </c>
      <c r="L872" s="39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0</v>
      </c>
      <c r="M872" s="39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0</v>
      </c>
      <c r="N872" s="39" t="str">
        <f aca="false">IF(COUNT('Business Case'!B11:G11)=0,"",H872+NPV(G872,I872:M872))</f>
        <v/>
      </c>
      <c r="P872" s="40" t="n">
        <f aca="true">RAND()</f>
        <v>0.694352887353563</v>
      </c>
      <c r="Q872" s="40" t="n">
        <f aca="true">RAND()</f>
        <v>0.849280343881057</v>
      </c>
      <c r="R872" s="40" t="n">
        <f aca="true">RAND()</f>
        <v>0.305916696967707</v>
      </c>
      <c r="S872" s="40" t="n">
        <f aca="true">RAND()</f>
        <v>0.00281084265216227</v>
      </c>
      <c r="T872" s="40" t="n">
        <f aca="true">RAND()</f>
        <v>0.838475427245318</v>
      </c>
      <c r="U872" s="40" t="n">
        <f aca="true">RAND()</f>
        <v>0.955594640688353</v>
      </c>
    </row>
    <row r="873" customFormat="false" ht="15" hidden="false" customHeight="false" outlineLevel="0" collapsed="false">
      <c r="A873" s="36" t="n">
        <v>793</v>
      </c>
      <c r="B873" s="37" t="n">
        <f aca="false">1+IF($G$6=$E$6,$F$6,IF(P873&lt;($F$6-$E$6)/($G$6-$E$6),$E$6+SQRT(P873*($G$6-$E$6)*($F$6-$E$6)),$G$6-SQRT((1-P873)*($G$6-$E$6)*($G$6-$F$6))))</f>
        <v>1</v>
      </c>
      <c r="C873" s="37" t="n">
        <f aca="false">1+IF($G$7=$E$7,$F$7,IF(Q873&lt;($F$7-$E$7)/($G$7-$E$7),$E$7+SQRT(Q873*($G$7-$E$7)*($F$7-$E$7)),$G$7-SQRT((1-Q873)*($G$7-$E$7)*($G$7-$F$7))))</f>
        <v>1</v>
      </c>
      <c r="D873" s="37" t="n">
        <f aca="false">1+IF($G$8=$E$8,$F$8,IF(R873&lt;($F$8-$E$8)/($G$8-$E$8),$E$8+SQRT(R873*($G$8-$E$8)*($F$8-$E$8)),$G$8-SQRT((1-R873)*($G$8-$E$8)*($G$8-$F$8))))</f>
        <v>1</v>
      </c>
      <c r="E873" s="37" t="n">
        <f aca="false">1+IF($G$9=$E$9,$F$9,IF(S873&lt;($F$9-$E$9)/($G$9-$E$9),$E$9+SQRT(S873*($G$9-$E$9)*($F$9-$E$9)),$G$9-SQRT((1-S873)*($G$9-$E$9)*($G$9-$F$9))))</f>
        <v>1</v>
      </c>
      <c r="F873" s="37" t="n">
        <f aca="false">1+IF($G$10=$E$10,$F$10,IF(T873&lt;($F$10-$E$10)/($G$10-$E$10),$E$10+SQRT(T873*($G$10-$E$10)*($F$10-$E$10)),$G$10-SQRT((1-T873)*($G$10-$E$10)*($G$10-$F$10))))</f>
        <v>1</v>
      </c>
      <c r="G873" s="38" t="n">
        <f aca="false">IF($G$11=$E$11,$F$11,IF(U873&lt;($F$11-$E$11)/($G$11-$E$11),$E$11+SQRT(U873*($G$11-$E$11)*($F$11-$E$11)),$G$11-SQRT((1-U873)*($G$11-$E$11)*($G$11-$F$11))))</f>
        <v>0</v>
      </c>
      <c r="H873" s="39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0</v>
      </c>
      <c r="I873" s="39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0</v>
      </c>
      <c r="J873" s="39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0</v>
      </c>
      <c r="K873" s="39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0</v>
      </c>
      <c r="L873" s="39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0</v>
      </c>
      <c r="M873" s="39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0</v>
      </c>
      <c r="N873" s="39" t="str">
        <f aca="false">IF(COUNT('Business Case'!B11:G11)=0,"",H873+NPV(G873,I873:M873))</f>
        <v/>
      </c>
      <c r="P873" s="40" t="n">
        <f aca="true">RAND()</f>
        <v>0.863809406488764</v>
      </c>
      <c r="Q873" s="40" t="n">
        <f aca="true">RAND()</f>
        <v>0.0888075685903573</v>
      </c>
      <c r="R873" s="40" t="n">
        <f aca="true">RAND()</f>
        <v>0.37991124686304</v>
      </c>
      <c r="S873" s="40" t="n">
        <f aca="true">RAND()</f>
        <v>0.969853140407806</v>
      </c>
      <c r="T873" s="40" t="n">
        <f aca="true">RAND()</f>
        <v>0.386048881035382</v>
      </c>
      <c r="U873" s="40" t="n">
        <f aca="true">RAND()</f>
        <v>0.191248200178246</v>
      </c>
    </row>
    <row r="874" customFormat="false" ht="15" hidden="false" customHeight="false" outlineLevel="0" collapsed="false">
      <c r="A874" s="36" t="n">
        <v>794</v>
      </c>
      <c r="B874" s="37" t="n">
        <f aca="false">1+IF($G$6=$E$6,$F$6,IF(P874&lt;($F$6-$E$6)/($G$6-$E$6),$E$6+SQRT(P874*($G$6-$E$6)*($F$6-$E$6)),$G$6-SQRT((1-P874)*($G$6-$E$6)*($G$6-$F$6))))</f>
        <v>1</v>
      </c>
      <c r="C874" s="37" t="n">
        <f aca="false">1+IF($G$7=$E$7,$F$7,IF(Q874&lt;($F$7-$E$7)/($G$7-$E$7),$E$7+SQRT(Q874*($G$7-$E$7)*($F$7-$E$7)),$G$7-SQRT((1-Q874)*($G$7-$E$7)*($G$7-$F$7))))</f>
        <v>1</v>
      </c>
      <c r="D874" s="37" t="n">
        <f aca="false">1+IF($G$8=$E$8,$F$8,IF(R874&lt;($F$8-$E$8)/($G$8-$E$8),$E$8+SQRT(R874*($G$8-$E$8)*($F$8-$E$8)),$G$8-SQRT((1-R874)*($G$8-$E$8)*($G$8-$F$8))))</f>
        <v>1</v>
      </c>
      <c r="E874" s="37" t="n">
        <f aca="false">1+IF($G$9=$E$9,$F$9,IF(S874&lt;($F$9-$E$9)/($G$9-$E$9),$E$9+SQRT(S874*($G$9-$E$9)*($F$9-$E$9)),$G$9-SQRT((1-S874)*($G$9-$E$9)*($G$9-$F$9))))</f>
        <v>1</v>
      </c>
      <c r="F874" s="37" t="n">
        <f aca="false">1+IF($G$10=$E$10,$F$10,IF(T874&lt;($F$10-$E$10)/($G$10-$E$10),$E$10+SQRT(T874*($G$10-$E$10)*($F$10-$E$10)),$G$10-SQRT((1-T874)*($G$10-$E$10)*($G$10-$F$10))))</f>
        <v>1</v>
      </c>
      <c r="G874" s="38" t="n">
        <f aca="false">IF($G$11=$E$11,$F$11,IF(U874&lt;($F$11-$E$11)/($G$11-$E$11),$E$11+SQRT(U874*($G$11-$E$11)*($F$11-$E$11)),$G$11-SQRT((1-U874)*($G$11-$E$11)*($G$11-$F$11))))</f>
        <v>0</v>
      </c>
      <c r="H874" s="39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0</v>
      </c>
      <c r="I874" s="39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0</v>
      </c>
      <c r="J874" s="39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0</v>
      </c>
      <c r="K874" s="39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0</v>
      </c>
      <c r="L874" s="39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0</v>
      </c>
      <c r="M874" s="39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0</v>
      </c>
      <c r="N874" s="39" t="str">
        <f aca="false">IF(COUNT('Business Case'!B11:G11)=0,"",H874+NPV(G874,I874:M874))</f>
        <v/>
      </c>
      <c r="P874" s="40" t="n">
        <f aca="true">RAND()</f>
        <v>0.488814779274922</v>
      </c>
      <c r="Q874" s="40" t="n">
        <f aca="true">RAND()</f>
        <v>0.962917268486866</v>
      </c>
      <c r="R874" s="40" t="n">
        <f aca="true">RAND()</f>
        <v>0.823288825858398</v>
      </c>
      <c r="S874" s="40" t="n">
        <f aca="true">RAND()</f>
        <v>0.589075589495655</v>
      </c>
      <c r="T874" s="40" t="n">
        <f aca="true">RAND()</f>
        <v>0.686769591649268</v>
      </c>
      <c r="U874" s="40" t="n">
        <f aca="true">RAND()</f>
        <v>0.811463342758078</v>
      </c>
    </row>
    <row r="875" customFormat="false" ht="15" hidden="false" customHeight="false" outlineLevel="0" collapsed="false">
      <c r="A875" s="36" t="n">
        <v>795</v>
      </c>
      <c r="B875" s="37" t="n">
        <f aca="false">1+IF($G$6=$E$6,$F$6,IF(P875&lt;($F$6-$E$6)/($G$6-$E$6),$E$6+SQRT(P875*($G$6-$E$6)*($F$6-$E$6)),$G$6-SQRT((1-P875)*($G$6-$E$6)*($G$6-$F$6))))</f>
        <v>1</v>
      </c>
      <c r="C875" s="37" t="n">
        <f aca="false">1+IF($G$7=$E$7,$F$7,IF(Q875&lt;($F$7-$E$7)/($G$7-$E$7),$E$7+SQRT(Q875*($G$7-$E$7)*($F$7-$E$7)),$G$7-SQRT((1-Q875)*($G$7-$E$7)*($G$7-$F$7))))</f>
        <v>1</v>
      </c>
      <c r="D875" s="37" t="n">
        <f aca="false">1+IF($G$8=$E$8,$F$8,IF(R875&lt;($F$8-$E$8)/($G$8-$E$8),$E$8+SQRT(R875*($G$8-$E$8)*($F$8-$E$8)),$G$8-SQRT((1-R875)*($G$8-$E$8)*($G$8-$F$8))))</f>
        <v>1</v>
      </c>
      <c r="E875" s="37" t="n">
        <f aca="false">1+IF($G$9=$E$9,$F$9,IF(S875&lt;($F$9-$E$9)/($G$9-$E$9),$E$9+SQRT(S875*($G$9-$E$9)*($F$9-$E$9)),$G$9-SQRT((1-S875)*($G$9-$E$9)*($G$9-$F$9))))</f>
        <v>1</v>
      </c>
      <c r="F875" s="37" t="n">
        <f aca="false">1+IF($G$10=$E$10,$F$10,IF(T875&lt;($F$10-$E$10)/($G$10-$E$10),$E$10+SQRT(T875*($G$10-$E$10)*($F$10-$E$10)),$G$10-SQRT((1-T875)*($G$10-$E$10)*($G$10-$F$10))))</f>
        <v>1</v>
      </c>
      <c r="G875" s="38" t="n">
        <f aca="false">IF($G$11=$E$11,$F$11,IF(U875&lt;($F$11-$E$11)/($G$11-$E$11),$E$11+SQRT(U875*($G$11-$E$11)*($F$11-$E$11)),$G$11-SQRT((1-U875)*($G$11-$E$11)*($G$11-$F$11))))</f>
        <v>0</v>
      </c>
      <c r="H875" s="39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0</v>
      </c>
      <c r="I875" s="39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0</v>
      </c>
      <c r="J875" s="39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0</v>
      </c>
      <c r="K875" s="39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0</v>
      </c>
      <c r="L875" s="39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0</v>
      </c>
      <c r="M875" s="39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0</v>
      </c>
      <c r="N875" s="39" t="str">
        <f aca="false">IF(COUNT('Business Case'!B11:G11)=0,"",H875+NPV(G875,I875:M875))</f>
        <v/>
      </c>
      <c r="P875" s="40" t="n">
        <f aca="true">RAND()</f>
        <v>0.643750024030505</v>
      </c>
      <c r="Q875" s="40" t="n">
        <f aca="true">RAND()</f>
        <v>0.0148819187239884</v>
      </c>
      <c r="R875" s="40" t="n">
        <f aca="true">RAND()</f>
        <v>0.886988704035726</v>
      </c>
      <c r="S875" s="40" t="n">
        <f aca="true">RAND()</f>
        <v>0.586724744036102</v>
      </c>
      <c r="T875" s="40" t="n">
        <f aca="true">RAND()</f>
        <v>0.34544602008046</v>
      </c>
      <c r="U875" s="40" t="n">
        <f aca="true">RAND()</f>
        <v>0.328724510579996</v>
      </c>
    </row>
    <row r="876" customFormat="false" ht="15" hidden="false" customHeight="false" outlineLevel="0" collapsed="false">
      <c r="A876" s="36" t="n">
        <v>796</v>
      </c>
      <c r="B876" s="37" t="n">
        <f aca="false">1+IF($G$6=$E$6,$F$6,IF(P876&lt;($F$6-$E$6)/($G$6-$E$6),$E$6+SQRT(P876*($G$6-$E$6)*($F$6-$E$6)),$G$6-SQRT((1-P876)*($G$6-$E$6)*($G$6-$F$6))))</f>
        <v>1</v>
      </c>
      <c r="C876" s="37" t="n">
        <f aca="false">1+IF($G$7=$E$7,$F$7,IF(Q876&lt;($F$7-$E$7)/($G$7-$E$7),$E$7+SQRT(Q876*($G$7-$E$7)*($F$7-$E$7)),$G$7-SQRT((1-Q876)*($G$7-$E$7)*($G$7-$F$7))))</f>
        <v>1</v>
      </c>
      <c r="D876" s="37" t="n">
        <f aca="false">1+IF($G$8=$E$8,$F$8,IF(R876&lt;($F$8-$E$8)/($G$8-$E$8),$E$8+SQRT(R876*($G$8-$E$8)*($F$8-$E$8)),$G$8-SQRT((1-R876)*($G$8-$E$8)*($G$8-$F$8))))</f>
        <v>1</v>
      </c>
      <c r="E876" s="37" t="n">
        <f aca="false">1+IF($G$9=$E$9,$F$9,IF(S876&lt;($F$9-$E$9)/($G$9-$E$9),$E$9+SQRT(S876*($G$9-$E$9)*($F$9-$E$9)),$G$9-SQRT((1-S876)*($G$9-$E$9)*($G$9-$F$9))))</f>
        <v>1</v>
      </c>
      <c r="F876" s="37" t="n">
        <f aca="false">1+IF($G$10=$E$10,$F$10,IF(T876&lt;($F$10-$E$10)/($G$10-$E$10),$E$10+SQRT(T876*($G$10-$E$10)*($F$10-$E$10)),$G$10-SQRT((1-T876)*($G$10-$E$10)*($G$10-$F$10))))</f>
        <v>1</v>
      </c>
      <c r="G876" s="38" t="n">
        <f aca="false">IF($G$11=$E$11,$F$11,IF(U876&lt;($F$11-$E$11)/($G$11-$E$11),$E$11+SQRT(U876*($G$11-$E$11)*($F$11-$E$11)),$G$11-SQRT((1-U876)*($G$11-$E$11)*($G$11-$F$11))))</f>
        <v>0</v>
      </c>
      <c r="H876" s="39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0</v>
      </c>
      <c r="I876" s="39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0</v>
      </c>
      <c r="J876" s="39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0</v>
      </c>
      <c r="K876" s="39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0</v>
      </c>
      <c r="L876" s="39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0</v>
      </c>
      <c r="M876" s="39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0</v>
      </c>
      <c r="N876" s="39" t="str">
        <f aca="false">IF(COUNT('Business Case'!B11:G11)=0,"",H876+NPV(G876,I876:M876))</f>
        <v/>
      </c>
      <c r="P876" s="40" t="n">
        <f aca="true">RAND()</f>
        <v>0.709239551585206</v>
      </c>
      <c r="Q876" s="40" t="n">
        <f aca="true">RAND()</f>
        <v>0.224560308954906</v>
      </c>
      <c r="R876" s="40" t="n">
        <f aca="true">RAND()</f>
        <v>0.701685302018844</v>
      </c>
      <c r="S876" s="40" t="n">
        <f aca="true">RAND()</f>
        <v>0.311820765202148</v>
      </c>
      <c r="T876" s="40" t="n">
        <f aca="true">RAND()</f>
        <v>0.870166462549338</v>
      </c>
      <c r="U876" s="40" t="n">
        <f aca="true">RAND()</f>
        <v>0.998078818187353</v>
      </c>
    </row>
    <row r="877" customFormat="false" ht="15" hidden="false" customHeight="false" outlineLevel="0" collapsed="false">
      <c r="A877" s="36" t="n">
        <v>797</v>
      </c>
      <c r="B877" s="37" t="n">
        <f aca="false">1+IF($G$6=$E$6,$F$6,IF(P877&lt;($F$6-$E$6)/($G$6-$E$6),$E$6+SQRT(P877*($G$6-$E$6)*($F$6-$E$6)),$G$6-SQRT((1-P877)*($G$6-$E$6)*($G$6-$F$6))))</f>
        <v>1</v>
      </c>
      <c r="C877" s="37" t="n">
        <f aca="false">1+IF($G$7=$E$7,$F$7,IF(Q877&lt;($F$7-$E$7)/($G$7-$E$7),$E$7+SQRT(Q877*($G$7-$E$7)*($F$7-$E$7)),$G$7-SQRT((1-Q877)*($G$7-$E$7)*($G$7-$F$7))))</f>
        <v>1</v>
      </c>
      <c r="D877" s="37" t="n">
        <f aca="false">1+IF($G$8=$E$8,$F$8,IF(R877&lt;($F$8-$E$8)/($G$8-$E$8),$E$8+SQRT(R877*($G$8-$E$8)*($F$8-$E$8)),$G$8-SQRT((1-R877)*($G$8-$E$8)*($G$8-$F$8))))</f>
        <v>1</v>
      </c>
      <c r="E877" s="37" t="n">
        <f aca="false">1+IF($G$9=$E$9,$F$9,IF(S877&lt;($F$9-$E$9)/($G$9-$E$9),$E$9+SQRT(S877*($G$9-$E$9)*($F$9-$E$9)),$G$9-SQRT((1-S877)*($G$9-$E$9)*($G$9-$F$9))))</f>
        <v>1</v>
      </c>
      <c r="F877" s="37" t="n">
        <f aca="false">1+IF($G$10=$E$10,$F$10,IF(T877&lt;($F$10-$E$10)/($G$10-$E$10),$E$10+SQRT(T877*($G$10-$E$10)*($F$10-$E$10)),$G$10-SQRT((1-T877)*($G$10-$E$10)*($G$10-$F$10))))</f>
        <v>1</v>
      </c>
      <c r="G877" s="38" t="n">
        <f aca="false">IF($G$11=$E$11,$F$11,IF(U877&lt;($F$11-$E$11)/($G$11-$E$11),$E$11+SQRT(U877*($G$11-$E$11)*($F$11-$E$11)),$G$11-SQRT((1-U877)*($G$11-$E$11)*($G$11-$F$11))))</f>
        <v>0</v>
      </c>
      <c r="H877" s="39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0</v>
      </c>
      <c r="I877" s="39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0</v>
      </c>
      <c r="J877" s="39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0</v>
      </c>
      <c r="K877" s="39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0</v>
      </c>
      <c r="L877" s="39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0</v>
      </c>
      <c r="M877" s="39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0</v>
      </c>
      <c r="N877" s="39" t="str">
        <f aca="false">IF(COUNT('Business Case'!B11:G11)=0,"",H877+NPV(G877,I877:M877))</f>
        <v/>
      </c>
      <c r="P877" s="40" t="n">
        <f aca="true">RAND()</f>
        <v>0.559502069675926</v>
      </c>
      <c r="Q877" s="40" t="n">
        <f aca="true">RAND()</f>
        <v>0.321129598688522</v>
      </c>
      <c r="R877" s="40" t="n">
        <f aca="true">RAND()</f>
        <v>0.118085174757639</v>
      </c>
      <c r="S877" s="40" t="n">
        <f aca="true">RAND()</f>
        <v>0.76301049404977</v>
      </c>
      <c r="T877" s="40" t="n">
        <f aca="true">RAND()</f>
        <v>0.892133304994964</v>
      </c>
      <c r="U877" s="40" t="n">
        <f aca="true">RAND()</f>
        <v>0.551853940846487</v>
      </c>
    </row>
    <row r="878" customFormat="false" ht="15" hidden="false" customHeight="false" outlineLevel="0" collapsed="false">
      <c r="A878" s="36" t="n">
        <v>798</v>
      </c>
      <c r="B878" s="37" t="n">
        <f aca="false">1+IF($G$6=$E$6,$F$6,IF(P878&lt;($F$6-$E$6)/($G$6-$E$6),$E$6+SQRT(P878*($G$6-$E$6)*($F$6-$E$6)),$G$6-SQRT((1-P878)*($G$6-$E$6)*($G$6-$F$6))))</f>
        <v>1</v>
      </c>
      <c r="C878" s="37" t="n">
        <f aca="false">1+IF($G$7=$E$7,$F$7,IF(Q878&lt;($F$7-$E$7)/($G$7-$E$7),$E$7+SQRT(Q878*($G$7-$E$7)*($F$7-$E$7)),$G$7-SQRT((1-Q878)*($G$7-$E$7)*($G$7-$F$7))))</f>
        <v>1</v>
      </c>
      <c r="D878" s="37" t="n">
        <f aca="false">1+IF($G$8=$E$8,$F$8,IF(R878&lt;($F$8-$E$8)/($G$8-$E$8),$E$8+SQRT(R878*($G$8-$E$8)*($F$8-$E$8)),$G$8-SQRT((1-R878)*($G$8-$E$8)*($G$8-$F$8))))</f>
        <v>1</v>
      </c>
      <c r="E878" s="37" t="n">
        <f aca="false">1+IF($G$9=$E$9,$F$9,IF(S878&lt;($F$9-$E$9)/($G$9-$E$9),$E$9+SQRT(S878*($G$9-$E$9)*($F$9-$E$9)),$G$9-SQRT((1-S878)*($G$9-$E$9)*($G$9-$F$9))))</f>
        <v>1</v>
      </c>
      <c r="F878" s="37" t="n">
        <f aca="false">1+IF($G$10=$E$10,$F$10,IF(T878&lt;($F$10-$E$10)/($G$10-$E$10),$E$10+SQRT(T878*($G$10-$E$10)*($F$10-$E$10)),$G$10-SQRT((1-T878)*($G$10-$E$10)*($G$10-$F$10))))</f>
        <v>1</v>
      </c>
      <c r="G878" s="38" t="n">
        <f aca="false">IF($G$11=$E$11,$F$11,IF(U878&lt;($F$11-$E$11)/($G$11-$E$11),$E$11+SQRT(U878*($G$11-$E$11)*($F$11-$E$11)),$G$11-SQRT((1-U878)*($G$11-$E$11)*($G$11-$F$11))))</f>
        <v>0</v>
      </c>
      <c r="H878" s="39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0</v>
      </c>
      <c r="I878" s="39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0</v>
      </c>
      <c r="J878" s="39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0</v>
      </c>
      <c r="K878" s="39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0</v>
      </c>
      <c r="L878" s="39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0</v>
      </c>
      <c r="M878" s="39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0</v>
      </c>
      <c r="N878" s="39" t="str">
        <f aca="false">IF(COUNT('Business Case'!B11:G11)=0,"",H878+NPV(G878,I878:M878))</f>
        <v/>
      </c>
      <c r="P878" s="40" t="n">
        <f aca="true">RAND()</f>
        <v>0.372555589989683</v>
      </c>
      <c r="Q878" s="40" t="n">
        <f aca="true">RAND()</f>
        <v>0.52466656564729</v>
      </c>
      <c r="R878" s="40" t="n">
        <f aca="true">RAND()</f>
        <v>0.452666468497726</v>
      </c>
      <c r="S878" s="40" t="n">
        <f aca="true">RAND()</f>
        <v>0.815094278561651</v>
      </c>
      <c r="T878" s="40" t="n">
        <f aca="true">RAND()</f>
        <v>0.0754778988698845</v>
      </c>
      <c r="U878" s="40" t="n">
        <f aca="true">RAND()</f>
        <v>0.79423793511122</v>
      </c>
    </row>
    <row r="879" customFormat="false" ht="15" hidden="false" customHeight="false" outlineLevel="0" collapsed="false">
      <c r="A879" s="36" t="n">
        <v>799</v>
      </c>
      <c r="B879" s="37" t="n">
        <f aca="false">1+IF($G$6=$E$6,$F$6,IF(P879&lt;($F$6-$E$6)/($G$6-$E$6),$E$6+SQRT(P879*($G$6-$E$6)*($F$6-$E$6)),$G$6-SQRT((1-P879)*($G$6-$E$6)*($G$6-$F$6))))</f>
        <v>1</v>
      </c>
      <c r="C879" s="37" t="n">
        <f aca="false">1+IF($G$7=$E$7,$F$7,IF(Q879&lt;($F$7-$E$7)/($G$7-$E$7),$E$7+SQRT(Q879*($G$7-$E$7)*($F$7-$E$7)),$G$7-SQRT((1-Q879)*($G$7-$E$7)*($G$7-$F$7))))</f>
        <v>1</v>
      </c>
      <c r="D879" s="37" t="n">
        <f aca="false">1+IF($G$8=$E$8,$F$8,IF(R879&lt;($F$8-$E$8)/($G$8-$E$8),$E$8+SQRT(R879*($G$8-$E$8)*($F$8-$E$8)),$G$8-SQRT((1-R879)*($G$8-$E$8)*($G$8-$F$8))))</f>
        <v>1</v>
      </c>
      <c r="E879" s="37" t="n">
        <f aca="false">1+IF($G$9=$E$9,$F$9,IF(S879&lt;($F$9-$E$9)/($G$9-$E$9),$E$9+SQRT(S879*($G$9-$E$9)*($F$9-$E$9)),$G$9-SQRT((1-S879)*($G$9-$E$9)*($G$9-$F$9))))</f>
        <v>1</v>
      </c>
      <c r="F879" s="37" t="n">
        <f aca="false">1+IF($G$10=$E$10,$F$10,IF(T879&lt;($F$10-$E$10)/($G$10-$E$10),$E$10+SQRT(T879*($G$10-$E$10)*($F$10-$E$10)),$G$10-SQRT((1-T879)*($G$10-$E$10)*($G$10-$F$10))))</f>
        <v>1</v>
      </c>
      <c r="G879" s="38" t="n">
        <f aca="false">IF($G$11=$E$11,$F$11,IF(U879&lt;($F$11-$E$11)/($G$11-$E$11),$E$11+SQRT(U879*($G$11-$E$11)*($F$11-$E$11)),$G$11-SQRT((1-U879)*($G$11-$E$11)*($G$11-$F$11))))</f>
        <v>0</v>
      </c>
      <c r="H879" s="39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0</v>
      </c>
      <c r="I879" s="39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0</v>
      </c>
      <c r="J879" s="39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0</v>
      </c>
      <c r="K879" s="39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0</v>
      </c>
      <c r="L879" s="39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0</v>
      </c>
      <c r="M879" s="39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0</v>
      </c>
      <c r="N879" s="39" t="str">
        <f aca="false">IF(COUNT('Business Case'!B11:G11)=0,"",H879+NPV(G879,I879:M879))</f>
        <v/>
      </c>
      <c r="P879" s="40" t="n">
        <f aca="true">RAND()</f>
        <v>0.418235879570478</v>
      </c>
      <c r="Q879" s="40" t="n">
        <f aca="true">RAND()</f>
        <v>0.452779505523026</v>
      </c>
      <c r="R879" s="40" t="n">
        <f aca="true">RAND()</f>
        <v>0.400937314636022</v>
      </c>
      <c r="S879" s="40" t="n">
        <f aca="true">RAND()</f>
        <v>0.478432530734442</v>
      </c>
      <c r="T879" s="40" t="n">
        <f aca="true">RAND()</f>
        <v>0.301070383237712</v>
      </c>
      <c r="U879" s="40" t="n">
        <f aca="true">RAND()</f>
        <v>0.262762601041498</v>
      </c>
    </row>
    <row r="880" customFormat="false" ht="15" hidden="false" customHeight="false" outlineLevel="0" collapsed="false">
      <c r="A880" s="36" t="n">
        <v>800</v>
      </c>
      <c r="B880" s="37" t="n">
        <f aca="false">1+IF($G$6=$E$6,$F$6,IF(P880&lt;($F$6-$E$6)/($G$6-$E$6),$E$6+SQRT(P880*($G$6-$E$6)*($F$6-$E$6)),$G$6-SQRT((1-P880)*($G$6-$E$6)*($G$6-$F$6))))</f>
        <v>1</v>
      </c>
      <c r="C880" s="37" t="n">
        <f aca="false">1+IF($G$7=$E$7,$F$7,IF(Q880&lt;($F$7-$E$7)/($G$7-$E$7),$E$7+SQRT(Q880*($G$7-$E$7)*($F$7-$E$7)),$G$7-SQRT((1-Q880)*($G$7-$E$7)*($G$7-$F$7))))</f>
        <v>1</v>
      </c>
      <c r="D880" s="37" t="n">
        <f aca="false">1+IF($G$8=$E$8,$F$8,IF(R880&lt;($F$8-$E$8)/($G$8-$E$8),$E$8+SQRT(R880*($G$8-$E$8)*($F$8-$E$8)),$G$8-SQRT((1-R880)*($G$8-$E$8)*($G$8-$F$8))))</f>
        <v>1</v>
      </c>
      <c r="E880" s="37" t="n">
        <f aca="false">1+IF($G$9=$E$9,$F$9,IF(S880&lt;($F$9-$E$9)/($G$9-$E$9),$E$9+SQRT(S880*($G$9-$E$9)*($F$9-$E$9)),$G$9-SQRT((1-S880)*($G$9-$E$9)*($G$9-$F$9))))</f>
        <v>1</v>
      </c>
      <c r="F880" s="37" t="n">
        <f aca="false">1+IF($G$10=$E$10,$F$10,IF(T880&lt;($F$10-$E$10)/($G$10-$E$10),$E$10+SQRT(T880*($G$10-$E$10)*($F$10-$E$10)),$G$10-SQRT((1-T880)*($G$10-$E$10)*($G$10-$F$10))))</f>
        <v>1</v>
      </c>
      <c r="G880" s="38" t="n">
        <f aca="false">IF($G$11=$E$11,$F$11,IF(U880&lt;($F$11-$E$11)/($G$11-$E$11),$E$11+SQRT(U880*($G$11-$E$11)*($F$11-$E$11)),$G$11-SQRT((1-U880)*($G$11-$E$11)*($G$11-$F$11))))</f>
        <v>0</v>
      </c>
      <c r="H880" s="39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0</v>
      </c>
      <c r="I880" s="39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0</v>
      </c>
      <c r="J880" s="39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0</v>
      </c>
      <c r="K880" s="39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0</v>
      </c>
      <c r="L880" s="39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0</v>
      </c>
      <c r="M880" s="39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0</v>
      </c>
      <c r="N880" s="39" t="str">
        <f aca="false">IF(COUNT('Business Case'!B11:G11)=0,"",H880+NPV(G880,I880:M880))</f>
        <v/>
      </c>
      <c r="P880" s="40" t="n">
        <f aca="true">RAND()</f>
        <v>0.335995509870019</v>
      </c>
      <c r="Q880" s="40" t="n">
        <f aca="true">RAND()</f>
        <v>0.265114287871231</v>
      </c>
      <c r="R880" s="40" t="n">
        <f aca="true">RAND()</f>
        <v>0.153920936438507</v>
      </c>
      <c r="S880" s="40" t="n">
        <f aca="true">RAND()</f>
        <v>0.00293701528068111</v>
      </c>
      <c r="T880" s="40" t="n">
        <f aca="true">RAND()</f>
        <v>0.781360213480023</v>
      </c>
      <c r="U880" s="40" t="n">
        <f aca="true">RAND()</f>
        <v>0.648571085704306</v>
      </c>
    </row>
    <row r="881" customFormat="false" ht="15" hidden="false" customHeight="false" outlineLevel="0" collapsed="false">
      <c r="A881" s="36" t="n">
        <v>801</v>
      </c>
      <c r="B881" s="37" t="n">
        <f aca="false">1+IF($G$6=$E$6,$F$6,IF(P881&lt;($F$6-$E$6)/($G$6-$E$6),$E$6+SQRT(P881*($G$6-$E$6)*($F$6-$E$6)),$G$6-SQRT((1-P881)*($G$6-$E$6)*($G$6-$F$6))))</f>
        <v>1</v>
      </c>
      <c r="C881" s="37" t="n">
        <f aca="false">1+IF($G$7=$E$7,$F$7,IF(Q881&lt;($F$7-$E$7)/($G$7-$E$7),$E$7+SQRT(Q881*($G$7-$E$7)*($F$7-$E$7)),$G$7-SQRT((1-Q881)*($G$7-$E$7)*($G$7-$F$7))))</f>
        <v>1</v>
      </c>
      <c r="D881" s="37" t="n">
        <f aca="false">1+IF($G$8=$E$8,$F$8,IF(R881&lt;($F$8-$E$8)/($G$8-$E$8),$E$8+SQRT(R881*($G$8-$E$8)*($F$8-$E$8)),$G$8-SQRT((1-R881)*($G$8-$E$8)*($G$8-$F$8))))</f>
        <v>1</v>
      </c>
      <c r="E881" s="37" t="n">
        <f aca="false">1+IF($G$9=$E$9,$F$9,IF(S881&lt;($F$9-$E$9)/($G$9-$E$9),$E$9+SQRT(S881*($G$9-$E$9)*($F$9-$E$9)),$G$9-SQRT((1-S881)*($G$9-$E$9)*($G$9-$F$9))))</f>
        <v>1</v>
      </c>
      <c r="F881" s="37" t="n">
        <f aca="false">1+IF($G$10=$E$10,$F$10,IF(T881&lt;($F$10-$E$10)/($G$10-$E$10),$E$10+SQRT(T881*($G$10-$E$10)*($F$10-$E$10)),$G$10-SQRT((1-T881)*($G$10-$E$10)*($G$10-$F$10))))</f>
        <v>1</v>
      </c>
      <c r="G881" s="38" t="n">
        <f aca="false">IF($G$11=$E$11,$F$11,IF(U881&lt;($F$11-$E$11)/($G$11-$E$11),$E$11+SQRT(U881*($G$11-$E$11)*($F$11-$E$11)),$G$11-SQRT((1-U881)*($G$11-$E$11)*($G$11-$F$11))))</f>
        <v>0</v>
      </c>
      <c r="H881" s="39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0</v>
      </c>
      <c r="I881" s="39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0</v>
      </c>
      <c r="J881" s="39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0</v>
      </c>
      <c r="K881" s="39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0</v>
      </c>
      <c r="L881" s="39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0</v>
      </c>
      <c r="M881" s="39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0</v>
      </c>
      <c r="N881" s="39" t="str">
        <f aca="false">IF(COUNT('Business Case'!B11:G11)=0,"",H881+NPV(G881,I881:M881))</f>
        <v/>
      </c>
      <c r="P881" s="40" t="n">
        <f aca="true">RAND()</f>
        <v>0.729196976533717</v>
      </c>
      <c r="Q881" s="40" t="n">
        <f aca="true">RAND()</f>
        <v>0.506312073211537</v>
      </c>
      <c r="R881" s="40" t="n">
        <f aca="true">RAND()</f>
        <v>0.961703816757537</v>
      </c>
      <c r="S881" s="40" t="n">
        <f aca="true">RAND()</f>
        <v>0.711102550309391</v>
      </c>
      <c r="T881" s="40" t="n">
        <f aca="true">RAND()</f>
        <v>0.0855700958048662</v>
      </c>
      <c r="U881" s="40" t="n">
        <f aca="true">RAND()</f>
        <v>0.457123625170566</v>
      </c>
    </row>
    <row r="882" customFormat="false" ht="15" hidden="false" customHeight="false" outlineLevel="0" collapsed="false">
      <c r="A882" s="36" t="n">
        <v>802</v>
      </c>
      <c r="B882" s="37" t="n">
        <f aca="false">1+IF($G$6=$E$6,$F$6,IF(P882&lt;($F$6-$E$6)/($G$6-$E$6),$E$6+SQRT(P882*($G$6-$E$6)*($F$6-$E$6)),$G$6-SQRT((1-P882)*($G$6-$E$6)*($G$6-$F$6))))</f>
        <v>1</v>
      </c>
      <c r="C882" s="37" t="n">
        <f aca="false">1+IF($G$7=$E$7,$F$7,IF(Q882&lt;($F$7-$E$7)/($G$7-$E$7),$E$7+SQRT(Q882*($G$7-$E$7)*($F$7-$E$7)),$G$7-SQRT((1-Q882)*($G$7-$E$7)*($G$7-$F$7))))</f>
        <v>1</v>
      </c>
      <c r="D882" s="37" t="n">
        <f aca="false">1+IF($G$8=$E$8,$F$8,IF(R882&lt;($F$8-$E$8)/($G$8-$E$8),$E$8+SQRT(R882*($G$8-$E$8)*($F$8-$E$8)),$G$8-SQRT((1-R882)*($G$8-$E$8)*($G$8-$F$8))))</f>
        <v>1</v>
      </c>
      <c r="E882" s="37" t="n">
        <f aca="false">1+IF($G$9=$E$9,$F$9,IF(S882&lt;($F$9-$E$9)/($G$9-$E$9),$E$9+SQRT(S882*($G$9-$E$9)*($F$9-$E$9)),$G$9-SQRT((1-S882)*($G$9-$E$9)*($G$9-$F$9))))</f>
        <v>1</v>
      </c>
      <c r="F882" s="37" t="n">
        <f aca="false">1+IF($G$10=$E$10,$F$10,IF(T882&lt;($F$10-$E$10)/($G$10-$E$10),$E$10+SQRT(T882*($G$10-$E$10)*($F$10-$E$10)),$G$10-SQRT((1-T882)*($G$10-$E$10)*($G$10-$F$10))))</f>
        <v>1</v>
      </c>
      <c r="G882" s="38" t="n">
        <f aca="false">IF($G$11=$E$11,$F$11,IF(U882&lt;($F$11-$E$11)/($G$11-$E$11),$E$11+SQRT(U882*($G$11-$E$11)*($F$11-$E$11)),$G$11-SQRT((1-U882)*($G$11-$E$11)*($G$11-$F$11))))</f>
        <v>0</v>
      </c>
      <c r="H882" s="39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0</v>
      </c>
      <c r="I882" s="39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0</v>
      </c>
      <c r="J882" s="39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0</v>
      </c>
      <c r="K882" s="39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0</v>
      </c>
      <c r="L882" s="39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0</v>
      </c>
      <c r="M882" s="39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0</v>
      </c>
      <c r="N882" s="39" t="str">
        <f aca="false">IF(COUNT('Business Case'!B11:G11)=0,"",H882+NPV(G882,I882:M882))</f>
        <v/>
      </c>
      <c r="P882" s="40" t="n">
        <f aca="true">RAND()</f>
        <v>0.176139769816895</v>
      </c>
      <c r="Q882" s="40" t="n">
        <f aca="true">RAND()</f>
        <v>0.695142129537864</v>
      </c>
      <c r="R882" s="40" t="n">
        <f aca="true">RAND()</f>
        <v>0.862703198303985</v>
      </c>
      <c r="S882" s="40" t="n">
        <f aca="true">RAND()</f>
        <v>0.956028164985866</v>
      </c>
      <c r="T882" s="40" t="n">
        <f aca="true">RAND()</f>
        <v>0.391164762464604</v>
      </c>
      <c r="U882" s="40" t="n">
        <f aca="true">RAND()</f>
        <v>0.778740275768583</v>
      </c>
    </row>
    <row r="883" customFormat="false" ht="15" hidden="false" customHeight="false" outlineLevel="0" collapsed="false">
      <c r="A883" s="36" t="n">
        <v>803</v>
      </c>
      <c r="B883" s="37" t="n">
        <f aca="false">1+IF($G$6=$E$6,$F$6,IF(P883&lt;($F$6-$E$6)/($G$6-$E$6),$E$6+SQRT(P883*($G$6-$E$6)*($F$6-$E$6)),$G$6-SQRT((1-P883)*($G$6-$E$6)*($G$6-$F$6))))</f>
        <v>1</v>
      </c>
      <c r="C883" s="37" t="n">
        <f aca="false">1+IF($G$7=$E$7,$F$7,IF(Q883&lt;($F$7-$E$7)/($G$7-$E$7),$E$7+SQRT(Q883*($G$7-$E$7)*($F$7-$E$7)),$G$7-SQRT((1-Q883)*($G$7-$E$7)*($G$7-$F$7))))</f>
        <v>1</v>
      </c>
      <c r="D883" s="37" t="n">
        <f aca="false">1+IF($G$8=$E$8,$F$8,IF(R883&lt;($F$8-$E$8)/($G$8-$E$8),$E$8+SQRT(R883*($G$8-$E$8)*($F$8-$E$8)),$G$8-SQRT((1-R883)*($G$8-$E$8)*($G$8-$F$8))))</f>
        <v>1</v>
      </c>
      <c r="E883" s="37" t="n">
        <f aca="false">1+IF($G$9=$E$9,$F$9,IF(S883&lt;($F$9-$E$9)/($G$9-$E$9),$E$9+SQRT(S883*($G$9-$E$9)*($F$9-$E$9)),$G$9-SQRT((1-S883)*($G$9-$E$9)*($G$9-$F$9))))</f>
        <v>1</v>
      </c>
      <c r="F883" s="37" t="n">
        <f aca="false">1+IF($G$10=$E$10,$F$10,IF(T883&lt;($F$10-$E$10)/($G$10-$E$10),$E$10+SQRT(T883*($G$10-$E$10)*($F$10-$E$10)),$G$10-SQRT((1-T883)*($G$10-$E$10)*($G$10-$F$10))))</f>
        <v>1</v>
      </c>
      <c r="G883" s="38" t="n">
        <f aca="false">IF($G$11=$E$11,$F$11,IF(U883&lt;($F$11-$E$11)/($G$11-$E$11),$E$11+SQRT(U883*($G$11-$E$11)*($F$11-$E$11)),$G$11-SQRT((1-U883)*($G$11-$E$11)*($G$11-$F$11))))</f>
        <v>0</v>
      </c>
      <c r="H883" s="39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0</v>
      </c>
      <c r="I883" s="39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0</v>
      </c>
      <c r="J883" s="39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0</v>
      </c>
      <c r="K883" s="39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0</v>
      </c>
      <c r="L883" s="39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0</v>
      </c>
      <c r="M883" s="39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0</v>
      </c>
      <c r="N883" s="39" t="str">
        <f aca="false">IF(COUNT('Business Case'!B11:G11)=0,"",H883+NPV(G883,I883:M883))</f>
        <v/>
      </c>
      <c r="P883" s="40" t="n">
        <f aca="true">RAND()</f>
        <v>0.133882512326834</v>
      </c>
      <c r="Q883" s="40" t="n">
        <f aca="true">RAND()</f>
        <v>0.9369511762111</v>
      </c>
      <c r="R883" s="40" t="n">
        <f aca="true">RAND()</f>
        <v>0.416946526187665</v>
      </c>
      <c r="S883" s="40" t="n">
        <f aca="true">RAND()</f>
        <v>0.235366617194879</v>
      </c>
      <c r="T883" s="40" t="n">
        <f aca="true">RAND()</f>
        <v>0.83008606828428</v>
      </c>
      <c r="U883" s="40" t="n">
        <f aca="true">RAND()</f>
        <v>0.824682915213129</v>
      </c>
    </row>
    <row r="884" customFormat="false" ht="15" hidden="false" customHeight="false" outlineLevel="0" collapsed="false">
      <c r="A884" s="36" t="n">
        <v>804</v>
      </c>
      <c r="B884" s="37" t="n">
        <f aca="false">1+IF($G$6=$E$6,$F$6,IF(P884&lt;($F$6-$E$6)/($G$6-$E$6),$E$6+SQRT(P884*($G$6-$E$6)*($F$6-$E$6)),$G$6-SQRT((1-P884)*($G$6-$E$6)*($G$6-$F$6))))</f>
        <v>1</v>
      </c>
      <c r="C884" s="37" t="n">
        <f aca="false">1+IF($G$7=$E$7,$F$7,IF(Q884&lt;($F$7-$E$7)/($G$7-$E$7),$E$7+SQRT(Q884*($G$7-$E$7)*($F$7-$E$7)),$G$7-SQRT((1-Q884)*($G$7-$E$7)*($G$7-$F$7))))</f>
        <v>1</v>
      </c>
      <c r="D884" s="37" t="n">
        <f aca="false">1+IF($G$8=$E$8,$F$8,IF(R884&lt;($F$8-$E$8)/($G$8-$E$8),$E$8+SQRT(R884*($G$8-$E$8)*($F$8-$E$8)),$G$8-SQRT((1-R884)*($G$8-$E$8)*($G$8-$F$8))))</f>
        <v>1</v>
      </c>
      <c r="E884" s="37" t="n">
        <f aca="false">1+IF($G$9=$E$9,$F$9,IF(S884&lt;($F$9-$E$9)/($G$9-$E$9),$E$9+SQRT(S884*($G$9-$E$9)*($F$9-$E$9)),$G$9-SQRT((1-S884)*($G$9-$E$9)*($G$9-$F$9))))</f>
        <v>1</v>
      </c>
      <c r="F884" s="37" t="n">
        <f aca="false">1+IF($G$10=$E$10,$F$10,IF(T884&lt;($F$10-$E$10)/($G$10-$E$10),$E$10+SQRT(T884*($G$10-$E$10)*($F$10-$E$10)),$G$10-SQRT((1-T884)*($G$10-$E$10)*($G$10-$F$10))))</f>
        <v>1</v>
      </c>
      <c r="G884" s="38" t="n">
        <f aca="false">IF($G$11=$E$11,$F$11,IF(U884&lt;($F$11-$E$11)/($G$11-$E$11),$E$11+SQRT(U884*($G$11-$E$11)*($F$11-$E$11)),$G$11-SQRT((1-U884)*($G$11-$E$11)*($G$11-$F$11))))</f>
        <v>0</v>
      </c>
      <c r="H884" s="39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0</v>
      </c>
      <c r="I884" s="39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0</v>
      </c>
      <c r="J884" s="39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0</v>
      </c>
      <c r="K884" s="39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0</v>
      </c>
      <c r="L884" s="39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0</v>
      </c>
      <c r="M884" s="39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0</v>
      </c>
      <c r="N884" s="39" t="str">
        <f aca="false">IF(COUNT('Business Case'!B11:G11)=0,"",H884+NPV(G884,I884:M884))</f>
        <v/>
      </c>
      <c r="P884" s="40" t="n">
        <f aca="true">RAND()</f>
        <v>0.131445625896365</v>
      </c>
      <c r="Q884" s="40" t="n">
        <f aca="true">RAND()</f>
        <v>0.367155287139693</v>
      </c>
      <c r="R884" s="40" t="n">
        <f aca="true">RAND()</f>
        <v>0.404776704000327</v>
      </c>
      <c r="S884" s="40" t="n">
        <f aca="true">RAND()</f>
        <v>0.497985699273272</v>
      </c>
      <c r="T884" s="40" t="n">
        <f aca="true">RAND()</f>
        <v>0.702670441859966</v>
      </c>
      <c r="U884" s="40" t="n">
        <f aca="true">RAND()</f>
        <v>0.856945304561777</v>
      </c>
    </row>
    <row r="885" customFormat="false" ht="15" hidden="false" customHeight="false" outlineLevel="0" collapsed="false">
      <c r="A885" s="36" t="n">
        <v>805</v>
      </c>
      <c r="B885" s="37" t="n">
        <f aca="false">1+IF($G$6=$E$6,$F$6,IF(P885&lt;($F$6-$E$6)/($G$6-$E$6),$E$6+SQRT(P885*($G$6-$E$6)*($F$6-$E$6)),$G$6-SQRT((1-P885)*($G$6-$E$6)*($G$6-$F$6))))</f>
        <v>1</v>
      </c>
      <c r="C885" s="37" t="n">
        <f aca="false">1+IF($G$7=$E$7,$F$7,IF(Q885&lt;($F$7-$E$7)/($G$7-$E$7),$E$7+SQRT(Q885*($G$7-$E$7)*($F$7-$E$7)),$G$7-SQRT((1-Q885)*($G$7-$E$7)*($G$7-$F$7))))</f>
        <v>1</v>
      </c>
      <c r="D885" s="37" t="n">
        <f aca="false">1+IF($G$8=$E$8,$F$8,IF(R885&lt;($F$8-$E$8)/($G$8-$E$8),$E$8+SQRT(R885*($G$8-$E$8)*($F$8-$E$8)),$G$8-SQRT((1-R885)*($G$8-$E$8)*($G$8-$F$8))))</f>
        <v>1</v>
      </c>
      <c r="E885" s="37" t="n">
        <f aca="false">1+IF($G$9=$E$9,$F$9,IF(S885&lt;($F$9-$E$9)/($G$9-$E$9),$E$9+SQRT(S885*($G$9-$E$9)*($F$9-$E$9)),$G$9-SQRT((1-S885)*($G$9-$E$9)*($G$9-$F$9))))</f>
        <v>1</v>
      </c>
      <c r="F885" s="37" t="n">
        <f aca="false">1+IF($G$10=$E$10,$F$10,IF(T885&lt;($F$10-$E$10)/($G$10-$E$10),$E$10+SQRT(T885*($G$10-$E$10)*($F$10-$E$10)),$G$10-SQRT((1-T885)*($G$10-$E$10)*($G$10-$F$10))))</f>
        <v>1</v>
      </c>
      <c r="G885" s="38" t="n">
        <f aca="false">IF($G$11=$E$11,$F$11,IF(U885&lt;($F$11-$E$11)/($G$11-$E$11),$E$11+SQRT(U885*($G$11-$E$11)*($F$11-$E$11)),$G$11-SQRT((1-U885)*($G$11-$E$11)*($G$11-$F$11))))</f>
        <v>0</v>
      </c>
      <c r="H885" s="39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0</v>
      </c>
      <c r="I885" s="39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0</v>
      </c>
      <c r="J885" s="39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0</v>
      </c>
      <c r="K885" s="39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0</v>
      </c>
      <c r="L885" s="39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0</v>
      </c>
      <c r="M885" s="39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0</v>
      </c>
      <c r="N885" s="39" t="str">
        <f aca="false">IF(COUNT('Business Case'!B11:G11)=0,"",H885+NPV(G885,I885:M885))</f>
        <v/>
      </c>
      <c r="P885" s="40" t="n">
        <f aca="true">RAND()</f>
        <v>0.334820890668833</v>
      </c>
      <c r="Q885" s="40" t="n">
        <f aca="true">RAND()</f>
        <v>0.849668289940419</v>
      </c>
      <c r="R885" s="40" t="n">
        <f aca="true">RAND()</f>
        <v>0.170822004715338</v>
      </c>
      <c r="S885" s="40" t="n">
        <f aca="true">RAND()</f>
        <v>0.247925574647917</v>
      </c>
      <c r="T885" s="40" t="n">
        <f aca="true">RAND()</f>
        <v>0.433293387220833</v>
      </c>
      <c r="U885" s="40" t="n">
        <f aca="true">RAND()</f>
        <v>0.882002667039578</v>
      </c>
    </row>
    <row r="886" customFormat="false" ht="15" hidden="false" customHeight="false" outlineLevel="0" collapsed="false">
      <c r="A886" s="36" t="n">
        <v>806</v>
      </c>
      <c r="B886" s="37" t="n">
        <f aca="false">1+IF($G$6=$E$6,$F$6,IF(P886&lt;($F$6-$E$6)/($G$6-$E$6),$E$6+SQRT(P886*($G$6-$E$6)*($F$6-$E$6)),$G$6-SQRT((1-P886)*($G$6-$E$6)*($G$6-$F$6))))</f>
        <v>1</v>
      </c>
      <c r="C886" s="37" t="n">
        <f aca="false">1+IF($G$7=$E$7,$F$7,IF(Q886&lt;($F$7-$E$7)/($G$7-$E$7),$E$7+SQRT(Q886*($G$7-$E$7)*($F$7-$E$7)),$G$7-SQRT((1-Q886)*($G$7-$E$7)*($G$7-$F$7))))</f>
        <v>1</v>
      </c>
      <c r="D886" s="37" t="n">
        <f aca="false">1+IF($G$8=$E$8,$F$8,IF(R886&lt;($F$8-$E$8)/($G$8-$E$8),$E$8+SQRT(R886*($G$8-$E$8)*($F$8-$E$8)),$G$8-SQRT((1-R886)*($G$8-$E$8)*($G$8-$F$8))))</f>
        <v>1</v>
      </c>
      <c r="E886" s="37" t="n">
        <f aca="false">1+IF($G$9=$E$9,$F$9,IF(S886&lt;($F$9-$E$9)/($G$9-$E$9),$E$9+SQRT(S886*($G$9-$E$9)*($F$9-$E$9)),$G$9-SQRT((1-S886)*($G$9-$E$9)*($G$9-$F$9))))</f>
        <v>1</v>
      </c>
      <c r="F886" s="37" t="n">
        <f aca="false">1+IF($G$10=$E$10,$F$10,IF(T886&lt;($F$10-$E$10)/($G$10-$E$10),$E$10+SQRT(T886*($G$10-$E$10)*($F$10-$E$10)),$G$10-SQRT((1-T886)*($G$10-$E$10)*($G$10-$F$10))))</f>
        <v>1</v>
      </c>
      <c r="G886" s="38" t="n">
        <f aca="false">IF($G$11=$E$11,$F$11,IF(U886&lt;($F$11-$E$11)/($G$11-$E$11),$E$11+SQRT(U886*($G$11-$E$11)*($F$11-$E$11)),$G$11-SQRT((1-U886)*($G$11-$E$11)*($G$11-$F$11))))</f>
        <v>0</v>
      </c>
      <c r="H886" s="39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0</v>
      </c>
      <c r="I886" s="39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0</v>
      </c>
      <c r="J886" s="39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0</v>
      </c>
      <c r="K886" s="39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0</v>
      </c>
      <c r="L886" s="39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0</v>
      </c>
      <c r="M886" s="39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0</v>
      </c>
      <c r="N886" s="39" t="str">
        <f aca="false">IF(COUNT('Business Case'!B11:G11)=0,"",H886+NPV(G886,I886:M886))</f>
        <v/>
      </c>
      <c r="P886" s="40" t="n">
        <f aca="true">RAND()</f>
        <v>0.480294233942788</v>
      </c>
      <c r="Q886" s="40" t="n">
        <f aca="true">RAND()</f>
        <v>0.321069417857942</v>
      </c>
      <c r="R886" s="40" t="n">
        <f aca="true">RAND()</f>
        <v>0.531619556418785</v>
      </c>
      <c r="S886" s="40" t="n">
        <f aca="true">RAND()</f>
        <v>0.885618913693157</v>
      </c>
      <c r="T886" s="40" t="n">
        <f aca="true">RAND()</f>
        <v>0.701044882065421</v>
      </c>
      <c r="U886" s="40" t="n">
        <f aca="true">RAND()</f>
        <v>0.159468085746403</v>
      </c>
    </row>
    <row r="887" customFormat="false" ht="15" hidden="false" customHeight="false" outlineLevel="0" collapsed="false">
      <c r="A887" s="36" t="n">
        <v>807</v>
      </c>
      <c r="B887" s="37" t="n">
        <f aca="false">1+IF($G$6=$E$6,$F$6,IF(P887&lt;($F$6-$E$6)/($G$6-$E$6),$E$6+SQRT(P887*($G$6-$E$6)*($F$6-$E$6)),$G$6-SQRT((1-P887)*($G$6-$E$6)*($G$6-$F$6))))</f>
        <v>1</v>
      </c>
      <c r="C887" s="37" t="n">
        <f aca="false">1+IF($G$7=$E$7,$F$7,IF(Q887&lt;($F$7-$E$7)/($G$7-$E$7),$E$7+SQRT(Q887*($G$7-$E$7)*($F$7-$E$7)),$G$7-SQRT((1-Q887)*($G$7-$E$7)*($G$7-$F$7))))</f>
        <v>1</v>
      </c>
      <c r="D887" s="37" t="n">
        <f aca="false">1+IF($G$8=$E$8,$F$8,IF(R887&lt;($F$8-$E$8)/($G$8-$E$8),$E$8+SQRT(R887*($G$8-$E$8)*($F$8-$E$8)),$G$8-SQRT((1-R887)*($G$8-$E$8)*($G$8-$F$8))))</f>
        <v>1</v>
      </c>
      <c r="E887" s="37" t="n">
        <f aca="false">1+IF($G$9=$E$9,$F$9,IF(S887&lt;($F$9-$E$9)/($G$9-$E$9),$E$9+SQRT(S887*($G$9-$E$9)*($F$9-$E$9)),$G$9-SQRT((1-S887)*($G$9-$E$9)*($G$9-$F$9))))</f>
        <v>1</v>
      </c>
      <c r="F887" s="37" t="n">
        <f aca="false">1+IF($G$10=$E$10,$F$10,IF(T887&lt;($F$10-$E$10)/($G$10-$E$10),$E$10+SQRT(T887*($G$10-$E$10)*($F$10-$E$10)),$G$10-SQRT((1-T887)*($G$10-$E$10)*($G$10-$F$10))))</f>
        <v>1</v>
      </c>
      <c r="G887" s="38" t="n">
        <f aca="false">IF($G$11=$E$11,$F$11,IF(U887&lt;($F$11-$E$11)/($G$11-$E$11),$E$11+SQRT(U887*($G$11-$E$11)*($F$11-$E$11)),$G$11-SQRT((1-U887)*($G$11-$E$11)*($G$11-$F$11))))</f>
        <v>0</v>
      </c>
      <c r="H887" s="39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0</v>
      </c>
      <c r="I887" s="39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0</v>
      </c>
      <c r="J887" s="39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0</v>
      </c>
      <c r="K887" s="39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0</v>
      </c>
      <c r="L887" s="39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0</v>
      </c>
      <c r="M887" s="39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0</v>
      </c>
      <c r="N887" s="39" t="str">
        <f aca="false">IF(COUNT('Business Case'!B11:G11)=0,"",H887+NPV(G887,I887:M887))</f>
        <v/>
      </c>
      <c r="P887" s="40" t="n">
        <f aca="true">RAND()</f>
        <v>0.0613430841123237</v>
      </c>
      <c r="Q887" s="40" t="n">
        <f aca="true">RAND()</f>
        <v>0.502904790525755</v>
      </c>
      <c r="R887" s="40" t="n">
        <f aca="true">RAND()</f>
        <v>0.848598386557602</v>
      </c>
      <c r="S887" s="40" t="n">
        <f aca="true">RAND()</f>
        <v>0.170623112020098</v>
      </c>
      <c r="T887" s="40" t="n">
        <f aca="true">RAND()</f>
        <v>0.308356502329521</v>
      </c>
      <c r="U887" s="40" t="n">
        <f aca="true">RAND()</f>
        <v>0.867479142495087</v>
      </c>
    </row>
    <row r="888" customFormat="false" ht="15" hidden="false" customHeight="false" outlineLevel="0" collapsed="false">
      <c r="A888" s="36" t="n">
        <v>808</v>
      </c>
      <c r="B888" s="37" t="n">
        <f aca="false">1+IF($G$6=$E$6,$F$6,IF(P888&lt;($F$6-$E$6)/($G$6-$E$6),$E$6+SQRT(P888*($G$6-$E$6)*($F$6-$E$6)),$G$6-SQRT((1-P888)*($G$6-$E$6)*($G$6-$F$6))))</f>
        <v>1</v>
      </c>
      <c r="C888" s="37" t="n">
        <f aca="false">1+IF($G$7=$E$7,$F$7,IF(Q888&lt;($F$7-$E$7)/($G$7-$E$7),$E$7+SQRT(Q888*($G$7-$E$7)*($F$7-$E$7)),$G$7-SQRT((1-Q888)*($G$7-$E$7)*($G$7-$F$7))))</f>
        <v>1</v>
      </c>
      <c r="D888" s="37" t="n">
        <f aca="false">1+IF($G$8=$E$8,$F$8,IF(R888&lt;($F$8-$E$8)/($G$8-$E$8),$E$8+SQRT(R888*($G$8-$E$8)*($F$8-$E$8)),$G$8-SQRT((1-R888)*($G$8-$E$8)*($G$8-$F$8))))</f>
        <v>1</v>
      </c>
      <c r="E888" s="37" t="n">
        <f aca="false">1+IF($G$9=$E$9,$F$9,IF(S888&lt;($F$9-$E$9)/($G$9-$E$9),$E$9+SQRT(S888*($G$9-$E$9)*($F$9-$E$9)),$G$9-SQRT((1-S888)*($G$9-$E$9)*($G$9-$F$9))))</f>
        <v>1</v>
      </c>
      <c r="F888" s="37" t="n">
        <f aca="false">1+IF($G$10=$E$10,$F$10,IF(T888&lt;($F$10-$E$10)/($G$10-$E$10),$E$10+SQRT(T888*($G$10-$E$10)*($F$10-$E$10)),$G$10-SQRT((1-T888)*($G$10-$E$10)*($G$10-$F$10))))</f>
        <v>1</v>
      </c>
      <c r="G888" s="38" t="n">
        <f aca="false">IF($G$11=$E$11,$F$11,IF(U888&lt;($F$11-$E$11)/($G$11-$E$11),$E$11+SQRT(U888*($G$11-$E$11)*($F$11-$E$11)),$G$11-SQRT((1-U888)*($G$11-$E$11)*($G$11-$F$11))))</f>
        <v>0</v>
      </c>
      <c r="H888" s="39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0</v>
      </c>
      <c r="I888" s="39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0</v>
      </c>
      <c r="J888" s="39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0</v>
      </c>
      <c r="K888" s="39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0</v>
      </c>
      <c r="L888" s="39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0</v>
      </c>
      <c r="M888" s="39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0</v>
      </c>
      <c r="N888" s="39" t="str">
        <f aca="false">IF(COUNT('Business Case'!B11:G11)=0,"",H888+NPV(G888,I888:M888))</f>
        <v/>
      </c>
      <c r="P888" s="40" t="n">
        <f aca="true">RAND()</f>
        <v>0.19988505400827</v>
      </c>
      <c r="Q888" s="40" t="n">
        <f aca="true">RAND()</f>
        <v>0.211789076777353</v>
      </c>
      <c r="R888" s="40" t="n">
        <f aca="true">RAND()</f>
        <v>0.123223390635054</v>
      </c>
      <c r="S888" s="40" t="n">
        <f aca="true">RAND()</f>
        <v>0.859413897210636</v>
      </c>
      <c r="T888" s="40" t="n">
        <f aca="true">RAND()</f>
        <v>0.0281729321202158</v>
      </c>
      <c r="U888" s="40" t="n">
        <f aca="true">RAND()</f>
        <v>0.906479861460462</v>
      </c>
    </row>
    <row r="889" customFormat="false" ht="15" hidden="false" customHeight="false" outlineLevel="0" collapsed="false">
      <c r="A889" s="36" t="n">
        <v>809</v>
      </c>
      <c r="B889" s="37" t="n">
        <f aca="false">1+IF($G$6=$E$6,$F$6,IF(P889&lt;($F$6-$E$6)/($G$6-$E$6),$E$6+SQRT(P889*($G$6-$E$6)*($F$6-$E$6)),$G$6-SQRT((1-P889)*($G$6-$E$6)*($G$6-$F$6))))</f>
        <v>1</v>
      </c>
      <c r="C889" s="37" t="n">
        <f aca="false">1+IF($G$7=$E$7,$F$7,IF(Q889&lt;($F$7-$E$7)/($G$7-$E$7),$E$7+SQRT(Q889*($G$7-$E$7)*($F$7-$E$7)),$G$7-SQRT((1-Q889)*($G$7-$E$7)*($G$7-$F$7))))</f>
        <v>1</v>
      </c>
      <c r="D889" s="37" t="n">
        <f aca="false">1+IF($G$8=$E$8,$F$8,IF(R889&lt;($F$8-$E$8)/($G$8-$E$8),$E$8+SQRT(R889*($G$8-$E$8)*($F$8-$E$8)),$G$8-SQRT((1-R889)*($G$8-$E$8)*($G$8-$F$8))))</f>
        <v>1</v>
      </c>
      <c r="E889" s="37" t="n">
        <f aca="false">1+IF($G$9=$E$9,$F$9,IF(S889&lt;($F$9-$E$9)/($G$9-$E$9),$E$9+SQRT(S889*($G$9-$E$9)*($F$9-$E$9)),$G$9-SQRT((1-S889)*($G$9-$E$9)*($G$9-$F$9))))</f>
        <v>1</v>
      </c>
      <c r="F889" s="37" t="n">
        <f aca="false">1+IF($G$10=$E$10,$F$10,IF(T889&lt;($F$10-$E$10)/($G$10-$E$10),$E$10+SQRT(T889*($G$10-$E$10)*($F$10-$E$10)),$G$10-SQRT((1-T889)*($G$10-$E$10)*($G$10-$F$10))))</f>
        <v>1</v>
      </c>
      <c r="G889" s="38" t="n">
        <f aca="false">IF($G$11=$E$11,$F$11,IF(U889&lt;($F$11-$E$11)/($G$11-$E$11),$E$11+SQRT(U889*($G$11-$E$11)*($F$11-$E$11)),$G$11-SQRT((1-U889)*($G$11-$E$11)*($G$11-$F$11))))</f>
        <v>0</v>
      </c>
      <c r="H889" s="39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0</v>
      </c>
      <c r="I889" s="39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0</v>
      </c>
      <c r="J889" s="39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0</v>
      </c>
      <c r="K889" s="39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0</v>
      </c>
      <c r="L889" s="39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0</v>
      </c>
      <c r="M889" s="39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0</v>
      </c>
      <c r="N889" s="39" t="str">
        <f aca="false">IF(COUNT('Business Case'!B11:G11)=0,"",H889+NPV(G889,I889:M889))</f>
        <v/>
      </c>
      <c r="P889" s="40" t="n">
        <f aca="true">RAND()</f>
        <v>0.24087674180688</v>
      </c>
      <c r="Q889" s="40" t="n">
        <f aca="true">RAND()</f>
        <v>0.578179484358803</v>
      </c>
      <c r="R889" s="40" t="n">
        <f aca="true">RAND()</f>
        <v>0.696093541307821</v>
      </c>
      <c r="S889" s="40" t="n">
        <f aca="true">RAND()</f>
        <v>0.0660355723366538</v>
      </c>
      <c r="T889" s="40" t="n">
        <f aca="true">RAND()</f>
        <v>0.206117306108075</v>
      </c>
      <c r="U889" s="40" t="n">
        <f aca="true">RAND()</f>
        <v>0.930243046083033</v>
      </c>
    </row>
    <row r="890" customFormat="false" ht="15" hidden="false" customHeight="false" outlineLevel="0" collapsed="false">
      <c r="A890" s="36" t="n">
        <v>810</v>
      </c>
      <c r="B890" s="37" t="n">
        <f aca="false">1+IF($G$6=$E$6,$F$6,IF(P890&lt;($F$6-$E$6)/($G$6-$E$6),$E$6+SQRT(P890*($G$6-$E$6)*($F$6-$E$6)),$G$6-SQRT((1-P890)*($G$6-$E$6)*($G$6-$F$6))))</f>
        <v>1</v>
      </c>
      <c r="C890" s="37" t="n">
        <f aca="false">1+IF($G$7=$E$7,$F$7,IF(Q890&lt;($F$7-$E$7)/($G$7-$E$7),$E$7+SQRT(Q890*($G$7-$E$7)*($F$7-$E$7)),$G$7-SQRT((1-Q890)*($G$7-$E$7)*($G$7-$F$7))))</f>
        <v>1</v>
      </c>
      <c r="D890" s="37" t="n">
        <f aca="false">1+IF($G$8=$E$8,$F$8,IF(R890&lt;($F$8-$E$8)/($G$8-$E$8),$E$8+SQRT(R890*($G$8-$E$8)*($F$8-$E$8)),$G$8-SQRT((1-R890)*($G$8-$E$8)*($G$8-$F$8))))</f>
        <v>1</v>
      </c>
      <c r="E890" s="37" t="n">
        <f aca="false">1+IF($G$9=$E$9,$F$9,IF(S890&lt;($F$9-$E$9)/($G$9-$E$9),$E$9+SQRT(S890*($G$9-$E$9)*($F$9-$E$9)),$G$9-SQRT((1-S890)*($G$9-$E$9)*($G$9-$F$9))))</f>
        <v>1</v>
      </c>
      <c r="F890" s="37" t="n">
        <f aca="false">1+IF($G$10=$E$10,$F$10,IF(T890&lt;($F$10-$E$10)/($G$10-$E$10),$E$10+SQRT(T890*($G$10-$E$10)*($F$10-$E$10)),$G$10-SQRT((1-T890)*($G$10-$E$10)*($G$10-$F$10))))</f>
        <v>1</v>
      </c>
      <c r="G890" s="38" t="n">
        <f aca="false">IF($G$11=$E$11,$F$11,IF(U890&lt;($F$11-$E$11)/($G$11-$E$11),$E$11+SQRT(U890*($G$11-$E$11)*($F$11-$E$11)),$G$11-SQRT((1-U890)*($G$11-$E$11)*($G$11-$F$11))))</f>
        <v>0</v>
      </c>
      <c r="H890" s="39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0</v>
      </c>
      <c r="I890" s="39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0</v>
      </c>
      <c r="J890" s="39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0</v>
      </c>
      <c r="K890" s="39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0</v>
      </c>
      <c r="L890" s="39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0</v>
      </c>
      <c r="M890" s="39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0</v>
      </c>
      <c r="N890" s="39" t="str">
        <f aca="false">IF(COUNT('Business Case'!B11:G11)=0,"",H890+NPV(G890,I890:M890))</f>
        <v/>
      </c>
      <c r="P890" s="40" t="n">
        <f aca="true">RAND()</f>
        <v>0.606245800367306</v>
      </c>
      <c r="Q890" s="40" t="n">
        <f aca="true">RAND()</f>
        <v>0.935990082625984</v>
      </c>
      <c r="R890" s="40" t="n">
        <f aca="true">RAND()</f>
        <v>0.817422414325762</v>
      </c>
      <c r="S890" s="40" t="n">
        <f aca="true">RAND()</f>
        <v>0.462163402831111</v>
      </c>
      <c r="T890" s="40" t="n">
        <f aca="true">RAND()</f>
        <v>0.489153084724128</v>
      </c>
      <c r="U890" s="40" t="n">
        <f aca="true">RAND()</f>
        <v>0.455904551075941</v>
      </c>
    </row>
    <row r="891" customFormat="false" ht="15" hidden="false" customHeight="false" outlineLevel="0" collapsed="false">
      <c r="A891" s="36" t="n">
        <v>811</v>
      </c>
      <c r="B891" s="37" t="n">
        <f aca="false">1+IF($G$6=$E$6,$F$6,IF(P891&lt;($F$6-$E$6)/($G$6-$E$6),$E$6+SQRT(P891*($G$6-$E$6)*($F$6-$E$6)),$G$6-SQRT((1-P891)*($G$6-$E$6)*($G$6-$F$6))))</f>
        <v>1</v>
      </c>
      <c r="C891" s="37" t="n">
        <f aca="false">1+IF($G$7=$E$7,$F$7,IF(Q891&lt;($F$7-$E$7)/($G$7-$E$7),$E$7+SQRT(Q891*($G$7-$E$7)*($F$7-$E$7)),$G$7-SQRT((1-Q891)*($G$7-$E$7)*($G$7-$F$7))))</f>
        <v>1</v>
      </c>
      <c r="D891" s="37" t="n">
        <f aca="false">1+IF($G$8=$E$8,$F$8,IF(R891&lt;($F$8-$E$8)/($G$8-$E$8),$E$8+SQRT(R891*($G$8-$E$8)*($F$8-$E$8)),$G$8-SQRT((1-R891)*($G$8-$E$8)*($G$8-$F$8))))</f>
        <v>1</v>
      </c>
      <c r="E891" s="37" t="n">
        <f aca="false">1+IF($G$9=$E$9,$F$9,IF(S891&lt;($F$9-$E$9)/($G$9-$E$9),$E$9+SQRT(S891*($G$9-$E$9)*($F$9-$E$9)),$G$9-SQRT((1-S891)*($G$9-$E$9)*($G$9-$F$9))))</f>
        <v>1</v>
      </c>
      <c r="F891" s="37" t="n">
        <f aca="false">1+IF($G$10=$E$10,$F$10,IF(T891&lt;($F$10-$E$10)/($G$10-$E$10),$E$10+SQRT(T891*($G$10-$E$10)*($F$10-$E$10)),$G$10-SQRT((1-T891)*($G$10-$E$10)*($G$10-$F$10))))</f>
        <v>1</v>
      </c>
      <c r="G891" s="38" t="n">
        <f aca="false">IF($G$11=$E$11,$F$11,IF(U891&lt;($F$11-$E$11)/($G$11-$E$11),$E$11+SQRT(U891*($G$11-$E$11)*($F$11-$E$11)),$G$11-SQRT((1-U891)*($G$11-$E$11)*($G$11-$F$11))))</f>
        <v>0</v>
      </c>
      <c r="H891" s="39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0</v>
      </c>
      <c r="I891" s="39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0</v>
      </c>
      <c r="J891" s="39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0</v>
      </c>
      <c r="K891" s="39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0</v>
      </c>
      <c r="L891" s="39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0</v>
      </c>
      <c r="M891" s="39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0</v>
      </c>
      <c r="N891" s="39" t="str">
        <f aca="false">IF(COUNT('Business Case'!B11:G11)=0,"",H891+NPV(G891,I891:M891))</f>
        <v/>
      </c>
      <c r="P891" s="40" t="n">
        <f aca="true">RAND()</f>
        <v>0.639535066602554</v>
      </c>
      <c r="Q891" s="40" t="n">
        <f aca="true">RAND()</f>
        <v>0.657818310378172</v>
      </c>
      <c r="R891" s="40" t="n">
        <f aca="true">RAND()</f>
        <v>0.468993066092734</v>
      </c>
      <c r="S891" s="40" t="n">
        <f aca="true">RAND()</f>
        <v>0.76937357165491</v>
      </c>
      <c r="T891" s="40" t="n">
        <f aca="true">RAND()</f>
        <v>0.38545579437613</v>
      </c>
      <c r="U891" s="40" t="n">
        <f aca="true">RAND()</f>
        <v>0.09882186034623</v>
      </c>
    </row>
    <row r="892" customFormat="false" ht="15" hidden="false" customHeight="false" outlineLevel="0" collapsed="false">
      <c r="A892" s="36" t="n">
        <v>812</v>
      </c>
      <c r="B892" s="37" t="n">
        <f aca="false">1+IF($G$6=$E$6,$F$6,IF(P892&lt;($F$6-$E$6)/($G$6-$E$6),$E$6+SQRT(P892*($G$6-$E$6)*($F$6-$E$6)),$G$6-SQRT((1-P892)*($G$6-$E$6)*($G$6-$F$6))))</f>
        <v>1</v>
      </c>
      <c r="C892" s="37" t="n">
        <f aca="false">1+IF($G$7=$E$7,$F$7,IF(Q892&lt;($F$7-$E$7)/($G$7-$E$7),$E$7+SQRT(Q892*($G$7-$E$7)*($F$7-$E$7)),$G$7-SQRT((1-Q892)*($G$7-$E$7)*($G$7-$F$7))))</f>
        <v>1</v>
      </c>
      <c r="D892" s="37" t="n">
        <f aca="false">1+IF($G$8=$E$8,$F$8,IF(R892&lt;($F$8-$E$8)/($G$8-$E$8),$E$8+SQRT(R892*($G$8-$E$8)*($F$8-$E$8)),$G$8-SQRT((1-R892)*($G$8-$E$8)*($G$8-$F$8))))</f>
        <v>1</v>
      </c>
      <c r="E892" s="37" t="n">
        <f aca="false">1+IF($G$9=$E$9,$F$9,IF(S892&lt;($F$9-$E$9)/($G$9-$E$9),$E$9+SQRT(S892*($G$9-$E$9)*($F$9-$E$9)),$G$9-SQRT((1-S892)*($G$9-$E$9)*($G$9-$F$9))))</f>
        <v>1</v>
      </c>
      <c r="F892" s="37" t="n">
        <f aca="false">1+IF($G$10=$E$10,$F$10,IF(T892&lt;($F$10-$E$10)/($G$10-$E$10),$E$10+SQRT(T892*($G$10-$E$10)*($F$10-$E$10)),$G$10-SQRT((1-T892)*($G$10-$E$10)*($G$10-$F$10))))</f>
        <v>1</v>
      </c>
      <c r="G892" s="38" t="n">
        <f aca="false">IF($G$11=$E$11,$F$11,IF(U892&lt;($F$11-$E$11)/($G$11-$E$11),$E$11+SQRT(U892*($G$11-$E$11)*($F$11-$E$11)),$G$11-SQRT((1-U892)*($G$11-$E$11)*($G$11-$F$11))))</f>
        <v>0</v>
      </c>
      <c r="H892" s="39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0</v>
      </c>
      <c r="I892" s="39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0</v>
      </c>
      <c r="J892" s="39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0</v>
      </c>
      <c r="K892" s="39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0</v>
      </c>
      <c r="L892" s="39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0</v>
      </c>
      <c r="M892" s="39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0</v>
      </c>
      <c r="N892" s="39" t="str">
        <f aca="false">IF(COUNT('Business Case'!B11:G11)=0,"",H892+NPV(G892,I892:M892))</f>
        <v/>
      </c>
      <c r="P892" s="40" t="n">
        <f aca="true">RAND()</f>
        <v>0.237628160557323</v>
      </c>
      <c r="Q892" s="40" t="n">
        <f aca="true">RAND()</f>
        <v>0.380929913518584</v>
      </c>
      <c r="R892" s="40" t="n">
        <f aca="true">RAND()</f>
        <v>0.86362359014105</v>
      </c>
      <c r="S892" s="40" t="n">
        <f aca="true">RAND()</f>
        <v>0.789804958215492</v>
      </c>
      <c r="T892" s="40" t="n">
        <f aca="true">RAND()</f>
        <v>0.224003365294814</v>
      </c>
      <c r="U892" s="40" t="n">
        <f aca="true">RAND()</f>
        <v>0.74892446658409</v>
      </c>
    </row>
    <row r="893" customFormat="false" ht="15" hidden="false" customHeight="false" outlineLevel="0" collapsed="false">
      <c r="A893" s="36" t="n">
        <v>813</v>
      </c>
      <c r="B893" s="37" t="n">
        <f aca="false">1+IF($G$6=$E$6,$F$6,IF(P893&lt;($F$6-$E$6)/($G$6-$E$6),$E$6+SQRT(P893*($G$6-$E$6)*($F$6-$E$6)),$G$6-SQRT((1-P893)*($G$6-$E$6)*($G$6-$F$6))))</f>
        <v>1</v>
      </c>
      <c r="C893" s="37" t="n">
        <f aca="false">1+IF($G$7=$E$7,$F$7,IF(Q893&lt;($F$7-$E$7)/($G$7-$E$7),$E$7+SQRT(Q893*($G$7-$E$7)*($F$7-$E$7)),$G$7-SQRT((1-Q893)*($G$7-$E$7)*($G$7-$F$7))))</f>
        <v>1</v>
      </c>
      <c r="D893" s="37" t="n">
        <f aca="false">1+IF($G$8=$E$8,$F$8,IF(R893&lt;($F$8-$E$8)/($G$8-$E$8),$E$8+SQRT(R893*($G$8-$E$8)*($F$8-$E$8)),$G$8-SQRT((1-R893)*($G$8-$E$8)*($G$8-$F$8))))</f>
        <v>1</v>
      </c>
      <c r="E893" s="37" t="n">
        <f aca="false">1+IF($G$9=$E$9,$F$9,IF(S893&lt;($F$9-$E$9)/($G$9-$E$9),$E$9+SQRT(S893*($G$9-$E$9)*($F$9-$E$9)),$G$9-SQRT((1-S893)*($G$9-$E$9)*($G$9-$F$9))))</f>
        <v>1</v>
      </c>
      <c r="F893" s="37" t="n">
        <f aca="false">1+IF($G$10=$E$10,$F$10,IF(T893&lt;($F$10-$E$10)/($G$10-$E$10),$E$10+SQRT(T893*($G$10-$E$10)*($F$10-$E$10)),$G$10-SQRT((1-T893)*($G$10-$E$10)*($G$10-$F$10))))</f>
        <v>1</v>
      </c>
      <c r="G893" s="38" t="n">
        <f aca="false">IF($G$11=$E$11,$F$11,IF(U893&lt;($F$11-$E$11)/($G$11-$E$11),$E$11+SQRT(U893*($G$11-$E$11)*($F$11-$E$11)),$G$11-SQRT((1-U893)*($G$11-$E$11)*($G$11-$F$11))))</f>
        <v>0</v>
      </c>
      <c r="H893" s="39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0</v>
      </c>
      <c r="I893" s="39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0</v>
      </c>
      <c r="J893" s="39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0</v>
      </c>
      <c r="K893" s="39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0</v>
      </c>
      <c r="L893" s="39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0</v>
      </c>
      <c r="M893" s="39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0</v>
      </c>
      <c r="N893" s="39" t="str">
        <f aca="false">IF(COUNT('Business Case'!B11:G11)=0,"",H893+NPV(G893,I893:M893))</f>
        <v/>
      </c>
      <c r="P893" s="40" t="n">
        <f aca="true">RAND()</f>
        <v>0.253992219078584</v>
      </c>
      <c r="Q893" s="40" t="n">
        <f aca="true">RAND()</f>
        <v>0.696349840558443</v>
      </c>
      <c r="R893" s="40" t="n">
        <f aca="true">RAND()</f>
        <v>0.00062424375074621</v>
      </c>
      <c r="S893" s="40" t="n">
        <f aca="true">RAND()</f>
        <v>0.797957279792028</v>
      </c>
      <c r="T893" s="40" t="n">
        <f aca="true">RAND()</f>
        <v>0.287257051411393</v>
      </c>
      <c r="U893" s="40" t="n">
        <f aca="true">RAND()</f>
        <v>0.68075988263571</v>
      </c>
    </row>
    <row r="894" customFormat="false" ht="15" hidden="false" customHeight="false" outlineLevel="0" collapsed="false">
      <c r="A894" s="36" t="n">
        <v>814</v>
      </c>
      <c r="B894" s="37" t="n">
        <f aca="false">1+IF($G$6=$E$6,$F$6,IF(P894&lt;($F$6-$E$6)/($G$6-$E$6),$E$6+SQRT(P894*($G$6-$E$6)*($F$6-$E$6)),$G$6-SQRT((1-P894)*($G$6-$E$6)*($G$6-$F$6))))</f>
        <v>1</v>
      </c>
      <c r="C894" s="37" t="n">
        <f aca="false">1+IF($G$7=$E$7,$F$7,IF(Q894&lt;($F$7-$E$7)/($G$7-$E$7),$E$7+SQRT(Q894*($G$7-$E$7)*($F$7-$E$7)),$G$7-SQRT((1-Q894)*($G$7-$E$7)*($G$7-$F$7))))</f>
        <v>1</v>
      </c>
      <c r="D894" s="37" t="n">
        <f aca="false">1+IF($G$8=$E$8,$F$8,IF(R894&lt;($F$8-$E$8)/($G$8-$E$8),$E$8+SQRT(R894*($G$8-$E$8)*($F$8-$E$8)),$G$8-SQRT((1-R894)*($G$8-$E$8)*($G$8-$F$8))))</f>
        <v>1</v>
      </c>
      <c r="E894" s="37" t="n">
        <f aca="false">1+IF($G$9=$E$9,$F$9,IF(S894&lt;($F$9-$E$9)/($G$9-$E$9),$E$9+SQRT(S894*($G$9-$E$9)*($F$9-$E$9)),$G$9-SQRT((1-S894)*($G$9-$E$9)*($G$9-$F$9))))</f>
        <v>1</v>
      </c>
      <c r="F894" s="37" t="n">
        <f aca="false">1+IF($G$10=$E$10,$F$10,IF(T894&lt;($F$10-$E$10)/($G$10-$E$10),$E$10+SQRT(T894*($G$10-$E$10)*($F$10-$E$10)),$G$10-SQRT((1-T894)*($G$10-$E$10)*($G$10-$F$10))))</f>
        <v>1</v>
      </c>
      <c r="G894" s="38" t="n">
        <f aca="false">IF($G$11=$E$11,$F$11,IF(U894&lt;($F$11-$E$11)/($G$11-$E$11),$E$11+SQRT(U894*($G$11-$E$11)*($F$11-$E$11)),$G$11-SQRT((1-U894)*($G$11-$E$11)*($G$11-$F$11))))</f>
        <v>0</v>
      </c>
      <c r="H894" s="39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0</v>
      </c>
      <c r="I894" s="39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0</v>
      </c>
      <c r="J894" s="39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0</v>
      </c>
      <c r="K894" s="39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0</v>
      </c>
      <c r="L894" s="39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0</v>
      </c>
      <c r="M894" s="39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0</v>
      </c>
      <c r="N894" s="39" t="str">
        <f aca="false">IF(COUNT('Business Case'!B11:G11)=0,"",H894+NPV(G894,I894:M894))</f>
        <v/>
      </c>
      <c r="P894" s="40" t="n">
        <f aca="true">RAND()</f>
        <v>0.656192340630573</v>
      </c>
      <c r="Q894" s="40" t="n">
        <f aca="true">RAND()</f>
        <v>0.653162848229694</v>
      </c>
      <c r="R894" s="40" t="n">
        <f aca="true">RAND()</f>
        <v>0.759529770959817</v>
      </c>
      <c r="S894" s="40" t="n">
        <f aca="true">RAND()</f>
        <v>0.973563959919843</v>
      </c>
      <c r="T894" s="40" t="n">
        <f aca="true">RAND()</f>
        <v>0.967684175549137</v>
      </c>
      <c r="U894" s="40" t="n">
        <f aca="true">RAND()</f>
        <v>0.619913521564677</v>
      </c>
    </row>
    <row r="895" customFormat="false" ht="15" hidden="false" customHeight="false" outlineLevel="0" collapsed="false">
      <c r="A895" s="36" t="n">
        <v>815</v>
      </c>
      <c r="B895" s="37" t="n">
        <f aca="false">1+IF($G$6=$E$6,$F$6,IF(P895&lt;($F$6-$E$6)/($G$6-$E$6),$E$6+SQRT(P895*($G$6-$E$6)*($F$6-$E$6)),$G$6-SQRT((1-P895)*($G$6-$E$6)*($G$6-$F$6))))</f>
        <v>1</v>
      </c>
      <c r="C895" s="37" t="n">
        <f aca="false">1+IF($G$7=$E$7,$F$7,IF(Q895&lt;($F$7-$E$7)/($G$7-$E$7),$E$7+SQRT(Q895*($G$7-$E$7)*($F$7-$E$7)),$G$7-SQRT((1-Q895)*($G$7-$E$7)*($G$7-$F$7))))</f>
        <v>1</v>
      </c>
      <c r="D895" s="37" t="n">
        <f aca="false">1+IF($G$8=$E$8,$F$8,IF(R895&lt;($F$8-$E$8)/($G$8-$E$8),$E$8+SQRT(R895*($G$8-$E$8)*($F$8-$E$8)),$G$8-SQRT((1-R895)*($G$8-$E$8)*($G$8-$F$8))))</f>
        <v>1</v>
      </c>
      <c r="E895" s="37" t="n">
        <f aca="false">1+IF($G$9=$E$9,$F$9,IF(S895&lt;($F$9-$E$9)/($G$9-$E$9),$E$9+SQRT(S895*($G$9-$E$9)*($F$9-$E$9)),$G$9-SQRT((1-S895)*($G$9-$E$9)*($G$9-$F$9))))</f>
        <v>1</v>
      </c>
      <c r="F895" s="37" t="n">
        <f aca="false">1+IF($G$10=$E$10,$F$10,IF(T895&lt;($F$10-$E$10)/($G$10-$E$10),$E$10+SQRT(T895*($G$10-$E$10)*($F$10-$E$10)),$G$10-SQRT((1-T895)*($G$10-$E$10)*($G$10-$F$10))))</f>
        <v>1</v>
      </c>
      <c r="G895" s="38" t="n">
        <f aca="false">IF($G$11=$E$11,$F$11,IF(U895&lt;($F$11-$E$11)/($G$11-$E$11),$E$11+SQRT(U895*($G$11-$E$11)*($F$11-$E$11)),$G$11-SQRT((1-U895)*($G$11-$E$11)*($G$11-$F$11))))</f>
        <v>0</v>
      </c>
      <c r="H895" s="39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0</v>
      </c>
      <c r="I895" s="39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0</v>
      </c>
      <c r="J895" s="39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0</v>
      </c>
      <c r="K895" s="39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0</v>
      </c>
      <c r="L895" s="39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0</v>
      </c>
      <c r="M895" s="39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0</v>
      </c>
      <c r="N895" s="39" t="str">
        <f aca="false">IF(COUNT('Business Case'!B11:G11)=0,"",H895+NPV(G895,I895:M895))</f>
        <v/>
      </c>
      <c r="P895" s="40" t="n">
        <f aca="true">RAND()</f>
        <v>0.107803852336972</v>
      </c>
      <c r="Q895" s="40" t="n">
        <f aca="true">RAND()</f>
        <v>0.737999890777862</v>
      </c>
      <c r="R895" s="40" t="n">
        <f aca="true">RAND()</f>
        <v>0.670090525547603</v>
      </c>
      <c r="S895" s="40" t="n">
        <f aca="true">RAND()</f>
        <v>0.772683633538262</v>
      </c>
      <c r="T895" s="40" t="n">
        <f aca="true">RAND()</f>
        <v>0.258837985952647</v>
      </c>
      <c r="U895" s="40" t="n">
        <f aca="true">RAND()</f>
        <v>0.487617224878619</v>
      </c>
    </row>
    <row r="896" customFormat="false" ht="15" hidden="false" customHeight="false" outlineLevel="0" collapsed="false">
      <c r="A896" s="36" t="n">
        <v>816</v>
      </c>
      <c r="B896" s="37" t="n">
        <f aca="false">1+IF($G$6=$E$6,$F$6,IF(P896&lt;($F$6-$E$6)/($G$6-$E$6),$E$6+SQRT(P896*($G$6-$E$6)*($F$6-$E$6)),$G$6-SQRT((1-P896)*($G$6-$E$6)*($G$6-$F$6))))</f>
        <v>1</v>
      </c>
      <c r="C896" s="37" t="n">
        <f aca="false">1+IF($G$7=$E$7,$F$7,IF(Q896&lt;($F$7-$E$7)/($G$7-$E$7),$E$7+SQRT(Q896*($G$7-$E$7)*($F$7-$E$7)),$G$7-SQRT((1-Q896)*($G$7-$E$7)*($G$7-$F$7))))</f>
        <v>1</v>
      </c>
      <c r="D896" s="37" t="n">
        <f aca="false">1+IF($G$8=$E$8,$F$8,IF(R896&lt;($F$8-$E$8)/($G$8-$E$8),$E$8+SQRT(R896*($G$8-$E$8)*($F$8-$E$8)),$G$8-SQRT((1-R896)*($G$8-$E$8)*($G$8-$F$8))))</f>
        <v>1</v>
      </c>
      <c r="E896" s="37" t="n">
        <f aca="false">1+IF($G$9=$E$9,$F$9,IF(S896&lt;($F$9-$E$9)/($G$9-$E$9),$E$9+SQRT(S896*($G$9-$E$9)*($F$9-$E$9)),$G$9-SQRT((1-S896)*($G$9-$E$9)*($G$9-$F$9))))</f>
        <v>1</v>
      </c>
      <c r="F896" s="37" t="n">
        <f aca="false">1+IF($G$10=$E$10,$F$10,IF(T896&lt;($F$10-$E$10)/($G$10-$E$10),$E$10+SQRT(T896*($G$10-$E$10)*($F$10-$E$10)),$G$10-SQRT((1-T896)*($G$10-$E$10)*($G$10-$F$10))))</f>
        <v>1</v>
      </c>
      <c r="G896" s="38" t="n">
        <f aca="false">IF($G$11=$E$11,$F$11,IF(U896&lt;($F$11-$E$11)/($G$11-$E$11),$E$11+SQRT(U896*($G$11-$E$11)*($F$11-$E$11)),$G$11-SQRT((1-U896)*($G$11-$E$11)*($G$11-$F$11))))</f>
        <v>0</v>
      </c>
      <c r="H896" s="39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0</v>
      </c>
      <c r="I896" s="39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0</v>
      </c>
      <c r="J896" s="39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0</v>
      </c>
      <c r="K896" s="39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0</v>
      </c>
      <c r="L896" s="39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0</v>
      </c>
      <c r="M896" s="39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0</v>
      </c>
      <c r="N896" s="39" t="str">
        <f aca="false">IF(COUNT('Business Case'!B11:G11)=0,"",H896+NPV(G896,I896:M896))</f>
        <v/>
      </c>
      <c r="P896" s="40" t="n">
        <f aca="true">RAND()</f>
        <v>0.359641501237507</v>
      </c>
      <c r="Q896" s="40" t="n">
        <f aca="true">RAND()</f>
        <v>0.344480275287694</v>
      </c>
      <c r="R896" s="40" t="n">
        <f aca="true">RAND()</f>
        <v>0.267747157725962</v>
      </c>
      <c r="S896" s="40" t="n">
        <f aca="true">RAND()</f>
        <v>0.557481848482841</v>
      </c>
      <c r="T896" s="40" t="n">
        <f aca="true">RAND()</f>
        <v>0.610902594599225</v>
      </c>
      <c r="U896" s="40" t="n">
        <f aca="true">RAND()</f>
        <v>0.379041351675997</v>
      </c>
    </row>
    <row r="897" customFormat="false" ht="15" hidden="false" customHeight="false" outlineLevel="0" collapsed="false">
      <c r="A897" s="36" t="n">
        <v>817</v>
      </c>
      <c r="B897" s="37" t="n">
        <f aca="false">1+IF($G$6=$E$6,$F$6,IF(P897&lt;($F$6-$E$6)/($G$6-$E$6),$E$6+SQRT(P897*($G$6-$E$6)*($F$6-$E$6)),$G$6-SQRT((1-P897)*($G$6-$E$6)*($G$6-$F$6))))</f>
        <v>1</v>
      </c>
      <c r="C897" s="37" t="n">
        <f aca="false">1+IF($G$7=$E$7,$F$7,IF(Q897&lt;($F$7-$E$7)/($G$7-$E$7),$E$7+SQRT(Q897*($G$7-$E$7)*($F$7-$E$7)),$G$7-SQRT((1-Q897)*($G$7-$E$7)*($G$7-$F$7))))</f>
        <v>1</v>
      </c>
      <c r="D897" s="37" t="n">
        <f aca="false">1+IF($G$8=$E$8,$F$8,IF(R897&lt;($F$8-$E$8)/($G$8-$E$8),$E$8+SQRT(R897*($G$8-$E$8)*($F$8-$E$8)),$G$8-SQRT((1-R897)*($G$8-$E$8)*($G$8-$F$8))))</f>
        <v>1</v>
      </c>
      <c r="E897" s="37" t="n">
        <f aca="false">1+IF($G$9=$E$9,$F$9,IF(S897&lt;($F$9-$E$9)/($G$9-$E$9),$E$9+SQRT(S897*($G$9-$E$9)*($F$9-$E$9)),$G$9-SQRT((1-S897)*($G$9-$E$9)*($G$9-$F$9))))</f>
        <v>1</v>
      </c>
      <c r="F897" s="37" t="n">
        <f aca="false">1+IF($G$10=$E$10,$F$10,IF(T897&lt;($F$10-$E$10)/($G$10-$E$10),$E$10+SQRT(T897*($G$10-$E$10)*($F$10-$E$10)),$G$10-SQRT((1-T897)*($G$10-$E$10)*($G$10-$F$10))))</f>
        <v>1</v>
      </c>
      <c r="G897" s="38" t="n">
        <f aca="false">IF($G$11=$E$11,$F$11,IF(U897&lt;($F$11-$E$11)/($G$11-$E$11),$E$11+SQRT(U897*($G$11-$E$11)*($F$11-$E$11)),$G$11-SQRT((1-U897)*($G$11-$E$11)*($G$11-$F$11))))</f>
        <v>0</v>
      </c>
      <c r="H897" s="39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0</v>
      </c>
      <c r="I897" s="39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0</v>
      </c>
      <c r="J897" s="39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0</v>
      </c>
      <c r="K897" s="39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0</v>
      </c>
      <c r="L897" s="39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0</v>
      </c>
      <c r="M897" s="39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0</v>
      </c>
      <c r="N897" s="39" t="str">
        <f aca="false">IF(COUNT('Business Case'!B11:G11)=0,"",H897+NPV(G897,I897:M897))</f>
        <v/>
      </c>
      <c r="P897" s="40" t="n">
        <f aca="true">RAND()</f>
        <v>0.98936265892972</v>
      </c>
      <c r="Q897" s="40" t="n">
        <f aca="true">RAND()</f>
        <v>0.313540555572369</v>
      </c>
      <c r="R897" s="40" t="n">
        <f aca="true">RAND()</f>
        <v>0.937139369314319</v>
      </c>
      <c r="S897" s="40" t="n">
        <f aca="true">RAND()</f>
        <v>0.23443596482756</v>
      </c>
      <c r="T897" s="40" t="n">
        <f aca="true">RAND()</f>
        <v>0.384023942072775</v>
      </c>
      <c r="U897" s="40" t="n">
        <f aca="true">RAND()</f>
        <v>0.727745252599962</v>
      </c>
    </row>
    <row r="898" customFormat="false" ht="15" hidden="false" customHeight="false" outlineLevel="0" collapsed="false">
      <c r="A898" s="36" t="n">
        <v>818</v>
      </c>
      <c r="B898" s="37" t="n">
        <f aca="false">1+IF($G$6=$E$6,$F$6,IF(P898&lt;($F$6-$E$6)/($G$6-$E$6),$E$6+SQRT(P898*($G$6-$E$6)*($F$6-$E$6)),$G$6-SQRT((1-P898)*($G$6-$E$6)*($G$6-$F$6))))</f>
        <v>1</v>
      </c>
      <c r="C898" s="37" t="n">
        <f aca="false">1+IF($G$7=$E$7,$F$7,IF(Q898&lt;($F$7-$E$7)/($G$7-$E$7),$E$7+SQRT(Q898*($G$7-$E$7)*($F$7-$E$7)),$G$7-SQRT((1-Q898)*($G$7-$E$7)*($G$7-$F$7))))</f>
        <v>1</v>
      </c>
      <c r="D898" s="37" t="n">
        <f aca="false">1+IF($G$8=$E$8,$F$8,IF(R898&lt;($F$8-$E$8)/($G$8-$E$8),$E$8+SQRT(R898*($G$8-$E$8)*($F$8-$E$8)),$G$8-SQRT((1-R898)*($G$8-$E$8)*($G$8-$F$8))))</f>
        <v>1</v>
      </c>
      <c r="E898" s="37" t="n">
        <f aca="false">1+IF($G$9=$E$9,$F$9,IF(S898&lt;($F$9-$E$9)/($G$9-$E$9),$E$9+SQRT(S898*($G$9-$E$9)*($F$9-$E$9)),$G$9-SQRT((1-S898)*($G$9-$E$9)*($G$9-$F$9))))</f>
        <v>1</v>
      </c>
      <c r="F898" s="37" t="n">
        <f aca="false">1+IF($G$10=$E$10,$F$10,IF(T898&lt;($F$10-$E$10)/($G$10-$E$10),$E$10+SQRT(T898*($G$10-$E$10)*($F$10-$E$10)),$G$10-SQRT((1-T898)*($G$10-$E$10)*($G$10-$F$10))))</f>
        <v>1</v>
      </c>
      <c r="G898" s="38" t="n">
        <f aca="false">IF($G$11=$E$11,$F$11,IF(U898&lt;($F$11-$E$11)/($G$11-$E$11),$E$11+SQRT(U898*($G$11-$E$11)*($F$11-$E$11)),$G$11-SQRT((1-U898)*($G$11-$E$11)*($G$11-$F$11))))</f>
        <v>0</v>
      </c>
      <c r="H898" s="39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0</v>
      </c>
      <c r="I898" s="39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0</v>
      </c>
      <c r="J898" s="39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0</v>
      </c>
      <c r="K898" s="39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0</v>
      </c>
      <c r="L898" s="39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0</v>
      </c>
      <c r="M898" s="39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0</v>
      </c>
      <c r="N898" s="39" t="str">
        <f aca="false">IF(COUNT('Business Case'!B11:G11)=0,"",H898+NPV(G898,I898:M898))</f>
        <v/>
      </c>
      <c r="P898" s="40" t="n">
        <f aca="true">RAND()</f>
        <v>0.782719915146075</v>
      </c>
      <c r="Q898" s="40" t="n">
        <f aca="true">RAND()</f>
        <v>0.396839331260936</v>
      </c>
      <c r="R898" s="40" t="n">
        <f aca="true">RAND()</f>
        <v>0.683605978489892</v>
      </c>
      <c r="S898" s="40" t="n">
        <f aca="true">RAND()</f>
        <v>0.499940092998049</v>
      </c>
      <c r="T898" s="40" t="n">
        <f aca="true">RAND()</f>
        <v>0.138810761368359</v>
      </c>
      <c r="U898" s="40" t="n">
        <f aca="true">RAND()</f>
        <v>0.348710519452313</v>
      </c>
    </row>
    <row r="899" customFormat="false" ht="15" hidden="false" customHeight="false" outlineLevel="0" collapsed="false">
      <c r="A899" s="36" t="n">
        <v>819</v>
      </c>
      <c r="B899" s="37" t="n">
        <f aca="false">1+IF($G$6=$E$6,$F$6,IF(P899&lt;($F$6-$E$6)/($G$6-$E$6),$E$6+SQRT(P899*($G$6-$E$6)*($F$6-$E$6)),$G$6-SQRT((1-P899)*($G$6-$E$6)*($G$6-$F$6))))</f>
        <v>1</v>
      </c>
      <c r="C899" s="37" t="n">
        <f aca="false">1+IF($G$7=$E$7,$F$7,IF(Q899&lt;($F$7-$E$7)/($G$7-$E$7),$E$7+SQRT(Q899*($G$7-$E$7)*($F$7-$E$7)),$G$7-SQRT((1-Q899)*($G$7-$E$7)*($G$7-$F$7))))</f>
        <v>1</v>
      </c>
      <c r="D899" s="37" t="n">
        <f aca="false">1+IF($G$8=$E$8,$F$8,IF(R899&lt;($F$8-$E$8)/($G$8-$E$8),$E$8+SQRT(R899*($G$8-$E$8)*($F$8-$E$8)),$G$8-SQRT((1-R899)*($G$8-$E$8)*($G$8-$F$8))))</f>
        <v>1</v>
      </c>
      <c r="E899" s="37" t="n">
        <f aca="false">1+IF($G$9=$E$9,$F$9,IF(S899&lt;($F$9-$E$9)/($G$9-$E$9),$E$9+SQRT(S899*($G$9-$E$9)*($F$9-$E$9)),$G$9-SQRT((1-S899)*($G$9-$E$9)*($G$9-$F$9))))</f>
        <v>1</v>
      </c>
      <c r="F899" s="37" t="n">
        <f aca="false">1+IF($G$10=$E$10,$F$10,IF(T899&lt;($F$10-$E$10)/($G$10-$E$10),$E$10+SQRT(T899*($G$10-$E$10)*($F$10-$E$10)),$G$10-SQRT((1-T899)*($G$10-$E$10)*($G$10-$F$10))))</f>
        <v>1</v>
      </c>
      <c r="G899" s="38" t="n">
        <f aca="false">IF($G$11=$E$11,$F$11,IF(U899&lt;($F$11-$E$11)/($G$11-$E$11),$E$11+SQRT(U899*($G$11-$E$11)*($F$11-$E$11)),$G$11-SQRT((1-U899)*($G$11-$E$11)*($G$11-$F$11))))</f>
        <v>0</v>
      </c>
      <c r="H899" s="39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0</v>
      </c>
      <c r="I899" s="39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0</v>
      </c>
      <c r="J899" s="39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0</v>
      </c>
      <c r="K899" s="39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0</v>
      </c>
      <c r="L899" s="39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0</v>
      </c>
      <c r="M899" s="39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0</v>
      </c>
      <c r="N899" s="39" t="str">
        <f aca="false">IF(COUNT('Business Case'!B11:G11)=0,"",H899+NPV(G899,I899:M899))</f>
        <v/>
      </c>
      <c r="P899" s="40" t="n">
        <f aca="true">RAND()</f>
        <v>0.18840176575799</v>
      </c>
      <c r="Q899" s="40" t="n">
        <f aca="true">RAND()</f>
        <v>0.149513027753859</v>
      </c>
      <c r="R899" s="40" t="n">
        <f aca="true">RAND()</f>
        <v>0.28340476872479</v>
      </c>
      <c r="S899" s="40" t="n">
        <f aca="true">RAND()</f>
        <v>0.518327441483673</v>
      </c>
      <c r="T899" s="40" t="n">
        <f aca="true">RAND()</f>
        <v>0.268176592906041</v>
      </c>
      <c r="U899" s="40" t="n">
        <f aca="true">RAND()</f>
        <v>0.600455318521796</v>
      </c>
    </row>
    <row r="900" customFormat="false" ht="15" hidden="false" customHeight="false" outlineLevel="0" collapsed="false">
      <c r="A900" s="36" t="n">
        <v>820</v>
      </c>
      <c r="B900" s="37" t="n">
        <f aca="false">1+IF($G$6=$E$6,$F$6,IF(P900&lt;($F$6-$E$6)/($G$6-$E$6),$E$6+SQRT(P900*($G$6-$E$6)*($F$6-$E$6)),$G$6-SQRT((1-P900)*($G$6-$E$6)*($G$6-$F$6))))</f>
        <v>1</v>
      </c>
      <c r="C900" s="37" t="n">
        <f aca="false">1+IF($G$7=$E$7,$F$7,IF(Q900&lt;($F$7-$E$7)/($G$7-$E$7),$E$7+SQRT(Q900*($G$7-$E$7)*($F$7-$E$7)),$G$7-SQRT((1-Q900)*($G$7-$E$7)*($G$7-$F$7))))</f>
        <v>1</v>
      </c>
      <c r="D900" s="37" t="n">
        <f aca="false">1+IF($G$8=$E$8,$F$8,IF(R900&lt;($F$8-$E$8)/($G$8-$E$8),$E$8+SQRT(R900*($G$8-$E$8)*($F$8-$E$8)),$G$8-SQRT((1-R900)*($G$8-$E$8)*($G$8-$F$8))))</f>
        <v>1</v>
      </c>
      <c r="E900" s="37" t="n">
        <f aca="false">1+IF($G$9=$E$9,$F$9,IF(S900&lt;($F$9-$E$9)/($G$9-$E$9),$E$9+SQRT(S900*($G$9-$E$9)*($F$9-$E$9)),$G$9-SQRT((1-S900)*($G$9-$E$9)*($G$9-$F$9))))</f>
        <v>1</v>
      </c>
      <c r="F900" s="37" t="n">
        <f aca="false">1+IF($G$10=$E$10,$F$10,IF(T900&lt;($F$10-$E$10)/($G$10-$E$10),$E$10+SQRT(T900*($G$10-$E$10)*($F$10-$E$10)),$G$10-SQRT((1-T900)*($G$10-$E$10)*($G$10-$F$10))))</f>
        <v>1</v>
      </c>
      <c r="G900" s="38" t="n">
        <f aca="false">IF($G$11=$E$11,$F$11,IF(U900&lt;($F$11-$E$11)/($G$11-$E$11),$E$11+SQRT(U900*($G$11-$E$11)*($F$11-$E$11)),$G$11-SQRT((1-U900)*($G$11-$E$11)*($G$11-$F$11))))</f>
        <v>0</v>
      </c>
      <c r="H900" s="39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0</v>
      </c>
      <c r="I900" s="39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0</v>
      </c>
      <c r="J900" s="39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0</v>
      </c>
      <c r="K900" s="39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0</v>
      </c>
      <c r="L900" s="39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0</v>
      </c>
      <c r="M900" s="39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0</v>
      </c>
      <c r="N900" s="39" t="str">
        <f aca="false">IF(COUNT('Business Case'!B11:G11)=0,"",H900+NPV(G900,I900:M900))</f>
        <v/>
      </c>
      <c r="P900" s="40" t="n">
        <f aca="true">RAND()</f>
        <v>0.741838878356905</v>
      </c>
      <c r="Q900" s="40" t="n">
        <f aca="true">RAND()</f>
        <v>0.970449064175503</v>
      </c>
      <c r="R900" s="40" t="n">
        <f aca="true">RAND()</f>
        <v>0.461984610159199</v>
      </c>
      <c r="S900" s="40" t="n">
        <f aca="true">RAND()</f>
        <v>0.566412139392587</v>
      </c>
      <c r="T900" s="40" t="n">
        <f aca="true">RAND()</f>
        <v>0.704536475473809</v>
      </c>
      <c r="U900" s="40" t="n">
        <f aca="true">RAND()</f>
        <v>0.859339216256912</v>
      </c>
    </row>
    <row r="901" customFormat="false" ht="15" hidden="false" customHeight="false" outlineLevel="0" collapsed="false">
      <c r="A901" s="36" t="n">
        <v>821</v>
      </c>
      <c r="B901" s="37" t="n">
        <f aca="false">1+IF($G$6=$E$6,$F$6,IF(P901&lt;($F$6-$E$6)/($G$6-$E$6),$E$6+SQRT(P901*($G$6-$E$6)*($F$6-$E$6)),$G$6-SQRT((1-P901)*($G$6-$E$6)*($G$6-$F$6))))</f>
        <v>1</v>
      </c>
      <c r="C901" s="37" t="n">
        <f aca="false">1+IF($G$7=$E$7,$F$7,IF(Q901&lt;($F$7-$E$7)/($G$7-$E$7),$E$7+SQRT(Q901*($G$7-$E$7)*($F$7-$E$7)),$G$7-SQRT((1-Q901)*($G$7-$E$7)*($G$7-$F$7))))</f>
        <v>1</v>
      </c>
      <c r="D901" s="37" t="n">
        <f aca="false">1+IF($G$8=$E$8,$F$8,IF(R901&lt;($F$8-$E$8)/($G$8-$E$8),$E$8+SQRT(R901*($G$8-$E$8)*($F$8-$E$8)),$G$8-SQRT((1-R901)*($G$8-$E$8)*($G$8-$F$8))))</f>
        <v>1</v>
      </c>
      <c r="E901" s="37" t="n">
        <f aca="false">1+IF($G$9=$E$9,$F$9,IF(S901&lt;($F$9-$E$9)/($G$9-$E$9),$E$9+SQRT(S901*($G$9-$E$9)*($F$9-$E$9)),$G$9-SQRT((1-S901)*($G$9-$E$9)*($G$9-$F$9))))</f>
        <v>1</v>
      </c>
      <c r="F901" s="37" t="n">
        <f aca="false">1+IF($G$10=$E$10,$F$10,IF(T901&lt;($F$10-$E$10)/($G$10-$E$10),$E$10+SQRT(T901*($G$10-$E$10)*($F$10-$E$10)),$G$10-SQRT((1-T901)*($G$10-$E$10)*($G$10-$F$10))))</f>
        <v>1</v>
      </c>
      <c r="G901" s="38" t="n">
        <f aca="false">IF($G$11=$E$11,$F$11,IF(U901&lt;($F$11-$E$11)/($G$11-$E$11),$E$11+SQRT(U901*($G$11-$E$11)*($F$11-$E$11)),$G$11-SQRT((1-U901)*($G$11-$E$11)*($G$11-$F$11))))</f>
        <v>0</v>
      </c>
      <c r="H901" s="39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0</v>
      </c>
      <c r="I901" s="39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0</v>
      </c>
      <c r="J901" s="39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0</v>
      </c>
      <c r="K901" s="39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0</v>
      </c>
      <c r="L901" s="39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0</v>
      </c>
      <c r="M901" s="39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0</v>
      </c>
      <c r="N901" s="39" t="str">
        <f aca="false">IF(COUNT('Business Case'!B11:G11)=0,"",H901+NPV(G901,I901:M901))</f>
        <v/>
      </c>
      <c r="P901" s="40" t="n">
        <f aca="true">RAND()</f>
        <v>0.211192780404754</v>
      </c>
      <c r="Q901" s="40" t="n">
        <f aca="true">RAND()</f>
        <v>0.0221316152566821</v>
      </c>
      <c r="R901" s="40" t="n">
        <f aca="true">RAND()</f>
        <v>0.263443160569671</v>
      </c>
      <c r="S901" s="40" t="n">
        <f aca="true">RAND()</f>
        <v>0.172708285532263</v>
      </c>
      <c r="T901" s="40" t="n">
        <f aca="true">RAND()</f>
        <v>0.873164997888458</v>
      </c>
      <c r="U901" s="40" t="n">
        <f aca="true">RAND()</f>
        <v>0.261776702206389</v>
      </c>
    </row>
    <row r="902" customFormat="false" ht="15" hidden="false" customHeight="false" outlineLevel="0" collapsed="false">
      <c r="A902" s="36" t="n">
        <v>822</v>
      </c>
      <c r="B902" s="37" t="n">
        <f aca="false">1+IF($G$6=$E$6,$F$6,IF(P902&lt;($F$6-$E$6)/($G$6-$E$6),$E$6+SQRT(P902*($G$6-$E$6)*($F$6-$E$6)),$G$6-SQRT((1-P902)*($G$6-$E$6)*($G$6-$F$6))))</f>
        <v>1</v>
      </c>
      <c r="C902" s="37" t="n">
        <f aca="false">1+IF($G$7=$E$7,$F$7,IF(Q902&lt;($F$7-$E$7)/($G$7-$E$7),$E$7+SQRT(Q902*($G$7-$E$7)*($F$7-$E$7)),$G$7-SQRT((1-Q902)*($G$7-$E$7)*($G$7-$F$7))))</f>
        <v>1</v>
      </c>
      <c r="D902" s="37" t="n">
        <f aca="false">1+IF($G$8=$E$8,$F$8,IF(R902&lt;($F$8-$E$8)/($G$8-$E$8),$E$8+SQRT(R902*($G$8-$E$8)*($F$8-$E$8)),$G$8-SQRT((1-R902)*($G$8-$E$8)*($G$8-$F$8))))</f>
        <v>1</v>
      </c>
      <c r="E902" s="37" t="n">
        <f aca="false">1+IF($G$9=$E$9,$F$9,IF(S902&lt;($F$9-$E$9)/($G$9-$E$9),$E$9+SQRT(S902*($G$9-$E$9)*($F$9-$E$9)),$G$9-SQRT((1-S902)*($G$9-$E$9)*($G$9-$F$9))))</f>
        <v>1</v>
      </c>
      <c r="F902" s="37" t="n">
        <f aca="false">1+IF($G$10=$E$10,$F$10,IF(T902&lt;($F$10-$E$10)/($G$10-$E$10),$E$10+SQRT(T902*($G$10-$E$10)*($F$10-$E$10)),$G$10-SQRT((1-T902)*($G$10-$E$10)*($G$10-$F$10))))</f>
        <v>1</v>
      </c>
      <c r="G902" s="38" t="n">
        <f aca="false">IF($G$11=$E$11,$F$11,IF(U902&lt;($F$11-$E$11)/($G$11-$E$11),$E$11+SQRT(U902*($G$11-$E$11)*($F$11-$E$11)),$G$11-SQRT((1-U902)*($G$11-$E$11)*($G$11-$F$11))))</f>
        <v>0</v>
      </c>
      <c r="H902" s="39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0</v>
      </c>
      <c r="I902" s="39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0</v>
      </c>
      <c r="J902" s="39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0</v>
      </c>
      <c r="K902" s="39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0</v>
      </c>
      <c r="L902" s="39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0</v>
      </c>
      <c r="M902" s="39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0</v>
      </c>
      <c r="N902" s="39" t="str">
        <f aca="false">IF(COUNT('Business Case'!B11:G11)=0,"",H902+NPV(G902,I902:M902))</f>
        <v/>
      </c>
      <c r="P902" s="40" t="n">
        <f aca="true">RAND()</f>
        <v>0.656227012751934</v>
      </c>
      <c r="Q902" s="40" t="n">
        <f aca="true">RAND()</f>
        <v>0.492737952107584</v>
      </c>
      <c r="R902" s="40" t="n">
        <f aca="true">RAND()</f>
        <v>0.522834201002563</v>
      </c>
      <c r="S902" s="40" t="n">
        <f aca="true">RAND()</f>
        <v>0.588229968912541</v>
      </c>
      <c r="T902" s="40" t="n">
        <f aca="true">RAND()</f>
        <v>0.0277276599824003</v>
      </c>
      <c r="U902" s="40" t="n">
        <f aca="true">RAND()</f>
        <v>0.215259664321589</v>
      </c>
    </row>
    <row r="903" customFormat="false" ht="15" hidden="false" customHeight="false" outlineLevel="0" collapsed="false">
      <c r="A903" s="36" t="n">
        <v>823</v>
      </c>
      <c r="B903" s="37" t="n">
        <f aca="false">1+IF($G$6=$E$6,$F$6,IF(P903&lt;($F$6-$E$6)/($G$6-$E$6),$E$6+SQRT(P903*($G$6-$E$6)*($F$6-$E$6)),$G$6-SQRT((1-P903)*($G$6-$E$6)*($G$6-$F$6))))</f>
        <v>1</v>
      </c>
      <c r="C903" s="37" t="n">
        <f aca="false">1+IF($G$7=$E$7,$F$7,IF(Q903&lt;($F$7-$E$7)/($G$7-$E$7),$E$7+SQRT(Q903*($G$7-$E$7)*($F$7-$E$7)),$G$7-SQRT((1-Q903)*($G$7-$E$7)*($G$7-$F$7))))</f>
        <v>1</v>
      </c>
      <c r="D903" s="37" t="n">
        <f aca="false">1+IF($G$8=$E$8,$F$8,IF(R903&lt;($F$8-$E$8)/($G$8-$E$8),$E$8+SQRT(R903*($G$8-$E$8)*($F$8-$E$8)),$G$8-SQRT((1-R903)*($G$8-$E$8)*($G$8-$F$8))))</f>
        <v>1</v>
      </c>
      <c r="E903" s="37" t="n">
        <f aca="false">1+IF($G$9=$E$9,$F$9,IF(S903&lt;($F$9-$E$9)/($G$9-$E$9),$E$9+SQRT(S903*($G$9-$E$9)*($F$9-$E$9)),$G$9-SQRT((1-S903)*($G$9-$E$9)*($G$9-$F$9))))</f>
        <v>1</v>
      </c>
      <c r="F903" s="37" t="n">
        <f aca="false">1+IF($G$10=$E$10,$F$10,IF(T903&lt;($F$10-$E$10)/($G$10-$E$10),$E$10+SQRT(T903*($G$10-$E$10)*($F$10-$E$10)),$G$10-SQRT((1-T903)*($G$10-$E$10)*($G$10-$F$10))))</f>
        <v>1</v>
      </c>
      <c r="G903" s="38" t="n">
        <f aca="false">IF($G$11=$E$11,$F$11,IF(U903&lt;($F$11-$E$11)/($G$11-$E$11),$E$11+SQRT(U903*($G$11-$E$11)*($F$11-$E$11)),$G$11-SQRT((1-U903)*($G$11-$E$11)*($G$11-$F$11))))</f>
        <v>0</v>
      </c>
      <c r="H903" s="39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0</v>
      </c>
      <c r="I903" s="39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0</v>
      </c>
      <c r="J903" s="39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0</v>
      </c>
      <c r="K903" s="39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0</v>
      </c>
      <c r="L903" s="39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0</v>
      </c>
      <c r="M903" s="39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0</v>
      </c>
      <c r="N903" s="39" t="str">
        <f aca="false">IF(COUNT('Business Case'!B11:G11)=0,"",H903+NPV(G903,I903:M903))</f>
        <v/>
      </c>
      <c r="P903" s="40" t="n">
        <f aca="true">RAND()</f>
        <v>0.819968489190157</v>
      </c>
      <c r="Q903" s="40" t="n">
        <f aca="true">RAND()</f>
        <v>0.486940028920521</v>
      </c>
      <c r="R903" s="40" t="n">
        <f aca="true">RAND()</f>
        <v>0.0734456618659239</v>
      </c>
      <c r="S903" s="40" t="n">
        <f aca="true">RAND()</f>
        <v>0.858379509003086</v>
      </c>
      <c r="T903" s="40" t="n">
        <f aca="true">RAND()</f>
        <v>0.905988672713179</v>
      </c>
      <c r="U903" s="40" t="n">
        <f aca="true">RAND()</f>
        <v>0.33419472410782</v>
      </c>
    </row>
    <row r="904" customFormat="false" ht="15" hidden="false" customHeight="false" outlineLevel="0" collapsed="false">
      <c r="A904" s="36" t="n">
        <v>824</v>
      </c>
      <c r="B904" s="37" t="n">
        <f aca="false">1+IF($G$6=$E$6,$F$6,IF(P904&lt;($F$6-$E$6)/($G$6-$E$6),$E$6+SQRT(P904*($G$6-$E$6)*($F$6-$E$6)),$G$6-SQRT((1-P904)*($G$6-$E$6)*($G$6-$F$6))))</f>
        <v>1</v>
      </c>
      <c r="C904" s="37" t="n">
        <f aca="false">1+IF($G$7=$E$7,$F$7,IF(Q904&lt;($F$7-$E$7)/($G$7-$E$7),$E$7+SQRT(Q904*($G$7-$E$7)*($F$7-$E$7)),$G$7-SQRT((1-Q904)*($G$7-$E$7)*($G$7-$F$7))))</f>
        <v>1</v>
      </c>
      <c r="D904" s="37" t="n">
        <f aca="false">1+IF($G$8=$E$8,$F$8,IF(R904&lt;($F$8-$E$8)/($G$8-$E$8),$E$8+SQRT(R904*($G$8-$E$8)*($F$8-$E$8)),$G$8-SQRT((1-R904)*($G$8-$E$8)*($G$8-$F$8))))</f>
        <v>1</v>
      </c>
      <c r="E904" s="37" t="n">
        <f aca="false">1+IF($G$9=$E$9,$F$9,IF(S904&lt;($F$9-$E$9)/($G$9-$E$9),$E$9+SQRT(S904*($G$9-$E$9)*($F$9-$E$9)),$G$9-SQRT((1-S904)*($G$9-$E$9)*($G$9-$F$9))))</f>
        <v>1</v>
      </c>
      <c r="F904" s="37" t="n">
        <f aca="false">1+IF($G$10=$E$10,$F$10,IF(T904&lt;($F$10-$E$10)/($G$10-$E$10),$E$10+SQRT(T904*($G$10-$E$10)*($F$10-$E$10)),$G$10-SQRT((1-T904)*($G$10-$E$10)*($G$10-$F$10))))</f>
        <v>1</v>
      </c>
      <c r="G904" s="38" t="n">
        <f aca="false">IF($G$11=$E$11,$F$11,IF(U904&lt;($F$11-$E$11)/($G$11-$E$11),$E$11+SQRT(U904*($G$11-$E$11)*($F$11-$E$11)),$G$11-SQRT((1-U904)*($G$11-$E$11)*($G$11-$F$11))))</f>
        <v>0</v>
      </c>
      <c r="H904" s="39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0</v>
      </c>
      <c r="I904" s="39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0</v>
      </c>
      <c r="J904" s="39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0</v>
      </c>
      <c r="K904" s="39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0</v>
      </c>
      <c r="L904" s="39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0</v>
      </c>
      <c r="M904" s="39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0</v>
      </c>
      <c r="N904" s="39" t="str">
        <f aca="false">IF(COUNT('Business Case'!B11:G11)=0,"",H904+NPV(G904,I904:M904))</f>
        <v/>
      </c>
      <c r="P904" s="40" t="n">
        <f aca="true">RAND()</f>
        <v>0.0419257333597145</v>
      </c>
      <c r="Q904" s="40" t="n">
        <f aca="true">RAND()</f>
        <v>0.51197809361894</v>
      </c>
      <c r="R904" s="40" t="n">
        <f aca="true">RAND()</f>
        <v>0.470524480084499</v>
      </c>
      <c r="S904" s="40" t="n">
        <f aca="true">RAND()</f>
        <v>0.130804655478323</v>
      </c>
      <c r="T904" s="40" t="n">
        <f aca="true">RAND()</f>
        <v>0.594313451205306</v>
      </c>
      <c r="U904" s="40" t="n">
        <f aca="true">RAND()</f>
        <v>0.576733432902738</v>
      </c>
    </row>
    <row r="905" customFormat="false" ht="15" hidden="false" customHeight="false" outlineLevel="0" collapsed="false">
      <c r="A905" s="36" t="n">
        <v>825</v>
      </c>
      <c r="B905" s="37" t="n">
        <f aca="false">1+IF($G$6=$E$6,$F$6,IF(P905&lt;($F$6-$E$6)/($G$6-$E$6),$E$6+SQRT(P905*($G$6-$E$6)*($F$6-$E$6)),$G$6-SQRT((1-P905)*($G$6-$E$6)*($G$6-$F$6))))</f>
        <v>1</v>
      </c>
      <c r="C905" s="37" t="n">
        <f aca="false">1+IF($G$7=$E$7,$F$7,IF(Q905&lt;($F$7-$E$7)/($G$7-$E$7),$E$7+SQRT(Q905*($G$7-$E$7)*($F$7-$E$7)),$G$7-SQRT((1-Q905)*($G$7-$E$7)*($G$7-$F$7))))</f>
        <v>1</v>
      </c>
      <c r="D905" s="37" t="n">
        <f aca="false">1+IF($G$8=$E$8,$F$8,IF(R905&lt;($F$8-$E$8)/($G$8-$E$8),$E$8+SQRT(R905*($G$8-$E$8)*($F$8-$E$8)),$G$8-SQRT((1-R905)*($G$8-$E$8)*($G$8-$F$8))))</f>
        <v>1</v>
      </c>
      <c r="E905" s="37" t="n">
        <f aca="false">1+IF($G$9=$E$9,$F$9,IF(S905&lt;($F$9-$E$9)/($G$9-$E$9),$E$9+SQRT(S905*($G$9-$E$9)*($F$9-$E$9)),$G$9-SQRT((1-S905)*($G$9-$E$9)*($G$9-$F$9))))</f>
        <v>1</v>
      </c>
      <c r="F905" s="37" t="n">
        <f aca="false">1+IF($G$10=$E$10,$F$10,IF(T905&lt;($F$10-$E$10)/($G$10-$E$10),$E$10+SQRT(T905*($G$10-$E$10)*($F$10-$E$10)),$G$10-SQRT((1-T905)*($G$10-$E$10)*($G$10-$F$10))))</f>
        <v>1</v>
      </c>
      <c r="G905" s="38" t="n">
        <f aca="false">IF($G$11=$E$11,$F$11,IF(U905&lt;($F$11-$E$11)/($G$11-$E$11),$E$11+SQRT(U905*($G$11-$E$11)*($F$11-$E$11)),$G$11-SQRT((1-U905)*($G$11-$E$11)*($G$11-$F$11))))</f>
        <v>0</v>
      </c>
      <c r="H905" s="39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0</v>
      </c>
      <c r="I905" s="39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0</v>
      </c>
      <c r="J905" s="39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0</v>
      </c>
      <c r="K905" s="39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0</v>
      </c>
      <c r="L905" s="39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0</v>
      </c>
      <c r="M905" s="39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0</v>
      </c>
      <c r="N905" s="39" t="str">
        <f aca="false">IF(COUNT('Business Case'!B11:G11)=0,"",H905+NPV(G905,I905:M905))</f>
        <v/>
      </c>
      <c r="P905" s="40" t="n">
        <f aca="true">RAND()</f>
        <v>0.854365451192301</v>
      </c>
      <c r="Q905" s="40" t="n">
        <f aca="true">RAND()</f>
        <v>0.283944664337436</v>
      </c>
      <c r="R905" s="40" t="n">
        <f aca="true">RAND()</f>
        <v>0.456728608077024</v>
      </c>
      <c r="S905" s="40" t="n">
        <f aca="true">RAND()</f>
        <v>0.385759500096729</v>
      </c>
      <c r="T905" s="40" t="n">
        <f aca="true">RAND()</f>
        <v>0.459592200048125</v>
      </c>
      <c r="U905" s="40" t="n">
        <f aca="true">RAND()</f>
        <v>0.575925393405908</v>
      </c>
    </row>
    <row r="906" customFormat="false" ht="15" hidden="false" customHeight="false" outlineLevel="0" collapsed="false">
      <c r="A906" s="36" t="n">
        <v>826</v>
      </c>
      <c r="B906" s="37" t="n">
        <f aca="false">1+IF($G$6=$E$6,$F$6,IF(P906&lt;($F$6-$E$6)/($G$6-$E$6),$E$6+SQRT(P906*($G$6-$E$6)*($F$6-$E$6)),$G$6-SQRT((1-P906)*($G$6-$E$6)*($G$6-$F$6))))</f>
        <v>1</v>
      </c>
      <c r="C906" s="37" t="n">
        <f aca="false">1+IF($G$7=$E$7,$F$7,IF(Q906&lt;($F$7-$E$7)/($G$7-$E$7),$E$7+SQRT(Q906*($G$7-$E$7)*($F$7-$E$7)),$G$7-SQRT((1-Q906)*($G$7-$E$7)*($G$7-$F$7))))</f>
        <v>1</v>
      </c>
      <c r="D906" s="37" t="n">
        <f aca="false">1+IF($G$8=$E$8,$F$8,IF(R906&lt;($F$8-$E$8)/($G$8-$E$8),$E$8+SQRT(R906*($G$8-$E$8)*($F$8-$E$8)),$G$8-SQRT((1-R906)*($G$8-$E$8)*($G$8-$F$8))))</f>
        <v>1</v>
      </c>
      <c r="E906" s="37" t="n">
        <f aca="false">1+IF($G$9=$E$9,$F$9,IF(S906&lt;($F$9-$E$9)/($G$9-$E$9),$E$9+SQRT(S906*($G$9-$E$9)*($F$9-$E$9)),$G$9-SQRT((1-S906)*($G$9-$E$9)*($G$9-$F$9))))</f>
        <v>1</v>
      </c>
      <c r="F906" s="37" t="n">
        <f aca="false">1+IF($G$10=$E$10,$F$10,IF(T906&lt;($F$10-$E$10)/($G$10-$E$10),$E$10+SQRT(T906*($G$10-$E$10)*($F$10-$E$10)),$G$10-SQRT((1-T906)*($G$10-$E$10)*($G$10-$F$10))))</f>
        <v>1</v>
      </c>
      <c r="G906" s="38" t="n">
        <f aca="false">IF($G$11=$E$11,$F$11,IF(U906&lt;($F$11-$E$11)/($G$11-$E$11),$E$11+SQRT(U906*($G$11-$E$11)*($F$11-$E$11)),$G$11-SQRT((1-U906)*($G$11-$E$11)*($G$11-$F$11))))</f>
        <v>0</v>
      </c>
      <c r="H906" s="39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0</v>
      </c>
      <c r="I906" s="39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0</v>
      </c>
      <c r="J906" s="39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0</v>
      </c>
      <c r="K906" s="39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0</v>
      </c>
      <c r="L906" s="39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0</v>
      </c>
      <c r="M906" s="39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0</v>
      </c>
      <c r="N906" s="39" t="str">
        <f aca="false">IF(COUNT('Business Case'!B11:G11)=0,"",H906+NPV(G906,I906:M906))</f>
        <v/>
      </c>
      <c r="P906" s="40" t="n">
        <f aca="true">RAND()</f>
        <v>0.271229301947426</v>
      </c>
      <c r="Q906" s="40" t="n">
        <f aca="true">RAND()</f>
        <v>0.787591036896451</v>
      </c>
      <c r="R906" s="40" t="n">
        <f aca="true">RAND()</f>
        <v>0.987011640651117</v>
      </c>
      <c r="S906" s="40" t="n">
        <f aca="true">RAND()</f>
        <v>0.871301750325854</v>
      </c>
      <c r="T906" s="40" t="n">
        <f aca="true">RAND()</f>
        <v>0.946760751619504</v>
      </c>
      <c r="U906" s="40" t="n">
        <f aca="true">RAND()</f>
        <v>0.669838626543764</v>
      </c>
    </row>
    <row r="907" customFormat="false" ht="15" hidden="false" customHeight="false" outlineLevel="0" collapsed="false">
      <c r="A907" s="36" t="n">
        <v>827</v>
      </c>
      <c r="B907" s="37" t="n">
        <f aca="false">1+IF($G$6=$E$6,$F$6,IF(P907&lt;($F$6-$E$6)/($G$6-$E$6),$E$6+SQRT(P907*($G$6-$E$6)*($F$6-$E$6)),$G$6-SQRT((1-P907)*($G$6-$E$6)*($G$6-$F$6))))</f>
        <v>1</v>
      </c>
      <c r="C907" s="37" t="n">
        <f aca="false">1+IF($G$7=$E$7,$F$7,IF(Q907&lt;($F$7-$E$7)/($G$7-$E$7),$E$7+SQRT(Q907*($G$7-$E$7)*($F$7-$E$7)),$G$7-SQRT((1-Q907)*($G$7-$E$7)*($G$7-$F$7))))</f>
        <v>1</v>
      </c>
      <c r="D907" s="37" t="n">
        <f aca="false">1+IF($G$8=$E$8,$F$8,IF(R907&lt;($F$8-$E$8)/($G$8-$E$8),$E$8+SQRT(R907*($G$8-$E$8)*($F$8-$E$8)),$G$8-SQRT((1-R907)*($G$8-$E$8)*($G$8-$F$8))))</f>
        <v>1</v>
      </c>
      <c r="E907" s="37" t="n">
        <f aca="false">1+IF($G$9=$E$9,$F$9,IF(S907&lt;($F$9-$E$9)/($G$9-$E$9),$E$9+SQRT(S907*($G$9-$E$9)*($F$9-$E$9)),$G$9-SQRT((1-S907)*($G$9-$E$9)*($G$9-$F$9))))</f>
        <v>1</v>
      </c>
      <c r="F907" s="37" t="n">
        <f aca="false">1+IF($G$10=$E$10,$F$10,IF(T907&lt;($F$10-$E$10)/($G$10-$E$10),$E$10+SQRT(T907*($G$10-$E$10)*($F$10-$E$10)),$G$10-SQRT((1-T907)*($G$10-$E$10)*($G$10-$F$10))))</f>
        <v>1</v>
      </c>
      <c r="G907" s="38" t="n">
        <f aca="false">IF($G$11=$E$11,$F$11,IF(U907&lt;($F$11-$E$11)/($G$11-$E$11),$E$11+SQRT(U907*($G$11-$E$11)*($F$11-$E$11)),$G$11-SQRT((1-U907)*($G$11-$E$11)*($G$11-$F$11))))</f>
        <v>0</v>
      </c>
      <c r="H907" s="39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0</v>
      </c>
      <c r="I907" s="39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0</v>
      </c>
      <c r="J907" s="39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0</v>
      </c>
      <c r="K907" s="39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0</v>
      </c>
      <c r="L907" s="39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0</v>
      </c>
      <c r="M907" s="39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0</v>
      </c>
      <c r="N907" s="39" t="str">
        <f aca="false">IF(COUNT('Business Case'!B11:G11)=0,"",H907+NPV(G907,I907:M907))</f>
        <v/>
      </c>
      <c r="P907" s="40" t="n">
        <f aca="true">RAND()</f>
        <v>0.416712599742569</v>
      </c>
      <c r="Q907" s="40" t="n">
        <f aca="true">RAND()</f>
        <v>0.971702603591414</v>
      </c>
      <c r="R907" s="40" t="n">
        <f aca="true">RAND()</f>
        <v>0.144956998699807</v>
      </c>
      <c r="S907" s="40" t="n">
        <f aca="true">RAND()</f>
        <v>0.944468942004834</v>
      </c>
      <c r="T907" s="40" t="n">
        <f aca="true">RAND()</f>
        <v>0.349678444040826</v>
      </c>
      <c r="U907" s="40" t="n">
        <f aca="true">RAND()</f>
        <v>0.183127243124639</v>
      </c>
    </row>
    <row r="908" customFormat="false" ht="15" hidden="false" customHeight="false" outlineLevel="0" collapsed="false">
      <c r="A908" s="36" t="n">
        <v>828</v>
      </c>
      <c r="B908" s="37" t="n">
        <f aca="false">1+IF($G$6=$E$6,$F$6,IF(P908&lt;($F$6-$E$6)/($G$6-$E$6),$E$6+SQRT(P908*($G$6-$E$6)*($F$6-$E$6)),$G$6-SQRT((1-P908)*($G$6-$E$6)*($G$6-$F$6))))</f>
        <v>1</v>
      </c>
      <c r="C908" s="37" t="n">
        <f aca="false">1+IF($G$7=$E$7,$F$7,IF(Q908&lt;($F$7-$E$7)/($G$7-$E$7),$E$7+SQRT(Q908*($G$7-$E$7)*($F$7-$E$7)),$G$7-SQRT((1-Q908)*($G$7-$E$7)*($G$7-$F$7))))</f>
        <v>1</v>
      </c>
      <c r="D908" s="37" t="n">
        <f aca="false">1+IF($G$8=$E$8,$F$8,IF(R908&lt;($F$8-$E$8)/($G$8-$E$8),$E$8+SQRT(R908*($G$8-$E$8)*($F$8-$E$8)),$G$8-SQRT((1-R908)*($G$8-$E$8)*($G$8-$F$8))))</f>
        <v>1</v>
      </c>
      <c r="E908" s="37" t="n">
        <f aca="false">1+IF($G$9=$E$9,$F$9,IF(S908&lt;($F$9-$E$9)/($G$9-$E$9),$E$9+SQRT(S908*($G$9-$E$9)*($F$9-$E$9)),$G$9-SQRT((1-S908)*($G$9-$E$9)*($G$9-$F$9))))</f>
        <v>1</v>
      </c>
      <c r="F908" s="37" t="n">
        <f aca="false">1+IF($G$10=$E$10,$F$10,IF(T908&lt;($F$10-$E$10)/($G$10-$E$10),$E$10+SQRT(T908*($G$10-$E$10)*($F$10-$E$10)),$G$10-SQRT((1-T908)*($G$10-$E$10)*($G$10-$F$10))))</f>
        <v>1</v>
      </c>
      <c r="G908" s="38" t="n">
        <f aca="false">IF($G$11=$E$11,$F$11,IF(U908&lt;($F$11-$E$11)/($G$11-$E$11),$E$11+SQRT(U908*($G$11-$E$11)*($F$11-$E$11)),$G$11-SQRT((1-U908)*($G$11-$E$11)*($G$11-$F$11))))</f>
        <v>0</v>
      </c>
      <c r="H908" s="39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0</v>
      </c>
      <c r="I908" s="39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0</v>
      </c>
      <c r="J908" s="39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0</v>
      </c>
      <c r="K908" s="39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0</v>
      </c>
      <c r="L908" s="39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0</v>
      </c>
      <c r="M908" s="39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0</v>
      </c>
      <c r="N908" s="39" t="str">
        <f aca="false">IF(COUNT('Business Case'!B11:G11)=0,"",H908+NPV(G908,I908:M908))</f>
        <v/>
      </c>
      <c r="P908" s="40" t="n">
        <f aca="true">RAND()</f>
        <v>0.538922187898534</v>
      </c>
      <c r="Q908" s="40" t="n">
        <f aca="true">RAND()</f>
        <v>0.301266258889156</v>
      </c>
      <c r="R908" s="40" t="n">
        <f aca="true">RAND()</f>
        <v>0.101000480908532</v>
      </c>
      <c r="S908" s="40" t="n">
        <f aca="true">RAND()</f>
        <v>0.711611100519126</v>
      </c>
      <c r="T908" s="40" t="n">
        <f aca="true">RAND()</f>
        <v>0.482623848371707</v>
      </c>
      <c r="U908" s="40" t="n">
        <f aca="true">RAND()</f>
        <v>0.645844777106948</v>
      </c>
    </row>
    <row r="909" customFormat="false" ht="15" hidden="false" customHeight="false" outlineLevel="0" collapsed="false">
      <c r="A909" s="36" t="n">
        <v>829</v>
      </c>
      <c r="B909" s="37" t="n">
        <f aca="false">1+IF($G$6=$E$6,$F$6,IF(P909&lt;($F$6-$E$6)/($G$6-$E$6),$E$6+SQRT(P909*($G$6-$E$6)*($F$6-$E$6)),$G$6-SQRT((1-P909)*($G$6-$E$6)*($G$6-$F$6))))</f>
        <v>1</v>
      </c>
      <c r="C909" s="37" t="n">
        <f aca="false">1+IF($G$7=$E$7,$F$7,IF(Q909&lt;($F$7-$E$7)/($G$7-$E$7),$E$7+SQRT(Q909*($G$7-$E$7)*($F$7-$E$7)),$G$7-SQRT((1-Q909)*($G$7-$E$7)*($G$7-$F$7))))</f>
        <v>1</v>
      </c>
      <c r="D909" s="37" t="n">
        <f aca="false">1+IF($G$8=$E$8,$F$8,IF(R909&lt;($F$8-$E$8)/($G$8-$E$8),$E$8+SQRT(R909*($G$8-$E$8)*($F$8-$E$8)),$G$8-SQRT((1-R909)*($G$8-$E$8)*($G$8-$F$8))))</f>
        <v>1</v>
      </c>
      <c r="E909" s="37" t="n">
        <f aca="false">1+IF($G$9=$E$9,$F$9,IF(S909&lt;($F$9-$E$9)/($G$9-$E$9),$E$9+SQRT(S909*($G$9-$E$9)*($F$9-$E$9)),$G$9-SQRT((1-S909)*($G$9-$E$9)*($G$9-$F$9))))</f>
        <v>1</v>
      </c>
      <c r="F909" s="37" t="n">
        <f aca="false">1+IF($G$10=$E$10,$F$10,IF(T909&lt;($F$10-$E$10)/($G$10-$E$10),$E$10+SQRT(T909*($G$10-$E$10)*($F$10-$E$10)),$G$10-SQRT((1-T909)*($G$10-$E$10)*($G$10-$F$10))))</f>
        <v>1</v>
      </c>
      <c r="G909" s="38" t="n">
        <f aca="false">IF($G$11=$E$11,$F$11,IF(U909&lt;($F$11-$E$11)/($G$11-$E$11),$E$11+SQRT(U909*($G$11-$E$11)*($F$11-$E$11)),$G$11-SQRT((1-U909)*($G$11-$E$11)*($G$11-$F$11))))</f>
        <v>0</v>
      </c>
      <c r="H909" s="39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0</v>
      </c>
      <c r="I909" s="39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0</v>
      </c>
      <c r="J909" s="39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0</v>
      </c>
      <c r="K909" s="39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0</v>
      </c>
      <c r="L909" s="39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0</v>
      </c>
      <c r="M909" s="39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0</v>
      </c>
      <c r="N909" s="39" t="str">
        <f aca="false">IF(COUNT('Business Case'!B11:G11)=0,"",H909+NPV(G909,I909:M909))</f>
        <v/>
      </c>
      <c r="P909" s="40" t="n">
        <f aca="true">RAND()</f>
        <v>0.200489414274991</v>
      </c>
      <c r="Q909" s="40" t="n">
        <f aca="true">RAND()</f>
        <v>0.237399946908526</v>
      </c>
      <c r="R909" s="40" t="n">
        <f aca="true">RAND()</f>
        <v>0.845977487176178</v>
      </c>
      <c r="S909" s="40" t="n">
        <f aca="true">RAND()</f>
        <v>0.227392927979852</v>
      </c>
      <c r="T909" s="40" t="n">
        <f aca="true">RAND()</f>
        <v>0.766731684570329</v>
      </c>
      <c r="U909" s="40" t="n">
        <f aca="true">RAND()</f>
        <v>0.296868777485196</v>
      </c>
    </row>
    <row r="910" customFormat="false" ht="15" hidden="false" customHeight="false" outlineLevel="0" collapsed="false">
      <c r="A910" s="36" t="n">
        <v>830</v>
      </c>
      <c r="B910" s="37" t="n">
        <f aca="false">1+IF($G$6=$E$6,$F$6,IF(P910&lt;($F$6-$E$6)/($G$6-$E$6),$E$6+SQRT(P910*($G$6-$E$6)*($F$6-$E$6)),$G$6-SQRT((1-P910)*($G$6-$E$6)*($G$6-$F$6))))</f>
        <v>1</v>
      </c>
      <c r="C910" s="37" t="n">
        <f aca="false">1+IF($G$7=$E$7,$F$7,IF(Q910&lt;($F$7-$E$7)/($G$7-$E$7),$E$7+SQRT(Q910*($G$7-$E$7)*($F$7-$E$7)),$G$7-SQRT((1-Q910)*($G$7-$E$7)*($G$7-$F$7))))</f>
        <v>1</v>
      </c>
      <c r="D910" s="37" t="n">
        <f aca="false">1+IF($G$8=$E$8,$F$8,IF(R910&lt;($F$8-$E$8)/($G$8-$E$8),$E$8+SQRT(R910*($G$8-$E$8)*($F$8-$E$8)),$G$8-SQRT((1-R910)*($G$8-$E$8)*($G$8-$F$8))))</f>
        <v>1</v>
      </c>
      <c r="E910" s="37" t="n">
        <f aca="false">1+IF($G$9=$E$9,$F$9,IF(S910&lt;($F$9-$E$9)/($G$9-$E$9),$E$9+SQRT(S910*($G$9-$E$9)*($F$9-$E$9)),$G$9-SQRT((1-S910)*($G$9-$E$9)*($G$9-$F$9))))</f>
        <v>1</v>
      </c>
      <c r="F910" s="37" t="n">
        <f aca="false">1+IF($G$10=$E$10,$F$10,IF(T910&lt;($F$10-$E$10)/($G$10-$E$10),$E$10+SQRT(T910*($G$10-$E$10)*($F$10-$E$10)),$G$10-SQRT((1-T910)*($G$10-$E$10)*($G$10-$F$10))))</f>
        <v>1</v>
      </c>
      <c r="G910" s="38" t="n">
        <f aca="false">IF($G$11=$E$11,$F$11,IF(U910&lt;($F$11-$E$11)/($G$11-$E$11),$E$11+SQRT(U910*($G$11-$E$11)*($F$11-$E$11)),$G$11-SQRT((1-U910)*($G$11-$E$11)*($G$11-$F$11))))</f>
        <v>0</v>
      </c>
      <c r="H910" s="39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0</v>
      </c>
      <c r="I910" s="39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0</v>
      </c>
      <c r="J910" s="39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0</v>
      </c>
      <c r="K910" s="39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0</v>
      </c>
      <c r="L910" s="39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0</v>
      </c>
      <c r="M910" s="39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0</v>
      </c>
      <c r="N910" s="39" t="str">
        <f aca="false">IF(COUNT('Business Case'!B11:G11)=0,"",H910+NPV(G910,I910:M910))</f>
        <v/>
      </c>
      <c r="P910" s="40" t="n">
        <f aca="true">RAND()</f>
        <v>0.617175632785448</v>
      </c>
      <c r="Q910" s="40" t="n">
        <f aca="true">RAND()</f>
        <v>0.210877103724569</v>
      </c>
      <c r="R910" s="40" t="n">
        <f aca="true">RAND()</f>
        <v>0.945384440825519</v>
      </c>
      <c r="S910" s="40" t="n">
        <f aca="true">RAND()</f>
        <v>0.636140358270409</v>
      </c>
      <c r="T910" s="40" t="n">
        <f aca="true">RAND()</f>
        <v>0.214768680006508</v>
      </c>
      <c r="U910" s="40" t="n">
        <f aca="true">RAND()</f>
        <v>0.552916493977673</v>
      </c>
    </row>
    <row r="911" customFormat="false" ht="15" hidden="false" customHeight="false" outlineLevel="0" collapsed="false">
      <c r="A911" s="36" t="n">
        <v>831</v>
      </c>
      <c r="B911" s="37" t="n">
        <f aca="false">1+IF($G$6=$E$6,$F$6,IF(P911&lt;($F$6-$E$6)/($G$6-$E$6),$E$6+SQRT(P911*($G$6-$E$6)*($F$6-$E$6)),$G$6-SQRT((1-P911)*($G$6-$E$6)*($G$6-$F$6))))</f>
        <v>1</v>
      </c>
      <c r="C911" s="37" t="n">
        <f aca="false">1+IF($G$7=$E$7,$F$7,IF(Q911&lt;($F$7-$E$7)/($G$7-$E$7),$E$7+SQRT(Q911*($G$7-$E$7)*($F$7-$E$7)),$G$7-SQRT((1-Q911)*($G$7-$E$7)*($G$7-$F$7))))</f>
        <v>1</v>
      </c>
      <c r="D911" s="37" t="n">
        <f aca="false">1+IF($G$8=$E$8,$F$8,IF(R911&lt;($F$8-$E$8)/($G$8-$E$8),$E$8+SQRT(R911*($G$8-$E$8)*($F$8-$E$8)),$G$8-SQRT((1-R911)*($G$8-$E$8)*($G$8-$F$8))))</f>
        <v>1</v>
      </c>
      <c r="E911" s="37" t="n">
        <f aca="false">1+IF($G$9=$E$9,$F$9,IF(S911&lt;($F$9-$E$9)/($G$9-$E$9),$E$9+SQRT(S911*($G$9-$E$9)*($F$9-$E$9)),$G$9-SQRT((1-S911)*($G$9-$E$9)*($G$9-$F$9))))</f>
        <v>1</v>
      </c>
      <c r="F911" s="37" t="n">
        <f aca="false">1+IF($G$10=$E$10,$F$10,IF(T911&lt;($F$10-$E$10)/($G$10-$E$10),$E$10+SQRT(T911*($G$10-$E$10)*($F$10-$E$10)),$G$10-SQRT((1-T911)*($G$10-$E$10)*($G$10-$F$10))))</f>
        <v>1</v>
      </c>
      <c r="G911" s="38" t="n">
        <f aca="false">IF($G$11=$E$11,$F$11,IF(U911&lt;($F$11-$E$11)/($G$11-$E$11),$E$11+SQRT(U911*($G$11-$E$11)*($F$11-$E$11)),$G$11-SQRT((1-U911)*($G$11-$E$11)*($G$11-$F$11))))</f>
        <v>0</v>
      </c>
      <c r="H911" s="39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0</v>
      </c>
      <c r="I911" s="39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0</v>
      </c>
      <c r="J911" s="39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0</v>
      </c>
      <c r="K911" s="39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0</v>
      </c>
      <c r="L911" s="39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0</v>
      </c>
      <c r="M911" s="39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0</v>
      </c>
      <c r="N911" s="39" t="str">
        <f aca="false">IF(COUNT('Business Case'!B11:G11)=0,"",H911+NPV(G911,I911:M911))</f>
        <v/>
      </c>
      <c r="P911" s="40" t="n">
        <f aca="true">RAND()</f>
        <v>0.671753473999731</v>
      </c>
      <c r="Q911" s="40" t="n">
        <f aca="true">RAND()</f>
        <v>0.338929522153139</v>
      </c>
      <c r="R911" s="40" t="n">
        <f aca="true">RAND()</f>
        <v>0.348826808774903</v>
      </c>
      <c r="S911" s="40" t="n">
        <f aca="true">RAND()</f>
        <v>0.533013730685399</v>
      </c>
      <c r="T911" s="40" t="n">
        <f aca="true">RAND()</f>
        <v>0.504575949080564</v>
      </c>
      <c r="U911" s="40" t="n">
        <f aca="true">RAND()</f>
        <v>0.0097240376224694</v>
      </c>
    </row>
    <row r="912" customFormat="false" ht="15" hidden="false" customHeight="false" outlineLevel="0" collapsed="false">
      <c r="A912" s="36" t="n">
        <v>832</v>
      </c>
      <c r="B912" s="37" t="n">
        <f aca="false">1+IF($G$6=$E$6,$F$6,IF(P912&lt;($F$6-$E$6)/($G$6-$E$6),$E$6+SQRT(P912*($G$6-$E$6)*($F$6-$E$6)),$G$6-SQRT((1-P912)*($G$6-$E$6)*($G$6-$F$6))))</f>
        <v>1</v>
      </c>
      <c r="C912" s="37" t="n">
        <f aca="false">1+IF($G$7=$E$7,$F$7,IF(Q912&lt;($F$7-$E$7)/($G$7-$E$7),$E$7+SQRT(Q912*($G$7-$E$7)*($F$7-$E$7)),$G$7-SQRT((1-Q912)*($G$7-$E$7)*($G$7-$F$7))))</f>
        <v>1</v>
      </c>
      <c r="D912" s="37" t="n">
        <f aca="false">1+IF($G$8=$E$8,$F$8,IF(R912&lt;($F$8-$E$8)/($G$8-$E$8),$E$8+SQRT(R912*($G$8-$E$8)*($F$8-$E$8)),$G$8-SQRT((1-R912)*($G$8-$E$8)*($G$8-$F$8))))</f>
        <v>1</v>
      </c>
      <c r="E912" s="37" t="n">
        <f aca="false">1+IF($G$9=$E$9,$F$9,IF(S912&lt;($F$9-$E$9)/($G$9-$E$9),$E$9+SQRT(S912*($G$9-$E$9)*($F$9-$E$9)),$G$9-SQRT((1-S912)*($G$9-$E$9)*($G$9-$F$9))))</f>
        <v>1</v>
      </c>
      <c r="F912" s="37" t="n">
        <f aca="false">1+IF($G$10=$E$10,$F$10,IF(T912&lt;($F$10-$E$10)/($G$10-$E$10),$E$10+SQRT(T912*($G$10-$E$10)*($F$10-$E$10)),$G$10-SQRT((1-T912)*($G$10-$E$10)*($G$10-$F$10))))</f>
        <v>1</v>
      </c>
      <c r="G912" s="38" t="n">
        <f aca="false">IF($G$11=$E$11,$F$11,IF(U912&lt;($F$11-$E$11)/($G$11-$E$11),$E$11+SQRT(U912*($G$11-$E$11)*($F$11-$E$11)),$G$11-SQRT((1-U912)*($G$11-$E$11)*($G$11-$F$11))))</f>
        <v>0</v>
      </c>
      <c r="H912" s="39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0</v>
      </c>
      <c r="I912" s="39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0</v>
      </c>
      <c r="J912" s="39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0</v>
      </c>
      <c r="K912" s="39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0</v>
      </c>
      <c r="L912" s="39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0</v>
      </c>
      <c r="M912" s="39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0</v>
      </c>
      <c r="N912" s="39" t="str">
        <f aca="false">IF(COUNT('Business Case'!B11:G11)=0,"",H912+NPV(G912,I912:M912))</f>
        <v/>
      </c>
      <c r="P912" s="40" t="n">
        <f aca="true">RAND()</f>
        <v>0.600972119979168</v>
      </c>
      <c r="Q912" s="40" t="n">
        <f aca="true">RAND()</f>
        <v>0.565722271977898</v>
      </c>
      <c r="R912" s="40" t="n">
        <f aca="true">RAND()</f>
        <v>0.992382598008492</v>
      </c>
      <c r="S912" s="40" t="n">
        <f aca="true">RAND()</f>
        <v>0.303411420423226</v>
      </c>
      <c r="T912" s="40" t="n">
        <f aca="true">RAND()</f>
        <v>0.184810343998953</v>
      </c>
      <c r="U912" s="40" t="n">
        <f aca="true">RAND()</f>
        <v>0.560892571170148</v>
      </c>
    </row>
    <row r="913" customFormat="false" ht="15" hidden="false" customHeight="false" outlineLevel="0" collapsed="false">
      <c r="A913" s="36" t="n">
        <v>833</v>
      </c>
      <c r="B913" s="37" t="n">
        <f aca="false">1+IF($G$6=$E$6,$F$6,IF(P913&lt;($F$6-$E$6)/($G$6-$E$6),$E$6+SQRT(P913*($G$6-$E$6)*($F$6-$E$6)),$G$6-SQRT((1-P913)*($G$6-$E$6)*($G$6-$F$6))))</f>
        <v>1</v>
      </c>
      <c r="C913" s="37" t="n">
        <f aca="false">1+IF($G$7=$E$7,$F$7,IF(Q913&lt;($F$7-$E$7)/($G$7-$E$7),$E$7+SQRT(Q913*($G$7-$E$7)*($F$7-$E$7)),$G$7-SQRT((1-Q913)*($G$7-$E$7)*($G$7-$F$7))))</f>
        <v>1</v>
      </c>
      <c r="D913" s="37" t="n">
        <f aca="false">1+IF($G$8=$E$8,$F$8,IF(R913&lt;($F$8-$E$8)/($G$8-$E$8),$E$8+SQRT(R913*($G$8-$E$8)*($F$8-$E$8)),$G$8-SQRT((1-R913)*($G$8-$E$8)*($G$8-$F$8))))</f>
        <v>1</v>
      </c>
      <c r="E913" s="37" t="n">
        <f aca="false">1+IF($G$9=$E$9,$F$9,IF(S913&lt;($F$9-$E$9)/($G$9-$E$9),$E$9+SQRT(S913*($G$9-$E$9)*($F$9-$E$9)),$G$9-SQRT((1-S913)*($G$9-$E$9)*($G$9-$F$9))))</f>
        <v>1</v>
      </c>
      <c r="F913" s="37" t="n">
        <f aca="false">1+IF($G$10=$E$10,$F$10,IF(T913&lt;($F$10-$E$10)/($G$10-$E$10),$E$10+SQRT(T913*($G$10-$E$10)*($F$10-$E$10)),$G$10-SQRT((1-T913)*($G$10-$E$10)*($G$10-$F$10))))</f>
        <v>1</v>
      </c>
      <c r="G913" s="38" t="n">
        <f aca="false">IF($G$11=$E$11,$F$11,IF(U913&lt;($F$11-$E$11)/($G$11-$E$11),$E$11+SQRT(U913*($G$11-$E$11)*($F$11-$E$11)),$G$11-SQRT((1-U913)*($G$11-$E$11)*($G$11-$F$11))))</f>
        <v>0</v>
      </c>
      <c r="H913" s="39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0</v>
      </c>
      <c r="I913" s="39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0</v>
      </c>
      <c r="J913" s="39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0</v>
      </c>
      <c r="K913" s="39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0</v>
      </c>
      <c r="L913" s="39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0</v>
      </c>
      <c r="M913" s="39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0</v>
      </c>
      <c r="N913" s="39" t="str">
        <f aca="false">IF(COUNT('Business Case'!B11:G11)=0,"",H913+NPV(G913,I913:M913))</f>
        <v/>
      </c>
      <c r="P913" s="40" t="n">
        <f aca="true">RAND()</f>
        <v>0.548389037122453</v>
      </c>
      <c r="Q913" s="40" t="n">
        <f aca="true">RAND()</f>
        <v>0.616529691363237</v>
      </c>
      <c r="R913" s="40" t="n">
        <f aca="true">RAND()</f>
        <v>0.742678428197563</v>
      </c>
      <c r="S913" s="40" t="n">
        <f aca="true">RAND()</f>
        <v>0.292077329622874</v>
      </c>
      <c r="T913" s="40" t="n">
        <f aca="true">RAND()</f>
        <v>0.788123010558292</v>
      </c>
      <c r="U913" s="40" t="n">
        <f aca="true">RAND()</f>
        <v>0.17354974986312</v>
      </c>
    </row>
    <row r="914" customFormat="false" ht="15" hidden="false" customHeight="false" outlineLevel="0" collapsed="false">
      <c r="A914" s="36" t="n">
        <v>834</v>
      </c>
      <c r="B914" s="37" t="n">
        <f aca="false">1+IF($G$6=$E$6,$F$6,IF(P914&lt;($F$6-$E$6)/($G$6-$E$6),$E$6+SQRT(P914*($G$6-$E$6)*($F$6-$E$6)),$G$6-SQRT((1-P914)*($G$6-$E$6)*($G$6-$F$6))))</f>
        <v>1</v>
      </c>
      <c r="C914" s="37" t="n">
        <f aca="false">1+IF($G$7=$E$7,$F$7,IF(Q914&lt;($F$7-$E$7)/($G$7-$E$7),$E$7+SQRT(Q914*($G$7-$E$7)*($F$7-$E$7)),$G$7-SQRT((1-Q914)*($G$7-$E$7)*($G$7-$F$7))))</f>
        <v>1</v>
      </c>
      <c r="D914" s="37" t="n">
        <f aca="false">1+IF($G$8=$E$8,$F$8,IF(R914&lt;($F$8-$E$8)/($G$8-$E$8),$E$8+SQRT(R914*($G$8-$E$8)*($F$8-$E$8)),$G$8-SQRT((1-R914)*($G$8-$E$8)*($G$8-$F$8))))</f>
        <v>1</v>
      </c>
      <c r="E914" s="37" t="n">
        <f aca="false">1+IF($G$9=$E$9,$F$9,IF(S914&lt;($F$9-$E$9)/($G$9-$E$9),$E$9+SQRT(S914*($G$9-$E$9)*($F$9-$E$9)),$G$9-SQRT((1-S914)*($G$9-$E$9)*($G$9-$F$9))))</f>
        <v>1</v>
      </c>
      <c r="F914" s="37" t="n">
        <f aca="false">1+IF($G$10=$E$10,$F$10,IF(T914&lt;($F$10-$E$10)/($G$10-$E$10),$E$10+SQRT(T914*($G$10-$E$10)*($F$10-$E$10)),$G$10-SQRT((1-T914)*($G$10-$E$10)*($G$10-$F$10))))</f>
        <v>1</v>
      </c>
      <c r="G914" s="38" t="n">
        <f aca="false">IF($G$11=$E$11,$F$11,IF(U914&lt;($F$11-$E$11)/($G$11-$E$11),$E$11+SQRT(U914*($G$11-$E$11)*($F$11-$E$11)),$G$11-SQRT((1-U914)*($G$11-$E$11)*($G$11-$F$11))))</f>
        <v>0</v>
      </c>
      <c r="H914" s="39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0</v>
      </c>
      <c r="I914" s="39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0</v>
      </c>
      <c r="J914" s="39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0</v>
      </c>
      <c r="K914" s="39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0</v>
      </c>
      <c r="L914" s="39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0</v>
      </c>
      <c r="M914" s="39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0</v>
      </c>
      <c r="N914" s="39" t="str">
        <f aca="false">IF(COUNT('Business Case'!B11:G11)=0,"",H914+NPV(G914,I914:M914))</f>
        <v/>
      </c>
      <c r="P914" s="40" t="n">
        <f aca="true">RAND()</f>
        <v>0.356839772783599</v>
      </c>
      <c r="Q914" s="40" t="n">
        <f aca="true">RAND()</f>
        <v>0.244897138831255</v>
      </c>
      <c r="R914" s="40" t="n">
        <f aca="true">RAND()</f>
        <v>0.745419410166886</v>
      </c>
      <c r="S914" s="40" t="n">
        <f aca="true">RAND()</f>
        <v>0.934285524660037</v>
      </c>
      <c r="T914" s="40" t="n">
        <f aca="true">RAND()</f>
        <v>0.145328095607157</v>
      </c>
      <c r="U914" s="40" t="n">
        <f aca="true">RAND()</f>
        <v>0.294236565076902</v>
      </c>
    </row>
    <row r="915" customFormat="false" ht="15" hidden="false" customHeight="false" outlineLevel="0" collapsed="false">
      <c r="A915" s="36" t="n">
        <v>835</v>
      </c>
      <c r="B915" s="37" t="n">
        <f aca="false">1+IF($G$6=$E$6,$F$6,IF(P915&lt;($F$6-$E$6)/($G$6-$E$6),$E$6+SQRT(P915*($G$6-$E$6)*($F$6-$E$6)),$G$6-SQRT((1-P915)*($G$6-$E$6)*($G$6-$F$6))))</f>
        <v>1</v>
      </c>
      <c r="C915" s="37" t="n">
        <f aca="false">1+IF($G$7=$E$7,$F$7,IF(Q915&lt;($F$7-$E$7)/($G$7-$E$7),$E$7+SQRT(Q915*($G$7-$E$7)*($F$7-$E$7)),$G$7-SQRT((1-Q915)*($G$7-$E$7)*($G$7-$F$7))))</f>
        <v>1</v>
      </c>
      <c r="D915" s="37" t="n">
        <f aca="false">1+IF($G$8=$E$8,$F$8,IF(R915&lt;($F$8-$E$8)/($G$8-$E$8),$E$8+SQRT(R915*($G$8-$E$8)*($F$8-$E$8)),$G$8-SQRT((1-R915)*($G$8-$E$8)*($G$8-$F$8))))</f>
        <v>1</v>
      </c>
      <c r="E915" s="37" t="n">
        <f aca="false">1+IF($G$9=$E$9,$F$9,IF(S915&lt;($F$9-$E$9)/($G$9-$E$9),$E$9+SQRT(S915*($G$9-$E$9)*($F$9-$E$9)),$G$9-SQRT((1-S915)*($G$9-$E$9)*($G$9-$F$9))))</f>
        <v>1</v>
      </c>
      <c r="F915" s="37" t="n">
        <f aca="false">1+IF($G$10=$E$10,$F$10,IF(T915&lt;($F$10-$E$10)/($G$10-$E$10),$E$10+SQRT(T915*($G$10-$E$10)*($F$10-$E$10)),$G$10-SQRT((1-T915)*($G$10-$E$10)*($G$10-$F$10))))</f>
        <v>1</v>
      </c>
      <c r="G915" s="38" t="n">
        <f aca="false">IF($G$11=$E$11,$F$11,IF(U915&lt;($F$11-$E$11)/($G$11-$E$11),$E$11+SQRT(U915*($G$11-$E$11)*($F$11-$E$11)),$G$11-SQRT((1-U915)*($G$11-$E$11)*($G$11-$F$11))))</f>
        <v>0</v>
      </c>
      <c r="H915" s="39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0</v>
      </c>
      <c r="I915" s="39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0</v>
      </c>
      <c r="J915" s="39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0</v>
      </c>
      <c r="K915" s="39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0</v>
      </c>
      <c r="L915" s="39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0</v>
      </c>
      <c r="M915" s="39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0</v>
      </c>
      <c r="N915" s="39" t="str">
        <f aca="false">IF(COUNT('Business Case'!B11:G11)=0,"",H915+NPV(G915,I915:M915))</f>
        <v/>
      </c>
      <c r="P915" s="40" t="n">
        <f aca="true">RAND()</f>
        <v>0.0812406456210579</v>
      </c>
      <c r="Q915" s="40" t="n">
        <f aca="true">RAND()</f>
        <v>0.307464804911779</v>
      </c>
      <c r="R915" s="40" t="n">
        <f aca="true">RAND()</f>
        <v>0.00169158173104523</v>
      </c>
      <c r="S915" s="40" t="n">
        <f aca="true">RAND()</f>
        <v>0.975777290095075</v>
      </c>
      <c r="T915" s="40" t="n">
        <f aca="true">RAND()</f>
        <v>0.90691066794629</v>
      </c>
      <c r="U915" s="40" t="n">
        <f aca="true">RAND()</f>
        <v>0.233187136324972</v>
      </c>
    </row>
    <row r="916" customFormat="false" ht="15" hidden="false" customHeight="false" outlineLevel="0" collapsed="false">
      <c r="A916" s="36" t="n">
        <v>836</v>
      </c>
      <c r="B916" s="37" t="n">
        <f aca="false">1+IF($G$6=$E$6,$F$6,IF(P916&lt;($F$6-$E$6)/($G$6-$E$6),$E$6+SQRT(P916*($G$6-$E$6)*($F$6-$E$6)),$G$6-SQRT((1-P916)*($G$6-$E$6)*($G$6-$F$6))))</f>
        <v>1</v>
      </c>
      <c r="C916" s="37" t="n">
        <f aca="false">1+IF($G$7=$E$7,$F$7,IF(Q916&lt;($F$7-$E$7)/($G$7-$E$7),$E$7+SQRT(Q916*($G$7-$E$7)*($F$7-$E$7)),$G$7-SQRT((1-Q916)*($G$7-$E$7)*($G$7-$F$7))))</f>
        <v>1</v>
      </c>
      <c r="D916" s="37" t="n">
        <f aca="false">1+IF($G$8=$E$8,$F$8,IF(R916&lt;($F$8-$E$8)/($G$8-$E$8),$E$8+SQRT(R916*($G$8-$E$8)*($F$8-$E$8)),$G$8-SQRT((1-R916)*($G$8-$E$8)*($G$8-$F$8))))</f>
        <v>1</v>
      </c>
      <c r="E916" s="37" t="n">
        <f aca="false">1+IF($G$9=$E$9,$F$9,IF(S916&lt;($F$9-$E$9)/($G$9-$E$9),$E$9+SQRT(S916*($G$9-$E$9)*($F$9-$E$9)),$G$9-SQRT((1-S916)*($G$9-$E$9)*($G$9-$F$9))))</f>
        <v>1</v>
      </c>
      <c r="F916" s="37" t="n">
        <f aca="false">1+IF($G$10=$E$10,$F$10,IF(T916&lt;($F$10-$E$10)/($G$10-$E$10),$E$10+SQRT(T916*($G$10-$E$10)*($F$10-$E$10)),$G$10-SQRT((1-T916)*($G$10-$E$10)*($G$10-$F$10))))</f>
        <v>1</v>
      </c>
      <c r="G916" s="38" t="n">
        <f aca="false">IF($G$11=$E$11,$F$11,IF(U916&lt;($F$11-$E$11)/($G$11-$E$11),$E$11+SQRT(U916*($G$11-$E$11)*($F$11-$E$11)),$G$11-SQRT((1-U916)*($G$11-$E$11)*($G$11-$F$11))))</f>
        <v>0</v>
      </c>
      <c r="H916" s="39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0</v>
      </c>
      <c r="I916" s="39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0</v>
      </c>
      <c r="J916" s="39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0</v>
      </c>
      <c r="K916" s="39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0</v>
      </c>
      <c r="L916" s="39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0</v>
      </c>
      <c r="M916" s="39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0</v>
      </c>
      <c r="N916" s="39" t="str">
        <f aca="false">IF(COUNT('Business Case'!B11:G11)=0,"",H916+NPV(G916,I916:M916))</f>
        <v/>
      </c>
      <c r="P916" s="40" t="n">
        <f aca="true">RAND()</f>
        <v>0.59414660163935</v>
      </c>
      <c r="Q916" s="40" t="n">
        <f aca="true">RAND()</f>
        <v>0.612495564366894</v>
      </c>
      <c r="R916" s="40" t="n">
        <f aca="true">RAND()</f>
        <v>0.411470778197406</v>
      </c>
      <c r="S916" s="40" t="n">
        <f aca="true">RAND()</f>
        <v>0.691955103676166</v>
      </c>
      <c r="T916" s="40" t="n">
        <f aca="true">RAND()</f>
        <v>0.783896719591435</v>
      </c>
      <c r="U916" s="40" t="n">
        <f aca="true">RAND()</f>
        <v>0.53356348437515</v>
      </c>
    </row>
    <row r="917" customFormat="false" ht="15" hidden="false" customHeight="false" outlineLevel="0" collapsed="false">
      <c r="A917" s="36" t="n">
        <v>837</v>
      </c>
      <c r="B917" s="37" t="n">
        <f aca="false">1+IF($G$6=$E$6,$F$6,IF(P917&lt;($F$6-$E$6)/($G$6-$E$6),$E$6+SQRT(P917*($G$6-$E$6)*($F$6-$E$6)),$G$6-SQRT((1-P917)*($G$6-$E$6)*($G$6-$F$6))))</f>
        <v>1</v>
      </c>
      <c r="C917" s="37" t="n">
        <f aca="false">1+IF($G$7=$E$7,$F$7,IF(Q917&lt;($F$7-$E$7)/($G$7-$E$7),$E$7+SQRT(Q917*($G$7-$E$7)*($F$7-$E$7)),$G$7-SQRT((1-Q917)*($G$7-$E$7)*($G$7-$F$7))))</f>
        <v>1</v>
      </c>
      <c r="D917" s="37" t="n">
        <f aca="false">1+IF($G$8=$E$8,$F$8,IF(R917&lt;($F$8-$E$8)/($G$8-$E$8),$E$8+SQRT(R917*($G$8-$E$8)*($F$8-$E$8)),$G$8-SQRT((1-R917)*($G$8-$E$8)*($G$8-$F$8))))</f>
        <v>1</v>
      </c>
      <c r="E917" s="37" t="n">
        <f aca="false">1+IF($G$9=$E$9,$F$9,IF(S917&lt;($F$9-$E$9)/($G$9-$E$9),$E$9+SQRT(S917*($G$9-$E$9)*($F$9-$E$9)),$G$9-SQRT((1-S917)*($G$9-$E$9)*($G$9-$F$9))))</f>
        <v>1</v>
      </c>
      <c r="F917" s="37" t="n">
        <f aca="false">1+IF($G$10=$E$10,$F$10,IF(T917&lt;($F$10-$E$10)/($G$10-$E$10),$E$10+SQRT(T917*($G$10-$E$10)*($F$10-$E$10)),$G$10-SQRT((1-T917)*($G$10-$E$10)*($G$10-$F$10))))</f>
        <v>1</v>
      </c>
      <c r="G917" s="38" t="n">
        <f aca="false">IF($G$11=$E$11,$F$11,IF(U917&lt;($F$11-$E$11)/($G$11-$E$11),$E$11+SQRT(U917*($G$11-$E$11)*($F$11-$E$11)),$G$11-SQRT((1-U917)*($G$11-$E$11)*($G$11-$F$11))))</f>
        <v>0</v>
      </c>
      <c r="H917" s="39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0</v>
      </c>
      <c r="I917" s="39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0</v>
      </c>
      <c r="J917" s="39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0</v>
      </c>
      <c r="K917" s="39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0</v>
      </c>
      <c r="L917" s="39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0</v>
      </c>
      <c r="M917" s="39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0</v>
      </c>
      <c r="N917" s="39" t="str">
        <f aca="false">IF(COUNT('Business Case'!B11:G11)=0,"",H917+NPV(G917,I917:M917))</f>
        <v/>
      </c>
      <c r="P917" s="40" t="n">
        <f aca="true">RAND()</f>
        <v>0.954102039629446</v>
      </c>
      <c r="Q917" s="40" t="n">
        <f aca="true">RAND()</f>
        <v>0.861257391683806</v>
      </c>
      <c r="R917" s="40" t="n">
        <f aca="true">RAND()</f>
        <v>0.22376793513202</v>
      </c>
      <c r="S917" s="40" t="n">
        <f aca="true">RAND()</f>
        <v>0.76883077583778</v>
      </c>
      <c r="T917" s="40" t="n">
        <f aca="true">RAND()</f>
        <v>0.0444351666744464</v>
      </c>
      <c r="U917" s="40" t="n">
        <f aca="true">RAND()</f>
        <v>0.984508242728161</v>
      </c>
    </row>
    <row r="918" customFormat="false" ht="15" hidden="false" customHeight="false" outlineLevel="0" collapsed="false">
      <c r="A918" s="36" t="n">
        <v>838</v>
      </c>
      <c r="B918" s="37" t="n">
        <f aca="false">1+IF($G$6=$E$6,$F$6,IF(P918&lt;($F$6-$E$6)/($G$6-$E$6),$E$6+SQRT(P918*($G$6-$E$6)*($F$6-$E$6)),$G$6-SQRT((1-P918)*($G$6-$E$6)*($G$6-$F$6))))</f>
        <v>1</v>
      </c>
      <c r="C918" s="37" t="n">
        <f aca="false">1+IF($G$7=$E$7,$F$7,IF(Q918&lt;($F$7-$E$7)/($G$7-$E$7),$E$7+SQRT(Q918*($G$7-$E$7)*($F$7-$E$7)),$G$7-SQRT((1-Q918)*($G$7-$E$7)*($G$7-$F$7))))</f>
        <v>1</v>
      </c>
      <c r="D918" s="37" t="n">
        <f aca="false">1+IF($G$8=$E$8,$F$8,IF(R918&lt;($F$8-$E$8)/($G$8-$E$8),$E$8+SQRT(R918*($G$8-$E$8)*($F$8-$E$8)),$G$8-SQRT((1-R918)*($G$8-$E$8)*($G$8-$F$8))))</f>
        <v>1</v>
      </c>
      <c r="E918" s="37" t="n">
        <f aca="false">1+IF($G$9=$E$9,$F$9,IF(S918&lt;($F$9-$E$9)/($G$9-$E$9),$E$9+SQRT(S918*($G$9-$E$9)*($F$9-$E$9)),$G$9-SQRT((1-S918)*($G$9-$E$9)*($G$9-$F$9))))</f>
        <v>1</v>
      </c>
      <c r="F918" s="37" t="n">
        <f aca="false">1+IF($G$10=$E$10,$F$10,IF(T918&lt;($F$10-$E$10)/($G$10-$E$10),$E$10+SQRT(T918*($G$10-$E$10)*($F$10-$E$10)),$G$10-SQRT((1-T918)*($G$10-$E$10)*($G$10-$F$10))))</f>
        <v>1</v>
      </c>
      <c r="G918" s="38" t="n">
        <f aca="false">IF($G$11=$E$11,$F$11,IF(U918&lt;($F$11-$E$11)/($G$11-$E$11),$E$11+SQRT(U918*($G$11-$E$11)*($F$11-$E$11)),$G$11-SQRT((1-U918)*($G$11-$E$11)*($G$11-$F$11))))</f>
        <v>0</v>
      </c>
      <c r="H918" s="39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0</v>
      </c>
      <c r="I918" s="39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0</v>
      </c>
      <c r="J918" s="39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0</v>
      </c>
      <c r="K918" s="39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0</v>
      </c>
      <c r="L918" s="39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0</v>
      </c>
      <c r="M918" s="39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0</v>
      </c>
      <c r="N918" s="39" t="str">
        <f aca="false">IF(COUNT('Business Case'!B11:G11)=0,"",H918+NPV(G918,I918:M918))</f>
        <v/>
      </c>
      <c r="P918" s="40" t="n">
        <f aca="true">RAND()</f>
        <v>0.597473145357737</v>
      </c>
      <c r="Q918" s="40" t="n">
        <f aca="true">RAND()</f>
        <v>0.455953142923228</v>
      </c>
      <c r="R918" s="40" t="n">
        <f aca="true">RAND()</f>
        <v>0.400483353241742</v>
      </c>
      <c r="S918" s="40" t="n">
        <f aca="true">RAND()</f>
        <v>0.668082433881007</v>
      </c>
      <c r="T918" s="40" t="n">
        <f aca="true">RAND()</f>
        <v>0.933339459653677</v>
      </c>
      <c r="U918" s="40" t="n">
        <f aca="true">RAND()</f>
        <v>0.624387021843583</v>
      </c>
    </row>
    <row r="919" customFormat="false" ht="15" hidden="false" customHeight="false" outlineLevel="0" collapsed="false">
      <c r="A919" s="36" t="n">
        <v>839</v>
      </c>
      <c r="B919" s="37" t="n">
        <f aca="false">1+IF($G$6=$E$6,$F$6,IF(P919&lt;($F$6-$E$6)/($G$6-$E$6),$E$6+SQRT(P919*($G$6-$E$6)*($F$6-$E$6)),$G$6-SQRT((1-P919)*($G$6-$E$6)*($G$6-$F$6))))</f>
        <v>1</v>
      </c>
      <c r="C919" s="37" t="n">
        <f aca="false">1+IF($G$7=$E$7,$F$7,IF(Q919&lt;($F$7-$E$7)/($G$7-$E$7),$E$7+SQRT(Q919*($G$7-$E$7)*($F$7-$E$7)),$G$7-SQRT((1-Q919)*($G$7-$E$7)*($G$7-$F$7))))</f>
        <v>1</v>
      </c>
      <c r="D919" s="37" t="n">
        <f aca="false">1+IF($G$8=$E$8,$F$8,IF(R919&lt;($F$8-$E$8)/($G$8-$E$8),$E$8+SQRT(R919*($G$8-$E$8)*($F$8-$E$8)),$G$8-SQRT((1-R919)*($G$8-$E$8)*($G$8-$F$8))))</f>
        <v>1</v>
      </c>
      <c r="E919" s="37" t="n">
        <f aca="false">1+IF($G$9=$E$9,$F$9,IF(S919&lt;($F$9-$E$9)/($G$9-$E$9),$E$9+SQRT(S919*($G$9-$E$9)*($F$9-$E$9)),$G$9-SQRT((1-S919)*($G$9-$E$9)*($G$9-$F$9))))</f>
        <v>1</v>
      </c>
      <c r="F919" s="37" t="n">
        <f aca="false">1+IF($G$10=$E$10,$F$10,IF(T919&lt;($F$10-$E$10)/($G$10-$E$10),$E$10+SQRT(T919*($G$10-$E$10)*($F$10-$E$10)),$G$10-SQRT((1-T919)*($G$10-$E$10)*($G$10-$F$10))))</f>
        <v>1</v>
      </c>
      <c r="G919" s="38" t="n">
        <f aca="false">IF($G$11=$E$11,$F$11,IF(U919&lt;($F$11-$E$11)/($G$11-$E$11),$E$11+SQRT(U919*($G$11-$E$11)*($F$11-$E$11)),$G$11-SQRT((1-U919)*($G$11-$E$11)*($G$11-$F$11))))</f>
        <v>0</v>
      </c>
      <c r="H919" s="39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0</v>
      </c>
      <c r="I919" s="39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0</v>
      </c>
      <c r="J919" s="39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0</v>
      </c>
      <c r="K919" s="39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0</v>
      </c>
      <c r="L919" s="39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0</v>
      </c>
      <c r="M919" s="39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0</v>
      </c>
      <c r="N919" s="39" t="str">
        <f aca="false">IF(COUNT('Business Case'!B11:G11)=0,"",H919+NPV(G919,I919:M919))</f>
        <v/>
      </c>
      <c r="P919" s="40" t="n">
        <f aca="true">RAND()</f>
        <v>0.924189117222515</v>
      </c>
      <c r="Q919" s="40" t="n">
        <f aca="true">RAND()</f>
        <v>0.116586953844362</v>
      </c>
      <c r="R919" s="40" t="n">
        <f aca="true">RAND()</f>
        <v>0.986801915540947</v>
      </c>
      <c r="S919" s="40" t="n">
        <f aca="true">RAND()</f>
        <v>0.948806943635122</v>
      </c>
      <c r="T919" s="40" t="n">
        <f aca="true">RAND()</f>
        <v>0.984411074701255</v>
      </c>
      <c r="U919" s="40" t="n">
        <f aca="true">RAND()</f>
        <v>0.35931851630503</v>
      </c>
    </row>
    <row r="920" customFormat="false" ht="15" hidden="false" customHeight="false" outlineLevel="0" collapsed="false">
      <c r="A920" s="36" t="n">
        <v>840</v>
      </c>
      <c r="B920" s="37" t="n">
        <f aca="false">1+IF($G$6=$E$6,$F$6,IF(P920&lt;($F$6-$E$6)/($G$6-$E$6),$E$6+SQRT(P920*($G$6-$E$6)*($F$6-$E$6)),$G$6-SQRT((1-P920)*($G$6-$E$6)*($G$6-$F$6))))</f>
        <v>1</v>
      </c>
      <c r="C920" s="37" t="n">
        <f aca="false">1+IF($G$7=$E$7,$F$7,IF(Q920&lt;($F$7-$E$7)/($G$7-$E$7),$E$7+SQRT(Q920*($G$7-$E$7)*($F$7-$E$7)),$G$7-SQRT((1-Q920)*($G$7-$E$7)*($G$7-$F$7))))</f>
        <v>1</v>
      </c>
      <c r="D920" s="37" t="n">
        <f aca="false">1+IF($G$8=$E$8,$F$8,IF(R920&lt;($F$8-$E$8)/($G$8-$E$8),$E$8+SQRT(R920*($G$8-$E$8)*($F$8-$E$8)),$G$8-SQRT((1-R920)*($G$8-$E$8)*($G$8-$F$8))))</f>
        <v>1</v>
      </c>
      <c r="E920" s="37" t="n">
        <f aca="false">1+IF($G$9=$E$9,$F$9,IF(S920&lt;($F$9-$E$9)/($G$9-$E$9),$E$9+SQRT(S920*($G$9-$E$9)*($F$9-$E$9)),$G$9-SQRT((1-S920)*($G$9-$E$9)*($G$9-$F$9))))</f>
        <v>1</v>
      </c>
      <c r="F920" s="37" t="n">
        <f aca="false">1+IF($G$10=$E$10,$F$10,IF(T920&lt;($F$10-$E$10)/($G$10-$E$10),$E$10+SQRT(T920*($G$10-$E$10)*($F$10-$E$10)),$G$10-SQRT((1-T920)*($G$10-$E$10)*($G$10-$F$10))))</f>
        <v>1</v>
      </c>
      <c r="G920" s="38" t="n">
        <f aca="false">IF($G$11=$E$11,$F$11,IF(U920&lt;($F$11-$E$11)/($G$11-$E$11),$E$11+SQRT(U920*($G$11-$E$11)*($F$11-$E$11)),$G$11-SQRT((1-U920)*($G$11-$E$11)*($G$11-$F$11))))</f>
        <v>0</v>
      </c>
      <c r="H920" s="39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0</v>
      </c>
      <c r="I920" s="39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0</v>
      </c>
      <c r="J920" s="39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0</v>
      </c>
      <c r="K920" s="39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0</v>
      </c>
      <c r="L920" s="39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0</v>
      </c>
      <c r="M920" s="39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0</v>
      </c>
      <c r="N920" s="39" t="str">
        <f aca="false">IF(COUNT('Business Case'!B11:G11)=0,"",H920+NPV(G920,I920:M920))</f>
        <v/>
      </c>
      <c r="P920" s="40" t="n">
        <f aca="true">RAND()</f>
        <v>0.642156676277261</v>
      </c>
      <c r="Q920" s="40" t="n">
        <f aca="true">RAND()</f>
        <v>0.506237193932772</v>
      </c>
      <c r="R920" s="40" t="n">
        <f aca="true">RAND()</f>
        <v>0.0786859448673123</v>
      </c>
      <c r="S920" s="40" t="n">
        <f aca="true">RAND()</f>
        <v>0.466652403068906</v>
      </c>
      <c r="T920" s="40" t="n">
        <f aca="true">RAND()</f>
        <v>0.783482858820245</v>
      </c>
      <c r="U920" s="40" t="n">
        <f aca="true">RAND()</f>
        <v>0.406366423450693</v>
      </c>
    </row>
    <row r="921" customFormat="false" ht="15" hidden="false" customHeight="false" outlineLevel="0" collapsed="false">
      <c r="A921" s="36" t="n">
        <v>841</v>
      </c>
      <c r="B921" s="37" t="n">
        <f aca="false">1+IF($G$6=$E$6,$F$6,IF(P921&lt;($F$6-$E$6)/($G$6-$E$6),$E$6+SQRT(P921*($G$6-$E$6)*($F$6-$E$6)),$G$6-SQRT((1-P921)*($G$6-$E$6)*($G$6-$F$6))))</f>
        <v>1</v>
      </c>
      <c r="C921" s="37" t="n">
        <f aca="false">1+IF($G$7=$E$7,$F$7,IF(Q921&lt;($F$7-$E$7)/($G$7-$E$7),$E$7+SQRT(Q921*($G$7-$E$7)*($F$7-$E$7)),$G$7-SQRT((1-Q921)*($G$7-$E$7)*($G$7-$F$7))))</f>
        <v>1</v>
      </c>
      <c r="D921" s="37" t="n">
        <f aca="false">1+IF($G$8=$E$8,$F$8,IF(R921&lt;($F$8-$E$8)/($G$8-$E$8),$E$8+SQRT(R921*($G$8-$E$8)*($F$8-$E$8)),$G$8-SQRT((1-R921)*($G$8-$E$8)*($G$8-$F$8))))</f>
        <v>1</v>
      </c>
      <c r="E921" s="37" t="n">
        <f aca="false">1+IF($G$9=$E$9,$F$9,IF(S921&lt;($F$9-$E$9)/($G$9-$E$9),$E$9+SQRT(S921*($G$9-$E$9)*($F$9-$E$9)),$G$9-SQRT((1-S921)*($G$9-$E$9)*($G$9-$F$9))))</f>
        <v>1</v>
      </c>
      <c r="F921" s="37" t="n">
        <f aca="false">1+IF($G$10=$E$10,$F$10,IF(T921&lt;($F$10-$E$10)/($G$10-$E$10),$E$10+SQRT(T921*($G$10-$E$10)*($F$10-$E$10)),$G$10-SQRT((1-T921)*($G$10-$E$10)*($G$10-$F$10))))</f>
        <v>1</v>
      </c>
      <c r="G921" s="38" t="n">
        <f aca="false">IF($G$11=$E$11,$F$11,IF(U921&lt;($F$11-$E$11)/($G$11-$E$11),$E$11+SQRT(U921*($G$11-$E$11)*($F$11-$E$11)),$G$11-SQRT((1-U921)*($G$11-$E$11)*($G$11-$F$11))))</f>
        <v>0</v>
      </c>
      <c r="H921" s="39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0</v>
      </c>
      <c r="I921" s="39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0</v>
      </c>
      <c r="J921" s="39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0</v>
      </c>
      <c r="K921" s="39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0</v>
      </c>
      <c r="L921" s="39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0</v>
      </c>
      <c r="M921" s="39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0</v>
      </c>
      <c r="N921" s="39" t="str">
        <f aca="false">IF(COUNT('Business Case'!B11:G11)=0,"",H921+NPV(G921,I921:M921))</f>
        <v/>
      </c>
      <c r="P921" s="40" t="n">
        <f aca="true">RAND()</f>
        <v>0.226661469295306</v>
      </c>
      <c r="Q921" s="40" t="n">
        <f aca="true">RAND()</f>
        <v>0.669329502144422</v>
      </c>
      <c r="R921" s="40" t="n">
        <f aca="true">RAND()</f>
        <v>0.276913401529762</v>
      </c>
      <c r="S921" s="40" t="n">
        <f aca="true">RAND()</f>
        <v>0.210814053204136</v>
      </c>
      <c r="T921" s="40" t="n">
        <f aca="true">RAND()</f>
        <v>0.75418216440004</v>
      </c>
      <c r="U921" s="40" t="n">
        <f aca="true">RAND()</f>
        <v>0.79081750511534</v>
      </c>
    </row>
    <row r="922" customFormat="false" ht="15" hidden="false" customHeight="false" outlineLevel="0" collapsed="false">
      <c r="A922" s="36" t="n">
        <v>842</v>
      </c>
      <c r="B922" s="37" t="n">
        <f aca="false">1+IF($G$6=$E$6,$F$6,IF(P922&lt;($F$6-$E$6)/($G$6-$E$6),$E$6+SQRT(P922*($G$6-$E$6)*($F$6-$E$6)),$G$6-SQRT((1-P922)*($G$6-$E$6)*($G$6-$F$6))))</f>
        <v>1</v>
      </c>
      <c r="C922" s="37" t="n">
        <f aca="false">1+IF($G$7=$E$7,$F$7,IF(Q922&lt;($F$7-$E$7)/($G$7-$E$7),$E$7+SQRT(Q922*($G$7-$E$7)*($F$7-$E$7)),$G$7-SQRT((1-Q922)*($G$7-$E$7)*($G$7-$F$7))))</f>
        <v>1</v>
      </c>
      <c r="D922" s="37" t="n">
        <f aca="false">1+IF($G$8=$E$8,$F$8,IF(R922&lt;($F$8-$E$8)/($G$8-$E$8),$E$8+SQRT(R922*($G$8-$E$8)*($F$8-$E$8)),$G$8-SQRT((1-R922)*($G$8-$E$8)*($G$8-$F$8))))</f>
        <v>1</v>
      </c>
      <c r="E922" s="37" t="n">
        <f aca="false">1+IF($G$9=$E$9,$F$9,IF(S922&lt;($F$9-$E$9)/($G$9-$E$9),$E$9+SQRT(S922*($G$9-$E$9)*($F$9-$E$9)),$G$9-SQRT((1-S922)*($G$9-$E$9)*($G$9-$F$9))))</f>
        <v>1</v>
      </c>
      <c r="F922" s="37" t="n">
        <f aca="false">1+IF($G$10=$E$10,$F$10,IF(T922&lt;($F$10-$E$10)/($G$10-$E$10),$E$10+SQRT(T922*($G$10-$E$10)*($F$10-$E$10)),$G$10-SQRT((1-T922)*($G$10-$E$10)*($G$10-$F$10))))</f>
        <v>1</v>
      </c>
      <c r="G922" s="38" t="n">
        <f aca="false">IF($G$11=$E$11,$F$11,IF(U922&lt;($F$11-$E$11)/($G$11-$E$11),$E$11+SQRT(U922*($G$11-$E$11)*($F$11-$E$11)),$G$11-SQRT((1-U922)*($G$11-$E$11)*($G$11-$F$11))))</f>
        <v>0</v>
      </c>
      <c r="H922" s="39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0</v>
      </c>
      <c r="I922" s="39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0</v>
      </c>
      <c r="J922" s="39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0</v>
      </c>
      <c r="K922" s="39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0</v>
      </c>
      <c r="L922" s="39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0</v>
      </c>
      <c r="M922" s="39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0</v>
      </c>
      <c r="N922" s="39" t="str">
        <f aca="false">IF(COUNT('Business Case'!B11:G11)=0,"",H922+NPV(G922,I922:M922))</f>
        <v/>
      </c>
      <c r="P922" s="40" t="n">
        <f aca="true">RAND()</f>
        <v>0.193653269444709</v>
      </c>
      <c r="Q922" s="40" t="n">
        <f aca="true">RAND()</f>
        <v>0.820376285837405</v>
      </c>
      <c r="R922" s="40" t="n">
        <f aca="true">RAND()</f>
        <v>0.660729062372921</v>
      </c>
      <c r="S922" s="40" t="n">
        <f aca="true">RAND()</f>
        <v>0.419539345603608</v>
      </c>
      <c r="T922" s="40" t="n">
        <f aca="true">RAND()</f>
        <v>0.656641589288842</v>
      </c>
      <c r="U922" s="40" t="n">
        <f aca="true">RAND()</f>
        <v>0.966656305373862</v>
      </c>
    </row>
    <row r="923" customFormat="false" ht="15" hidden="false" customHeight="false" outlineLevel="0" collapsed="false">
      <c r="A923" s="36" t="n">
        <v>843</v>
      </c>
      <c r="B923" s="37" t="n">
        <f aca="false">1+IF($G$6=$E$6,$F$6,IF(P923&lt;($F$6-$E$6)/($G$6-$E$6),$E$6+SQRT(P923*($G$6-$E$6)*($F$6-$E$6)),$G$6-SQRT((1-P923)*($G$6-$E$6)*($G$6-$F$6))))</f>
        <v>1</v>
      </c>
      <c r="C923" s="37" t="n">
        <f aca="false">1+IF($G$7=$E$7,$F$7,IF(Q923&lt;($F$7-$E$7)/($G$7-$E$7),$E$7+SQRT(Q923*($G$7-$E$7)*($F$7-$E$7)),$G$7-SQRT((1-Q923)*($G$7-$E$7)*($G$7-$F$7))))</f>
        <v>1</v>
      </c>
      <c r="D923" s="37" t="n">
        <f aca="false">1+IF($G$8=$E$8,$F$8,IF(R923&lt;($F$8-$E$8)/($G$8-$E$8),$E$8+SQRT(R923*($G$8-$E$8)*($F$8-$E$8)),$G$8-SQRT((1-R923)*($G$8-$E$8)*($G$8-$F$8))))</f>
        <v>1</v>
      </c>
      <c r="E923" s="37" t="n">
        <f aca="false">1+IF($G$9=$E$9,$F$9,IF(S923&lt;($F$9-$E$9)/($G$9-$E$9),$E$9+SQRT(S923*($G$9-$E$9)*($F$9-$E$9)),$G$9-SQRT((1-S923)*($G$9-$E$9)*($G$9-$F$9))))</f>
        <v>1</v>
      </c>
      <c r="F923" s="37" t="n">
        <f aca="false">1+IF($G$10=$E$10,$F$10,IF(T923&lt;($F$10-$E$10)/($G$10-$E$10),$E$10+SQRT(T923*($G$10-$E$10)*($F$10-$E$10)),$G$10-SQRT((1-T923)*($G$10-$E$10)*($G$10-$F$10))))</f>
        <v>1</v>
      </c>
      <c r="G923" s="38" t="n">
        <f aca="false">IF($G$11=$E$11,$F$11,IF(U923&lt;($F$11-$E$11)/($G$11-$E$11),$E$11+SQRT(U923*($G$11-$E$11)*($F$11-$E$11)),$G$11-SQRT((1-U923)*($G$11-$E$11)*($G$11-$F$11))))</f>
        <v>0</v>
      </c>
      <c r="H923" s="39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0</v>
      </c>
      <c r="I923" s="39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0</v>
      </c>
      <c r="J923" s="39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0</v>
      </c>
      <c r="K923" s="39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0</v>
      </c>
      <c r="L923" s="39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0</v>
      </c>
      <c r="M923" s="39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0</v>
      </c>
      <c r="N923" s="39" t="str">
        <f aca="false">IF(COUNT('Business Case'!B11:G11)=0,"",H923+NPV(G923,I923:M923))</f>
        <v/>
      </c>
      <c r="P923" s="40" t="n">
        <f aca="true">RAND()</f>
        <v>0.0396254104861772</v>
      </c>
      <c r="Q923" s="40" t="n">
        <f aca="true">RAND()</f>
        <v>0.192570676780121</v>
      </c>
      <c r="R923" s="40" t="n">
        <f aca="true">RAND()</f>
        <v>0.359503252537348</v>
      </c>
      <c r="S923" s="40" t="n">
        <f aca="true">RAND()</f>
        <v>0.806039094018962</v>
      </c>
      <c r="T923" s="40" t="n">
        <f aca="true">RAND()</f>
        <v>0.595884283828928</v>
      </c>
      <c r="U923" s="40" t="n">
        <f aca="true">RAND()</f>
        <v>0.285284514330207</v>
      </c>
    </row>
    <row r="924" customFormat="false" ht="15" hidden="false" customHeight="false" outlineLevel="0" collapsed="false">
      <c r="A924" s="36" t="n">
        <v>844</v>
      </c>
      <c r="B924" s="37" t="n">
        <f aca="false">1+IF($G$6=$E$6,$F$6,IF(P924&lt;($F$6-$E$6)/($G$6-$E$6),$E$6+SQRT(P924*($G$6-$E$6)*($F$6-$E$6)),$G$6-SQRT((1-P924)*($G$6-$E$6)*($G$6-$F$6))))</f>
        <v>1</v>
      </c>
      <c r="C924" s="37" t="n">
        <f aca="false">1+IF($G$7=$E$7,$F$7,IF(Q924&lt;($F$7-$E$7)/($G$7-$E$7),$E$7+SQRT(Q924*($G$7-$E$7)*($F$7-$E$7)),$G$7-SQRT((1-Q924)*($G$7-$E$7)*($G$7-$F$7))))</f>
        <v>1</v>
      </c>
      <c r="D924" s="37" t="n">
        <f aca="false">1+IF($G$8=$E$8,$F$8,IF(R924&lt;($F$8-$E$8)/($G$8-$E$8),$E$8+SQRT(R924*($G$8-$E$8)*($F$8-$E$8)),$G$8-SQRT((1-R924)*($G$8-$E$8)*($G$8-$F$8))))</f>
        <v>1</v>
      </c>
      <c r="E924" s="37" t="n">
        <f aca="false">1+IF($G$9=$E$9,$F$9,IF(S924&lt;($F$9-$E$9)/($G$9-$E$9),$E$9+SQRT(S924*($G$9-$E$9)*($F$9-$E$9)),$G$9-SQRT((1-S924)*($G$9-$E$9)*($G$9-$F$9))))</f>
        <v>1</v>
      </c>
      <c r="F924" s="37" t="n">
        <f aca="false">1+IF($G$10=$E$10,$F$10,IF(T924&lt;($F$10-$E$10)/($G$10-$E$10),$E$10+SQRT(T924*($G$10-$E$10)*($F$10-$E$10)),$G$10-SQRT((1-T924)*($G$10-$E$10)*($G$10-$F$10))))</f>
        <v>1</v>
      </c>
      <c r="G924" s="38" t="n">
        <f aca="false">IF($G$11=$E$11,$F$11,IF(U924&lt;($F$11-$E$11)/($G$11-$E$11),$E$11+SQRT(U924*($G$11-$E$11)*($F$11-$E$11)),$G$11-SQRT((1-U924)*($G$11-$E$11)*($G$11-$F$11))))</f>
        <v>0</v>
      </c>
      <c r="H924" s="39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0</v>
      </c>
      <c r="I924" s="39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0</v>
      </c>
      <c r="J924" s="39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0</v>
      </c>
      <c r="K924" s="39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0</v>
      </c>
      <c r="L924" s="39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0</v>
      </c>
      <c r="M924" s="39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0</v>
      </c>
      <c r="N924" s="39" t="str">
        <f aca="false">IF(COUNT('Business Case'!B11:G11)=0,"",H924+NPV(G924,I924:M924))</f>
        <v/>
      </c>
      <c r="P924" s="40" t="n">
        <f aca="true">RAND()</f>
        <v>0.737747117348847</v>
      </c>
      <c r="Q924" s="40" t="n">
        <f aca="true">RAND()</f>
        <v>0.171968795619079</v>
      </c>
      <c r="R924" s="40" t="n">
        <f aca="true">RAND()</f>
        <v>0.42926406471643</v>
      </c>
      <c r="S924" s="40" t="n">
        <f aca="true">RAND()</f>
        <v>0.0119900074116004</v>
      </c>
      <c r="T924" s="40" t="n">
        <f aca="true">RAND()</f>
        <v>0.595226991431645</v>
      </c>
      <c r="U924" s="40" t="n">
        <f aca="true">RAND()</f>
        <v>0.290419374568446</v>
      </c>
    </row>
    <row r="925" customFormat="false" ht="15" hidden="false" customHeight="false" outlineLevel="0" collapsed="false">
      <c r="A925" s="36" t="n">
        <v>845</v>
      </c>
      <c r="B925" s="37" t="n">
        <f aca="false">1+IF($G$6=$E$6,$F$6,IF(P925&lt;($F$6-$E$6)/($G$6-$E$6),$E$6+SQRT(P925*($G$6-$E$6)*($F$6-$E$6)),$G$6-SQRT((1-P925)*($G$6-$E$6)*($G$6-$F$6))))</f>
        <v>1</v>
      </c>
      <c r="C925" s="37" t="n">
        <f aca="false">1+IF($G$7=$E$7,$F$7,IF(Q925&lt;($F$7-$E$7)/($G$7-$E$7),$E$7+SQRT(Q925*($G$7-$E$7)*($F$7-$E$7)),$G$7-SQRT((1-Q925)*($G$7-$E$7)*($G$7-$F$7))))</f>
        <v>1</v>
      </c>
      <c r="D925" s="37" t="n">
        <f aca="false">1+IF($G$8=$E$8,$F$8,IF(R925&lt;($F$8-$E$8)/($G$8-$E$8),$E$8+SQRT(R925*($G$8-$E$8)*($F$8-$E$8)),$G$8-SQRT((1-R925)*($G$8-$E$8)*($G$8-$F$8))))</f>
        <v>1</v>
      </c>
      <c r="E925" s="37" t="n">
        <f aca="false">1+IF($G$9=$E$9,$F$9,IF(S925&lt;($F$9-$E$9)/($G$9-$E$9),$E$9+SQRT(S925*($G$9-$E$9)*($F$9-$E$9)),$G$9-SQRT((1-S925)*($G$9-$E$9)*($G$9-$F$9))))</f>
        <v>1</v>
      </c>
      <c r="F925" s="37" t="n">
        <f aca="false">1+IF($G$10=$E$10,$F$10,IF(T925&lt;($F$10-$E$10)/($G$10-$E$10),$E$10+SQRT(T925*($G$10-$E$10)*($F$10-$E$10)),$G$10-SQRT((1-T925)*($G$10-$E$10)*($G$10-$F$10))))</f>
        <v>1</v>
      </c>
      <c r="G925" s="38" t="n">
        <f aca="false">IF($G$11=$E$11,$F$11,IF(U925&lt;($F$11-$E$11)/($G$11-$E$11),$E$11+SQRT(U925*($G$11-$E$11)*($F$11-$E$11)),$G$11-SQRT((1-U925)*($G$11-$E$11)*($G$11-$F$11))))</f>
        <v>0</v>
      </c>
      <c r="H925" s="39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0</v>
      </c>
      <c r="I925" s="39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0</v>
      </c>
      <c r="J925" s="39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0</v>
      </c>
      <c r="K925" s="39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0</v>
      </c>
      <c r="L925" s="39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0</v>
      </c>
      <c r="M925" s="39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0</v>
      </c>
      <c r="N925" s="39" t="str">
        <f aca="false">IF(COUNT('Business Case'!B11:G11)=0,"",H925+NPV(G925,I925:M925))</f>
        <v/>
      </c>
      <c r="P925" s="40" t="n">
        <f aca="true">RAND()</f>
        <v>0.819725393891061</v>
      </c>
      <c r="Q925" s="40" t="n">
        <f aca="true">RAND()</f>
        <v>0.553520108757842</v>
      </c>
      <c r="R925" s="40" t="n">
        <f aca="true">RAND()</f>
        <v>0.968284192620561</v>
      </c>
      <c r="S925" s="40" t="n">
        <f aca="true">RAND()</f>
        <v>0.398817703885713</v>
      </c>
      <c r="T925" s="40" t="n">
        <f aca="true">RAND()</f>
        <v>0.27103592299694</v>
      </c>
      <c r="U925" s="40" t="n">
        <f aca="true">RAND()</f>
        <v>0.313052319894237</v>
      </c>
    </row>
    <row r="926" customFormat="false" ht="15" hidden="false" customHeight="false" outlineLevel="0" collapsed="false">
      <c r="A926" s="36" t="n">
        <v>846</v>
      </c>
      <c r="B926" s="37" t="n">
        <f aca="false">1+IF($G$6=$E$6,$F$6,IF(P926&lt;($F$6-$E$6)/($G$6-$E$6),$E$6+SQRT(P926*($G$6-$E$6)*($F$6-$E$6)),$G$6-SQRT((1-P926)*($G$6-$E$6)*($G$6-$F$6))))</f>
        <v>1</v>
      </c>
      <c r="C926" s="37" t="n">
        <f aca="false">1+IF($G$7=$E$7,$F$7,IF(Q926&lt;($F$7-$E$7)/($G$7-$E$7),$E$7+SQRT(Q926*($G$7-$E$7)*($F$7-$E$7)),$G$7-SQRT((1-Q926)*($G$7-$E$7)*($G$7-$F$7))))</f>
        <v>1</v>
      </c>
      <c r="D926" s="37" t="n">
        <f aca="false">1+IF($G$8=$E$8,$F$8,IF(R926&lt;($F$8-$E$8)/($G$8-$E$8),$E$8+SQRT(R926*($G$8-$E$8)*($F$8-$E$8)),$G$8-SQRT((1-R926)*($G$8-$E$8)*($G$8-$F$8))))</f>
        <v>1</v>
      </c>
      <c r="E926" s="37" t="n">
        <f aca="false">1+IF($G$9=$E$9,$F$9,IF(S926&lt;($F$9-$E$9)/($G$9-$E$9),$E$9+SQRT(S926*($G$9-$E$9)*($F$9-$E$9)),$G$9-SQRT((1-S926)*($G$9-$E$9)*($G$9-$F$9))))</f>
        <v>1</v>
      </c>
      <c r="F926" s="37" t="n">
        <f aca="false">1+IF($G$10=$E$10,$F$10,IF(T926&lt;($F$10-$E$10)/($G$10-$E$10),$E$10+SQRT(T926*($G$10-$E$10)*($F$10-$E$10)),$G$10-SQRT((1-T926)*($G$10-$E$10)*($G$10-$F$10))))</f>
        <v>1</v>
      </c>
      <c r="G926" s="38" t="n">
        <f aca="false">IF($G$11=$E$11,$F$11,IF(U926&lt;($F$11-$E$11)/($G$11-$E$11),$E$11+SQRT(U926*($G$11-$E$11)*($F$11-$E$11)),$G$11-SQRT((1-U926)*($G$11-$E$11)*($G$11-$F$11))))</f>
        <v>0</v>
      </c>
      <c r="H926" s="39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0</v>
      </c>
      <c r="I926" s="39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0</v>
      </c>
      <c r="J926" s="39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0</v>
      </c>
      <c r="K926" s="39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0</v>
      </c>
      <c r="L926" s="39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0</v>
      </c>
      <c r="M926" s="39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0</v>
      </c>
      <c r="N926" s="39" t="str">
        <f aca="false">IF(COUNT('Business Case'!B11:G11)=0,"",H926+NPV(G926,I926:M926))</f>
        <v/>
      </c>
      <c r="P926" s="40" t="n">
        <f aca="true">RAND()</f>
        <v>0.440178952006674</v>
      </c>
      <c r="Q926" s="40" t="n">
        <f aca="true">RAND()</f>
        <v>0.0369106862553942</v>
      </c>
      <c r="R926" s="40" t="n">
        <f aca="true">RAND()</f>
        <v>0.35556519341083</v>
      </c>
      <c r="S926" s="40" t="n">
        <f aca="true">RAND()</f>
        <v>0.693095010171014</v>
      </c>
      <c r="T926" s="40" t="n">
        <f aca="true">RAND()</f>
        <v>0.406978226016395</v>
      </c>
      <c r="U926" s="40" t="n">
        <f aca="true">RAND()</f>
        <v>0.865041268203062</v>
      </c>
    </row>
    <row r="927" customFormat="false" ht="15" hidden="false" customHeight="false" outlineLevel="0" collapsed="false">
      <c r="A927" s="36" t="n">
        <v>847</v>
      </c>
      <c r="B927" s="37" t="n">
        <f aca="false">1+IF($G$6=$E$6,$F$6,IF(P927&lt;($F$6-$E$6)/($G$6-$E$6),$E$6+SQRT(P927*($G$6-$E$6)*($F$6-$E$6)),$G$6-SQRT((1-P927)*($G$6-$E$6)*($G$6-$F$6))))</f>
        <v>1</v>
      </c>
      <c r="C927" s="37" t="n">
        <f aca="false">1+IF($G$7=$E$7,$F$7,IF(Q927&lt;($F$7-$E$7)/($G$7-$E$7),$E$7+SQRT(Q927*($G$7-$E$7)*($F$7-$E$7)),$G$7-SQRT((1-Q927)*($G$7-$E$7)*($G$7-$F$7))))</f>
        <v>1</v>
      </c>
      <c r="D927" s="37" t="n">
        <f aca="false">1+IF($G$8=$E$8,$F$8,IF(R927&lt;($F$8-$E$8)/($G$8-$E$8),$E$8+SQRT(R927*($G$8-$E$8)*($F$8-$E$8)),$G$8-SQRT((1-R927)*($G$8-$E$8)*($G$8-$F$8))))</f>
        <v>1</v>
      </c>
      <c r="E927" s="37" t="n">
        <f aca="false">1+IF($G$9=$E$9,$F$9,IF(S927&lt;($F$9-$E$9)/($G$9-$E$9),$E$9+SQRT(S927*($G$9-$E$9)*($F$9-$E$9)),$G$9-SQRT((1-S927)*($G$9-$E$9)*($G$9-$F$9))))</f>
        <v>1</v>
      </c>
      <c r="F927" s="37" t="n">
        <f aca="false">1+IF($G$10=$E$10,$F$10,IF(T927&lt;($F$10-$E$10)/($G$10-$E$10),$E$10+SQRT(T927*($G$10-$E$10)*($F$10-$E$10)),$G$10-SQRT((1-T927)*($G$10-$E$10)*($G$10-$F$10))))</f>
        <v>1</v>
      </c>
      <c r="G927" s="38" t="n">
        <f aca="false">IF($G$11=$E$11,$F$11,IF(U927&lt;($F$11-$E$11)/($G$11-$E$11),$E$11+SQRT(U927*($G$11-$E$11)*($F$11-$E$11)),$G$11-SQRT((1-U927)*($G$11-$E$11)*($G$11-$F$11))))</f>
        <v>0</v>
      </c>
      <c r="H927" s="39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0</v>
      </c>
      <c r="I927" s="39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0</v>
      </c>
      <c r="J927" s="39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0</v>
      </c>
      <c r="K927" s="39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0</v>
      </c>
      <c r="L927" s="39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0</v>
      </c>
      <c r="M927" s="39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0</v>
      </c>
      <c r="N927" s="39" t="str">
        <f aca="false">IF(COUNT('Business Case'!B11:G11)=0,"",H927+NPV(G927,I927:M927))</f>
        <v/>
      </c>
      <c r="P927" s="40" t="n">
        <f aca="true">RAND()</f>
        <v>0.385128778067076</v>
      </c>
      <c r="Q927" s="40" t="n">
        <f aca="true">RAND()</f>
        <v>0.889649752825828</v>
      </c>
      <c r="R927" s="40" t="n">
        <f aca="true">RAND()</f>
        <v>0.456600447682855</v>
      </c>
      <c r="S927" s="40" t="n">
        <f aca="true">RAND()</f>
        <v>0.637297703604267</v>
      </c>
      <c r="T927" s="40" t="n">
        <f aca="true">RAND()</f>
        <v>0.972731139157061</v>
      </c>
      <c r="U927" s="40" t="n">
        <f aca="true">RAND()</f>
        <v>0.594277990600191</v>
      </c>
    </row>
    <row r="928" customFormat="false" ht="15" hidden="false" customHeight="false" outlineLevel="0" collapsed="false">
      <c r="A928" s="36" t="n">
        <v>848</v>
      </c>
      <c r="B928" s="37" t="n">
        <f aca="false">1+IF($G$6=$E$6,$F$6,IF(P928&lt;($F$6-$E$6)/($G$6-$E$6),$E$6+SQRT(P928*($G$6-$E$6)*($F$6-$E$6)),$G$6-SQRT((1-P928)*($G$6-$E$6)*($G$6-$F$6))))</f>
        <v>1</v>
      </c>
      <c r="C928" s="37" t="n">
        <f aca="false">1+IF($G$7=$E$7,$F$7,IF(Q928&lt;($F$7-$E$7)/($G$7-$E$7),$E$7+SQRT(Q928*($G$7-$E$7)*($F$7-$E$7)),$G$7-SQRT((1-Q928)*($G$7-$E$7)*($G$7-$F$7))))</f>
        <v>1</v>
      </c>
      <c r="D928" s="37" t="n">
        <f aca="false">1+IF($G$8=$E$8,$F$8,IF(R928&lt;($F$8-$E$8)/($G$8-$E$8),$E$8+SQRT(R928*($G$8-$E$8)*($F$8-$E$8)),$G$8-SQRT((1-R928)*($G$8-$E$8)*($G$8-$F$8))))</f>
        <v>1</v>
      </c>
      <c r="E928" s="37" t="n">
        <f aca="false">1+IF($G$9=$E$9,$F$9,IF(S928&lt;($F$9-$E$9)/($G$9-$E$9),$E$9+SQRT(S928*($G$9-$E$9)*($F$9-$E$9)),$G$9-SQRT((1-S928)*($G$9-$E$9)*($G$9-$F$9))))</f>
        <v>1</v>
      </c>
      <c r="F928" s="37" t="n">
        <f aca="false">1+IF($G$10=$E$10,$F$10,IF(T928&lt;($F$10-$E$10)/($G$10-$E$10),$E$10+SQRT(T928*($G$10-$E$10)*($F$10-$E$10)),$G$10-SQRT((1-T928)*($G$10-$E$10)*($G$10-$F$10))))</f>
        <v>1</v>
      </c>
      <c r="G928" s="38" t="n">
        <f aca="false">IF($G$11=$E$11,$F$11,IF(U928&lt;($F$11-$E$11)/($G$11-$E$11),$E$11+SQRT(U928*($G$11-$E$11)*($F$11-$E$11)),$G$11-SQRT((1-U928)*($G$11-$E$11)*($G$11-$F$11))))</f>
        <v>0</v>
      </c>
      <c r="H928" s="39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0</v>
      </c>
      <c r="I928" s="39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0</v>
      </c>
      <c r="J928" s="39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0</v>
      </c>
      <c r="K928" s="39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0</v>
      </c>
      <c r="L928" s="39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0</v>
      </c>
      <c r="M928" s="39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0</v>
      </c>
      <c r="N928" s="39" t="str">
        <f aca="false">IF(COUNT('Business Case'!B11:G11)=0,"",H928+NPV(G928,I928:M928))</f>
        <v/>
      </c>
      <c r="P928" s="40" t="n">
        <f aca="true">RAND()</f>
        <v>0.487477778416258</v>
      </c>
      <c r="Q928" s="40" t="n">
        <f aca="true">RAND()</f>
        <v>0.587941131444801</v>
      </c>
      <c r="R928" s="40" t="n">
        <f aca="true">RAND()</f>
        <v>0.184395058695768</v>
      </c>
      <c r="S928" s="40" t="n">
        <f aca="true">RAND()</f>
        <v>0.41872261391673</v>
      </c>
      <c r="T928" s="40" t="n">
        <f aca="true">RAND()</f>
        <v>0.428397876306179</v>
      </c>
      <c r="U928" s="40" t="n">
        <f aca="true">RAND()</f>
        <v>0.573932181091605</v>
      </c>
    </row>
    <row r="929" customFormat="false" ht="15" hidden="false" customHeight="false" outlineLevel="0" collapsed="false">
      <c r="A929" s="36" t="n">
        <v>849</v>
      </c>
      <c r="B929" s="37" t="n">
        <f aca="false">1+IF($G$6=$E$6,$F$6,IF(P929&lt;($F$6-$E$6)/($G$6-$E$6),$E$6+SQRT(P929*($G$6-$E$6)*($F$6-$E$6)),$G$6-SQRT((1-P929)*($G$6-$E$6)*($G$6-$F$6))))</f>
        <v>1</v>
      </c>
      <c r="C929" s="37" t="n">
        <f aca="false">1+IF($G$7=$E$7,$F$7,IF(Q929&lt;($F$7-$E$7)/($G$7-$E$7),$E$7+SQRT(Q929*($G$7-$E$7)*($F$7-$E$7)),$G$7-SQRT((1-Q929)*($G$7-$E$7)*($G$7-$F$7))))</f>
        <v>1</v>
      </c>
      <c r="D929" s="37" t="n">
        <f aca="false">1+IF($G$8=$E$8,$F$8,IF(R929&lt;($F$8-$E$8)/($G$8-$E$8),$E$8+SQRT(R929*($G$8-$E$8)*($F$8-$E$8)),$G$8-SQRT((1-R929)*($G$8-$E$8)*($G$8-$F$8))))</f>
        <v>1</v>
      </c>
      <c r="E929" s="37" t="n">
        <f aca="false">1+IF($G$9=$E$9,$F$9,IF(S929&lt;($F$9-$E$9)/($G$9-$E$9),$E$9+SQRT(S929*($G$9-$E$9)*($F$9-$E$9)),$G$9-SQRT((1-S929)*($G$9-$E$9)*($G$9-$F$9))))</f>
        <v>1</v>
      </c>
      <c r="F929" s="37" t="n">
        <f aca="false">1+IF($G$10=$E$10,$F$10,IF(T929&lt;($F$10-$E$10)/($G$10-$E$10),$E$10+SQRT(T929*($G$10-$E$10)*($F$10-$E$10)),$G$10-SQRT((1-T929)*($G$10-$E$10)*($G$10-$F$10))))</f>
        <v>1</v>
      </c>
      <c r="G929" s="38" t="n">
        <f aca="false">IF($G$11=$E$11,$F$11,IF(U929&lt;($F$11-$E$11)/($G$11-$E$11),$E$11+SQRT(U929*($G$11-$E$11)*($F$11-$E$11)),$G$11-SQRT((1-U929)*($G$11-$E$11)*($G$11-$F$11))))</f>
        <v>0</v>
      </c>
      <c r="H929" s="39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0</v>
      </c>
      <c r="I929" s="39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0</v>
      </c>
      <c r="J929" s="39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0</v>
      </c>
      <c r="K929" s="39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0</v>
      </c>
      <c r="L929" s="39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0</v>
      </c>
      <c r="M929" s="39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0</v>
      </c>
      <c r="N929" s="39" t="str">
        <f aca="false">IF(COUNT('Business Case'!B11:G11)=0,"",H929+NPV(G929,I929:M929))</f>
        <v/>
      </c>
      <c r="P929" s="40" t="n">
        <f aca="true">RAND()</f>
        <v>0.98552756395774</v>
      </c>
      <c r="Q929" s="40" t="n">
        <f aca="true">RAND()</f>
        <v>0.803895393431473</v>
      </c>
      <c r="R929" s="40" t="n">
        <f aca="true">RAND()</f>
        <v>0.959506959868275</v>
      </c>
      <c r="S929" s="40" t="n">
        <f aca="true">RAND()</f>
        <v>0.992370639338842</v>
      </c>
      <c r="T929" s="40" t="n">
        <f aca="true">RAND()</f>
        <v>0.0975715859441935</v>
      </c>
      <c r="U929" s="40" t="n">
        <f aca="true">RAND()</f>
        <v>0.454080603709914</v>
      </c>
    </row>
    <row r="930" customFormat="false" ht="15" hidden="false" customHeight="false" outlineLevel="0" collapsed="false">
      <c r="A930" s="36" t="n">
        <v>850</v>
      </c>
      <c r="B930" s="37" t="n">
        <f aca="false">1+IF($G$6=$E$6,$F$6,IF(P930&lt;($F$6-$E$6)/($G$6-$E$6),$E$6+SQRT(P930*($G$6-$E$6)*($F$6-$E$6)),$G$6-SQRT((1-P930)*($G$6-$E$6)*($G$6-$F$6))))</f>
        <v>1</v>
      </c>
      <c r="C930" s="37" t="n">
        <f aca="false">1+IF($G$7=$E$7,$F$7,IF(Q930&lt;($F$7-$E$7)/($G$7-$E$7),$E$7+SQRT(Q930*($G$7-$E$7)*($F$7-$E$7)),$G$7-SQRT((1-Q930)*($G$7-$E$7)*($G$7-$F$7))))</f>
        <v>1</v>
      </c>
      <c r="D930" s="37" t="n">
        <f aca="false">1+IF($G$8=$E$8,$F$8,IF(R930&lt;($F$8-$E$8)/($G$8-$E$8),$E$8+SQRT(R930*($G$8-$E$8)*($F$8-$E$8)),$G$8-SQRT((1-R930)*($G$8-$E$8)*($G$8-$F$8))))</f>
        <v>1</v>
      </c>
      <c r="E930" s="37" t="n">
        <f aca="false">1+IF($G$9=$E$9,$F$9,IF(S930&lt;($F$9-$E$9)/($G$9-$E$9),$E$9+SQRT(S930*($G$9-$E$9)*($F$9-$E$9)),$G$9-SQRT((1-S930)*($G$9-$E$9)*($G$9-$F$9))))</f>
        <v>1</v>
      </c>
      <c r="F930" s="37" t="n">
        <f aca="false">1+IF($G$10=$E$10,$F$10,IF(T930&lt;($F$10-$E$10)/($G$10-$E$10),$E$10+SQRT(T930*($G$10-$E$10)*($F$10-$E$10)),$G$10-SQRT((1-T930)*($G$10-$E$10)*($G$10-$F$10))))</f>
        <v>1</v>
      </c>
      <c r="G930" s="38" t="n">
        <f aca="false">IF($G$11=$E$11,$F$11,IF(U930&lt;($F$11-$E$11)/($G$11-$E$11),$E$11+SQRT(U930*($G$11-$E$11)*($F$11-$E$11)),$G$11-SQRT((1-U930)*($G$11-$E$11)*($G$11-$F$11))))</f>
        <v>0</v>
      </c>
      <c r="H930" s="39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0</v>
      </c>
      <c r="I930" s="39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0</v>
      </c>
      <c r="J930" s="39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0</v>
      </c>
      <c r="K930" s="39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0</v>
      </c>
      <c r="L930" s="39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0</v>
      </c>
      <c r="M930" s="39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0</v>
      </c>
      <c r="N930" s="39" t="str">
        <f aca="false">IF(COUNT('Business Case'!B11:G11)=0,"",H930+NPV(G930,I930:M930))</f>
        <v/>
      </c>
      <c r="P930" s="40" t="n">
        <f aca="true">RAND()</f>
        <v>0.0440118915137853</v>
      </c>
      <c r="Q930" s="40" t="n">
        <f aca="true">RAND()</f>
        <v>0.529336809255732</v>
      </c>
      <c r="R930" s="40" t="n">
        <f aca="true">RAND()</f>
        <v>0.904430077350347</v>
      </c>
      <c r="S930" s="40" t="n">
        <f aca="true">RAND()</f>
        <v>0.563116255716557</v>
      </c>
      <c r="T930" s="40" t="n">
        <f aca="true">RAND()</f>
        <v>0.229226008475581</v>
      </c>
      <c r="U930" s="40" t="n">
        <f aca="true">RAND()</f>
        <v>0.377372562084623</v>
      </c>
    </row>
    <row r="931" customFormat="false" ht="15" hidden="false" customHeight="false" outlineLevel="0" collapsed="false">
      <c r="A931" s="36" t="n">
        <v>851</v>
      </c>
      <c r="B931" s="37" t="n">
        <f aca="false">1+IF($G$6=$E$6,$F$6,IF(P931&lt;($F$6-$E$6)/($G$6-$E$6),$E$6+SQRT(P931*($G$6-$E$6)*($F$6-$E$6)),$G$6-SQRT((1-P931)*($G$6-$E$6)*($G$6-$F$6))))</f>
        <v>1</v>
      </c>
      <c r="C931" s="37" t="n">
        <f aca="false">1+IF($G$7=$E$7,$F$7,IF(Q931&lt;($F$7-$E$7)/($G$7-$E$7),$E$7+SQRT(Q931*($G$7-$E$7)*($F$7-$E$7)),$G$7-SQRT((1-Q931)*($G$7-$E$7)*($G$7-$F$7))))</f>
        <v>1</v>
      </c>
      <c r="D931" s="37" t="n">
        <f aca="false">1+IF($G$8=$E$8,$F$8,IF(R931&lt;($F$8-$E$8)/($G$8-$E$8),$E$8+SQRT(R931*($G$8-$E$8)*($F$8-$E$8)),$G$8-SQRT((1-R931)*($G$8-$E$8)*($G$8-$F$8))))</f>
        <v>1</v>
      </c>
      <c r="E931" s="37" t="n">
        <f aca="false">1+IF($G$9=$E$9,$F$9,IF(S931&lt;($F$9-$E$9)/($G$9-$E$9),$E$9+SQRT(S931*($G$9-$E$9)*($F$9-$E$9)),$G$9-SQRT((1-S931)*($G$9-$E$9)*($G$9-$F$9))))</f>
        <v>1</v>
      </c>
      <c r="F931" s="37" t="n">
        <f aca="false">1+IF($G$10=$E$10,$F$10,IF(T931&lt;($F$10-$E$10)/($G$10-$E$10),$E$10+SQRT(T931*($G$10-$E$10)*($F$10-$E$10)),$G$10-SQRT((1-T931)*($G$10-$E$10)*($G$10-$F$10))))</f>
        <v>1</v>
      </c>
      <c r="G931" s="38" t="n">
        <f aca="false">IF($G$11=$E$11,$F$11,IF(U931&lt;($F$11-$E$11)/($G$11-$E$11),$E$11+SQRT(U931*($G$11-$E$11)*($F$11-$E$11)),$G$11-SQRT((1-U931)*($G$11-$E$11)*($G$11-$F$11))))</f>
        <v>0</v>
      </c>
      <c r="H931" s="39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0</v>
      </c>
      <c r="I931" s="39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0</v>
      </c>
      <c r="J931" s="39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0</v>
      </c>
      <c r="K931" s="39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0</v>
      </c>
      <c r="L931" s="39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0</v>
      </c>
      <c r="M931" s="39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0</v>
      </c>
      <c r="N931" s="39" t="str">
        <f aca="false">IF(COUNT('Business Case'!B11:G11)=0,"",H931+NPV(G931,I931:M931))</f>
        <v/>
      </c>
      <c r="P931" s="40" t="n">
        <f aca="true">RAND()</f>
        <v>0.453169475280018</v>
      </c>
      <c r="Q931" s="40" t="n">
        <f aca="true">RAND()</f>
        <v>0.836169868348301</v>
      </c>
      <c r="R931" s="40" t="n">
        <f aca="true">RAND()</f>
        <v>0.956498215728397</v>
      </c>
      <c r="S931" s="40" t="n">
        <f aca="true">RAND()</f>
        <v>0.77953702555927</v>
      </c>
      <c r="T931" s="40" t="n">
        <f aca="true">RAND()</f>
        <v>0.885326261399531</v>
      </c>
      <c r="U931" s="40" t="n">
        <f aca="true">RAND()</f>
        <v>0.685549665723541</v>
      </c>
    </row>
    <row r="932" customFormat="false" ht="15" hidden="false" customHeight="false" outlineLevel="0" collapsed="false">
      <c r="A932" s="36" t="n">
        <v>852</v>
      </c>
      <c r="B932" s="37" t="n">
        <f aca="false">1+IF($G$6=$E$6,$F$6,IF(P932&lt;($F$6-$E$6)/($G$6-$E$6),$E$6+SQRT(P932*($G$6-$E$6)*($F$6-$E$6)),$G$6-SQRT((1-P932)*($G$6-$E$6)*($G$6-$F$6))))</f>
        <v>1</v>
      </c>
      <c r="C932" s="37" t="n">
        <f aca="false">1+IF($G$7=$E$7,$F$7,IF(Q932&lt;($F$7-$E$7)/($G$7-$E$7),$E$7+SQRT(Q932*($G$7-$E$7)*($F$7-$E$7)),$G$7-SQRT((1-Q932)*($G$7-$E$7)*($G$7-$F$7))))</f>
        <v>1</v>
      </c>
      <c r="D932" s="37" t="n">
        <f aca="false">1+IF($G$8=$E$8,$F$8,IF(R932&lt;($F$8-$E$8)/($G$8-$E$8),$E$8+SQRT(R932*($G$8-$E$8)*($F$8-$E$8)),$G$8-SQRT((1-R932)*($G$8-$E$8)*($G$8-$F$8))))</f>
        <v>1</v>
      </c>
      <c r="E932" s="37" t="n">
        <f aca="false">1+IF($G$9=$E$9,$F$9,IF(S932&lt;($F$9-$E$9)/($G$9-$E$9),$E$9+SQRT(S932*($G$9-$E$9)*($F$9-$E$9)),$G$9-SQRT((1-S932)*($G$9-$E$9)*($G$9-$F$9))))</f>
        <v>1</v>
      </c>
      <c r="F932" s="37" t="n">
        <f aca="false">1+IF($G$10=$E$10,$F$10,IF(T932&lt;($F$10-$E$10)/($G$10-$E$10),$E$10+SQRT(T932*($G$10-$E$10)*($F$10-$E$10)),$G$10-SQRT((1-T932)*($G$10-$E$10)*($G$10-$F$10))))</f>
        <v>1</v>
      </c>
      <c r="G932" s="38" t="n">
        <f aca="false">IF($G$11=$E$11,$F$11,IF(U932&lt;($F$11-$E$11)/($G$11-$E$11),$E$11+SQRT(U932*($G$11-$E$11)*($F$11-$E$11)),$G$11-SQRT((1-U932)*($G$11-$E$11)*($G$11-$F$11))))</f>
        <v>0</v>
      </c>
      <c r="H932" s="39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0</v>
      </c>
      <c r="I932" s="39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0</v>
      </c>
      <c r="J932" s="39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0</v>
      </c>
      <c r="K932" s="39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0</v>
      </c>
      <c r="L932" s="39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0</v>
      </c>
      <c r="M932" s="39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0</v>
      </c>
      <c r="N932" s="39" t="str">
        <f aca="false">IF(COUNT('Business Case'!B11:G11)=0,"",H932+NPV(G932,I932:M932))</f>
        <v/>
      </c>
      <c r="P932" s="40" t="n">
        <f aca="true">RAND()</f>
        <v>0.197417694172579</v>
      </c>
      <c r="Q932" s="40" t="n">
        <f aca="true">RAND()</f>
        <v>0.664735642881852</v>
      </c>
      <c r="R932" s="40" t="n">
        <f aca="true">RAND()</f>
        <v>0.171158261878862</v>
      </c>
      <c r="S932" s="40" t="n">
        <f aca="true">RAND()</f>
        <v>0.767414229711556</v>
      </c>
      <c r="T932" s="40" t="n">
        <f aca="true">RAND()</f>
        <v>0.290794708766662</v>
      </c>
      <c r="U932" s="40" t="n">
        <f aca="true">RAND()</f>
        <v>0.583422568055349</v>
      </c>
    </row>
    <row r="933" customFormat="false" ht="15" hidden="false" customHeight="false" outlineLevel="0" collapsed="false">
      <c r="A933" s="36" t="n">
        <v>853</v>
      </c>
      <c r="B933" s="37" t="n">
        <f aca="false">1+IF($G$6=$E$6,$F$6,IF(P933&lt;($F$6-$E$6)/($G$6-$E$6),$E$6+SQRT(P933*($G$6-$E$6)*($F$6-$E$6)),$G$6-SQRT((1-P933)*($G$6-$E$6)*($G$6-$F$6))))</f>
        <v>1</v>
      </c>
      <c r="C933" s="37" t="n">
        <f aca="false">1+IF($G$7=$E$7,$F$7,IF(Q933&lt;($F$7-$E$7)/($G$7-$E$7),$E$7+SQRT(Q933*($G$7-$E$7)*($F$7-$E$7)),$G$7-SQRT((1-Q933)*($G$7-$E$7)*($G$7-$F$7))))</f>
        <v>1</v>
      </c>
      <c r="D933" s="37" t="n">
        <f aca="false">1+IF($G$8=$E$8,$F$8,IF(R933&lt;($F$8-$E$8)/($G$8-$E$8),$E$8+SQRT(R933*($G$8-$E$8)*($F$8-$E$8)),$G$8-SQRT((1-R933)*($G$8-$E$8)*($G$8-$F$8))))</f>
        <v>1</v>
      </c>
      <c r="E933" s="37" t="n">
        <f aca="false">1+IF($G$9=$E$9,$F$9,IF(S933&lt;($F$9-$E$9)/($G$9-$E$9),$E$9+SQRT(S933*($G$9-$E$9)*($F$9-$E$9)),$G$9-SQRT((1-S933)*($G$9-$E$9)*($G$9-$F$9))))</f>
        <v>1</v>
      </c>
      <c r="F933" s="37" t="n">
        <f aca="false">1+IF($G$10=$E$10,$F$10,IF(T933&lt;($F$10-$E$10)/($G$10-$E$10),$E$10+SQRT(T933*($G$10-$E$10)*($F$10-$E$10)),$G$10-SQRT((1-T933)*($G$10-$E$10)*($G$10-$F$10))))</f>
        <v>1</v>
      </c>
      <c r="G933" s="38" t="n">
        <f aca="false">IF($G$11=$E$11,$F$11,IF(U933&lt;($F$11-$E$11)/($G$11-$E$11),$E$11+SQRT(U933*($G$11-$E$11)*($F$11-$E$11)),$G$11-SQRT((1-U933)*($G$11-$E$11)*($G$11-$F$11))))</f>
        <v>0</v>
      </c>
      <c r="H933" s="39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0</v>
      </c>
      <c r="I933" s="39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0</v>
      </c>
      <c r="J933" s="39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0</v>
      </c>
      <c r="K933" s="39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0</v>
      </c>
      <c r="L933" s="39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0</v>
      </c>
      <c r="M933" s="39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0</v>
      </c>
      <c r="N933" s="39" t="str">
        <f aca="false">IF(COUNT('Business Case'!B11:G11)=0,"",H933+NPV(G933,I933:M933))</f>
        <v/>
      </c>
      <c r="P933" s="40" t="n">
        <f aca="true">RAND()</f>
        <v>0.893601017391271</v>
      </c>
      <c r="Q933" s="40" t="n">
        <f aca="true">RAND()</f>
        <v>0.456938216170122</v>
      </c>
      <c r="R933" s="40" t="n">
        <f aca="true">RAND()</f>
        <v>0.725469122331899</v>
      </c>
      <c r="S933" s="40" t="n">
        <f aca="true">RAND()</f>
        <v>0.341494244431378</v>
      </c>
      <c r="T933" s="40" t="n">
        <f aca="true">RAND()</f>
        <v>0.830302120620839</v>
      </c>
      <c r="U933" s="40" t="n">
        <f aca="true">RAND()</f>
        <v>0.546371538233379</v>
      </c>
    </row>
    <row r="934" customFormat="false" ht="15" hidden="false" customHeight="false" outlineLevel="0" collapsed="false">
      <c r="A934" s="36" t="n">
        <v>854</v>
      </c>
      <c r="B934" s="37" t="n">
        <f aca="false">1+IF($G$6=$E$6,$F$6,IF(P934&lt;($F$6-$E$6)/($G$6-$E$6),$E$6+SQRT(P934*($G$6-$E$6)*($F$6-$E$6)),$G$6-SQRT((1-P934)*($G$6-$E$6)*($G$6-$F$6))))</f>
        <v>1</v>
      </c>
      <c r="C934" s="37" t="n">
        <f aca="false">1+IF($G$7=$E$7,$F$7,IF(Q934&lt;($F$7-$E$7)/($G$7-$E$7),$E$7+SQRT(Q934*($G$7-$E$7)*($F$7-$E$7)),$G$7-SQRT((1-Q934)*($G$7-$E$7)*($G$7-$F$7))))</f>
        <v>1</v>
      </c>
      <c r="D934" s="37" t="n">
        <f aca="false">1+IF($G$8=$E$8,$F$8,IF(R934&lt;($F$8-$E$8)/($G$8-$E$8),$E$8+SQRT(R934*($G$8-$E$8)*($F$8-$E$8)),$G$8-SQRT((1-R934)*($G$8-$E$8)*($G$8-$F$8))))</f>
        <v>1</v>
      </c>
      <c r="E934" s="37" t="n">
        <f aca="false">1+IF($G$9=$E$9,$F$9,IF(S934&lt;($F$9-$E$9)/($G$9-$E$9),$E$9+SQRT(S934*($G$9-$E$9)*($F$9-$E$9)),$G$9-SQRT((1-S934)*($G$9-$E$9)*($G$9-$F$9))))</f>
        <v>1</v>
      </c>
      <c r="F934" s="37" t="n">
        <f aca="false">1+IF($G$10=$E$10,$F$10,IF(T934&lt;($F$10-$E$10)/($G$10-$E$10),$E$10+SQRT(T934*($G$10-$E$10)*($F$10-$E$10)),$G$10-SQRT((1-T934)*($G$10-$E$10)*($G$10-$F$10))))</f>
        <v>1</v>
      </c>
      <c r="G934" s="38" t="n">
        <f aca="false">IF($G$11=$E$11,$F$11,IF(U934&lt;($F$11-$E$11)/($G$11-$E$11),$E$11+SQRT(U934*($G$11-$E$11)*($F$11-$E$11)),$G$11-SQRT((1-U934)*($G$11-$E$11)*($G$11-$F$11))))</f>
        <v>0</v>
      </c>
      <c r="H934" s="39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0</v>
      </c>
      <c r="I934" s="39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0</v>
      </c>
      <c r="J934" s="39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0</v>
      </c>
      <c r="K934" s="39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0</v>
      </c>
      <c r="L934" s="39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0</v>
      </c>
      <c r="M934" s="39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0</v>
      </c>
      <c r="N934" s="39" t="str">
        <f aca="false">IF(COUNT('Business Case'!B11:G11)=0,"",H934+NPV(G934,I934:M934))</f>
        <v/>
      </c>
      <c r="P934" s="40" t="n">
        <f aca="true">RAND()</f>
        <v>0.75786518712798</v>
      </c>
      <c r="Q934" s="40" t="n">
        <f aca="true">RAND()</f>
        <v>0.809525591383015</v>
      </c>
      <c r="R934" s="40" t="n">
        <f aca="true">RAND()</f>
        <v>0.717401286874768</v>
      </c>
      <c r="S934" s="40" t="n">
        <f aca="true">RAND()</f>
        <v>0.318027897110846</v>
      </c>
      <c r="T934" s="40" t="n">
        <f aca="true">RAND()</f>
        <v>0.559446410704451</v>
      </c>
      <c r="U934" s="40" t="n">
        <f aca="true">RAND()</f>
        <v>0.908271076767285</v>
      </c>
    </row>
    <row r="935" customFormat="false" ht="15" hidden="false" customHeight="false" outlineLevel="0" collapsed="false">
      <c r="A935" s="36" t="n">
        <v>855</v>
      </c>
      <c r="B935" s="37" t="n">
        <f aca="false">1+IF($G$6=$E$6,$F$6,IF(P935&lt;($F$6-$E$6)/($G$6-$E$6),$E$6+SQRT(P935*($G$6-$E$6)*($F$6-$E$6)),$G$6-SQRT((1-P935)*($G$6-$E$6)*($G$6-$F$6))))</f>
        <v>1</v>
      </c>
      <c r="C935" s="37" t="n">
        <f aca="false">1+IF($G$7=$E$7,$F$7,IF(Q935&lt;($F$7-$E$7)/($G$7-$E$7),$E$7+SQRT(Q935*($G$7-$E$7)*($F$7-$E$7)),$G$7-SQRT((1-Q935)*($G$7-$E$7)*($G$7-$F$7))))</f>
        <v>1</v>
      </c>
      <c r="D935" s="37" t="n">
        <f aca="false">1+IF($G$8=$E$8,$F$8,IF(R935&lt;($F$8-$E$8)/($G$8-$E$8),$E$8+SQRT(R935*($G$8-$E$8)*($F$8-$E$8)),$G$8-SQRT((1-R935)*($G$8-$E$8)*($G$8-$F$8))))</f>
        <v>1</v>
      </c>
      <c r="E935" s="37" t="n">
        <f aca="false">1+IF($G$9=$E$9,$F$9,IF(S935&lt;($F$9-$E$9)/($G$9-$E$9),$E$9+SQRT(S935*($G$9-$E$9)*($F$9-$E$9)),$G$9-SQRT((1-S935)*($G$9-$E$9)*($G$9-$F$9))))</f>
        <v>1</v>
      </c>
      <c r="F935" s="37" t="n">
        <f aca="false">1+IF($G$10=$E$10,$F$10,IF(T935&lt;($F$10-$E$10)/($G$10-$E$10),$E$10+SQRT(T935*($G$10-$E$10)*($F$10-$E$10)),$G$10-SQRT((1-T935)*($G$10-$E$10)*($G$10-$F$10))))</f>
        <v>1</v>
      </c>
      <c r="G935" s="38" t="n">
        <f aca="false">IF($G$11=$E$11,$F$11,IF(U935&lt;($F$11-$E$11)/($G$11-$E$11),$E$11+SQRT(U935*($G$11-$E$11)*($F$11-$E$11)),$G$11-SQRT((1-U935)*($G$11-$E$11)*($G$11-$F$11))))</f>
        <v>0</v>
      </c>
      <c r="H935" s="39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0</v>
      </c>
      <c r="I935" s="39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0</v>
      </c>
      <c r="J935" s="39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0</v>
      </c>
      <c r="K935" s="39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0</v>
      </c>
      <c r="L935" s="39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0</v>
      </c>
      <c r="M935" s="39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0</v>
      </c>
      <c r="N935" s="39" t="str">
        <f aca="false">IF(COUNT('Business Case'!B11:G11)=0,"",H935+NPV(G935,I935:M935))</f>
        <v/>
      </c>
      <c r="P935" s="40" t="n">
        <f aca="true">RAND()</f>
        <v>0.600895120277131</v>
      </c>
      <c r="Q935" s="40" t="n">
        <f aca="true">RAND()</f>
        <v>0.146174401582787</v>
      </c>
      <c r="R935" s="40" t="n">
        <f aca="true">RAND()</f>
        <v>0.0164914488012102</v>
      </c>
      <c r="S935" s="40" t="n">
        <f aca="true">RAND()</f>
        <v>0.0584847912042578</v>
      </c>
      <c r="T935" s="40" t="n">
        <f aca="true">RAND()</f>
        <v>0.616647958885951</v>
      </c>
      <c r="U935" s="40" t="n">
        <f aca="true">RAND()</f>
        <v>0.254490589792534</v>
      </c>
    </row>
    <row r="936" customFormat="false" ht="15" hidden="false" customHeight="false" outlineLevel="0" collapsed="false">
      <c r="A936" s="36" t="n">
        <v>856</v>
      </c>
      <c r="B936" s="37" t="n">
        <f aca="false">1+IF($G$6=$E$6,$F$6,IF(P936&lt;($F$6-$E$6)/($G$6-$E$6),$E$6+SQRT(P936*($G$6-$E$6)*($F$6-$E$6)),$G$6-SQRT((1-P936)*($G$6-$E$6)*($G$6-$F$6))))</f>
        <v>1</v>
      </c>
      <c r="C936" s="37" t="n">
        <f aca="false">1+IF($G$7=$E$7,$F$7,IF(Q936&lt;($F$7-$E$7)/($G$7-$E$7),$E$7+SQRT(Q936*($G$7-$E$7)*($F$7-$E$7)),$G$7-SQRT((1-Q936)*($G$7-$E$7)*($G$7-$F$7))))</f>
        <v>1</v>
      </c>
      <c r="D936" s="37" t="n">
        <f aca="false">1+IF($G$8=$E$8,$F$8,IF(R936&lt;($F$8-$E$8)/($G$8-$E$8),$E$8+SQRT(R936*($G$8-$E$8)*($F$8-$E$8)),$G$8-SQRT((1-R936)*($G$8-$E$8)*($G$8-$F$8))))</f>
        <v>1</v>
      </c>
      <c r="E936" s="37" t="n">
        <f aca="false">1+IF($G$9=$E$9,$F$9,IF(S936&lt;($F$9-$E$9)/($G$9-$E$9),$E$9+SQRT(S936*($G$9-$E$9)*($F$9-$E$9)),$G$9-SQRT((1-S936)*($G$9-$E$9)*($G$9-$F$9))))</f>
        <v>1</v>
      </c>
      <c r="F936" s="37" t="n">
        <f aca="false">1+IF($G$10=$E$10,$F$10,IF(T936&lt;($F$10-$E$10)/($G$10-$E$10),$E$10+SQRT(T936*($G$10-$E$10)*($F$10-$E$10)),$G$10-SQRT((1-T936)*($G$10-$E$10)*($G$10-$F$10))))</f>
        <v>1</v>
      </c>
      <c r="G936" s="38" t="n">
        <f aca="false">IF($G$11=$E$11,$F$11,IF(U936&lt;($F$11-$E$11)/($G$11-$E$11),$E$11+SQRT(U936*($G$11-$E$11)*($F$11-$E$11)),$G$11-SQRT((1-U936)*($G$11-$E$11)*($G$11-$F$11))))</f>
        <v>0</v>
      </c>
      <c r="H936" s="39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0</v>
      </c>
      <c r="I936" s="39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0</v>
      </c>
      <c r="J936" s="39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0</v>
      </c>
      <c r="K936" s="39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0</v>
      </c>
      <c r="L936" s="39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0</v>
      </c>
      <c r="M936" s="39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0</v>
      </c>
      <c r="N936" s="39" t="str">
        <f aca="false">IF(COUNT('Business Case'!B11:G11)=0,"",H936+NPV(G936,I936:M936))</f>
        <v/>
      </c>
      <c r="P936" s="40" t="n">
        <f aca="true">RAND()</f>
        <v>0.170300927860223</v>
      </c>
      <c r="Q936" s="40" t="n">
        <f aca="true">RAND()</f>
        <v>0.912019350656361</v>
      </c>
      <c r="R936" s="40" t="n">
        <f aca="true">RAND()</f>
        <v>0.415617127434121</v>
      </c>
      <c r="S936" s="40" t="n">
        <f aca="true">RAND()</f>
        <v>0.623599007714939</v>
      </c>
      <c r="T936" s="40" t="n">
        <f aca="true">RAND()</f>
        <v>0.989790923374683</v>
      </c>
      <c r="U936" s="40" t="n">
        <f aca="true">RAND()</f>
        <v>0.939588675631856</v>
      </c>
    </row>
    <row r="937" customFormat="false" ht="15" hidden="false" customHeight="false" outlineLevel="0" collapsed="false">
      <c r="A937" s="36" t="n">
        <v>857</v>
      </c>
      <c r="B937" s="37" t="n">
        <f aca="false">1+IF($G$6=$E$6,$F$6,IF(P937&lt;($F$6-$E$6)/($G$6-$E$6),$E$6+SQRT(P937*($G$6-$E$6)*($F$6-$E$6)),$G$6-SQRT((1-P937)*($G$6-$E$6)*($G$6-$F$6))))</f>
        <v>1</v>
      </c>
      <c r="C937" s="37" t="n">
        <f aca="false">1+IF($G$7=$E$7,$F$7,IF(Q937&lt;($F$7-$E$7)/($G$7-$E$7),$E$7+SQRT(Q937*($G$7-$E$7)*($F$7-$E$7)),$G$7-SQRT((1-Q937)*($G$7-$E$7)*($G$7-$F$7))))</f>
        <v>1</v>
      </c>
      <c r="D937" s="37" t="n">
        <f aca="false">1+IF($G$8=$E$8,$F$8,IF(R937&lt;($F$8-$E$8)/($G$8-$E$8),$E$8+SQRT(R937*($G$8-$E$8)*($F$8-$E$8)),$G$8-SQRT((1-R937)*($G$8-$E$8)*($G$8-$F$8))))</f>
        <v>1</v>
      </c>
      <c r="E937" s="37" t="n">
        <f aca="false">1+IF($G$9=$E$9,$F$9,IF(S937&lt;($F$9-$E$9)/($G$9-$E$9),$E$9+SQRT(S937*($G$9-$E$9)*($F$9-$E$9)),$G$9-SQRT((1-S937)*($G$9-$E$9)*($G$9-$F$9))))</f>
        <v>1</v>
      </c>
      <c r="F937" s="37" t="n">
        <f aca="false">1+IF($G$10=$E$10,$F$10,IF(T937&lt;($F$10-$E$10)/($G$10-$E$10),$E$10+SQRT(T937*($G$10-$E$10)*($F$10-$E$10)),$G$10-SQRT((1-T937)*($G$10-$E$10)*($G$10-$F$10))))</f>
        <v>1</v>
      </c>
      <c r="G937" s="38" t="n">
        <f aca="false">IF($G$11=$E$11,$F$11,IF(U937&lt;($F$11-$E$11)/($G$11-$E$11),$E$11+SQRT(U937*($G$11-$E$11)*($F$11-$E$11)),$G$11-SQRT((1-U937)*($G$11-$E$11)*($G$11-$F$11))))</f>
        <v>0</v>
      </c>
      <c r="H937" s="39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0</v>
      </c>
      <c r="I937" s="39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0</v>
      </c>
      <c r="J937" s="39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0</v>
      </c>
      <c r="K937" s="39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0</v>
      </c>
      <c r="L937" s="39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0</v>
      </c>
      <c r="M937" s="39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0</v>
      </c>
      <c r="N937" s="39" t="str">
        <f aca="false">IF(COUNT('Business Case'!B11:G11)=0,"",H937+NPV(G937,I937:M937))</f>
        <v/>
      </c>
      <c r="P937" s="40" t="n">
        <f aca="true">RAND()</f>
        <v>0.37371084291968</v>
      </c>
      <c r="Q937" s="40" t="n">
        <f aca="true">RAND()</f>
        <v>0.883387687796257</v>
      </c>
      <c r="R937" s="40" t="n">
        <f aca="true">RAND()</f>
        <v>0.171518682576721</v>
      </c>
      <c r="S937" s="40" t="n">
        <f aca="true">RAND()</f>
        <v>0.253606368562599</v>
      </c>
      <c r="T937" s="40" t="n">
        <f aca="true">RAND()</f>
        <v>0.625698572873514</v>
      </c>
      <c r="U937" s="40" t="n">
        <f aca="true">RAND()</f>
        <v>0.433085859400613</v>
      </c>
    </row>
    <row r="938" customFormat="false" ht="15" hidden="false" customHeight="false" outlineLevel="0" collapsed="false">
      <c r="A938" s="36" t="n">
        <v>858</v>
      </c>
      <c r="B938" s="37" t="n">
        <f aca="false">1+IF($G$6=$E$6,$F$6,IF(P938&lt;($F$6-$E$6)/($G$6-$E$6),$E$6+SQRT(P938*($G$6-$E$6)*($F$6-$E$6)),$G$6-SQRT((1-P938)*($G$6-$E$6)*($G$6-$F$6))))</f>
        <v>1</v>
      </c>
      <c r="C938" s="37" t="n">
        <f aca="false">1+IF($G$7=$E$7,$F$7,IF(Q938&lt;($F$7-$E$7)/($G$7-$E$7),$E$7+SQRT(Q938*($G$7-$E$7)*($F$7-$E$7)),$G$7-SQRT((1-Q938)*($G$7-$E$7)*($G$7-$F$7))))</f>
        <v>1</v>
      </c>
      <c r="D938" s="37" t="n">
        <f aca="false">1+IF($G$8=$E$8,$F$8,IF(R938&lt;($F$8-$E$8)/($G$8-$E$8),$E$8+SQRT(R938*($G$8-$E$8)*($F$8-$E$8)),$G$8-SQRT((1-R938)*($G$8-$E$8)*($G$8-$F$8))))</f>
        <v>1</v>
      </c>
      <c r="E938" s="37" t="n">
        <f aca="false">1+IF($G$9=$E$9,$F$9,IF(S938&lt;($F$9-$E$9)/($G$9-$E$9),$E$9+SQRT(S938*($G$9-$E$9)*($F$9-$E$9)),$G$9-SQRT((1-S938)*($G$9-$E$9)*($G$9-$F$9))))</f>
        <v>1</v>
      </c>
      <c r="F938" s="37" t="n">
        <f aca="false">1+IF($G$10=$E$10,$F$10,IF(T938&lt;($F$10-$E$10)/($G$10-$E$10),$E$10+SQRT(T938*($G$10-$E$10)*($F$10-$E$10)),$G$10-SQRT((1-T938)*($G$10-$E$10)*($G$10-$F$10))))</f>
        <v>1</v>
      </c>
      <c r="G938" s="38" t="n">
        <f aca="false">IF($G$11=$E$11,$F$11,IF(U938&lt;($F$11-$E$11)/($G$11-$E$11),$E$11+SQRT(U938*($G$11-$E$11)*($F$11-$E$11)),$G$11-SQRT((1-U938)*($G$11-$E$11)*($G$11-$F$11))))</f>
        <v>0</v>
      </c>
      <c r="H938" s="39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0</v>
      </c>
      <c r="I938" s="39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0</v>
      </c>
      <c r="J938" s="39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0</v>
      </c>
      <c r="K938" s="39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0</v>
      </c>
      <c r="L938" s="39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0</v>
      </c>
      <c r="M938" s="39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0</v>
      </c>
      <c r="N938" s="39" t="str">
        <f aca="false">IF(COUNT('Business Case'!B11:G11)=0,"",H938+NPV(G938,I938:M938))</f>
        <v/>
      </c>
      <c r="P938" s="40" t="n">
        <f aca="true">RAND()</f>
        <v>0.735821181342063</v>
      </c>
      <c r="Q938" s="40" t="n">
        <f aca="true">RAND()</f>
        <v>0.873675756593595</v>
      </c>
      <c r="R938" s="40" t="n">
        <f aca="true">RAND()</f>
        <v>0.66699546073235</v>
      </c>
      <c r="S938" s="40" t="n">
        <f aca="true">RAND()</f>
        <v>0.97244336524016</v>
      </c>
      <c r="T938" s="40" t="n">
        <f aca="true">RAND()</f>
        <v>0.878986258481385</v>
      </c>
      <c r="U938" s="40" t="n">
        <f aca="true">RAND()</f>
        <v>0.639063807089424</v>
      </c>
    </row>
    <row r="939" customFormat="false" ht="15" hidden="false" customHeight="false" outlineLevel="0" collapsed="false">
      <c r="A939" s="36" t="n">
        <v>859</v>
      </c>
      <c r="B939" s="37" t="n">
        <f aca="false">1+IF($G$6=$E$6,$F$6,IF(P939&lt;($F$6-$E$6)/($G$6-$E$6),$E$6+SQRT(P939*($G$6-$E$6)*($F$6-$E$6)),$G$6-SQRT((1-P939)*($G$6-$E$6)*($G$6-$F$6))))</f>
        <v>1</v>
      </c>
      <c r="C939" s="37" t="n">
        <f aca="false">1+IF($G$7=$E$7,$F$7,IF(Q939&lt;($F$7-$E$7)/($G$7-$E$7),$E$7+SQRT(Q939*($G$7-$E$7)*($F$7-$E$7)),$G$7-SQRT((1-Q939)*($G$7-$E$7)*($G$7-$F$7))))</f>
        <v>1</v>
      </c>
      <c r="D939" s="37" t="n">
        <f aca="false">1+IF($G$8=$E$8,$F$8,IF(R939&lt;($F$8-$E$8)/($G$8-$E$8),$E$8+SQRT(R939*($G$8-$E$8)*($F$8-$E$8)),$G$8-SQRT((1-R939)*($G$8-$E$8)*($G$8-$F$8))))</f>
        <v>1</v>
      </c>
      <c r="E939" s="37" t="n">
        <f aca="false">1+IF($G$9=$E$9,$F$9,IF(S939&lt;($F$9-$E$9)/($G$9-$E$9),$E$9+SQRT(S939*($G$9-$E$9)*($F$9-$E$9)),$G$9-SQRT((1-S939)*($G$9-$E$9)*($G$9-$F$9))))</f>
        <v>1</v>
      </c>
      <c r="F939" s="37" t="n">
        <f aca="false">1+IF($G$10=$E$10,$F$10,IF(T939&lt;($F$10-$E$10)/($G$10-$E$10),$E$10+SQRT(T939*($G$10-$E$10)*($F$10-$E$10)),$G$10-SQRT((1-T939)*($G$10-$E$10)*($G$10-$F$10))))</f>
        <v>1</v>
      </c>
      <c r="G939" s="38" t="n">
        <f aca="false">IF($G$11=$E$11,$F$11,IF(U939&lt;($F$11-$E$11)/($G$11-$E$11),$E$11+SQRT(U939*($G$11-$E$11)*($F$11-$E$11)),$G$11-SQRT((1-U939)*($G$11-$E$11)*($G$11-$F$11))))</f>
        <v>0</v>
      </c>
      <c r="H939" s="39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0</v>
      </c>
      <c r="I939" s="39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0</v>
      </c>
      <c r="J939" s="39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0</v>
      </c>
      <c r="K939" s="39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0</v>
      </c>
      <c r="L939" s="39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0</v>
      </c>
      <c r="M939" s="39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0</v>
      </c>
      <c r="N939" s="39" t="str">
        <f aca="false">IF(COUNT('Business Case'!B11:G11)=0,"",H939+NPV(G939,I939:M939))</f>
        <v/>
      </c>
      <c r="P939" s="40" t="n">
        <f aca="true">RAND()</f>
        <v>0.441588245431795</v>
      </c>
      <c r="Q939" s="40" t="n">
        <f aca="true">RAND()</f>
        <v>0.970008150593657</v>
      </c>
      <c r="R939" s="40" t="n">
        <f aca="true">RAND()</f>
        <v>0.0273335218475214</v>
      </c>
      <c r="S939" s="40" t="n">
        <f aca="true">RAND()</f>
        <v>0.987039219319552</v>
      </c>
      <c r="T939" s="40" t="n">
        <f aca="true">RAND()</f>
        <v>0.399946047873928</v>
      </c>
      <c r="U939" s="40" t="n">
        <f aca="true">RAND()</f>
        <v>0.880229200763452</v>
      </c>
    </row>
    <row r="940" customFormat="false" ht="15" hidden="false" customHeight="false" outlineLevel="0" collapsed="false">
      <c r="A940" s="36" t="n">
        <v>860</v>
      </c>
      <c r="B940" s="37" t="n">
        <f aca="false">1+IF($G$6=$E$6,$F$6,IF(P940&lt;($F$6-$E$6)/($G$6-$E$6),$E$6+SQRT(P940*($G$6-$E$6)*($F$6-$E$6)),$G$6-SQRT((1-P940)*($G$6-$E$6)*($G$6-$F$6))))</f>
        <v>1</v>
      </c>
      <c r="C940" s="37" t="n">
        <f aca="false">1+IF($G$7=$E$7,$F$7,IF(Q940&lt;($F$7-$E$7)/($G$7-$E$7),$E$7+SQRT(Q940*($G$7-$E$7)*($F$7-$E$7)),$G$7-SQRT((1-Q940)*($G$7-$E$7)*($G$7-$F$7))))</f>
        <v>1</v>
      </c>
      <c r="D940" s="37" t="n">
        <f aca="false">1+IF($G$8=$E$8,$F$8,IF(R940&lt;($F$8-$E$8)/($G$8-$E$8),$E$8+SQRT(R940*($G$8-$E$8)*($F$8-$E$8)),$G$8-SQRT((1-R940)*($G$8-$E$8)*($G$8-$F$8))))</f>
        <v>1</v>
      </c>
      <c r="E940" s="37" t="n">
        <f aca="false">1+IF($G$9=$E$9,$F$9,IF(S940&lt;($F$9-$E$9)/($G$9-$E$9),$E$9+SQRT(S940*($G$9-$E$9)*($F$9-$E$9)),$G$9-SQRT((1-S940)*($G$9-$E$9)*($G$9-$F$9))))</f>
        <v>1</v>
      </c>
      <c r="F940" s="37" t="n">
        <f aca="false">1+IF($G$10=$E$10,$F$10,IF(T940&lt;($F$10-$E$10)/($G$10-$E$10),$E$10+SQRT(T940*($G$10-$E$10)*($F$10-$E$10)),$G$10-SQRT((1-T940)*($G$10-$E$10)*($G$10-$F$10))))</f>
        <v>1</v>
      </c>
      <c r="G940" s="38" t="n">
        <f aca="false">IF($G$11=$E$11,$F$11,IF(U940&lt;($F$11-$E$11)/($G$11-$E$11),$E$11+SQRT(U940*($G$11-$E$11)*($F$11-$E$11)),$G$11-SQRT((1-U940)*($G$11-$E$11)*($G$11-$F$11))))</f>
        <v>0</v>
      </c>
      <c r="H940" s="39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0</v>
      </c>
      <c r="I940" s="39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0</v>
      </c>
      <c r="J940" s="39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0</v>
      </c>
      <c r="K940" s="39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0</v>
      </c>
      <c r="L940" s="39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0</v>
      </c>
      <c r="M940" s="39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0</v>
      </c>
      <c r="N940" s="39" t="str">
        <f aca="false">IF(COUNT('Business Case'!B11:G11)=0,"",H940+NPV(G940,I940:M940))</f>
        <v/>
      </c>
      <c r="P940" s="40" t="n">
        <f aca="true">RAND()</f>
        <v>0.977588617494576</v>
      </c>
      <c r="Q940" s="40" t="n">
        <f aca="true">RAND()</f>
        <v>0.17121298440368</v>
      </c>
      <c r="R940" s="40" t="n">
        <f aca="true">RAND()</f>
        <v>0.154867795913554</v>
      </c>
      <c r="S940" s="40" t="n">
        <f aca="true">RAND()</f>
        <v>0.0924204426314711</v>
      </c>
      <c r="T940" s="40" t="n">
        <f aca="true">RAND()</f>
        <v>0.587677562906126</v>
      </c>
      <c r="U940" s="40" t="n">
        <f aca="true">RAND()</f>
        <v>0.706185026915709</v>
      </c>
    </row>
    <row r="941" customFormat="false" ht="15" hidden="false" customHeight="false" outlineLevel="0" collapsed="false">
      <c r="A941" s="36" t="n">
        <v>861</v>
      </c>
      <c r="B941" s="37" t="n">
        <f aca="false">1+IF($G$6=$E$6,$F$6,IF(P941&lt;($F$6-$E$6)/($G$6-$E$6),$E$6+SQRT(P941*($G$6-$E$6)*($F$6-$E$6)),$G$6-SQRT((1-P941)*($G$6-$E$6)*($G$6-$F$6))))</f>
        <v>1</v>
      </c>
      <c r="C941" s="37" t="n">
        <f aca="false">1+IF($G$7=$E$7,$F$7,IF(Q941&lt;($F$7-$E$7)/($G$7-$E$7),$E$7+SQRT(Q941*($G$7-$E$7)*($F$7-$E$7)),$G$7-SQRT((1-Q941)*($G$7-$E$7)*($G$7-$F$7))))</f>
        <v>1</v>
      </c>
      <c r="D941" s="37" t="n">
        <f aca="false">1+IF($G$8=$E$8,$F$8,IF(R941&lt;($F$8-$E$8)/($G$8-$E$8),$E$8+SQRT(R941*($G$8-$E$8)*($F$8-$E$8)),$G$8-SQRT((1-R941)*($G$8-$E$8)*($G$8-$F$8))))</f>
        <v>1</v>
      </c>
      <c r="E941" s="37" t="n">
        <f aca="false">1+IF($G$9=$E$9,$F$9,IF(S941&lt;($F$9-$E$9)/($G$9-$E$9),$E$9+SQRT(S941*($G$9-$E$9)*($F$9-$E$9)),$G$9-SQRT((1-S941)*($G$9-$E$9)*($G$9-$F$9))))</f>
        <v>1</v>
      </c>
      <c r="F941" s="37" t="n">
        <f aca="false">1+IF($G$10=$E$10,$F$10,IF(T941&lt;($F$10-$E$10)/($G$10-$E$10),$E$10+SQRT(T941*($G$10-$E$10)*($F$10-$E$10)),$G$10-SQRT((1-T941)*($G$10-$E$10)*($G$10-$F$10))))</f>
        <v>1</v>
      </c>
      <c r="G941" s="38" t="n">
        <f aca="false">IF($G$11=$E$11,$F$11,IF(U941&lt;($F$11-$E$11)/($G$11-$E$11),$E$11+SQRT(U941*($G$11-$E$11)*($F$11-$E$11)),$G$11-SQRT((1-U941)*($G$11-$E$11)*($G$11-$F$11))))</f>
        <v>0</v>
      </c>
      <c r="H941" s="39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0</v>
      </c>
      <c r="I941" s="39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0</v>
      </c>
      <c r="J941" s="39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0</v>
      </c>
      <c r="K941" s="39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0</v>
      </c>
      <c r="L941" s="39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0</v>
      </c>
      <c r="M941" s="39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0</v>
      </c>
      <c r="N941" s="39" t="str">
        <f aca="false">IF(COUNT('Business Case'!B11:G11)=0,"",H941+NPV(G941,I941:M941))</f>
        <v/>
      </c>
      <c r="P941" s="40" t="n">
        <f aca="true">RAND()</f>
        <v>0.0658560909940537</v>
      </c>
      <c r="Q941" s="40" t="n">
        <f aca="true">RAND()</f>
        <v>0.867508384067093</v>
      </c>
      <c r="R941" s="40" t="n">
        <f aca="true">RAND()</f>
        <v>0.307969714371456</v>
      </c>
      <c r="S941" s="40" t="n">
        <f aca="true">RAND()</f>
        <v>0.845771556271103</v>
      </c>
      <c r="T941" s="40" t="n">
        <f aca="true">RAND()</f>
        <v>0.697545690790267</v>
      </c>
      <c r="U941" s="40" t="n">
        <f aca="true">RAND()</f>
        <v>0.33680526984034</v>
      </c>
    </row>
    <row r="942" customFormat="false" ht="15" hidden="false" customHeight="false" outlineLevel="0" collapsed="false">
      <c r="A942" s="36" t="n">
        <v>862</v>
      </c>
      <c r="B942" s="37" t="n">
        <f aca="false">1+IF($G$6=$E$6,$F$6,IF(P942&lt;($F$6-$E$6)/($G$6-$E$6),$E$6+SQRT(P942*($G$6-$E$6)*($F$6-$E$6)),$G$6-SQRT((1-P942)*($G$6-$E$6)*($G$6-$F$6))))</f>
        <v>1</v>
      </c>
      <c r="C942" s="37" t="n">
        <f aca="false">1+IF($G$7=$E$7,$F$7,IF(Q942&lt;($F$7-$E$7)/($G$7-$E$7),$E$7+SQRT(Q942*($G$7-$E$7)*($F$7-$E$7)),$G$7-SQRT((1-Q942)*($G$7-$E$7)*($G$7-$F$7))))</f>
        <v>1</v>
      </c>
      <c r="D942" s="37" t="n">
        <f aca="false">1+IF($G$8=$E$8,$F$8,IF(R942&lt;($F$8-$E$8)/($G$8-$E$8),$E$8+SQRT(R942*($G$8-$E$8)*($F$8-$E$8)),$G$8-SQRT((1-R942)*($G$8-$E$8)*($G$8-$F$8))))</f>
        <v>1</v>
      </c>
      <c r="E942" s="37" t="n">
        <f aca="false">1+IF($G$9=$E$9,$F$9,IF(S942&lt;($F$9-$E$9)/($G$9-$E$9),$E$9+SQRT(S942*($G$9-$E$9)*($F$9-$E$9)),$G$9-SQRT((1-S942)*($G$9-$E$9)*($G$9-$F$9))))</f>
        <v>1</v>
      </c>
      <c r="F942" s="37" t="n">
        <f aca="false">1+IF($G$10=$E$10,$F$10,IF(T942&lt;($F$10-$E$10)/($G$10-$E$10),$E$10+SQRT(T942*($G$10-$E$10)*($F$10-$E$10)),$G$10-SQRT((1-T942)*($G$10-$E$10)*($G$10-$F$10))))</f>
        <v>1</v>
      </c>
      <c r="G942" s="38" t="n">
        <f aca="false">IF($G$11=$E$11,$F$11,IF(U942&lt;($F$11-$E$11)/($G$11-$E$11),$E$11+SQRT(U942*($G$11-$E$11)*($F$11-$E$11)),$G$11-SQRT((1-U942)*($G$11-$E$11)*($G$11-$F$11))))</f>
        <v>0</v>
      </c>
      <c r="H942" s="39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0</v>
      </c>
      <c r="I942" s="39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0</v>
      </c>
      <c r="J942" s="39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0</v>
      </c>
      <c r="K942" s="39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0</v>
      </c>
      <c r="L942" s="39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0</v>
      </c>
      <c r="M942" s="39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0</v>
      </c>
      <c r="N942" s="39" t="str">
        <f aca="false">IF(COUNT('Business Case'!B11:G11)=0,"",H942+NPV(G942,I942:M942))</f>
        <v/>
      </c>
      <c r="P942" s="40" t="n">
        <f aca="true">RAND()</f>
        <v>0.876246986002637</v>
      </c>
      <c r="Q942" s="40" t="n">
        <f aca="true">RAND()</f>
        <v>0.445774229770136</v>
      </c>
      <c r="R942" s="40" t="n">
        <f aca="true">RAND()</f>
        <v>0.282527557010837</v>
      </c>
      <c r="S942" s="40" t="n">
        <f aca="true">RAND()</f>
        <v>0.949094339512891</v>
      </c>
      <c r="T942" s="40" t="n">
        <f aca="true">RAND()</f>
        <v>0.468209525421135</v>
      </c>
      <c r="U942" s="40" t="n">
        <f aca="true">RAND()</f>
        <v>0.792725501677803</v>
      </c>
    </row>
    <row r="943" customFormat="false" ht="15" hidden="false" customHeight="false" outlineLevel="0" collapsed="false">
      <c r="A943" s="36" t="n">
        <v>863</v>
      </c>
      <c r="B943" s="37" t="n">
        <f aca="false">1+IF($G$6=$E$6,$F$6,IF(P943&lt;($F$6-$E$6)/($G$6-$E$6),$E$6+SQRT(P943*($G$6-$E$6)*($F$6-$E$6)),$G$6-SQRT((1-P943)*($G$6-$E$6)*($G$6-$F$6))))</f>
        <v>1</v>
      </c>
      <c r="C943" s="37" t="n">
        <f aca="false">1+IF($G$7=$E$7,$F$7,IF(Q943&lt;($F$7-$E$7)/($G$7-$E$7),$E$7+SQRT(Q943*($G$7-$E$7)*($F$7-$E$7)),$G$7-SQRT((1-Q943)*($G$7-$E$7)*($G$7-$F$7))))</f>
        <v>1</v>
      </c>
      <c r="D943" s="37" t="n">
        <f aca="false">1+IF($G$8=$E$8,$F$8,IF(R943&lt;($F$8-$E$8)/($G$8-$E$8),$E$8+SQRT(R943*($G$8-$E$8)*($F$8-$E$8)),$G$8-SQRT((1-R943)*($G$8-$E$8)*($G$8-$F$8))))</f>
        <v>1</v>
      </c>
      <c r="E943" s="37" t="n">
        <f aca="false">1+IF($G$9=$E$9,$F$9,IF(S943&lt;($F$9-$E$9)/($G$9-$E$9),$E$9+SQRT(S943*($G$9-$E$9)*($F$9-$E$9)),$G$9-SQRT((1-S943)*($G$9-$E$9)*($G$9-$F$9))))</f>
        <v>1</v>
      </c>
      <c r="F943" s="37" t="n">
        <f aca="false">1+IF($G$10=$E$10,$F$10,IF(T943&lt;($F$10-$E$10)/($G$10-$E$10),$E$10+SQRT(T943*($G$10-$E$10)*($F$10-$E$10)),$G$10-SQRT((1-T943)*($G$10-$E$10)*($G$10-$F$10))))</f>
        <v>1</v>
      </c>
      <c r="G943" s="38" t="n">
        <f aca="false">IF($G$11=$E$11,$F$11,IF(U943&lt;($F$11-$E$11)/($G$11-$E$11),$E$11+SQRT(U943*($G$11-$E$11)*($F$11-$E$11)),$G$11-SQRT((1-U943)*($G$11-$E$11)*($G$11-$F$11))))</f>
        <v>0</v>
      </c>
      <c r="H943" s="39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0</v>
      </c>
      <c r="I943" s="39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0</v>
      </c>
      <c r="J943" s="39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0</v>
      </c>
      <c r="K943" s="39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0</v>
      </c>
      <c r="L943" s="39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0</v>
      </c>
      <c r="M943" s="39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0</v>
      </c>
      <c r="N943" s="39" t="str">
        <f aca="false">IF(COUNT('Business Case'!B11:G11)=0,"",H943+NPV(G943,I943:M943))</f>
        <v/>
      </c>
      <c r="P943" s="40" t="n">
        <f aca="true">RAND()</f>
        <v>0.00913563054907566</v>
      </c>
      <c r="Q943" s="40" t="n">
        <f aca="true">RAND()</f>
        <v>0.430796987939858</v>
      </c>
      <c r="R943" s="40" t="n">
        <f aca="true">RAND()</f>
        <v>0.31779233270495</v>
      </c>
      <c r="S943" s="40" t="n">
        <f aca="true">RAND()</f>
        <v>0.282881243796613</v>
      </c>
      <c r="T943" s="40" t="n">
        <f aca="true">RAND()</f>
        <v>0.188787858232431</v>
      </c>
      <c r="U943" s="40" t="n">
        <f aca="true">RAND()</f>
        <v>0.106714034356849</v>
      </c>
    </row>
    <row r="944" customFormat="false" ht="15" hidden="false" customHeight="false" outlineLevel="0" collapsed="false">
      <c r="A944" s="36" t="n">
        <v>864</v>
      </c>
      <c r="B944" s="37" t="n">
        <f aca="false">1+IF($G$6=$E$6,$F$6,IF(P944&lt;($F$6-$E$6)/($G$6-$E$6),$E$6+SQRT(P944*($G$6-$E$6)*($F$6-$E$6)),$G$6-SQRT((1-P944)*($G$6-$E$6)*($G$6-$F$6))))</f>
        <v>1</v>
      </c>
      <c r="C944" s="37" t="n">
        <f aca="false">1+IF($G$7=$E$7,$F$7,IF(Q944&lt;($F$7-$E$7)/($G$7-$E$7),$E$7+SQRT(Q944*($G$7-$E$7)*($F$7-$E$7)),$G$7-SQRT((1-Q944)*($G$7-$E$7)*($G$7-$F$7))))</f>
        <v>1</v>
      </c>
      <c r="D944" s="37" t="n">
        <f aca="false">1+IF($G$8=$E$8,$F$8,IF(R944&lt;($F$8-$E$8)/($G$8-$E$8),$E$8+SQRT(R944*($G$8-$E$8)*($F$8-$E$8)),$G$8-SQRT((1-R944)*($G$8-$E$8)*($G$8-$F$8))))</f>
        <v>1</v>
      </c>
      <c r="E944" s="37" t="n">
        <f aca="false">1+IF($G$9=$E$9,$F$9,IF(S944&lt;($F$9-$E$9)/($G$9-$E$9),$E$9+SQRT(S944*($G$9-$E$9)*($F$9-$E$9)),$G$9-SQRT((1-S944)*($G$9-$E$9)*($G$9-$F$9))))</f>
        <v>1</v>
      </c>
      <c r="F944" s="37" t="n">
        <f aca="false">1+IF($G$10=$E$10,$F$10,IF(T944&lt;($F$10-$E$10)/($G$10-$E$10),$E$10+SQRT(T944*($G$10-$E$10)*($F$10-$E$10)),$G$10-SQRT((1-T944)*($G$10-$E$10)*($G$10-$F$10))))</f>
        <v>1</v>
      </c>
      <c r="G944" s="38" t="n">
        <f aca="false">IF($G$11=$E$11,$F$11,IF(U944&lt;($F$11-$E$11)/($G$11-$E$11),$E$11+SQRT(U944*($G$11-$E$11)*($F$11-$E$11)),$G$11-SQRT((1-U944)*($G$11-$E$11)*($G$11-$F$11))))</f>
        <v>0</v>
      </c>
      <c r="H944" s="39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0</v>
      </c>
      <c r="I944" s="39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0</v>
      </c>
      <c r="J944" s="39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0</v>
      </c>
      <c r="K944" s="39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0</v>
      </c>
      <c r="L944" s="39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0</v>
      </c>
      <c r="M944" s="39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0</v>
      </c>
      <c r="N944" s="39" t="str">
        <f aca="false">IF(COUNT('Business Case'!B11:G11)=0,"",H944+NPV(G944,I944:M944))</f>
        <v/>
      </c>
      <c r="P944" s="40" t="n">
        <f aca="true">RAND()</f>
        <v>0.976754201522668</v>
      </c>
      <c r="Q944" s="40" t="n">
        <f aca="true">RAND()</f>
        <v>0.744772224836687</v>
      </c>
      <c r="R944" s="40" t="n">
        <f aca="true">RAND()</f>
        <v>0.580737127175707</v>
      </c>
      <c r="S944" s="40" t="n">
        <f aca="true">RAND()</f>
        <v>0.163003074988387</v>
      </c>
      <c r="T944" s="40" t="n">
        <f aca="true">RAND()</f>
        <v>0.394212369461615</v>
      </c>
      <c r="U944" s="40" t="n">
        <f aca="true">RAND()</f>
        <v>0.903973145674661</v>
      </c>
    </row>
    <row r="945" customFormat="false" ht="15" hidden="false" customHeight="false" outlineLevel="0" collapsed="false">
      <c r="A945" s="36" t="n">
        <v>865</v>
      </c>
      <c r="B945" s="37" t="n">
        <f aca="false">1+IF($G$6=$E$6,$F$6,IF(P945&lt;($F$6-$E$6)/($G$6-$E$6),$E$6+SQRT(P945*($G$6-$E$6)*($F$6-$E$6)),$G$6-SQRT((1-P945)*($G$6-$E$6)*($G$6-$F$6))))</f>
        <v>1</v>
      </c>
      <c r="C945" s="37" t="n">
        <f aca="false">1+IF($G$7=$E$7,$F$7,IF(Q945&lt;($F$7-$E$7)/($G$7-$E$7),$E$7+SQRT(Q945*($G$7-$E$7)*($F$7-$E$7)),$G$7-SQRT((1-Q945)*($G$7-$E$7)*($G$7-$F$7))))</f>
        <v>1</v>
      </c>
      <c r="D945" s="37" t="n">
        <f aca="false">1+IF($G$8=$E$8,$F$8,IF(R945&lt;($F$8-$E$8)/($G$8-$E$8),$E$8+SQRT(R945*($G$8-$E$8)*($F$8-$E$8)),$G$8-SQRT((1-R945)*($G$8-$E$8)*($G$8-$F$8))))</f>
        <v>1</v>
      </c>
      <c r="E945" s="37" t="n">
        <f aca="false">1+IF($G$9=$E$9,$F$9,IF(S945&lt;($F$9-$E$9)/($G$9-$E$9),$E$9+SQRT(S945*($G$9-$E$9)*($F$9-$E$9)),$G$9-SQRT((1-S945)*($G$9-$E$9)*($G$9-$F$9))))</f>
        <v>1</v>
      </c>
      <c r="F945" s="37" t="n">
        <f aca="false">1+IF($G$10=$E$10,$F$10,IF(T945&lt;($F$10-$E$10)/($G$10-$E$10),$E$10+SQRT(T945*($G$10-$E$10)*($F$10-$E$10)),$G$10-SQRT((1-T945)*($G$10-$E$10)*($G$10-$F$10))))</f>
        <v>1</v>
      </c>
      <c r="G945" s="38" t="n">
        <f aca="false">IF($G$11=$E$11,$F$11,IF(U945&lt;($F$11-$E$11)/($G$11-$E$11),$E$11+SQRT(U945*($G$11-$E$11)*($F$11-$E$11)),$G$11-SQRT((1-U945)*($G$11-$E$11)*($G$11-$F$11))))</f>
        <v>0</v>
      </c>
      <c r="H945" s="39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0</v>
      </c>
      <c r="I945" s="39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0</v>
      </c>
      <c r="J945" s="39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0</v>
      </c>
      <c r="K945" s="39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0</v>
      </c>
      <c r="L945" s="39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0</v>
      </c>
      <c r="M945" s="39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0</v>
      </c>
      <c r="N945" s="39" t="str">
        <f aca="false">IF(COUNT('Business Case'!B11:G11)=0,"",H945+NPV(G945,I945:M945))</f>
        <v/>
      </c>
      <c r="P945" s="40" t="n">
        <f aca="true">RAND()</f>
        <v>0.61421051586951</v>
      </c>
      <c r="Q945" s="40" t="n">
        <f aca="true">RAND()</f>
        <v>0.702946341888549</v>
      </c>
      <c r="R945" s="40" t="n">
        <f aca="true">RAND()</f>
        <v>0.848845401600606</v>
      </c>
      <c r="S945" s="40" t="n">
        <f aca="true">RAND()</f>
        <v>0.988333133797319</v>
      </c>
      <c r="T945" s="40" t="n">
        <f aca="true">RAND()</f>
        <v>0.776115092272206</v>
      </c>
      <c r="U945" s="40" t="n">
        <f aca="true">RAND()</f>
        <v>0.10040845622345</v>
      </c>
    </row>
    <row r="946" customFormat="false" ht="15" hidden="false" customHeight="false" outlineLevel="0" collapsed="false">
      <c r="A946" s="36" t="n">
        <v>866</v>
      </c>
      <c r="B946" s="37" t="n">
        <f aca="false">1+IF($G$6=$E$6,$F$6,IF(P946&lt;($F$6-$E$6)/($G$6-$E$6),$E$6+SQRT(P946*($G$6-$E$6)*($F$6-$E$6)),$G$6-SQRT((1-P946)*($G$6-$E$6)*($G$6-$F$6))))</f>
        <v>1</v>
      </c>
      <c r="C946" s="37" t="n">
        <f aca="false">1+IF($G$7=$E$7,$F$7,IF(Q946&lt;($F$7-$E$7)/($G$7-$E$7),$E$7+SQRT(Q946*($G$7-$E$7)*($F$7-$E$7)),$G$7-SQRT((1-Q946)*($G$7-$E$7)*($G$7-$F$7))))</f>
        <v>1</v>
      </c>
      <c r="D946" s="37" t="n">
        <f aca="false">1+IF($G$8=$E$8,$F$8,IF(R946&lt;($F$8-$E$8)/($G$8-$E$8),$E$8+SQRT(R946*($G$8-$E$8)*($F$8-$E$8)),$G$8-SQRT((1-R946)*($G$8-$E$8)*($G$8-$F$8))))</f>
        <v>1</v>
      </c>
      <c r="E946" s="37" t="n">
        <f aca="false">1+IF($G$9=$E$9,$F$9,IF(S946&lt;($F$9-$E$9)/($G$9-$E$9),$E$9+SQRT(S946*($G$9-$E$9)*($F$9-$E$9)),$G$9-SQRT((1-S946)*($G$9-$E$9)*($G$9-$F$9))))</f>
        <v>1</v>
      </c>
      <c r="F946" s="37" t="n">
        <f aca="false">1+IF($G$10=$E$10,$F$10,IF(T946&lt;($F$10-$E$10)/($G$10-$E$10),$E$10+SQRT(T946*($G$10-$E$10)*($F$10-$E$10)),$G$10-SQRT((1-T946)*($G$10-$E$10)*($G$10-$F$10))))</f>
        <v>1</v>
      </c>
      <c r="G946" s="38" t="n">
        <f aca="false">IF($G$11=$E$11,$F$11,IF(U946&lt;($F$11-$E$11)/($G$11-$E$11),$E$11+SQRT(U946*($G$11-$E$11)*($F$11-$E$11)),$G$11-SQRT((1-U946)*($G$11-$E$11)*($G$11-$F$11))))</f>
        <v>0</v>
      </c>
      <c r="H946" s="39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0</v>
      </c>
      <c r="I946" s="39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0</v>
      </c>
      <c r="J946" s="39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0</v>
      </c>
      <c r="K946" s="39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0</v>
      </c>
      <c r="L946" s="39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0</v>
      </c>
      <c r="M946" s="39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0</v>
      </c>
      <c r="N946" s="39" t="str">
        <f aca="false">IF(COUNT('Business Case'!B11:G11)=0,"",H946+NPV(G946,I946:M946))</f>
        <v/>
      </c>
      <c r="P946" s="40" t="n">
        <f aca="true">RAND()</f>
        <v>0.48690821436575</v>
      </c>
      <c r="Q946" s="40" t="n">
        <f aca="true">RAND()</f>
        <v>0.68072177250538</v>
      </c>
      <c r="R946" s="40" t="n">
        <f aca="true">RAND()</f>
        <v>0.88996008789868</v>
      </c>
      <c r="S946" s="40" t="n">
        <f aca="true">RAND()</f>
        <v>0.727445553753247</v>
      </c>
      <c r="T946" s="40" t="n">
        <f aca="true">RAND()</f>
        <v>0.740822395726057</v>
      </c>
      <c r="U946" s="40" t="n">
        <f aca="true">RAND()</f>
        <v>0.443861421737559</v>
      </c>
    </row>
    <row r="947" customFormat="false" ht="15" hidden="false" customHeight="false" outlineLevel="0" collapsed="false">
      <c r="A947" s="36" t="n">
        <v>867</v>
      </c>
      <c r="B947" s="37" t="n">
        <f aca="false">1+IF($G$6=$E$6,$F$6,IF(P947&lt;($F$6-$E$6)/($G$6-$E$6),$E$6+SQRT(P947*($G$6-$E$6)*($F$6-$E$6)),$G$6-SQRT((1-P947)*($G$6-$E$6)*($G$6-$F$6))))</f>
        <v>1</v>
      </c>
      <c r="C947" s="37" t="n">
        <f aca="false">1+IF($G$7=$E$7,$F$7,IF(Q947&lt;($F$7-$E$7)/($G$7-$E$7),$E$7+SQRT(Q947*($G$7-$E$7)*($F$7-$E$7)),$G$7-SQRT((1-Q947)*($G$7-$E$7)*($G$7-$F$7))))</f>
        <v>1</v>
      </c>
      <c r="D947" s="37" t="n">
        <f aca="false">1+IF($G$8=$E$8,$F$8,IF(R947&lt;($F$8-$E$8)/($G$8-$E$8),$E$8+SQRT(R947*($G$8-$E$8)*($F$8-$E$8)),$G$8-SQRT((1-R947)*($G$8-$E$8)*($G$8-$F$8))))</f>
        <v>1</v>
      </c>
      <c r="E947" s="37" t="n">
        <f aca="false">1+IF($G$9=$E$9,$F$9,IF(S947&lt;($F$9-$E$9)/($G$9-$E$9),$E$9+SQRT(S947*($G$9-$E$9)*($F$9-$E$9)),$G$9-SQRT((1-S947)*($G$9-$E$9)*($G$9-$F$9))))</f>
        <v>1</v>
      </c>
      <c r="F947" s="37" t="n">
        <f aca="false">1+IF($G$10=$E$10,$F$10,IF(T947&lt;($F$10-$E$10)/($G$10-$E$10),$E$10+SQRT(T947*($G$10-$E$10)*($F$10-$E$10)),$G$10-SQRT((1-T947)*($G$10-$E$10)*($G$10-$F$10))))</f>
        <v>1</v>
      </c>
      <c r="G947" s="38" t="n">
        <f aca="false">IF($G$11=$E$11,$F$11,IF(U947&lt;($F$11-$E$11)/($G$11-$E$11),$E$11+SQRT(U947*($G$11-$E$11)*($F$11-$E$11)),$G$11-SQRT((1-U947)*($G$11-$E$11)*($G$11-$F$11))))</f>
        <v>0</v>
      </c>
      <c r="H947" s="39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0</v>
      </c>
      <c r="I947" s="39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0</v>
      </c>
      <c r="J947" s="39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0</v>
      </c>
      <c r="K947" s="39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0</v>
      </c>
      <c r="L947" s="39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0</v>
      </c>
      <c r="M947" s="39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0</v>
      </c>
      <c r="N947" s="39" t="str">
        <f aca="false">IF(COUNT('Business Case'!B11:G11)=0,"",H947+NPV(G947,I947:M947))</f>
        <v/>
      </c>
      <c r="P947" s="40" t="n">
        <f aca="true">RAND()</f>
        <v>0.938522162968067</v>
      </c>
      <c r="Q947" s="40" t="n">
        <f aca="true">RAND()</f>
        <v>0.679068987225952</v>
      </c>
      <c r="R947" s="40" t="n">
        <f aca="true">RAND()</f>
        <v>0.383960879187599</v>
      </c>
      <c r="S947" s="40" t="n">
        <f aca="true">RAND()</f>
        <v>0.500540383975669</v>
      </c>
      <c r="T947" s="40" t="n">
        <f aca="true">RAND()</f>
        <v>0.770235350926032</v>
      </c>
      <c r="U947" s="40" t="n">
        <f aca="true">RAND()</f>
        <v>0.889384341438143</v>
      </c>
    </row>
    <row r="948" customFormat="false" ht="15" hidden="false" customHeight="false" outlineLevel="0" collapsed="false">
      <c r="A948" s="36" t="n">
        <v>868</v>
      </c>
      <c r="B948" s="37" t="n">
        <f aca="false">1+IF($G$6=$E$6,$F$6,IF(P948&lt;($F$6-$E$6)/($G$6-$E$6),$E$6+SQRT(P948*($G$6-$E$6)*($F$6-$E$6)),$G$6-SQRT((1-P948)*($G$6-$E$6)*($G$6-$F$6))))</f>
        <v>1</v>
      </c>
      <c r="C948" s="37" t="n">
        <f aca="false">1+IF($G$7=$E$7,$F$7,IF(Q948&lt;($F$7-$E$7)/($G$7-$E$7),$E$7+SQRT(Q948*($G$7-$E$7)*($F$7-$E$7)),$G$7-SQRT((1-Q948)*($G$7-$E$7)*($G$7-$F$7))))</f>
        <v>1</v>
      </c>
      <c r="D948" s="37" t="n">
        <f aca="false">1+IF($G$8=$E$8,$F$8,IF(R948&lt;($F$8-$E$8)/($G$8-$E$8),$E$8+SQRT(R948*($G$8-$E$8)*($F$8-$E$8)),$G$8-SQRT((1-R948)*($G$8-$E$8)*($G$8-$F$8))))</f>
        <v>1</v>
      </c>
      <c r="E948" s="37" t="n">
        <f aca="false">1+IF($G$9=$E$9,$F$9,IF(S948&lt;($F$9-$E$9)/($G$9-$E$9),$E$9+SQRT(S948*($G$9-$E$9)*($F$9-$E$9)),$G$9-SQRT((1-S948)*($G$9-$E$9)*($G$9-$F$9))))</f>
        <v>1</v>
      </c>
      <c r="F948" s="37" t="n">
        <f aca="false">1+IF($G$10=$E$10,$F$10,IF(T948&lt;($F$10-$E$10)/($G$10-$E$10),$E$10+SQRT(T948*($G$10-$E$10)*($F$10-$E$10)),$G$10-SQRT((1-T948)*($G$10-$E$10)*($G$10-$F$10))))</f>
        <v>1</v>
      </c>
      <c r="G948" s="38" t="n">
        <f aca="false">IF($G$11=$E$11,$F$11,IF(U948&lt;($F$11-$E$11)/($G$11-$E$11),$E$11+SQRT(U948*($G$11-$E$11)*($F$11-$E$11)),$G$11-SQRT((1-U948)*($G$11-$E$11)*($G$11-$F$11))))</f>
        <v>0</v>
      </c>
      <c r="H948" s="39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0</v>
      </c>
      <c r="I948" s="39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0</v>
      </c>
      <c r="J948" s="39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0</v>
      </c>
      <c r="K948" s="39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0</v>
      </c>
      <c r="L948" s="39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0</v>
      </c>
      <c r="M948" s="39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0</v>
      </c>
      <c r="N948" s="39" t="str">
        <f aca="false">IF(COUNT('Business Case'!B11:G11)=0,"",H948+NPV(G948,I948:M948))</f>
        <v/>
      </c>
      <c r="P948" s="40" t="n">
        <f aca="true">RAND()</f>
        <v>0.653235909234716</v>
      </c>
      <c r="Q948" s="40" t="n">
        <f aca="true">RAND()</f>
        <v>0.670183698827363</v>
      </c>
      <c r="R948" s="40" t="n">
        <f aca="true">RAND()</f>
        <v>0.385130717245525</v>
      </c>
      <c r="S948" s="40" t="n">
        <f aca="true">RAND()</f>
        <v>0.615002381777863</v>
      </c>
      <c r="T948" s="40" t="n">
        <f aca="true">RAND()</f>
        <v>0.494350531791382</v>
      </c>
      <c r="U948" s="40" t="n">
        <f aca="true">RAND()</f>
        <v>0.379861762662765</v>
      </c>
    </row>
    <row r="949" customFormat="false" ht="15" hidden="false" customHeight="false" outlineLevel="0" collapsed="false">
      <c r="A949" s="36" t="n">
        <v>869</v>
      </c>
      <c r="B949" s="37" t="n">
        <f aca="false">1+IF($G$6=$E$6,$F$6,IF(P949&lt;($F$6-$E$6)/($G$6-$E$6),$E$6+SQRT(P949*($G$6-$E$6)*($F$6-$E$6)),$G$6-SQRT((1-P949)*($G$6-$E$6)*($G$6-$F$6))))</f>
        <v>1</v>
      </c>
      <c r="C949" s="37" t="n">
        <f aca="false">1+IF($G$7=$E$7,$F$7,IF(Q949&lt;($F$7-$E$7)/($G$7-$E$7),$E$7+SQRT(Q949*($G$7-$E$7)*($F$7-$E$7)),$G$7-SQRT((1-Q949)*($G$7-$E$7)*($G$7-$F$7))))</f>
        <v>1</v>
      </c>
      <c r="D949" s="37" t="n">
        <f aca="false">1+IF($G$8=$E$8,$F$8,IF(R949&lt;($F$8-$E$8)/($G$8-$E$8),$E$8+SQRT(R949*($G$8-$E$8)*($F$8-$E$8)),$G$8-SQRT((1-R949)*($G$8-$E$8)*($G$8-$F$8))))</f>
        <v>1</v>
      </c>
      <c r="E949" s="37" t="n">
        <f aca="false">1+IF($G$9=$E$9,$F$9,IF(S949&lt;($F$9-$E$9)/($G$9-$E$9),$E$9+SQRT(S949*($G$9-$E$9)*($F$9-$E$9)),$G$9-SQRT((1-S949)*($G$9-$E$9)*($G$9-$F$9))))</f>
        <v>1</v>
      </c>
      <c r="F949" s="37" t="n">
        <f aca="false">1+IF($G$10=$E$10,$F$10,IF(T949&lt;($F$10-$E$10)/($G$10-$E$10),$E$10+SQRT(T949*($G$10-$E$10)*($F$10-$E$10)),$G$10-SQRT((1-T949)*($G$10-$E$10)*($G$10-$F$10))))</f>
        <v>1</v>
      </c>
      <c r="G949" s="38" t="n">
        <f aca="false">IF($G$11=$E$11,$F$11,IF(U949&lt;($F$11-$E$11)/($G$11-$E$11),$E$11+SQRT(U949*($G$11-$E$11)*($F$11-$E$11)),$G$11-SQRT((1-U949)*($G$11-$E$11)*($G$11-$F$11))))</f>
        <v>0</v>
      </c>
      <c r="H949" s="39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0</v>
      </c>
      <c r="I949" s="39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0</v>
      </c>
      <c r="J949" s="39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0</v>
      </c>
      <c r="K949" s="39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0</v>
      </c>
      <c r="L949" s="39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0</v>
      </c>
      <c r="M949" s="39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0</v>
      </c>
      <c r="N949" s="39" t="str">
        <f aca="false">IF(COUNT('Business Case'!B11:G11)=0,"",H949+NPV(G949,I949:M949))</f>
        <v/>
      </c>
      <c r="P949" s="40" t="n">
        <f aca="true">RAND()</f>
        <v>0.599848633085978</v>
      </c>
      <c r="Q949" s="40" t="n">
        <f aca="true">RAND()</f>
        <v>0.100078935810323</v>
      </c>
      <c r="R949" s="40" t="n">
        <f aca="true">RAND()</f>
        <v>0.458081936655065</v>
      </c>
      <c r="S949" s="40" t="n">
        <f aca="true">RAND()</f>
        <v>0.0466749851109786</v>
      </c>
      <c r="T949" s="40" t="n">
        <f aca="true">RAND()</f>
        <v>0.116406652653316</v>
      </c>
      <c r="U949" s="40" t="n">
        <f aca="true">RAND()</f>
        <v>0.428527980415011</v>
      </c>
    </row>
    <row r="950" customFormat="false" ht="15" hidden="false" customHeight="false" outlineLevel="0" collapsed="false">
      <c r="A950" s="36" t="n">
        <v>870</v>
      </c>
      <c r="B950" s="37" t="n">
        <f aca="false">1+IF($G$6=$E$6,$F$6,IF(P950&lt;($F$6-$E$6)/($G$6-$E$6),$E$6+SQRT(P950*($G$6-$E$6)*($F$6-$E$6)),$G$6-SQRT((1-P950)*($G$6-$E$6)*($G$6-$F$6))))</f>
        <v>1</v>
      </c>
      <c r="C950" s="37" t="n">
        <f aca="false">1+IF($G$7=$E$7,$F$7,IF(Q950&lt;($F$7-$E$7)/($G$7-$E$7),$E$7+SQRT(Q950*($G$7-$E$7)*($F$7-$E$7)),$G$7-SQRT((1-Q950)*($G$7-$E$7)*($G$7-$F$7))))</f>
        <v>1</v>
      </c>
      <c r="D950" s="37" t="n">
        <f aca="false">1+IF($G$8=$E$8,$F$8,IF(R950&lt;($F$8-$E$8)/($G$8-$E$8),$E$8+SQRT(R950*($G$8-$E$8)*($F$8-$E$8)),$G$8-SQRT((1-R950)*($G$8-$E$8)*($G$8-$F$8))))</f>
        <v>1</v>
      </c>
      <c r="E950" s="37" t="n">
        <f aca="false">1+IF($G$9=$E$9,$F$9,IF(S950&lt;($F$9-$E$9)/($G$9-$E$9),$E$9+SQRT(S950*($G$9-$E$9)*($F$9-$E$9)),$G$9-SQRT((1-S950)*($G$9-$E$9)*($G$9-$F$9))))</f>
        <v>1</v>
      </c>
      <c r="F950" s="37" t="n">
        <f aca="false">1+IF($G$10=$E$10,$F$10,IF(T950&lt;($F$10-$E$10)/($G$10-$E$10),$E$10+SQRT(T950*($G$10-$E$10)*($F$10-$E$10)),$G$10-SQRT((1-T950)*($G$10-$E$10)*($G$10-$F$10))))</f>
        <v>1</v>
      </c>
      <c r="G950" s="38" t="n">
        <f aca="false">IF($G$11=$E$11,$F$11,IF(U950&lt;($F$11-$E$11)/($G$11-$E$11),$E$11+SQRT(U950*($G$11-$E$11)*($F$11-$E$11)),$G$11-SQRT((1-U950)*($G$11-$E$11)*($G$11-$F$11))))</f>
        <v>0</v>
      </c>
      <c r="H950" s="39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0</v>
      </c>
      <c r="I950" s="39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0</v>
      </c>
      <c r="J950" s="39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0</v>
      </c>
      <c r="K950" s="39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0</v>
      </c>
      <c r="L950" s="39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0</v>
      </c>
      <c r="M950" s="39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0</v>
      </c>
      <c r="N950" s="39" t="str">
        <f aca="false">IF(COUNT('Business Case'!B11:G11)=0,"",H950+NPV(G950,I950:M950))</f>
        <v/>
      </c>
      <c r="P950" s="40" t="n">
        <f aca="true">RAND()</f>
        <v>0.957941449848184</v>
      </c>
      <c r="Q950" s="40" t="n">
        <f aca="true">RAND()</f>
        <v>0.470764873264883</v>
      </c>
      <c r="R950" s="40" t="n">
        <f aca="true">RAND()</f>
        <v>0.70133196859834</v>
      </c>
      <c r="S950" s="40" t="n">
        <f aca="true">RAND()</f>
        <v>0.143899297935581</v>
      </c>
      <c r="T950" s="40" t="n">
        <f aca="true">RAND()</f>
        <v>0.712794411344406</v>
      </c>
      <c r="U950" s="40" t="n">
        <f aca="true">RAND()</f>
        <v>0.866094683434341</v>
      </c>
    </row>
    <row r="951" customFormat="false" ht="15" hidden="false" customHeight="false" outlineLevel="0" collapsed="false">
      <c r="A951" s="36" t="n">
        <v>871</v>
      </c>
      <c r="B951" s="37" t="n">
        <f aca="false">1+IF($G$6=$E$6,$F$6,IF(P951&lt;($F$6-$E$6)/($G$6-$E$6),$E$6+SQRT(P951*($G$6-$E$6)*($F$6-$E$6)),$G$6-SQRT((1-P951)*($G$6-$E$6)*($G$6-$F$6))))</f>
        <v>1</v>
      </c>
      <c r="C951" s="37" t="n">
        <f aca="false">1+IF($G$7=$E$7,$F$7,IF(Q951&lt;($F$7-$E$7)/($G$7-$E$7),$E$7+SQRT(Q951*($G$7-$E$7)*($F$7-$E$7)),$G$7-SQRT((1-Q951)*($G$7-$E$7)*($G$7-$F$7))))</f>
        <v>1</v>
      </c>
      <c r="D951" s="37" t="n">
        <f aca="false">1+IF($G$8=$E$8,$F$8,IF(R951&lt;($F$8-$E$8)/($G$8-$E$8),$E$8+SQRT(R951*($G$8-$E$8)*($F$8-$E$8)),$G$8-SQRT((1-R951)*($G$8-$E$8)*($G$8-$F$8))))</f>
        <v>1</v>
      </c>
      <c r="E951" s="37" t="n">
        <f aca="false">1+IF($G$9=$E$9,$F$9,IF(S951&lt;($F$9-$E$9)/($G$9-$E$9),$E$9+SQRT(S951*($G$9-$E$9)*($F$9-$E$9)),$G$9-SQRT((1-S951)*($G$9-$E$9)*($G$9-$F$9))))</f>
        <v>1</v>
      </c>
      <c r="F951" s="37" t="n">
        <f aca="false">1+IF($G$10=$E$10,$F$10,IF(T951&lt;($F$10-$E$10)/($G$10-$E$10),$E$10+SQRT(T951*($G$10-$E$10)*($F$10-$E$10)),$G$10-SQRT((1-T951)*($G$10-$E$10)*($G$10-$F$10))))</f>
        <v>1</v>
      </c>
      <c r="G951" s="38" t="n">
        <f aca="false">IF($G$11=$E$11,$F$11,IF(U951&lt;($F$11-$E$11)/($G$11-$E$11),$E$11+SQRT(U951*($G$11-$E$11)*($F$11-$E$11)),$G$11-SQRT((1-U951)*($G$11-$E$11)*($G$11-$F$11))))</f>
        <v>0</v>
      </c>
      <c r="H951" s="39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0</v>
      </c>
      <c r="I951" s="39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0</v>
      </c>
      <c r="J951" s="39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0</v>
      </c>
      <c r="K951" s="39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0</v>
      </c>
      <c r="L951" s="39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0</v>
      </c>
      <c r="M951" s="39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0</v>
      </c>
      <c r="N951" s="39" t="str">
        <f aca="false">IF(COUNT('Business Case'!B11:G11)=0,"",H951+NPV(G951,I951:M951))</f>
        <v/>
      </c>
      <c r="P951" s="40" t="n">
        <f aca="true">RAND()</f>
        <v>0.116081579742651</v>
      </c>
      <c r="Q951" s="40" t="n">
        <f aca="true">RAND()</f>
        <v>0.326605454053296</v>
      </c>
      <c r="R951" s="40" t="n">
        <f aca="true">RAND()</f>
        <v>0.972689869417876</v>
      </c>
      <c r="S951" s="40" t="n">
        <f aca="true">RAND()</f>
        <v>0.399744772598309</v>
      </c>
      <c r="T951" s="40" t="n">
        <f aca="true">RAND()</f>
        <v>0.197588295393241</v>
      </c>
      <c r="U951" s="40" t="n">
        <f aca="true">RAND()</f>
        <v>0.630633045971088</v>
      </c>
    </row>
    <row r="952" customFormat="false" ht="15" hidden="false" customHeight="false" outlineLevel="0" collapsed="false">
      <c r="A952" s="36" t="n">
        <v>872</v>
      </c>
      <c r="B952" s="37" t="n">
        <f aca="false">1+IF($G$6=$E$6,$F$6,IF(P952&lt;($F$6-$E$6)/($G$6-$E$6),$E$6+SQRT(P952*($G$6-$E$6)*($F$6-$E$6)),$G$6-SQRT((1-P952)*($G$6-$E$6)*($G$6-$F$6))))</f>
        <v>1</v>
      </c>
      <c r="C952" s="37" t="n">
        <f aca="false">1+IF($G$7=$E$7,$F$7,IF(Q952&lt;($F$7-$E$7)/($G$7-$E$7),$E$7+SQRT(Q952*($G$7-$E$7)*($F$7-$E$7)),$G$7-SQRT((1-Q952)*($G$7-$E$7)*($G$7-$F$7))))</f>
        <v>1</v>
      </c>
      <c r="D952" s="37" t="n">
        <f aca="false">1+IF($G$8=$E$8,$F$8,IF(R952&lt;($F$8-$E$8)/($G$8-$E$8),$E$8+SQRT(R952*($G$8-$E$8)*($F$8-$E$8)),$G$8-SQRT((1-R952)*($G$8-$E$8)*($G$8-$F$8))))</f>
        <v>1</v>
      </c>
      <c r="E952" s="37" t="n">
        <f aca="false">1+IF($G$9=$E$9,$F$9,IF(S952&lt;($F$9-$E$9)/($G$9-$E$9),$E$9+SQRT(S952*($G$9-$E$9)*($F$9-$E$9)),$G$9-SQRT((1-S952)*($G$9-$E$9)*($G$9-$F$9))))</f>
        <v>1</v>
      </c>
      <c r="F952" s="37" t="n">
        <f aca="false">1+IF($G$10=$E$10,$F$10,IF(T952&lt;($F$10-$E$10)/($G$10-$E$10),$E$10+SQRT(T952*($G$10-$E$10)*($F$10-$E$10)),$G$10-SQRT((1-T952)*($G$10-$E$10)*($G$10-$F$10))))</f>
        <v>1</v>
      </c>
      <c r="G952" s="38" t="n">
        <f aca="false">IF($G$11=$E$11,$F$11,IF(U952&lt;($F$11-$E$11)/($G$11-$E$11),$E$11+SQRT(U952*($G$11-$E$11)*($F$11-$E$11)),$G$11-SQRT((1-U952)*($G$11-$E$11)*($G$11-$F$11))))</f>
        <v>0</v>
      </c>
      <c r="H952" s="39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0</v>
      </c>
      <c r="I952" s="39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0</v>
      </c>
      <c r="J952" s="39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0</v>
      </c>
      <c r="K952" s="39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0</v>
      </c>
      <c r="L952" s="39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0</v>
      </c>
      <c r="M952" s="39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0</v>
      </c>
      <c r="N952" s="39" t="str">
        <f aca="false">IF(COUNT('Business Case'!B11:G11)=0,"",H952+NPV(G952,I952:M952))</f>
        <v/>
      </c>
      <c r="P952" s="40" t="n">
        <f aca="true">RAND()</f>
        <v>0.227854996996746</v>
      </c>
      <c r="Q952" s="40" t="n">
        <f aca="true">RAND()</f>
        <v>0.314386697352331</v>
      </c>
      <c r="R952" s="40" t="n">
        <f aca="true">RAND()</f>
        <v>0.0563246036303682</v>
      </c>
      <c r="S952" s="40" t="n">
        <f aca="true">RAND()</f>
        <v>0.685562185999267</v>
      </c>
      <c r="T952" s="40" t="n">
        <f aca="true">RAND()</f>
        <v>0.0947901145948368</v>
      </c>
      <c r="U952" s="40" t="n">
        <f aca="true">RAND()</f>
        <v>0.144664154117512</v>
      </c>
    </row>
    <row r="953" customFormat="false" ht="15" hidden="false" customHeight="false" outlineLevel="0" collapsed="false">
      <c r="A953" s="36" t="n">
        <v>873</v>
      </c>
      <c r="B953" s="37" t="n">
        <f aca="false">1+IF($G$6=$E$6,$F$6,IF(P953&lt;($F$6-$E$6)/($G$6-$E$6),$E$6+SQRT(P953*($G$6-$E$6)*($F$6-$E$6)),$G$6-SQRT((1-P953)*($G$6-$E$6)*($G$6-$F$6))))</f>
        <v>1</v>
      </c>
      <c r="C953" s="37" t="n">
        <f aca="false">1+IF($G$7=$E$7,$F$7,IF(Q953&lt;($F$7-$E$7)/($G$7-$E$7),$E$7+SQRT(Q953*($G$7-$E$7)*($F$7-$E$7)),$G$7-SQRT((1-Q953)*($G$7-$E$7)*($G$7-$F$7))))</f>
        <v>1</v>
      </c>
      <c r="D953" s="37" t="n">
        <f aca="false">1+IF($G$8=$E$8,$F$8,IF(R953&lt;($F$8-$E$8)/($G$8-$E$8),$E$8+SQRT(R953*($G$8-$E$8)*($F$8-$E$8)),$G$8-SQRT((1-R953)*($G$8-$E$8)*($G$8-$F$8))))</f>
        <v>1</v>
      </c>
      <c r="E953" s="37" t="n">
        <f aca="false">1+IF($G$9=$E$9,$F$9,IF(S953&lt;($F$9-$E$9)/($G$9-$E$9),$E$9+SQRT(S953*($G$9-$E$9)*($F$9-$E$9)),$G$9-SQRT((1-S953)*($G$9-$E$9)*($G$9-$F$9))))</f>
        <v>1</v>
      </c>
      <c r="F953" s="37" t="n">
        <f aca="false">1+IF($G$10=$E$10,$F$10,IF(T953&lt;($F$10-$E$10)/($G$10-$E$10),$E$10+SQRT(T953*($G$10-$E$10)*($F$10-$E$10)),$G$10-SQRT((1-T953)*($G$10-$E$10)*($G$10-$F$10))))</f>
        <v>1</v>
      </c>
      <c r="G953" s="38" t="n">
        <f aca="false">IF($G$11=$E$11,$F$11,IF(U953&lt;($F$11-$E$11)/($G$11-$E$11),$E$11+SQRT(U953*($G$11-$E$11)*($F$11-$E$11)),$G$11-SQRT((1-U953)*($G$11-$E$11)*($G$11-$F$11))))</f>
        <v>0</v>
      </c>
      <c r="H953" s="39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0</v>
      </c>
      <c r="I953" s="39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0</v>
      </c>
      <c r="J953" s="39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0</v>
      </c>
      <c r="K953" s="39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0</v>
      </c>
      <c r="L953" s="39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0</v>
      </c>
      <c r="M953" s="39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0</v>
      </c>
      <c r="N953" s="39" t="str">
        <f aca="false">IF(COUNT('Business Case'!B11:G11)=0,"",H953+NPV(G953,I953:M953))</f>
        <v/>
      </c>
      <c r="P953" s="40" t="n">
        <f aca="true">RAND()</f>
        <v>0.869264301314927</v>
      </c>
      <c r="Q953" s="40" t="n">
        <f aca="true">RAND()</f>
        <v>0.808685739766726</v>
      </c>
      <c r="R953" s="40" t="n">
        <f aca="true">RAND()</f>
        <v>0.451619001221197</v>
      </c>
      <c r="S953" s="40" t="n">
        <f aca="true">RAND()</f>
        <v>0.145948319439055</v>
      </c>
      <c r="T953" s="40" t="n">
        <f aca="true">RAND()</f>
        <v>0.791733067665118</v>
      </c>
      <c r="U953" s="40" t="n">
        <f aca="true">RAND()</f>
        <v>0.22796714580923</v>
      </c>
    </row>
    <row r="954" customFormat="false" ht="15" hidden="false" customHeight="false" outlineLevel="0" collapsed="false">
      <c r="A954" s="36" t="n">
        <v>874</v>
      </c>
      <c r="B954" s="37" t="n">
        <f aca="false">1+IF($G$6=$E$6,$F$6,IF(P954&lt;($F$6-$E$6)/($G$6-$E$6),$E$6+SQRT(P954*($G$6-$E$6)*($F$6-$E$6)),$G$6-SQRT((1-P954)*($G$6-$E$6)*($G$6-$F$6))))</f>
        <v>1</v>
      </c>
      <c r="C954" s="37" t="n">
        <f aca="false">1+IF($G$7=$E$7,$F$7,IF(Q954&lt;($F$7-$E$7)/($G$7-$E$7),$E$7+SQRT(Q954*($G$7-$E$7)*($F$7-$E$7)),$G$7-SQRT((1-Q954)*($G$7-$E$7)*($G$7-$F$7))))</f>
        <v>1</v>
      </c>
      <c r="D954" s="37" t="n">
        <f aca="false">1+IF($G$8=$E$8,$F$8,IF(R954&lt;($F$8-$E$8)/($G$8-$E$8),$E$8+SQRT(R954*($G$8-$E$8)*($F$8-$E$8)),$G$8-SQRT((1-R954)*($G$8-$E$8)*($G$8-$F$8))))</f>
        <v>1</v>
      </c>
      <c r="E954" s="37" t="n">
        <f aca="false">1+IF($G$9=$E$9,$F$9,IF(S954&lt;($F$9-$E$9)/($G$9-$E$9),$E$9+SQRT(S954*($G$9-$E$9)*($F$9-$E$9)),$G$9-SQRT((1-S954)*($G$9-$E$9)*($G$9-$F$9))))</f>
        <v>1</v>
      </c>
      <c r="F954" s="37" t="n">
        <f aca="false">1+IF($G$10=$E$10,$F$10,IF(T954&lt;($F$10-$E$10)/($G$10-$E$10),$E$10+SQRT(T954*($G$10-$E$10)*($F$10-$E$10)),$G$10-SQRT((1-T954)*($G$10-$E$10)*($G$10-$F$10))))</f>
        <v>1</v>
      </c>
      <c r="G954" s="38" t="n">
        <f aca="false">IF($G$11=$E$11,$F$11,IF(U954&lt;($F$11-$E$11)/($G$11-$E$11),$E$11+SQRT(U954*($G$11-$E$11)*($F$11-$E$11)),$G$11-SQRT((1-U954)*($G$11-$E$11)*($G$11-$F$11))))</f>
        <v>0</v>
      </c>
      <c r="H954" s="39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0</v>
      </c>
      <c r="I954" s="39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0</v>
      </c>
      <c r="J954" s="39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0</v>
      </c>
      <c r="K954" s="39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0</v>
      </c>
      <c r="L954" s="39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0</v>
      </c>
      <c r="M954" s="39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0</v>
      </c>
      <c r="N954" s="39" t="str">
        <f aca="false">IF(COUNT('Business Case'!B11:G11)=0,"",H954+NPV(G954,I954:M954))</f>
        <v/>
      </c>
      <c r="P954" s="40" t="n">
        <f aca="true">RAND()</f>
        <v>0.0113491165607741</v>
      </c>
      <c r="Q954" s="40" t="n">
        <f aca="true">RAND()</f>
        <v>0.433315029195829</v>
      </c>
      <c r="R954" s="40" t="n">
        <f aca="true">RAND()</f>
        <v>0.596641055594649</v>
      </c>
      <c r="S954" s="40" t="n">
        <f aca="true">RAND()</f>
        <v>0.0103913794581921</v>
      </c>
      <c r="T954" s="40" t="n">
        <f aca="true">RAND()</f>
        <v>0.264872435289687</v>
      </c>
      <c r="U954" s="40" t="n">
        <f aca="true">RAND()</f>
        <v>0.843020812423522</v>
      </c>
    </row>
    <row r="955" customFormat="false" ht="15" hidden="false" customHeight="false" outlineLevel="0" collapsed="false">
      <c r="A955" s="36" t="n">
        <v>875</v>
      </c>
      <c r="B955" s="37" t="n">
        <f aca="false">1+IF($G$6=$E$6,$F$6,IF(P955&lt;($F$6-$E$6)/($G$6-$E$6),$E$6+SQRT(P955*($G$6-$E$6)*($F$6-$E$6)),$G$6-SQRT((1-P955)*($G$6-$E$6)*($G$6-$F$6))))</f>
        <v>1</v>
      </c>
      <c r="C955" s="37" t="n">
        <f aca="false">1+IF($G$7=$E$7,$F$7,IF(Q955&lt;($F$7-$E$7)/($G$7-$E$7),$E$7+SQRT(Q955*($G$7-$E$7)*($F$7-$E$7)),$G$7-SQRT((1-Q955)*($G$7-$E$7)*($G$7-$F$7))))</f>
        <v>1</v>
      </c>
      <c r="D955" s="37" t="n">
        <f aca="false">1+IF($G$8=$E$8,$F$8,IF(R955&lt;($F$8-$E$8)/($G$8-$E$8),$E$8+SQRT(R955*($G$8-$E$8)*($F$8-$E$8)),$G$8-SQRT((1-R955)*($G$8-$E$8)*($G$8-$F$8))))</f>
        <v>1</v>
      </c>
      <c r="E955" s="37" t="n">
        <f aca="false">1+IF($G$9=$E$9,$F$9,IF(S955&lt;($F$9-$E$9)/($G$9-$E$9),$E$9+SQRT(S955*($G$9-$E$9)*($F$9-$E$9)),$G$9-SQRT((1-S955)*($G$9-$E$9)*($G$9-$F$9))))</f>
        <v>1</v>
      </c>
      <c r="F955" s="37" t="n">
        <f aca="false">1+IF($G$10=$E$10,$F$10,IF(T955&lt;($F$10-$E$10)/($G$10-$E$10),$E$10+SQRT(T955*($G$10-$E$10)*($F$10-$E$10)),$G$10-SQRT((1-T955)*($G$10-$E$10)*($G$10-$F$10))))</f>
        <v>1</v>
      </c>
      <c r="G955" s="38" t="n">
        <f aca="false">IF($G$11=$E$11,$F$11,IF(U955&lt;($F$11-$E$11)/($G$11-$E$11),$E$11+SQRT(U955*($G$11-$E$11)*($F$11-$E$11)),$G$11-SQRT((1-U955)*($G$11-$E$11)*($G$11-$F$11))))</f>
        <v>0</v>
      </c>
      <c r="H955" s="39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0</v>
      </c>
      <c r="I955" s="39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0</v>
      </c>
      <c r="J955" s="39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0</v>
      </c>
      <c r="K955" s="39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0</v>
      </c>
      <c r="L955" s="39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0</v>
      </c>
      <c r="M955" s="39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0</v>
      </c>
      <c r="N955" s="39" t="str">
        <f aca="false">IF(COUNT('Business Case'!B11:G11)=0,"",H955+NPV(G955,I955:M955))</f>
        <v/>
      </c>
      <c r="P955" s="40" t="n">
        <f aca="true">RAND()</f>
        <v>0.120616776741126</v>
      </c>
      <c r="Q955" s="40" t="n">
        <f aca="true">RAND()</f>
        <v>0.675123357839002</v>
      </c>
      <c r="R955" s="40" t="n">
        <f aca="true">RAND()</f>
        <v>0.805175023680313</v>
      </c>
      <c r="S955" s="40" t="n">
        <f aca="true">RAND()</f>
        <v>0.99193719896209</v>
      </c>
      <c r="T955" s="40" t="n">
        <f aca="true">RAND()</f>
        <v>0.845232845065094</v>
      </c>
      <c r="U955" s="40" t="n">
        <f aca="true">RAND()</f>
        <v>0.264183760220847</v>
      </c>
    </row>
    <row r="956" customFormat="false" ht="15" hidden="false" customHeight="false" outlineLevel="0" collapsed="false">
      <c r="A956" s="36" t="n">
        <v>876</v>
      </c>
      <c r="B956" s="37" t="n">
        <f aca="false">1+IF($G$6=$E$6,$F$6,IF(P956&lt;($F$6-$E$6)/($G$6-$E$6),$E$6+SQRT(P956*($G$6-$E$6)*($F$6-$E$6)),$G$6-SQRT((1-P956)*($G$6-$E$6)*($G$6-$F$6))))</f>
        <v>1</v>
      </c>
      <c r="C956" s="37" t="n">
        <f aca="false">1+IF($G$7=$E$7,$F$7,IF(Q956&lt;($F$7-$E$7)/($G$7-$E$7),$E$7+SQRT(Q956*($G$7-$E$7)*($F$7-$E$7)),$G$7-SQRT((1-Q956)*($G$7-$E$7)*($G$7-$F$7))))</f>
        <v>1</v>
      </c>
      <c r="D956" s="37" t="n">
        <f aca="false">1+IF($G$8=$E$8,$F$8,IF(R956&lt;($F$8-$E$8)/($G$8-$E$8),$E$8+SQRT(R956*($G$8-$E$8)*($F$8-$E$8)),$G$8-SQRT((1-R956)*($G$8-$E$8)*($G$8-$F$8))))</f>
        <v>1</v>
      </c>
      <c r="E956" s="37" t="n">
        <f aca="false">1+IF($G$9=$E$9,$F$9,IF(S956&lt;($F$9-$E$9)/($G$9-$E$9),$E$9+SQRT(S956*($G$9-$E$9)*($F$9-$E$9)),$G$9-SQRT((1-S956)*($G$9-$E$9)*($G$9-$F$9))))</f>
        <v>1</v>
      </c>
      <c r="F956" s="37" t="n">
        <f aca="false">1+IF($G$10=$E$10,$F$10,IF(T956&lt;($F$10-$E$10)/($G$10-$E$10),$E$10+SQRT(T956*($G$10-$E$10)*($F$10-$E$10)),$G$10-SQRT((1-T956)*($G$10-$E$10)*($G$10-$F$10))))</f>
        <v>1</v>
      </c>
      <c r="G956" s="38" t="n">
        <f aca="false">IF($G$11=$E$11,$F$11,IF(U956&lt;($F$11-$E$11)/($G$11-$E$11),$E$11+SQRT(U956*($G$11-$E$11)*($F$11-$E$11)),$G$11-SQRT((1-U956)*($G$11-$E$11)*($G$11-$F$11))))</f>
        <v>0</v>
      </c>
      <c r="H956" s="39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0</v>
      </c>
      <c r="I956" s="39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0</v>
      </c>
      <c r="J956" s="39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0</v>
      </c>
      <c r="K956" s="39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0</v>
      </c>
      <c r="L956" s="39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0</v>
      </c>
      <c r="M956" s="39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0</v>
      </c>
      <c r="N956" s="39" t="str">
        <f aca="false">IF(COUNT('Business Case'!B11:G11)=0,"",H956+NPV(G956,I956:M956))</f>
        <v/>
      </c>
      <c r="P956" s="40" t="n">
        <f aca="true">RAND()</f>
        <v>0.435867598172773</v>
      </c>
      <c r="Q956" s="40" t="n">
        <f aca="true">RAND()</f>
        <v>0.022358717406561</v>
      </c>
      <c r="R956" s="40" t="n">
        <f aca="true">RAND()</f>
        <v>0.680005502541148</v>
      </c>
      <c r="S956" s="40" t="n">
        <f aca="true">RAND()</f>
        <v>0.893950001853757</v>
      </c>
      <c r="T956" s="40" t="n">
        <f aca="true">RAND()</f>
        <v>0.120049999788323</v>
      </c>
      <c r="U956" s="40" t="n">
        <f aca="true">RAND()</f>
        <v>0.223183844401566</v>
      </c>
    </row>
    <row r="957" customFormat="false" ht="15" hidden="false" customHeight="false" outlineLevel="0" collapsed="false">
      <c r="A957" s="36" t="n">
        <v>877</v>
      </c>
      <c r="B957" s="37" t="n">
        <f aca="false">1+IF($G$6=$E$6,$F$6,IF(P957&lt;($F$6-$E$6)/($G$6-$E$6),$E$6+SQRT(P957*($G$6-$E$6)*($F$6-$E$6)),$G$6-SQRT((1-P957)*($G$6-$E$6)*($G$6-$F$6))))</f>
        <v>1</v>
      </c>
      <c r="C957" s="37" t="n">
        <f aca="false">1+IF($G$7=$E$7,$F$7,IF(Q957&lt;($F$7-$E$7)/($G$7-$E$7),$E$7+SQRT(Q957*($G$7-$E$7)*($F$7-$E$7)),$G$7-SQRT((1-Q957)*($G$7-$E$7)*($G$7-$F$7))))</f>
        <v>1</v>
      </c>
      <c r="D957" s="37" t="n">
        <f aca="false">1+IF($G$8=$E$8,$F$8,IF(R957&lt;($F$8-$E$8)/($G$8-$E$8),$E$8+SQRT(R957*($G$8-$E$8)*($F$8-$E$8)),$G$8-SQRT((1-R957)*($G$8-$E$8)*($G$8-$F$8))))</f>
        <v>1</v>
      </c>
      <c r="E957" s="37" t="n">
        <f aca="false">1+IF($G$9=$E$9,$F$9,IF(S957&lt;($F$9-$E$9)/($G$9-$E$9),$E$9+SQRT(S957*($G$9-$E$9)*($F$9-$E$9)),$G$9-SQRT((1-S957)*($G$9-$E$9)*($G$9-$F$9))))</f>
        <v>1</v>
      </c>
      <c r="F957" s="37" t="n">
        <f aca="false">1+IF($G$10=$E$10,$F$10,IF(T957&lt;($F$10-$E$10)/($G$10-$E$10),$E$10+SQRT(T957*($G$10-$E$10)*($F$10-$E$10)),$G$10-SQRT((1-T957)*($G$10-$E$10)*($G$10-$F$10))))</f>
        <v>1</v>
      </c>
      <c r="G957" s="38" t="n">
        <f aca="false">IF($G$11=$E$11,$F$11,IF(U957&lt;($F$11-$E$11)/($G$11-$E$11),$E$11+SQRT(U957*($G$11-$E$11)*($F$11-$E$11)),$G$11-SQRT((1-U957)*($G$11-$E$11)*($G$11-$F$11))))</f>
        <v>0</v>
      </c>
      <c r="H957" s="39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0</v>
      </c>
      <c r="I957" s="39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0</v>
      </c>
      <c r="J957" s="39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0</v>
      </c>
      <c r="K957" s="39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0</v>
      </c>
      <c r="L957" s="39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0</v>
      </c>
      <c r="M957" s="39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0</v>
      </c>
      <c r="N957" s="39" t="str">
        <f aca="false">IF(COUNT('Business Case'!B11:G11)=0,"",H957+NPV(G957,I957:M957))</f>
        <v/>
      </c>
      <c r="P957" s="40" t="n">
        <f aca="true">RAND()</f>
        <v>0.819350820881258</v>
      </c>
      <c r="Q957" s="40" t="n">
        <f aca="true">RAND()</f>
        <v>0.83137009510324</v>
      </c>
      <c r="R957" s="40" t="n">
        <f aca="true">RAND()</f>
        <v>0.333271341268128</v>
      </c>
      <c r="S957" s="40" t="n">
        <f aca="true">RAND()</f>
        <v>0.569434551379088</v>
      </c>
      <c r="T957" s="40" t="n">
        <f aca="true">RAND()</f>
        <v>0.334422751068418</v>
      </c>
      <c r="U957" s="40" t="n">
        <f aca="true">RAND()</f>
        <v>0.947202826147975</v>
      </c>
    </row>
    <row r="958" customFormat="false" ht="15" hidden="false" customHeight="false" outlineLevel="0" collapsed="false">
      <c r="A958" s="36" t="n">
        <v>878</v>
      </c>
      <c r="B958" s="37" t="n">
        <f aca="false">1+IF($G$6=$E$6,$F$6,IF(P958&lt;($F$6-$E$6)/($G$6-$E$6),$E$6+SQRT(P958*($G$6-$E$6)*($F$6-$E$6)),$G$6-SQRT((1-P958)*($G$6-$E$6)*($G$6-$F$6))))</f>
        <v>1</v>
      </c>
      <c r="C958" s="37" t="n">
        <f aca="false">1+IF($G$7=$E$7,$F$7,IF(Q958&lt;($F$7-$E$7)/($G$7-$E$7),$E$7+SQRT(Q958*($G$7-$E$7)*($F$7-$E$7)),$G$7-SQRT((1-Q958)*($G$7-$E$7)*($G$7-$F$7))))</f>
        <v>1</v>
      </c>
      <c r="D958" s="37" t="n">
        <f aca="false">1+IF($G$8=$E$8,$F$8,IF(R958&lt;($F$8-$E$8)/($G$8-$E$8),$E$8+SQRT(R958*($G$8-$E$8)*($F$8-$E$8)),$G$8-SQRT((1-R958)*($G$8-$E$8)*($G$8-$F$8))))</f>
        <v>1</v>
      </c>
      <c r="E958" s="37" t="n">
        <f aca="false">1+IF($G$9=$E$9,$F$9,IF(S958&lt;($F$9-$E$9)/($G$9-$E$9),$E$9+SQRT(S958*($G$9-$E$9)*($F$9-$E$9)),$G$9-SQRT((1-S958)*($G$9-$E$9)*($G$9-$F$9))))</f>
        <v>1</v>
      </c>
      <c r="F958" s="37" t="n">
        <f aca="false">1+IF($G$10=$E$10,$F$10,IF(T958&lt;($F$10-$E$10)/($G$10-$E$10),$E$10+SQRT(T958*($G$10-$E$10)*($F$10-$E$10)),$G$10-SQRT((1-T958)*($G$10-$E$10)*($G$10-$F$10))))</f>
        <v>1</v>
      </c>
      <c r="G958" s="38" t="n">
        <f aca="false">IF($G$11=$E$11,$F$11,IF(U958&lt;($F$11-$E$11)/($G$11-$E$11),$E$11+SQRT(U958*($G$11-$E$11)*($F$11-$E$11)),$G$11-SQRT((1-U958)*($G$11-$E$11)*($G$11-$F$11))))</f>
        <v>0</v>
      </c>
      <c r="H958" s="39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0</v>
      </c>
      <c r="I958" s="39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0</v>
      </c>
      <c r="J958" s="39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0</v>
      </c>
      <c r="K958" s="39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0</v>
      </c>
      <c r="L958" s="39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0</v>
      </c>
      <c r="M958" s="39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0</v>
      </c>
      <c r="N958" s="39" t="str">
        <f aca="false">IF(COUNT('Business Case'!B11:G11)=0,"",H958+NPV(G958,I958:M958))</f>
        <v/>
      </c>
      <c r="P958" s="40" t="n">
        <f aca="true">RAND()</f>
        <v>0.714996515880409</v>
      </c>
      <c r="Q958" s="40" t="n">
        <f aca="true">RAND()</f>
        <v>0.681164069636902</v>
      </c>
      <c r="R958" s="40" t="n">
        <f aca="true">RAND()</f>
        <v>0.58226628333551</v>
      </c>
      <c r="S958" s="40" t="n">
        <f aca="true">RAND()</f>
        <v>0.956548958916453</v>
      </c>
      <c r="T958" s="40" t="n">
        <f aca="true">RAND()</f>
        <v>0.149807848426456</v>
      </c>
      <c r="U958" s="40" t="n">
        <f aca="true">RAND()</f>
        <v>0.543855722009505</v>
      </c>
    </row>
    <row r="959" customFormat="false" ht="15" hidden="false" customHeight="false" outlineLevel="0" collapsed="false">
      <c r="A959" s="36" t="n">
        <v>879</v>
      </c>
      <c r="B959" s="37" t="n">
        <f aca="false">1+IF($G$6=$E$6,$F$6,IF(P959&lt;($F$6-$E$6)/($G$6-$E$6),$E$6+SQRT(P959*($G$6-$E$6)*($F$6-$E$6)),$G$6-SQRT((1-P959)*($G$6-$E$6)*($G$6-$F$6))))</f>
        <v>1</v>
      </c>
      <c r="C959" s="37" t="n">
        <f aca="false">1+IF($G$7=$E$7,$F$7,IF(Q959&lt;($F$7-$E$7)/($G$7-$E$7),$E$7+SQRT(Q959*($G$7-$E$7)*($F$7-$E$7)),$G$7-SQRT((1-Q959)*($G$7-$E$7)*($G$7-$F$7))))</f>
        <v>1</v>
      </c>
      <c r="D959" s="37" t="n">
        <f aca="false">1+IF($G$8=$E$8,$F$8,IF(R959&lt;($F$8-$E$8)/($G$8-$E$8),$E$8+SQRT(R959*($G$8-$E$8)*($F$8-$E$8)),$G$8-SQRT((1-R959)*($G$8-$E$8)*($G$8-$F$8))))</f>
        <v>1</v>
      </c>
      <c r="E959" s="37" t="n">
        <f aca="false">1+IF($G$9=$E$9,$F$9,IF(S959&lt;($F$9-$E$9)/($G$9-$E$9),$E$9+SQRT(S959*($G$9-$E$9)*($F$9-$E$9)),$G$9-SQRT((1-S959)*($G$9-$E$9)*($G$9-$F$9))))</f>
        <v>1</v>
      </c>
      <c r="F959" s="37" t="n">
        <f aca="false">1+IF($G$10=$E$10,$F$10,IF(T959&lt;($F$10-$E$10)/($G$10-$E$10),$E$10+SQRT(T959*($G$10-$E$10)*($F$10-$E$10)),$G$10-SQRT((1-T959)*($G$10-$E$10)*($G$10-$F$10))))</f>
        <v>1</v>
      </c>
      <c r="G959" s="38" t="n">
        <f aca="false">IF($G$11=$E$11,$F$11,IF(U959&lt;($F$11-$E$11)/($G$11-$E$11),$E$11+SQRT(U959*($G$11-$E$11)*($F$11-$E$11)),$G$11-SQRT((1-U959)*($G$11-$E$11)*($G$11-$F$11))))</f>
        <v>0</v>
      </c>
      <c r="H959" s="39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0</v>
      </c>
      <c r="I959" s="39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0</v>
      </c>
      <c r="J959" s="39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0</v>
      </c>
      <c r="K959" s="39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0</v>
      </c>
      <c r="L959" s="39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0</v>
      </c>
      <c r="M959" s="39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0</v>
      </c>
      <c r="N959" s="39" t="str">
        <f aca="false">IF(COUNT('Business Case'!B11:G11)=0,"",H959+NPV(G959,I959:M959))</f>
        <v/>
      </c>
      <c r="P959" s="40" t="n">
        <f aca="true">RAND()</f>
        <v>0.394205651980771</v>
      </c>
      <c r="Q959" s="40" t="n">
        <f aca="true">RAND()</f>
        <v>0.943481940038794</v>
      </c>
      <c r="R959" s="40" t="n">
        <f aca="true">RAND()</f>
        <v>0.953170810762429</v>
      </c>
      <c r="S959" s="40" t="n">
        <f aca="true">RAND()</f>
        <v>0.721483716447609</v>
      </c>
      <c r="T959" s="40" t="n">
        <f aca="true">RAND()</f>
        <v>0.91100661342682</v>
      </c>
      <c r="U959" s="40" t="n">
        <f aca="true">RAND()</f>
        <v>0.593867003048924</v>
      </c>
    </row>
    <row r="960" customFormat="false" ht="15" hidden="false" customHeight="false" outlineLevel="0" collapsed="false">
      <c r="A960" s="36" t="n">
        <v>880</v>
      </c>
      <c r="B960" s="37" t="n">
        <f aca="false">1+IF($G$6=$E$6,$F$6,IF(P960&lt;($F$6-$E$6)/($G$6-$E$6),$E$6+SQRT(P960*($G$6-$E$6)*($F$6-$E$6)),$G$6-SQRT((1-P960)*($G$6-$E$6)*($G$6-$F$6))))</f>
        <v>1</v>
      </c>
      <c r="C960" s="37" t="n">
        <f aca="false">1+IF($G$7=$E$7,$F$7,IF(Q960&lt;($F$7-$E$7)/($G$7-$E$7),$E$7+SQRT(Q960*($G$7-$E$7)*($F$7-$E$7)),$G$7-SQRT((1-Q960)*($G$7-$E$7)*($G$7-$F$7))))</f>
        <v>1</v>
      </c>
      <c r="D960" s="37" t="n">
        <f aca="false">1+IF($G$8=$E$8,$F$8,IF(R960&lt;($F$8-$E$8)/($G$8-$E$8),$E$8+SQRT(R960*($G$8-$E$8)*($F$8-$E$8)),$G$8-SQRT((1-R960)*($G$8-$E$8)*($G$8-$F$8))))</f>
        <v>1</v>
      </c>
      <c r="E960" s="37" t="n">
        <f aca="false">1+IF($G$9=$E$9,$F$9,IF(S960&lt;($F$9-$E$9)/($G$9-$E$9),$E$9+SQRT(S960*($G$9-$E$9)*($F$9-$E$9)),$G$9-SQRT((1-S960)*($G$9-$E$9)*($G$9-$F$9))))</f>
        <v>1</v>
      </c>
      <c r="F960" s="37" t="n">
        <f aca="false">1+IF($G$10=$E$10,$F$10,IF(T960&lt;($F$10-$E$10)/($G$10-$E$10),$E$10+SQRT(T960*($G$10-$E$10)*($F$10-$E$10)),$G$10-SQRT((1-T960)*($G$10-$E$10)*($G$10-$F$10))))</f>
        <v>1</v>
      </c>
      <c r="G960" s="38" t="n">
        <f aca="false">IF($G$11=$E$11,$F$11,IF(U960&lt;($F$11-$E$11)/($G$11-$E$11),$E$11+SQRT(U960*($G$11-$E$11)*($F$11-$E$11)),$G$11-SQRT((1-U960)*($G$11-$E$11)*($G$11-$F$11))))</f>
        <v>0</v>
      </c>
      <c r="H960" s="39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0</v>
      </c>
      <c r="I960" s="39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0</v>
      </c>
      <c r="J960" s="39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0</v>
      </c>
      <c r="K960" s="39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0</v>
      </c>
      <c r="L960" s="39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0</v>
      </c>
      <c r="M960" s="39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0</v>
      </c>
      <c r="N960" s="39" t="str">
        <f aca="false">IF(COUNT('Business Case'!B11:G11)=0,"",H960+NPV(G960,I960:M960))</f>
        <v/>
      </c>
      <c r="P960" s="40" t="n">
        <f aca="true">RAND()</f>
        <v>0.950104047561424</v>
      </c>
      <c r="Q960" s="40" t="n">
        <f aca="true">RAND()</f>
        <v>0.677840157929142</v>
      </c>
      <c r="R960" s="40" t="n">
        <f aca="true">RAND()</f>
        <v>0.748464567703481</v>
      </c>
      <c r="S960" s="40" t="n">
        <f aca="true">RAND()</f>
        <v>0.563934426725022</v>
      </c>
      <c r="T960" s="40" t="n">
        <f aca="true">RAND()</f>
        <v>0.356899926144368</v>
      </c>
      <c r="U960" s="40" t="n">
        <f aca="true">RAND()</f>
        <v>0.683133838766944</v>
      </c>
    </row>
    <row r="961" customFormat="false" ht="15" hidden="false" customHeight="false" outlineLevel="0" collapsed="false">
      <c r="A961" s="36" t="n">
        <v>881</v>
      </c>
      <c r="B961" s="37" t="n">
        <f aca="false">1+IF($G$6=$E$6,$F$6,IF(P961&lt;($F$6-$E$6)/($G$6-$E$6),$E$6+SQRT(P961*($G$6-$E$6)*($F$6-$E$6)),$G$6-SQRT((1-P961)*($G$6-$E$6)*($G$6-$F$6))))</f>
        <v>1</v>
      </c>
      <c r="C961" s="37" t="n">
        <f aca="false">1+IF($G$7=$E$7,$F$7,IF(Q961&lt;($F$7-$E$7)/($G$7-$E$7),$E$7+SQRT(Q961*($G$7-$E$7)*($F$7-$E$7)),$G$7-SQRT((1-Q961)*($G$7-$E$7)*($G$7-$F$7))))</f>
        <v>1</v>
      </c>
      <c r="D961" s="37" t="n">
        <f aca="false">1+IF($G$8=$E$8,$F$8,IF(R961&lt;($F$8-$E$8)/($G$8-$E$8),$E$8+SQRT(R961*($G$8-$E$8)*($F$8-$E$8)),$G$8-SQRT((1-R961)*($G$8-$E$8)*($G$8-$F$8))))</f>
        <v>1</v>
      </c>
      <c r="E961" s="37" t="n">
        <f aca="false">1+IF($G$9=$E$9,$F$9,IF(S961&lt;($F$9-$E$9)/($G$9-$E$9),$E$9+SQRT(S961*($G$9-$E$9)*($F$9-$E$9)),$G$9-SQRT((1-S961)*($G$9-$E$9)*($G$9-$F$9))))</f>
        <v>1</v>
      </c>
      <c r="F961" s="37" t="n">
        <f aca="false">1+IF($G$10=$E$10,$F$10,IF(T961&lt;($F$10-$E$10)/($G$10-$E$10),$E$10+SQRT(T961*($G$10-$E$10)*($F$10-$E$10)),$G$10-SQRT((1-T961)*($G$10-$E$10)*($G$10-$F$10))))</f>
        <v>1</v>
      </c>
      <c r="G961" s="38" t="n">
        <f aca="false">IF($G$11=$E$11,$F$11,IF(U961&lt;($F$11-$E$11)/($G$11-$E$11),$E$11+SQRT(U961*($G$11-$E$11)*($F$11-$E$11)),$G$11-SQRT((1-U961)*($G$11-$E$11)*($G$11-$F$11))))</f>
        <v>0</v>
      </c>
      <c r="H961" s="39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0</v>
      </c>
      <c r="I961" s="39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0</v>
      </c>
      <c r="J961" s="39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0</v>
      </c>
      <c r="K961" s="39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0</v>
      </c>
      <c r="L961" s="39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0</v>
      </c>
      <c r="M961" s="39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0</v>
      </c>
      <c r="N961" s="39" t="str">
        <f aca="false">IF(COUNT('Business Case'!B11:G11)=0,"",H961+NPV(G961,I961:M961))</f>
        <v/>
      </c>
      <c r="P961" s="40" t="n">
        <f aca="true">RAND()</f>
        <v>0.591814464990415</v>
      </c>
      <c r="Q961" s="40" t="n">
        <f aca="true">RAND()</f>
        <v>0.590492458276717</v>
      </c>
      <c r="R961" s="40" t="n">
        <f aca="true">RAND()</f>
        <v>0.246897785047209</v>
      </c>
      <c r="S961" s="40" t="n">
        <f aca="true">RAND()</f>
        <v>0.0490666272895168</v>
      </c>
      <c r="T961" s="40" t="n">
        <f aca="true">RAND()</f>
        <v>0.242297613734896</v>
      </c>
      <c r="U961" s="40" t="n">
        <f aca="true">RAND()</f>
        <v>0.101971873918248</v>
      </c>
    </row>
    <row r="962" customFormat="false" ht="15" hidden="false" customHeight="false" outlineLevel="0" collapsed="false">
      <c r="A962" s="36" t="n">
        <v>882</v>
      </c>
      <c r="B962" s="37" t="n">
        <f aca="false">1+IF($G$6=$E$6,$F$6,IF(P962&lt;($F$6-$E$6)/($G$6-$E$6),$E$6+SQRT(P962*($G$6-$E$6)*($F$6-$E$6)),$G$6-SQRT((1-P962)*($G$6-$E$6)*($G$6-$F$6))))</f>
        <v>1</v>
      </c>
      <c r="C962" s="37" t="n">
        <f aca="false">1+IF($G$7=$E$7,$F$7,IF(Q962&lt;($F$7-$E$7)/($G$7-$E$7),$E$7+SQRT(Q962*($G$7-$E$7)*($F$7-$E$7)),$G$7-SQRT((1-Q962)*($G$7-$E$7)*($G$7-$F$7))))</f>
        <v>1</v>
      </c>
      <c r="D962" s="37" t="n">
        <f aca="false">1+IF($G$8=$E$8,$F$8,IF(R962&lt;($F$8-$E$8)/($G$8-$E$8),$E$8+SQRT(R962*($G$8-$E$8)*($F$8-$E$8)),$G$8-SQRT((1-R962)*($G$8-$E$8)*($G$8-$F$8))))</f>
        <v>1</v>
      </c>
      <c r="E962" s="37" t="n">
        <f aca="false">1+IF($G$9=$E$9,$F$9,IF(S962&lt;($F$9-$E$9)/($G$9-$E$9),$E$9+SQRT(S962*($G$9-$E$9)*($F$9-$E$9)),$G$9-SQRT((1-S962)*($G$9-$E$9)*($G$9-$F$9))))</f>
        <v>1</v>
      </c>
      <c r="F962" s="37" t="n">
        <f aca="false">1+IF($G$10=$E$10,$F$10,IF(T962&lt;($F$10-$E$10)/($G$10-$E$10),$E$10+SQRT(T962*($G$10-$E$10)*($F$10-$E$10)),$G$10-SQRT((1-T962)*($G$10-$E$10)*($G$10-$F$10))))</f>
        <v>1</v>
      </c>
      <c r="G962" s="38" t="n">
        <f aca="false">IF($G$11=$E$11,$F$11,IF(U962&lt;($F$11-$E$11)/($G$11-$E$11),$E$11+SQRT(U962*($G$11-$E$11)*($F$11-$E$11)),$G$11-SQRT((1-U962)*($G$11-$E$11)*($G$11-$F$11))))</f>
        <v>0</v>
      </c>
      <c r="H962" s="39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0</v>
      </c>
      <c r="I962" s="39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0</v>
      </c>
      <c r="J962" s="39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0</v>
      </c>
      <c r="K962" s="39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0</v>
      </c>
      <c r="L962" s="39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0</v>
      </c>
      <c r="M962" s="39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0</v>
      </c>
      <c r="N962" s="39" t="str">
        <f aca="false">IF(COUNT('Business Case'!B11:G11)=0,"",H962+NPV(G962,I962:M962))</f>
        <v/>
      </c>
      <c r="P962" s="40" t="n">
        <f aca="true">RAND()</f>
        <v>0.0282995589840427</v>
      </c>
      <c r="Q962" s="40" t="n">
        <f aca="true">RAND()</f>
        <v>0.115387342090256</v>
      </c>
      <c r="R962" s="40" t="n">
        <f aca="true">RAND()</f>
        <v>0.628906748498196</v>
      </c>
      <c r="S962" s="40" t="n">
        <f aca="true">RAND()</f>
        <v>0.996613763671139</v>
      </c>
      <c r="T962" s="40" t="n">
        <f aca="true">RAND()</f>
        <v>0.496413984126193</v>
      </c>
      <c r="U962" s="40" t="n">
        <f aca="true">RAND()</f>
        <v>0.442432915593439</v>
      </c>
    </row>
    <row r="963" customFormat="false" ht="15" hidden="false" customHeight="false" outlineLevel="0" collapsed="false">
      <c r="A963" s="36" t="n">
        <v>883</v>
      </c>
      <c r="B963" s="37" t="n">
        <f aca="false">1+IF($G$6=$E$6,$F$6,IF(P963&lt;($F$6-$E$6)/($G$6-$E$6),$E$6+SQRT(P963*($G$6-$E$6)*($F$6-$E$6)),$G$6-SQRT((1-P963)*($G$6-$E$6)*($G$6-$F$6))))</f>
        <v>1</v>
      </c>
      <c r="C963" s="37" t="n">
        <f aca="false">1+IF($G$7=$E$7,$F$7,IF(Q963&lt;($F$7-$E$7)/($G$7-$E$7),$E$7+SQRT(Q963*($G$7-$E$7)*($F$7-$E$7)),$G$7-SQRT((1-Q963)*($G$7-$E$7)*($G$7-$F$7))))</f>
        <v>1</v>
      </c>
      <c r="D963" s="37" t="n">
        <f aca="false">1+IF($G$8=$E$8,$F$8,IF(R963&lt;($F$8-$E$8)/($G$8-$E$8),$E$8+SQRT(R963*($G$8-$E$8)*($F$8-$E$8)),$G$8-SQRT((1-R963)*($G$8-$E$8)*($G$8-$F$8))))</f>
        <v>1</v>
      </c>
      <c r="E963" s="37" t="n">
        <f aca="false">1+IF($G$9=$E$9,$F$9,IF(S963&lt;($F$9-$E$9)/($G$9-$E$9),$E$9+SQRT(S963*($G$9-$E$9)*($F$9-$E$9)),$G$9-SQRT((1-S963)*($G$9-$E$9)*($G$9-$F$9))))</f>
        <v>1</v>
      </c>
      <c r="F963" s="37" t="n">
        <f aca="false">1+IF($G$10=$E$10,$F$10,IF(T963&lt;($F$10-$E$10)/($G$10-$E$10),$E$10+SQRT(T963*($G$10-$E$10)*($F$10-$E$10)),$G$10-SQRT((1-T963)*($G$10-$E$10)*($G$10-$F$10))))</f>
        <v>1</v>
      </c>
      <c r="G963" s="38" t="n">
        <f aca="false">IF($G$11=$E$11,$F$11,IF(U963&lt;($F$11-$E$11)/($G$11-$E$11),$E$11+SQRT(U963*($G$11-$E$11)*($F$11-$E$11)),$G$11-SQRT((1-U963)*($G$11-$E$11)*($G$11-$F$11))))</f>
        <v>0</v>
      </c>
      <c r="H963" s="39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0</v>
      </c>
      <c r="I963" s="39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0</v>
      </c>
      <c r="J963" s="39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0</v>
      </c>
      <c r="K963" s="39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0</v>
      </c>
      <c r="L963" s="39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0</v>
      </c>
      <c r="M963" s="39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0</v>
      </c>
      <c r="N963" s="39" t="str">
        <f aca="false">IF(COUNT('Business Case'!B11:G11)=0,"",H963+NPV(G963,I963:M963))</f>
        <v/>
      </c>
      <c r="P963" s="40" t="n">
        <f aca="true">RAND()</f>
        <v>0.374823746322237</v>
      </c>
      <c r="Q963" s="40" t="n">
        <f aca="true">RAND()</f>
        <v>0.543233293686678</v>
      </c>
      <c r="R963" s="40" t="n">
        <f aca="true">RAND()</f>
        <v>0.593364475002088</v>
      </c>
      <c r="S963" s="40" t="n">
        <f aca="true">RAND()</f>
        <v>0.29455658570703</v>
      </c>
      <c r="T963" s="40" t="n">
        <f aca="true">RAND()</f>
        <v>0.785462336297001</v>
      </c>
      <c r="U963" s="40" t="n">
        <f aca="true">RAND()</f>
        <v>0.00760700648293546</v>
      </c>
    </row>
    <row r="964" customFormat="false" ht="15" hidden="false" customHeight="false" outlineLevel="0" collapsed="false">
      <c r="A964" s="36" t="n">
        <v>884</v>
      </c>
      <c r="B964" s="37" t="n">
        <f aca="false">1+IF($G$6=$E$6,$F$6,IF(P964&lt;($F$6-$E$6)/($G$6-$E$6),$E$6+SQRT(P964*($G$6-$E$6)*($F$6-$E$6)),$G$6-SQRT((1-P964)*($G$6-$E$6)*($G$6-$F$6))))</f>
        <v>1</v>
      </c>
      <c r="C964" s="37" t="n">
        <f aca="false">1+IF($G$7=$E$7,$F$7,IF(Q964&lt;($F$7-$E$7)/($G$7-$E$7),$E$7+SQRT(Q964*($G$7-$E$7)*($F$7-$E$7)),$G$7-SQRT((1-Q964)*($G$7-$E$7)*($G$7-$F$7))))</f>
        <v>1</v>
      </c>
      <c r="D964" s="37" t="n">
        <f aca="false">1+IF($G$8=$E$8,$F$8,IF(R964&lt;($F$8-$E$8)/($G$8-$E$8),$E$8+SQRT(R964*($G$8-$E$8)*($F$8-$E$8)),$G$8-SQRT((1-R964)*($G$8-$E$8)*($G$8-$F$8))))</f>
        <v>1</v>
      </c>
      <c r="E964" s="37" t="n">
        <f aca="false">1+IF($G$9=$E$9,$F$9,IF(S964&lt;($F$9-$E$9)/($G$9-$E$9),$E$9+SQRT(S964*($G$9-$E$9)*($F$9-$E$9)),$G$9-SQRT((1-S964)*($G$9-$E$9)*($G$9-$F$9))))</f>
        <v>1</v>
      </c>
      <c r="F964" s="37" t="n">
        <f aca="false">1+IF($G$10=$E$10,$F$10,IF(T964&lt;($F$10-$E$10)/($G$10-$E$10),$E$10+SQRT(T964*($G$10-$E$10)*($F$10-$E$10)),$G$10-SQRT((1-T964)*($G$10-$E$10)*($G$10-$F$10))))</f>
        <v>1</v>
      </c>
      <c r="G964" s="38" t="n">
        <f aca="false">IF($G$11=$E$11,$F$11,IF(U964&lt;($F$11-$E$11)/($G$11-$E$11),$E$11+SQRT(U964*($G$11-$E$11)*($F$11-$E$11)),$G$11-SQRT((1-U964)*($G$11-$E$11)*($G$11-$F$11))))</f>
        <v>0</v>
      </c>
      <c r="H964" s="39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0</v>
      </c>
      <c r="I964" s="39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0</v>
      </c>
      <c r="J964" s="39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0</v>
      </c>
      <c r="K964" s="39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0</v>
      </c>
      <c r="L964" s="39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0</v>
      </c>
      <c r="M964" s="39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0</v>
      </c>
      <c r="N964" s="39" t="str">
        <f aca="false">IF(COUNT('Business Case'!B11:G11)=0,"",H964+NPV(G964,I964:M964))</f>
        <v/>
      </c>
      <c r="P964" s="40" t="n">
        <f aca="true">RAND()</f>
        <v>0.422248458163073</v>
      </c>
      <c r="Q964" s="40" t="n">
        <f aca="true">RAND()</f>
        <v>0.587592138720487</v>
      </c>
      <c r="R964" s="40" t="n">
        <f aca="true">RAND()</f>
        <v>0.555742240385104</v>
      </c>
      <c r="S964" s="40" t="n">
        <f aca="true">RAND()</f>
        <v>0.0220248554552465</v>
      </c>
      <c r="T964" s="40" t="n">
        <f aca="true">RAND()</f>
        <v>0.452415349682231</v>
      </c>
      <c r="U964" s="40" t="n">
        <f aca="true">RAND()</f>
        <v>0.186008498222331</v>
      </c>
    </row>
    <row r="965" customFormat="false" ht="15" hidden="false" customHeight="false" outlineLevel="0" collapsed="false">
      <c r="A965" s="36" t="n">
        <v>885</v>
      </c>
      <c r="B965" s="37" t="n">
        <f aca="false">1+IF($G$6=$E$6,$F$6,IF(P965&lt;($F$6-$E$6)/($G$6-$E$6),$E$6+SQRT(P965*($G$6-$E$6)*($F$6-$E$6)),$G$6-SQRT((1-P965)*($G$6-$E$6)*($G$6-$F$6))))</f>
        <v>1</v>
      </c>
      <c r="C965" s="37" t="n">
        <f aca="false">1+IF($G$7=$E$7,$F$7,IF(Q965&lt;($F$7-$E$7)/($G$7-$E$7),$E$7+SQRT(Q965*($G$7-$E$7)*($F$7-$E$7)),$G$7-SQRT((1-Q965)*($G$7-$E$7)*($G$7-$F$7))))</f>
        <v>1</v>
      </c>
      <c r="D965" s="37" t="n">
        <f aca="false">1+IF($G$8=$E$8,$F$8,IF(R965&lt;($F$8-$E$8)/($G$8-$E$8),$E$8+SQRT(R965*($G$8-$E$8)*($F$8-$E$8)),$G$8-SQRT((1-R965)*($G$8-$E$8)*($G$8-$F$8))))</f>
        <v>1</v>
      </c>
      <c r="E965" s="37" t="n">
        <f aca="false">1+IF($G$9=$E$9,$F$9,IF(S965&lt;($F$9-$E$9)/($G$9-$E$9),$E$9+SQRT(S965*($G$9-$E$9)*($F$9-$E$9)),$G$9-SQRT((1-S965)*($G$9-$E$9)*($G$9-$F$9))))</f>
        <v>1</v>
      </c>
      <c r="F965" s="37" t="n">
        <f aca="false">1+IF($G$10=$E$10,$F$10,IF(T965&lt;($F$10-$E$10)/($G$10-$E$10),$E$10+SQRT(T965*($G$10-$E$10)*($F$10-$E$10)),$G$10-SQRT((1-T965)*($G$10-$E$10)*($G$10-$F$10))))</f>
        <v>1</v>
      </c>
      <c r="G965" s="38" t="n">
        <f aca="false">IF($G$11=$E$11,$F$11,IF(U965&lt;($F$11-$E$11)/($G$11-$E$11),$E$11+SQRT(U965*($G$11-$E$11)*($F$11-$E$11)),$G$11-SQRT((1-U965)*($G$11-$E$11)*($G$11-$F$11))))</f>
        <v>0</v>
      </c>
      <c r="H965" s="39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0</v>
      </c>
      <c r="I965" s="39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0</v>
      </c>
      <c r="J965" s="39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0</v>
      </c>
      <c r="K965" s="39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0</v>
      </c>
      <c r="L965" s="39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0</v>
      </c>
      <c r="M965" s="39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0</v>
      </c>
      <c r="N965" s="39" t="str">
        <f aca="false">IF(COUNT('Business Case'!B11:G11)=0,"",H965+NPV(G965,I965:M965))</f>
        <v/>
      </c>
      <c r="P965" s="40" t="n">
        <f aca="true">RAND()</f>
        <v>0.954736690262214</v>
      </c>
      <c r="Q965" s="40" t="n">
        <f aca="true">RAND()</f>
        <v>0.971895211682544</v>
      </c>
      <c r="R965" s="40" t="n">
        <f aca="true">RAND()</f>
        <v>0.416025277828826</v>
      </c>
      <c r="S965" s="40" t="n">
        <f aca="true">RAND()</f>
        <v>0.944550465991516</v>
      </c>
      <c r="T965" s="40" t="n">
        <f aca="true">RAND()</f>
        <v>0.00871633572900087</v>
      </c>
      <c r="U965" s="40" t="n">
        <f aca="true">RAND()</f>
        <v>0.0166462473040505</v>
      </c>
    </row>
    <row r="966" customFormat="false" ht="15" hidden="false" customHeight="false" outlineLevel="0" collapsed="false">
      <c r="A966" s="36" t="n">
        <v>886</v>
      </c>
      <c r="B966" s="37" t="n">
        <f aca="false">1+IF($G$6=$E$6,$F$6,IF(P966&lt;($F$6-$E$6)/($G$6-$E$6),$E$6+SQRT(P966*($G$6-$E$6)*($F$6-$E$6)),$G$6-SQRT((1-P966)*($G$6-$E$6)*($G$6-$F$6))))</f>
        <v>1</v>
      </c>
      <c r="C966" s="37" t="n">
        <f aca="false">1+IF($G$7=$E$7,$F$7,IF(Q966&lt;($F$7-$E$7)/($G$7-$E$7),$E$7+SQRT(Q966*($G$7-$E$7)*($F$7-$E$7)),$G$7-SQRT((1-Q966)*($G$7-$E$7)*($G$7-$F$7))))</f>
        <v>1</v>
      </c>
      <c r="D966" s="37" t="n">
        <f aca="false">1+IF($G$8=$E$8,$F$8,IF(R966&lt;($F$8-$E$8)/($G$8-$E$8),$E$8+SQRT(R966*($G$8-$E$8)*($F$8-$E$8)),$G$8-SQRT((1-R966)*($G$8-$E$8)*($G$8-$F$8))))</f>
        <v>1</v>
      </c>
      <c r="E966" s="37" t="n">
        <f aca="false">1+IF($G$9=$E$9,$F$9,IF(S966&lt;($F$9-$E$9)/($G$9-$E$9),$E$9+SQRT(S966*($G$9-$E$9)*($F$9-$E$9)),$G$9-SQRT((1-S966)*($G$9-$E$9)*($G$9-$F$9))))</f>
        <v>1</v>
      </c>
      <c r="F966" s="37" t="n">
        <f aca="false">1+IF($G$10=$E$10,$F$10,IF(T966&lt;($F$10-$E$10)/($G$10-$E$10),$E$10+SQRT(T966*($G$10-$E$10)*($F$10-$E$10)),$G$10-SQRT((1-T966)*($G$10-$E$10)*($G$10-$F$10))))</f>
        <v>1</v>
      </c>
      <c r="G966" s="38" t="n">
        <f aca="false">IF($G$11=$E$11,$F$11,IF(U966&lt;($F$11-$E$11)/($G$11-$E$11),$E$11+SQRT(U966*($G$11-$E$11)*($F$11-$E$11)),$G$11-SQRT((1-U966)*($G$11-$E$11)*($G$11-$F$11))))</f>
        <v>0</v>
      </c>
      <c r="H966" s="39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0</v>
      </c>
      <c r="I966" s="39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0</v>
      </c>
      <c r="J966" s="39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0</v>
      </c>
      <c r="K966" s="39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0</v>
      </c>
      <c r="L966" s="39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0</v>
      </c>
      <c r="M966" s="39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0</v>
      </c>
      <c r="N966" s="39" t="str">
        <f aca="false">IF(COUNT('Business Case'!B11:G11)=0,"",H966+NPV(G966,I966:M966))</f>
        <v/>
      </c>
      <c r="P966" s="40" t="n">
        <f aca="true">RAND()</f>
        <v>0.370403994567685</v>
      </c>
      <c r="Q966" s="40" t="n">
        <f aca="true">RAND()</f>
        <v>0.949334971400791</v>
      </c>
      <c r="R966" s="40" t="n">
        <f aca="true">RAND()</f>
        <v>0.191947502271233</v>
      </c>
      <c r="S966" s="40" t="n">
        <f aca="true">RAND()</f>
        <v>0.0759707935058432</v>
      </c>
      <c r="T966" s="40" t="n">
        <f aca="true">RAND()</f>
        <v>0.777783658174446</v>
      </c>
      <c r="U966" s="40" t="n">
        <f aca="true">RAND()</f>
        <v>0.568873903906651</v>
      </c>
    </row>
    <row r="967" customFormat="false" ht="15" hidden="false" customHeight="false" outlineLevel="0" collapsed="false">
      <c r="A967" s="36" t="n">
        <v>887</v>
      </c>
      <c r="B967" s="37" t="n">
        <f aca="false">1+IF($G$6=$E$6,$F$6,IF(P967&lt;($F$6-$E$6)/($G$6-$E$6),$E$6+SQRT(P967*($G$6-$E$6)*($F$6-$E$6)),$G$6-SQRT((1-P967)*($G$6-$E$6)*($G$6-$F$6))))</f>
        <v>1</v>
      </c>
      <c r="C967" s="37" t="n">
        <f aca="false">1+IF($G$7=$E$7,$F$7,IF(Q967&lt;($F$7-$E$7)/($G$7-$E$7),$E$7+SQRT(Q967*($G$7-$E$7)*($F$7-$E$7)),$G$7-SQRT((1-Q967)*($G$7-$E$7)*($G$7-$F$7))))</f>
        <v>1</v>
      </c>
      <c r="D967" s="37" t="n">
        <f aca="false">1+IF($G$8=$E$8,$F$8,IF(R967&lt;($F$8-$E$8)/($G$8-$E$8),$E$8+SQRT(R967*($G$8-$E$8)*($F$8-$E$8)),$G$8-SQRT((1-R967)*($G$8-$E$8)*($G$8-$F$8))))</f>
        <v>1</v>
      </c>
      <c r="E967" s="37" t="n">
        <f aca="false">1+IF($G$9=$E$9,$F$9,IF(S967&lt;($F$9-$E$9)/($G$9-$E$9),$E$9+SQRT(S967*($G$9-$E$9)*($F$9-$E$9)),$G$9-SQRT((1-S967)*($G$9-$E$9)*($G$9-$F$9))))</f>
        <v>1</v>
      </c>
      <c r="F967" s="37" t="n">
        <f aca="false">1+IF($G$10=$E$10,$F$10,IF(T967&lt;($F$10-$E$10)/($G$10-$E$10),$E$10+SQRT(T967*($G$10-$E$10)*($F$10-$E$10)),$G$10-SQRT((1-T967)*($G$10-$E$10)*($G$10-$F$10))))</f>
        <v>1</v>
      </c>
      <c r="G967" s="38" t="n">
        <f aca="false">IF($G$11=$E$11,$F$11,IF(U967&lt;($F$11-$E$11)/($G$11-$E$11),$E$11+SQRT(U967*($G$11-$E$11)*($F$11-$E$11)),$G$11-SQRT((1-U967)*($G$11-$E$11)*($G$11-$F$11))))</f>
        <v>0</v>
      </c>
      <c r="H967" s="39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0</v>
      </c>
      <c r="I967" s="39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0</v>
      </c>
      <c r="J967" s="39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0</v>
      </c>
      <c r="K967" s="39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0</v>
      </c>
      <c r="L967" s="39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0</v>
      </c>
      <c r="M967" s="39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0</v>
      </c>
      <c r="N967" s="39" t="str">
        <f aca="false">IF(COUNT('Business Case'!B11:G11)=0,"",H967+NPV(G967,I967:M967))</f>
        <v/>
      </c>
      <c r="P967" s="40" t="n">
        <f aca="true">RAND()</f>
        <v>0.551977836130273</v>
      </c>
      <c r="Q967" s="40" t="n">
        <f aca="true">RAND()</f>
        <v>0.0995131141938242</v>
      </c>
      <c r="R967" s="40" t="n">
        <f aca="true">RAND()</f>
        <v>0.22537206129587</v>
      </c>
      <c r="S967" s="40" t="n">
        <f aca="true">RAND()</f>
        <v>0.978561959129704</v>
      </c>
      <c r="T967" s="40" t="n">
        <f aca="true">RAND()</f>
        <v>0.769608861373561</v>
      </c>
      <c r="U967" s="40" t="n">
        <f aca="true">RAND()</f>
        <v>0.818076269037131</v>
      </c>
    </row>
    <row r="968" customFormat="false" ht="15" hidden="false" customHeight="false" outlineLevel="0" collapsed="false">
      <c r="A968" s="36" t="n">
        <v>888</v>
      </c>
      <c r="B968" s="37" t="n">
        <f aca="false">1+IF($G$6=$E$6,$F$6,IF(P968&lt;($F$6-$E$6)/($G$6-$E$6),$E$6+SQRT(P968*($G$6-$E$6)*($F$6-$E$6)),$G$6-SQRT((1-P968)*($G$6-$E$6)*($G$6-$F$6))))</f>
        <v>1</v>
      </c>
      <c r="C968" s="37" t="n">
        <f aca="false">1+IF($G$7=$E$7,$F$7,IF(Q968&lt;($F$7-$E$7)/($G$7-$E$7),$E$7+SQRT(Q968*($G$7-$E$7)*($F$7-$E$7)),$G$7-SQRT((1-Q968)*($G$7-$E$7)*($G$7-$F$7))))</f>
        <v>1</v>
      </c>
      <c r="D968" s="37" t="n">
        <f aca="false">1+IF($G$8=$E$8,$F$8,IF(R968&lt;($F$8-$E$8)/($G$8-$E$8),$E$8+SQRT(R968*($G$8-$E$8)*($F$8-$E$8)),$G$8-SQRT((1-R968)*($G$8-$E$8)*($G$8-$F$8))))</f>
        <v>1</v>
      </c>
      <c r="E968" s="37" t="n">
        <f aca="false">1+IF($G$9=$E$9,$F$9,IF(S968&lt;($F$9-$E$9)/($G$9-$E$9),$E$9+SQRT(S968*($G$9-$E$9)*($F$9-$E$9)),$G$9-SQRT((1-S968)*($G$9-$E$9)*($G$9-$F$9))))</f>
        <v>1</v>
      </c>
      <c r="F968" s="37" t="n">
        <f aca="false">1+IF($G$10=$E$10,$F$10,IF(T968&lt;($F$10-$E$10)/($G$10-$E$10),$E$10+SQRT(T968*($G$10-$E$10)*($F$10-$E$10)),$G$10-SQRT((1-T968)*($G$10-$E$10)*($G$10-$F$10))))</f>
        <v>1</v>
      </c>
      <c r="G968" s="38" t="n">
        <f aca="false">IF($G$11=$E$11,$F$11,IF(U968&lt;($F$11-$E$11)/($G$11-$E$11),$E$11+SQRT(U968*($G$11-$E$11)*($F$11-$E$11)),$G$11-SQRT((1-U968)*($G$11-$E$11)*($G$11-$F$11))))</f>
        <v>0</v>
      </c>
      <c r="H968" s="39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0</v>
      </c>
      <c r="I968" s="39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0</v>
      </c>
      <c r="J968" s="39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0</v>
      </c>
      <c r="K968" s="39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0</v>
      </c>
      <c r="L968" s="39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0</v>
      </c>
      <c r="M968" s="39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0</v>
      </c>
      <c r="N968" s="39" t="str">
        <f aca="false">IF(COUNT('Business Case'!B11:G11)=0,"",H968+NPV(G968,I968:M968))</f>
        <v/>
      </c>
      <c r="P968" s="40" t="n">
        <f aca="true">RAND()</f>
        <v>0.934432523178097</v>
      </c>
      <c r="Q968" s="40" t="n">
        <f aca="true">RAND()</f>
        <v>0.448386514665898</v>
      </c>
      <c r="R968" s="40" t="n">
        <f aca="true">RAND()</f>
        <v>0.252938347099538</v>
      </c>
      <c r="S968" s="40" t="n">
        <f aca="true">RAND()</f>
        <v>0.903113853612817</v>
      </c>
      <c r="T968" s="40" t="n">
        <f aca="true">RAND()</f>
        <v>0.706207081171262</v>
      </c>
      <c r="U968" s="40" t="n">
        <f aca="true">RAND()</f>
        <v>0.266459640774692</v>
      </c>
    </row>
    <row r="969" customFormat="false" ht="15" hidden="false" customHeight="false" outlineLevel="0" collapsed="false">
      <c r="A969" s="36" t="n">
        <v>889</v>
      </c>
      <c r="B969" s="37" t="n">
        <f aca="false">1+IF($G$6=$E$6,$F$6,IF(P969&lt;($F$6-$E$6)/($G$6-$E$6),$E$6+SQRT(P969*($G$6-$E$6)*($F$6-$E$6)),$G$6-SQRT((1-P969)*($G$6-$E$6)*($G$6-$F$6))))</f>
        <v>1</v>
      </c>
      <c r="C969" s="37" t="n">
        <f aca="false">1+IF($G$7=$E$7,$F$7,IF(Q969&lt;($F$7-$E$7)/($G$7-$E$7),$E$7+SQRT(Q969*($G$7-$E$7)*($F$7-$E$7)),$G$7-SQRT((1-Q969)*($G$7-$E$7)*($G$7-$F$7))))</f>
        <v>1</v>
      </c>
      <c r="D969" s="37" t="n">
        <f aca="false">1+IF($G$8=$E$8,$F$8,IF(R969&lt;($F$8-$E$8)/($G$8-$E$8),$E$8+SQRT(R969*($G$8-$E$8)*($F$8-$E$8)),$G$8-SQRT((1-R969)*($G$8-$E$8)*($G$8-$F$8))))</f>
        <v>1</v>
      </c>
      <c r="E969" s="37" t="n">
        <f aca="false">1+IF($G$9=$E$9,$F$9,IF(S969&lt;($F$9-$E$9)/($G$9-$E$9),$E$9+SQRT(S969*($G$9-$E$9)*($F$9-$E$9)),$G$9-SQRT((1-S969)*($G$9-$E$9)*($G$9-$F$9))))</f>
        <v>1</v>
      </c>
      <c r="F969" s="37" t="n">
        <f aca="false">1+IF($G$10=$E$10,$F$10,IF(T969&lt;($F$10-$E$10)/($G$10-$E$10),$E$10+SQRT(T969*($G$10-$E$10)*($F$10-$E$10)),$G$10-SQRT((1-T969)*($G$10-$E$10)*($G$10-$F$10))))</f>
        <v>1</v>
      </c>
      <c r="G969" s="38" t="n">
        <f aca="false">IF($G$11=$E$11,$F$11,IF(U969&lt;($F$11-$E$11)/($G$11-$E$11),$E$11+SQRT(U969*($G$11-$E$11)*($F$11-$E$11)),$G$11-SQRT((1-U969)*($G$11-$E$11)*($G$11-$F$11))))</f>
        <v>0</v>
      </c>
      <c r="H969" s="39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0</v>
      </c>
      <c r="I969" s="39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0</v>
      </c>
      <c r="J969" s="39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0</v>
      </c>
      <c r="K969" s="39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0</v>
      </c>
      <c r="L969" s="39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0</v>
      </c>
      <c r="M969" s="39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0</v>
      </c>
      <c r="N969" s="39" t="str">
        <f aca="false">IF(COUNT('Business Case'!B11:G11)=0,"",H969+NPV(G969,I969:M969))</f>
        <v/>
      </c>
      <c r="P969" s="40" t="n">
        <f aca="true">RAND()</f>
        <v>0.42526937874493</v>
      </c>
      <c r="Q969" s="40" t="n">
        <f aca="true">RAND()</f>
        <v>0.98810403300803</v>
      </c>
      <c r="R969" s="40" t="n">
        <f aca="true">RAND()</f>
        <v>0.379915129674163</v>
      </c>
      <c r="S969" s="40" t="n">
        <f aca="true">RAND()</f>
        <v>0.898733021216143</v>
      </c>
      <c r="T969" s="40" t="n">
        <f aca="true">RAND()</f>
        <v>0.0564692760560556</v>
      </c>
      <c r="U969" s="40" t="n">
        <f aca="true">RAND()</f>
        <v>0.787598738752024</v>
      </c>
    </row>
    <row r="970" customFormat="false" ht="15" hidden="false" customHeight="false" outlineLevel="0" collapsed="false">
      <c r="A970" s="36" t="n">
        <v>890</v>
      </c>
      <c r="B970" s="37" t="n">
        <f aca="false">1+IF($G$6=$E$6,$F$6,IF(P970&lt;($F$6-$E$6)/($G$6-$E$6),$E$6+SQRT(P970*($G$6-$E$6)*($F$6-$E$6)),$G$6-SQRT((1-P970)*($G$6-$E$6)*($G$6-$F$6))))</f>
        <v>1</v>
      </c>
      <c r="C970" s="37" t="n">
        <f aca="false">1+IF($G$7=$E$7,$F$7,IF(Q970&lt;($F$7-$E$7)/($G$7-$E$7),$E$7+SQRT(Q970*($G$7-$E$7)*($F$7-$E$7)),$G$7-SQRT((1-Q970)*($G$7-$E$7)*($G$7-$F$7))))</f>
        <v>1</v>
      </c>
      <c r="D970" s="37" t="n">
        <f aca="false">1+IF($G$8=$E$8,$F$8,IF(R970&lt;($F$8-$E$8)/($G$8-$E$8),$E$8+SQRT(R970*($G$8-$E$8)*($F$8-$E$8)),$G$8-SQRT((1-R970)*($G$8-$E$8)*($G$8-$F$8))))</f>
        <v>1</v>
      </c>
      <c r="E970" s="37" t="n">
        <f aca="false">1+IF($G$9=$E$9,$F$9,IF(S970&lt;($F$9-$E$9)/($G$9-$E$9),$E$9+SQRT(S970*($G$9-$E$9)*($F$9-$E$9)),$G$9-SQRT((1-S970)*($G$9-$E$9)*($G$9-$F$9))))</f>
        <v>1</v>
      </c>
      <c r="F970" s="37" t="n">
        <f aca="false">1+IF($G$10=$E$10,$F$10,IF(T970&lt;($F$10-$E$10)/($G$10-$E$10),$E$10+SQRT(T970*($G$10-$E$10)*($F$10-$E$10)),$G$10-SQRT((1-T970)*($G$10-$E$10)*($G$10-$F$10))))</f>
        <v>1</v>
      </c>
      <c r="G970" s="38" t="n">
        <f aca="false">IF($G$11=$E$11,$F$11,IF(U970&lt;($F$11-$E$11)/($G$11-$E$11),$E$11+SQRT(U970*($G$11-$E$11)*($F$11-$E$11)),$G$11-SQRT((1-U970)*($G$11-$E$11)*($G$11-$F$11))))</f>
        <v>0</v>
      </c>
      <c r="H970" s="39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0</v>
      </c>
      <c r="I970" s="39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0</v>
      </c>
      <c r="J970" s="39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0</v>
      </c>
      <c r="K970" s="39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0</v>
      </c>
      <c r="L970" s="39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0</v>
      </c>
      <c r="M970" s="39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0</v>
      </c>
      <c r="N970" s="39" t="str">
        <f aca="false">IF(COUNT('Business Case'!B11:G11)=0,"",H970+NPV(G970,I970:M970))</f>
        <v/>
      </c>
      <c r="P970" s="40" t="n">
        <f aca="true">RAND()</f>
        <v>0.0307392259649861</v>
      </c>
      <c r="Q970" s="40" t="n">
        <f aca="true">RAND()</f>
        <v>0.24322506507399</v>
      </c>
      <c r="R970" s="40" t="n">
        <f aca="true">RAND()</f>
        <v>0.985490570127074</v>
      </c>
      <c r="S970" s="40" t="n">
        <f aca="true">RAND()</f>
        <v>0.380477360268557</v>
      </c>
      <c r="T970" s="40" t="n">
        <f aca="true">RAND()</f>
        <v>0.696020691854951</v>
      </c>
      <c r="U970" s="40" t="n">
        <f aca="true">RAND()</f>
        <v>0.361893187066944</v>
      </c>
    </row>
    <row r="971" customFormat="false" ht="15" hidden="false" customHeight="false" outlineLevel="0" collapsed="false">
      <c r="A971" s="36" t="n">
        <v>891</v>
      </c>
      <c r="B971" s="37" t="n">
        <f aca="false">1+IF($G$6=$E$6,$F$6,IF(P971&lt;($F$6-$E$6)/($G$6-$E$6),$E$6+SQRT(P971*($G$6-$E$6)*($F$6-$E$6)),$G$6-SQRT((1-P971)*($G$6-$E$6)*($G$6-$F$6))))</f>
        <v>1</v>
      </c>
      <c r="C971" s="37" t="n">
        <f aca="false">1+IF($G$7=$E$7,$F$7,IF(Q971&lt;($F$7-$E$7)/($G$7-$E$7),$E$7+SQRT(Q971*($G$7-$E$7)*($F$7-$E$7)),$G$7-SQRT((1-Q971)*($G$7-$E$7)*($G$7-$F$7))))</f>
        <v>1</v>
      </c>
      <c r="D971" s="37" t="n">
        <f aca="false">1+IF($G$8=$E$8,$F$8,IF(R971&lt;($F$8-$E$8)/($G$8-$E$8),$E$8+SQRT(R971*($G$8-$E$8)*($F$8-$E$8)),$G$8-SQRT((1-R971)*($G$8-$E$8)*($G$8-$F$8))))</f>
        <v>1</v>
      </c>
      <c r="E971" s="37" t="n">
        <f aca="false">1+IF($G$9=$E$9,$F$9,IF(S971&lt;($F$9-$E$9)/($G$9-$E$9),$E$9+SQRT(S971*($G$9-$E$9)*($F$9-$E$9)),$G$9-SQRT((1-S971)*($G$9-$E$9)*($G$9-$F$9))))</f>
        <v>1</v>
      </c>
      <c r="F971" s="37" t="n">
        <f aca="false">1+IF($G$10=$E$10,$F$10,IF(T971&lt;($F$10-$E$10)/($G$10-$E$10),$E$10+SQRT(T971*($G$10-$E$10)*($F$10-$E$10)),$G$10-SQRT((1-T971)*($G$10-$E$10)*($G$10-$F$10))))</f>
        <v>1</v>
      </c>
      <c r="G971" s="38" t="n">
        <f aca="false">IF($G$11=$E$11,$F$11,IF(U971&lt;($F$11-$E$11)/($G$11-$E$11),$E$11+SQRT(U971*($G$11-$E$11)*($F$11-$E$11)),$G$11-SQRT((1-U971)*($G$11-$E$11)*($G$11-$F$11))))</f>
        <v>0</v>
      </c>
      <c r="H971" s="39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0</v>
      </c>
      <c r="I971" s="39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0</v>
      </c>
      <c r="J971" s="39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0</v>
      </c>
      <c r="K971" s="39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0</v>
      </c>
      <c r="L971" s="39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0</v>
      </c>
      <c r="M971" s="39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0</v>
      </c>
      <c r="N971" s="39" t="str">
        <f aca="false">IF(COUNT('Business Case'!B11:G11)=0,"",H971+NPV(G971,I971:M971))</f>
        <v/>
      </c>
      <c r="P971" s="40" t="n">
        <f aca="true">RAND()</f>
        <v>0.539191678414565</v>
      </c>
      <c r="Q971" s="40" t="n">
        <f aca="true">RAND()</f>
        <v>0.535197194108661</v>
      </c>
      <c r="R971" s="40" t="n">
        <f aca="true">RAND()</f>
        <v>0.863295782984144</v>
      </c>
      <c r="S971" s="40" t="n">
        <f aca="true">RAND()</f>
        <v>0.591589595092146</v>
      </c>
      <c r="T971" s="40" t="n">
        <f aca="true">RAND()</f>
        <v>0.553663889276254</v>
      </c>
      <c r="U971" s="40" t="n">
        <f aca="true">RAND()</f>
        <v>0.400931666414818</v>
      </c>
    </row>
    <row r="972" customFormat="false" ht="15" hidden="false" customHeight="false" outlineLevel="0" collapsed="false">
      <c r="A972" s="36" t="n">
        <v>892</v>
      </c>
      <c r="B972" s="37" t="n">
        <f aca="false">1+IF($G$6=$E$6,$F$6,IF(P972&lt;($F$6-$E$6)/($G$6-$E$6),$E$6+SQRT(P972*($G$6-$E$6)*($F$6-$E$6)),$G$6-SQRT((1-P972)*($G$6-$E$6)*($G$6-$F$6))))</f>
        <v>1</v>
      </c>
      <c r="C972" s="37" t="n">
        <f aca="false">1+IF($G$7=$E$7,$F$7,IF(Q972&lt;($F$7-$E$7)/($G$7-$E$7),$E$7+SQRT(Q972*($G$7-$E$7)*($F$7-$E$7)),$G$7-SQRT((1-Q972)*($G$7-$E$7)*($G$7-$F$7))))</f>
        <v>1</v>
      </c>
      <c r="D972" s="37" t="n">
        <f aca="false">1+IF($G$8=$E$8,$F$8,IF(R972&lt;($F$8-$E$8)/($G$8-$E$8),$E$8+SQRT(R972*($G$8-$E$8)*($F$8-$E$8)),$G$8-SQRT((1-R972)*($G$8-$E$8)*($G$8-$F$8))))</f>
        <v>1</v>
      </c>
      <c r="E972" s="37" t="n">
        <f aca="false">1+IF($G$9=$E$9,$F$9,IF(S972&lt;($F$9-$E$9)/($G$9-$E$9),$E$9+SQRT(S972*($G$9-$E$9)*($F$9-$E$9)),$G$9-SQRT((1-S972)*($G$9-$E$9)*($G$9-$F$9))))</f>
        <v>1</v>
      </c>
      <c r="F972" s="37" t="n">
        <f aca="false">1+IF($G$10=$E$10,$F$10,IF(T972&lt;($F$10-$E$10)/($G$10-$E$10),$E$10+SQRT(T972*($G$10-$E$10)*($F$10-$E$10)),$G$10-SQRT((1-T972)*($G$10-$E$10)*($G$10-$F$10))))</f>
        <v>1</v>
      </c>
      <c r="G972" s="38" t="n">
        <f aca="false">IF($G$11=$E$11,$F$11,IF(U972&lt;($F$11-$E$11)/($G$11-$E$11),$E$11+SQRT(U972*($G$11-$E$11)*($F$11-$E$11)),$G$11-SQRT((1-U972)*($G$11-$E$11)*($G$11-$F$11))))</f>
        <v>0</v>
      </c>
      <c r="H972" s="39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0</v>
      </c>
      <c r="I972" s="39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0</v>
      </c>
      <c r="J972" s="39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0</v>
      </c>
      <c r="K972" s="39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0</v>
      </c>
      <c r="L972" s="39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0</v>
      </c>
      <c r="M972" s="39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0</v>
      </c>
      <c r="N972" s="39" t="str">
        <f aca="false">IF(COUNT('Business Case'!B11:G11)=0,"",H972+NPV(G972,I972:M972))</f>
        <v/>
      </c>
      <c r="P972" s="40" t="n">
        <f aca="true">RAND()</f>
        <v>0.478087581899015</v>
      </c>
      <c r="Q972" s="40" t="n">
        <f aca="true">RAND()</f>
        <v>0.0767529563945469</v>
      </c>
      <c r="R972" s="40" t="n">
        <f aca="true">RAND()</f>
        <v>0.895788509346463</v>
      </c>
      <c r="S972" s="40" t="n">
        <f aca="true">RAND()</f>
        <v>0.420713926823345</v>
      </c>
      <c r="T972" s="40" t="n">
        <f aca="true">RAND()</f>
        <v>0.337045239030669</v>
      </c>
      <c r="U972" s="40" t="n">
        <f aca="true">RAND()</f>
        <v>0.0735817875531931</v>
      </c>
    </row>
    <row r="973" customFormat="false" ht="15" hidden="false" customHeight="false" outlineLevel="0" collapsed="false">
      <c r="A973" s="36" t="n">
        <v>893</v>
      </c>
      <c r="B973" s="37" t="n">
        <f aca="false">1+IF($G$6=$E$6,$F$6,IF(P973&lt;($F$6-$E$6)/($G$6-$E$6),$E$6+SQRT(P973*($G$6-$E$6)*($F$6-$E$6)),$G$6-SQRT((1-P973)*($G$6-$E$6)*($G$6-$F$6))))</f>
        <v>1</v>
      </c>
      <c r="C973" s="37" t="n">
        <f aca="false">1+IF($G$7=$E$7,$F$7,IF(Q973&lt;($F$7-$E$7)/($G$7-$E$7),$E$7+SQRT(Q973*($G$7-$E$7)*($F$7-$E$7)),$G$7-SQRT((1-Q973)*($G$7-$E$7)*($G$7-$F$7))))</f>
        <v>1</v>
      </c>
      <c r="D973" s="37" t="n">
        <f aca="false">1+IF($G$8=$E$8,$F$8,IF(R973&lt;($F$8-$E$8)/($G$8-$E$8),$E$8+SQRT(R973*($G$8-$E$8)*($F$8-$E$8)),$G$8-SQRT((1-R973)*($G$8-$E$8)*($G$8-$F$8))))</f>
        <v>1</v>
      </c>
      <c r="E973" s="37" t="n">
        <f aca="false">1+IF($G$9=$E$9,$F$9,IF(S973&lt;($F$9-$E$9)/($G$9-$E$9),$E$9+SQRT(S973*($G$9-$E$9)*($F$9-$E$9)),$G$9-SQRT((1-S973)*($G$9-$E$9)*($G$9-$F$9))))</f>
        <v>1</v>
      </c>
      <c r="F973" s="37" t="n">
        <f aca="false">1+IF($G$10=$E$10,$F$10,IF(T973&lt;($F$10-$E$10)/($G$10-$E$10),$E$10+SQRT(T973*($G$10-$E$10)*($F$10-$E$10)),$G$10-SQRT((1-T973)*($G$10-$E$10)*($G$10-$F$10))))</f>
        <v>1</v>
      </c>
      <c r="G973" s="38" t="n">
        <f aca="false">IF($G$11=$E$11,$F$11,IF(U973&lt;($F$11-$E$11)/($G$11-$E$11),$E$11+SQRT(U973*($G$11-$E$11)*($F$11-$E$11)),$G$11-SQRT((1-U973)*($G$11-$E$11)*($G$11-$F$11))))</f>
        <v>0</v>
      </c>
      <c r="H973" s="39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0</v>
      </c>
      <c r="I973" s="39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0</v>
      </c>
      <c r="J973" s="39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0</v>
      </c>
      <c r="K973" s="39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0</v>
      </c>
      <c r="L973" s="39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0</v>
      </c>
      <c r="M973" s="39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0</v>
      </c>
      <c r="N973" s="39" t="str">
        <f aca="false">IF(COUNT('Business Case'!B11:G11)=0,"",H973+NPV(G973,I973:M973))</f>
        <v/>
      </c>
      <c r="P973" s="40" t="n">
        <f aca="true">RAND()</f>
        <v>0.144998171993571</v>
      </c>
      <c r="Q973" s="40" t="n">
        <f aca="true">RAND()</f>
        <v>0.554362844394345</v>
      </c>
      <c r="R973" s="40" t="n">
        <f aca="true">RAND()</f>
        <v>0.909031470929861</v>
      </c>
      <c r="S973" s="40" t="n">
        <f aca="true">RAND()</f>
        <v>0.33130256506875</v>
      </c>
      <c r="T973" s="40" t="n">
        <f aca="true">RAND()</f>
        <v>0.0420931908784968</v>
      </c>
      <c r="U973" s="40" t="n">
        <f aca="true">RAND()</f>
        <v>0.810556966854231</v>
      </c>
    </row>
    <row r="974" customFormat="false" ht="15" hidden="false" customHeight="false" outlineLevel="0" collapsed="false">
      <c r="A974" s="36" t="n">
        <v>894</v>
      </c>
      <c r="B974" s="37" t="n">
        <f aca="false">1+IF($G$6=$E$6,$F$6,IF(P974&lt;($F$6-$E$6)/($G$6-$E$6),$E$6+SQRT(P974*($G$6-$E$6)*($F$6-$E$6)),$G$6-SQRT((1-P974)*($G$6-$E$6)*($G$6-$F$6))))</f>
        <v>1</v>
      </c>
      <c r="C974" s="37" t="n">
        <f aca="false">1+IF($G$7=$E$7,$F$7,IF(Q974&lt;($F$7-$E$7)/($G$7-$E$7),$E$7+SQRT(Q974*($G$7-$E$7)*($F$7-$E$7)),$G$7-SQRT((1-Q974)*($G$7-$E$7)*($G$7-$F$7))))</f>
        <v>1</v>
      </c>
      <c r="D974" s="37" t="n">
        <f aca="false">1+IF($G$8=$E$8,$F$8,IF(R974&lt;($F$8-$E$8)/($G$8-$E$8),$E$8+SQRT(R974*($G$8-$E$8)*($F$8-$E$8)),$G$8-SQRT((1-R974)*($G$8-$E$8)*($G$8-$F$8))))</f>
        <v>1</v>
      </c>
      <c r="E974" s="37" t="n">
        <f aca="false">1+IF($G$9=$E$9,$F$9,IF(S974&lt;($F$9-$E$9)/($G$9-$E$9),$E$9+SQRT(S974*($G$9-$E$9)*($F$9-$E$9)),$G$9-SQRT((1-S974)*($G$9-$E$9)*($G$9-$F$9))))</f>
        <v>1</v>
      </c>
      <c r="F974" s="37" t="n">
        <f aca="false">1+IF($G$10=$E$10,$F$10,IF(T974&lt;($F$10-$E$10)/($G$10-$E$10),$E$10+SQRT(T974*($G$10-$E$10)*($F$10-$E$10)),$G$10-SQRT((1-T974)*($G$10-$E$10)*($G$10-$F$10))))</f>
        <v>1</v>
      </c>
      <c r="G974" s="38" t="n">
        <f aca="false">IF($G$11=$E$11,$F$11,IF(U974&lt;($F$11-$E$11)/($G$11-$E$11),$E$11+SQRT(U974*($G$11-$E$11)*($F$11-$E$11)),$G$11-SQRT((1-U974)*($G$11-$E$11)*($G$11-$F$11))))</f>
        <v>0</v>
      </c>
      <c r="H974" s="39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0</v>
      </c>
      <c r="I974" s="39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0</v>
      </c>
      <c r="J974" s="39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0</v>
      </c>
      <c r="K974" s="39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0</v>
      </c>
      <c r="L974" s="39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0</v>
      </c>
      <c r="M974" s="39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0</v>
      </c>
      <c r="N974" s="39" t="str">
        <f aca="false">IF(COUNT('Business Case'!B11:G11)=0,"",H974+NPV(G974,I974:M974))</f>
        <v/>
      </c>
      <c r="P974" s="40" t="n">
        <f aca="true">RAND()</f>
        <v>0.019402440106499</v>
      </c>
      <c r="Q974" s="40" t="n">
        <f aca="true">RAND()</f>
        <v>0.190440063597522</v>
      </c>
      <c r="R974" s="40" t="n">
        <f aca="true">RAND()</f>
        <v>0.32323851346376</v>
      </c>
      <c r="S974" s="40" t="n">
        <f aca="true">RAND()</f>
        <v>0.895326105253905</v>
      </c>
      <c r="T974" s="40" t="n">
        <f aca="true">RAND()</f>
        <v>0.91506131921269</v>
      </c>
      <c r="U974" s="40" t="n">
        <f aca="true">RAND()</f>
        <v>0.286549751145058</v>
      </c>
    </row>
    <row r="975" customFormat="false" ht="15" hidden="false" customHeight="false" outlineLevel="0" collapsed="false">
      <c r="A975" s="36" t="n">
        <v>895</v>
      </c>
      <c r="B975" s="37" t="n">
        <f aca="false">1+IF($G$6=$E$6,$F$6,IF(P975&lt;($F$6-$E$6)/($G$6-$E$6),$E$6+SQRT(P975*($G$6-$E$6)*($F$6-$E$6)),$G$6-SQRT((1-P975)*($G$6-$E$6)*($G$6-$F$6))))</f>
        <v>1</v>
      </c>
      <c r="C975" s="37" t="n">
        <f aca="false">1+IF($G$7=$E$7,$F$7,IF(Q975&lt;($F$7-$E$7)/($G$7-$E$7),$E$7+SQRT(Q975*($G$7-$E$7)*($F$7-$E$7)),$G$7-SQRT((1-Q975)*($G$7-$E$7)*($G$7-$F$7))))</f>
        <v>1</v>
      </c>
      <c r="D975" s="37" t="n">
        <f aca="false">1+IF($G$8=$E$8,$F$8,IF(R975&lt;($F$8-$E$8)/($G$8-$E$8),$E$8+SQRT(R975*($G$8-$E$8)*($F$8-$E$8)),$G$8-SQRT((1-R975)*($G$8-$E$8)*($G$8-$F$8))))</f>
        <v>1</v>
      </c>
      <c r="E975" s="37" t="n">
        <f aca="false">1+IF($G$9=$E$9,$F$9,IF(S975&lt;($F$9-$E$9)/($G$9-$E$9),$E$9+SQRT(S975*($G$9-$E$9)*($F$9-$E$9)),$G$9-SQRT((1-S975)*($G$9-$E$9)*($G$9-$F$9))))</f>
        <v>1</v>
      </c>
      <c r="F975" s="37" t="n">
        <f aca="false">1+IF($G$10=$E$10,$F$10,IF(T975&lt;($F$10-$E$10)/($G$10-$E$10),$E$10+SQRT(T975*($G$10-$E$10)*($F$10-$E$10)),$G$10-SQRT((1-T975)*($G$10-$E$10)*($G$10-$F$10))))</f>
        <v>1</v>
      </c>
      <c r="G975" s="38" t="n">
        <f aca="false">IF($G$11=$E$11,$F$11,IF(U975&lt;($F$11-$E$11)/($G$11-$E$11),$E$11+SQRT(U975*($G$11-$E$11)*($F$11-$E$11)),$G$11-SQRT((1-U975)*($G$11-$E$11)*($G$11-$F$11))))</f>
        <v>0</v>
      </c>
      <c r="H975" s="39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0</v>
      </c>
      <c r="I975" s="39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0</v>
      </c>
      <c r="J975" s="39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0</v>
      </c>
      <c r="K975" s="39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0</v>
      </c>
      <c r="L975" s="39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0</v>
      </c>
      <c r="M975" s="39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0</v>
      </c>
      <c r="N975" s="39" t="str">
        <f aca="false">IF(COUNT('Business Case'!B11:G11)=0,"",H975+NPV(G975,I975:M975))</f>
        <v/>
      </c>
      <c r="P975" s="40" t="n">
        <f aca="true">RAND()</f>
        <v>0.4058194243951</v>
      </c>
      <c r="Q975" s="40" t="n">
        <f aca="true">RAND()</f>
        <v>0.105337813276339</v>
      </c>
      <c r="R975" s="40" t="n">
        <f aca="true">RAND()</f>
        <v>0.360377738936681</v>
      </c>
      <c r="S975" s="40" t="n">
        <f aca="true">RAND()</f>
        <v>0.916648806309989</v>
      </c>
      <c r="T975" s="40" t="n">
        <f aca="true">RAND()</f>
        <v>0.953314506475647</v>
      </c>
      <c r="U975" s="40" t="n">
        <f aca="true">RAND()</f>
        <v>0.951340566211699</v>
      </c>
    </row>
    <row r="976" customFormat="false" ht="15" hidden="false" customHeight="false" outlineLevel="0" collapsed="false">
      <c r="A976" s="36" t="n">
        <v>896</v>
      </c>
      <c r="B976" s="37" t="n">
        <f aca="false">1+IF($G$6=$E$6,$F$6,IF(P976&lt;($F$6-$E$6)/($G$6-$E$6),$E$6+SQRT(P976*($G$6-$E$6)*($F$6-$E$6)),$G$6-SQRT((1-P976)*($G$6-$E$6)*($G$6-$F$6))))</f>
        <v>1</v>
      </c>
      <c r="C976" s="37" t="n">
        <f aca="false">1+IF($G$7=$E$7,$F$7,IF(Q976&lt;($F$7-$E$7)/($G$7-$E$7),$E$7+SQRT(Q976*($G$7-$E$7)*($F$7-$E$7)),$G$7-SQRT((1-Q976)*($G$7-$E$7)*($G$7-$F$7))))</f>
        <v>1</v>
      </c>
      <c r="D976" s="37" t="n">
        <f aca="false">1+IF($G$8=$E$8,$F$8,IF(R976&lt;($F$8-$E$8)/($G$8-$E$8),$E$8+SQRT(R976*($G$8-$E$8)*($F$8-$E$8)),$G$8-SQRT((1-R976)*($G$8-$E$8)*($G$8-$F$8))))</f>
        <v>1</v>
      </c>
      <c r="E976" s="37" t="n">
        <f aca="false">1+IF($G$9=$E$9,$F$9,IF(S976&lt;($F$9-$E$9)/($G$9-$E$9),$E$9+SQRT(S976*($G$9-$E$9)*($F$9-$E$9)),$G$9-SQRT((1-S976)*($G$9-$E$9)*($G$9-$F$9))))</f>
        <v>1</v>
      </c>
      <c r="F976" s="37" t="n">
        <f aca="false">1+IF($G$10=$E$10,$F$10,IF(T976&lt;($F$10-$E$10)/($G$10-$E$10),$E$10+SQRT(T976*($G$10-$E$10)*($F$10-$E$10)),$G$10-SQRT((1-T976)*($G$10-$E$10)*($G$10-$F$10))))</f>
        <v>1</v>
      </c>
      <c r="G976" s="38" t="n">
        <f aca="false">IF($G$11=$E$11,$F$11,IF(U976&lt;($F$11-$E$11)/($G$11-$E$11),$E$11+SQRT(U976*($G$11-$E$11)*($F$11-$E$11)),$G$11-SQRT((1-U976)*($G$11-$E$11)*($G$11-$F$11))))</f>
        <v>0</v>
      </c>
      <c r="H976" s="39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0</v>
      </c>
      <c r="I976" s="39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0</v>
      </c>
      <c r="J976" s="39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0</v>
      </c>
      <c r="K976" s="39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0</v>
      </c>
      <c r="L976" s="39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0</v>
      </c>
      <c r="M976" s="39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0</v>
      </c>
      <c r="N976" s="39" t="str">
        <f aca="false">IF(COUNT('Business Case'!B11:G11)=0,"",H976+NPV(G976,I976:M976))</f>
        <v/>
      </c>
      <c r="P976" s="40" t="n">
        <f aca="true">RAND()</f>
        <v>0.923416397715062</v>
      </c>
      <c r="Q976" s="40" t="n">
        <f aca="true">RAND()</f>
        <v>0.0428505594700105</v>
      </c>
      <c r="R976" s="40" t="n">
        <f aca="true">RAND()</f>
        <v>0.6987795840605</v>
      </c>
      <c r="S976" s="40" t="n">
        <f aca="true">RAND()</f>
        <v>0.378596783029026</v>
      </c>
      <c r="T976" s="40" t="n">
        <f aca="true">RAND()</f>
        <v>0.41472327216852</v>
      </c>
      <c r="U976" s="40" t="n">
        <f aca="true">RAND()</f>
        <v>0.161538510663566</v>
      </c>
    </row>
    <row r="977" customFormat="false" ht="15" hidden="false" customHeight="false" outlineLevel="0" collapsed="false">
      <c r="A977" s="36" t="n">
        <v>897</v>
      </c>
      <c r="B977" s="37" t="n">
        <f aca="false">1+IF($G$6=$E$6,$F$6,IF(P977&lt;($F$6-$E$6)/($G$6-$E$6),$E$6+SQRT(P977*($G$6-$E$6)*($F$6-$E$6)),$G$6-SQRT((1-P977)*($G$6-$E$6)*($G$6-$F$6))))</f>
        <v>1</v>
      </c>
      <c r="C977" s="37" t="n">
        <f aca="false">1+IF($G$7=$E$7,$F$7,IF(Q977&lt;($F$7-$E$7)/($G$7-$E$7),$E$7+SQRT(Q977*($G$7-$E$7)*($F$7-$E$7)),$G$7-SQRT((1-Q977)*($G$7-$E$7)*($G$7-$F$7))))</f>
        <v>1</v>
      </c>
      <c r="D977" s="37" t="n">
        <f aca="false">1+IF($G$8=$E$8,$F$8,IF(R977&lt;($F$8-$E$8)/($G$8-$E$8),$E$8+SQRT(R977*($G$8-$E$8)*($F$8-$E$8)),$G$8-SQRT((1-R977)*($G$8-$E$8)*($G$8-$F$8))))</f>
        <v>1</v>
      </c>
      <c r="E977" s="37" t="n">
        <f aca="false">1+IF($G$9=$E$9,$F$9,IF(S977&lt;($F$9-$E$9)/($G$9-$E$9),$E$9+SQRT(S977*($G$9-$E$9)*($F$9-$E$9)),$G$9-SQRT((1-S977)*($G$9-$E$9)*($G$9-$F$9))))</f>
        <v>1</v>
      </c>
      <c r="F977" s="37" t="n">
        <f aca="false">1+IF($G$10=$E$10,$F$10,IF(T977&lt;($F$10-$E$10)/($G$10-$E$10),$E$10+SQRT(T977*($G$10-$E$10)*($F$10-$E$10)),$G$10-SQRT((1-T977)*($G$10-$E$10)*($G$10-$F$10))))</f>
        <v>1</v>
      </c>
      <c r="G977" s="38" t="n">
        <f aca="false">IF($G$11=$E$11,$F$11,IF(U977&lt;($F$11-$E$11)/($G$11-$E$11),$E$11+SQRT(U977*($G$11-$E$11)*($F$11-$E$11)),$G$11-SQRT((1-U977)*($G$11-$E$11)*($G$11-$F$11))))</f>
        <v>0</v>
      </c>
      <c r="H977" s="39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0</v>
      </c>
      <c r="I977" s="39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0</v>
      </c>
      <c r="J977" s="39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0</v>
      </c>
      <c r="K977" s="39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0</v>
      </c>
      <c r="L977" s="39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0</v>
      </c>
      <c r="M977" s="39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0</v>
      </c>
      <c r="N977" s="39" t="str">
        <f aca="false">IF(COUNT('Business Case'!B11:G11)=0,"",H977+NPV(G977,I977:M977))</f>
        <v/>
      </c>
      <c r="P977" s="40" t="n">
        <f aca="true">RAND()</f>
        <v>0.314027817975457</v>
      </c>
      <c r="Q977" s="40" t="n">
        <f aca="true">RAND()</f>
        <v>0.661919317828025</v>
      </c>
      <c r="R977" s="40" t="n">
        <f aca="true">RAND()</f>
        <v>0.732964944678804</v>
      </c>
      <c r="S977" s="40" t="n">
        <f aca="true">RAND()</f>
        <v>0.463635852189104</v>
      </c>
      <c r="T977" s="40" t="n">
        <f aca="true">RAND()</f>
        <v>0.618005381336124</v>
      </c>
      <c r="U977" s="40" t="n">
        <f aca="true">RAND()</f>
        <v>0.798936584723322</v>
      </c>
    </row>
    <row r="978" customFormat="false" ht="15" hidden="false" customHeight="false" outlineLevel="0" collapsed="false">
      <c r="A978" s="36" t="n">
        <v>898</v>
      </c>
      <c r="B978" s="37" t="n">
        <f aca="false">1+IF($G$6=$E$6,$F$6,IF(P978&lt;($F$6-$E$6)/($G$6-$E$6),$E$6+SQRT(P978*($G$6-$E$6)*($F$6-$E$6)),$G$6-SQRT((1-P978)*($G$6-$E$6)*($G$6-$F$6))))</f>
        <v>1</v>
      </c>
      <c r="C978" s="37" t="n">
        <f aca="false">1+IF($G$7=$E$7,$F$7,IF(Q978&lt;($F$7-$E$7)/($G$7-$E$7),$E$7+SQRT(Q978*($G$7-$E$7)*($F$7-$E$7)),$G$7-SQRT((1-Q978)*($G$7-$E$7)*($G$7-$F$7))))</f>
        <v>1</v>
      </c>
      <c r="D978" s="37" t="n">
        <f aca="false">1+IF($G$8=$E$8,$F$8,IF(R978&lt;($F$8-$E$8)/($G$8-$E$8),$E$8+SQRT(R978*($G$8-$E$8)*($F$8-$E$8)),$G$8-SQRT((1-R978)*($G$8-$E$8)*($G$8-$F$8))))</f>
        <v>1</v>
      </c>
      <c r="E978" s="37" t="n">
        <f aca="false">1+IF($G$9=$E$9,$F$9,IF(S978&lt;($F$9-$E$9)/($G$9-$E$9),$E$9+SQRT(S978*($G$9-$E$9)*($F$9-$E$9)),$G$9-SQRT((1-S978)*($G$9-$E$9)*($G$9-$F$9))))</f>
        <v>1</v>
      </c>
      <c r="F978" s="37" t="n">
        <f aca="false">1+IF($G$10=$E$10,$F$10,IF(T978&lt;($F$10-$E$10)/($G$10-$E$10),$E$10+SQRT(T978*($G$10-$E$10)*($F$10-$E$10)),$G$10-SQRT((1-T978)*($G$10-$E$10)*($G$10-$F$10))))</f>
        <v>1</v>
      </c>
      <c r="G978" s="38" t="n">
        <f aca="false">IF($G$11=$E$11,$F$11,IF(U978&lt;($F$11-$E$11)/($G$11-$E$11),$E$11+SQRT(U978*($G$11-$E$11)*($F$11-$E$11)),$G$11-SQRT((1-U978)*($G$11-$E$11)*($G$11-$F$11))))</f>
        <v>0</v>
      </c>
      <c r="H978" s="39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0</v>
      </c>
      <c r="I978" s="39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0</v>
      </c>
      <c r="J978" s="39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0</v>
      </c>
      <c r="K978" s="39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0</v>
      </c>
      <c r="L978" s="39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0</v>
      </c>
      <c r="M978" s="39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0</v>
      </c>
      <c r="N978" s="39" t="str">
        <f aca="false">IF(COUNT('Business Case'!B11:G11)=0,"",H978+NPV(G978,I978:M978))</f>
        <v/>
      </c>
      <c r="P978" s="40" t="n">
        <f aca="true">RAND()</f>
        <v>0.87282402229725</v>
      </c>
      <c r="Q978" s="40" t="n">
        <f aca="true">RAND()</f>
        <v>0.962474884055246</v>
      </c>
      <c r="R978" s="40" t="n">
        <f aca="true">RAND()</f>
        <v>0.353419892759439</v>
      </c>
      <c r="S978" s="40" t="n">
        <f aca="true">RAND()</f>
        <v>0.345599896731026</v>
      </c>
      <c r="T978" s="40" t="n">
        <f aca="true">RAND()</f>
        <v>0.17930348889353</v>
      </c>
      <c r="U978" s="40" t="n">
        <f aca="true">RAND()</f>
        <v>0.0195247889913747</v>
      </c>
    </row>
    <row r="979" customFormat="false" ht="15" hidden="false" customHeight="false" outlineLevel="0" collapsed="false">
      <c r="A979" s="36" t="n">
        <v>899</v>
      </c>
      <c r="B979" s="37" t="n">
        <f aca="false">1+IF($G$6=$E$6,$F$6,IF(P979&lt;($F$6-$E$6)/($G$6-$E$6),$E$6+SQRT(P979*($G$6-$E$6)*($F$6-$E$6)),$G$6-SQRT((1-P979)*($G$6-$E$6)*($G$6-$F$6))))</f>
        <v>1</v>
      </c>
      <c r="C979" s="37" t="n">
        <f aca="false">1+IF($G$7=$E$7,$F$7,IF(Q979&lt;($F$7-$E$7)/($G$7-$E$7),$E$7+SQRT(Q979*($G$7-$E$7)*($F$7-$E$7)),$G$7-SQRT((1-Q979)*($G$7-$E$7)*($G$7-$F$7))))</f>
        <v>1</v>
      </c>
      <c r="D979" s="37" t="n">
        <f aca="false">1+IF($G$8=$E$8,$F$8,IF(R979&lt;($F$8-$E$8)/($G$8-$E$8),$E$8+SQRT(R979*($G$8-$E$8)*($F$8-$E$8)),$G$8-SQRT((1-R979)*($G$8-$E$8)*($G$8-$F$8))))</f>
        <v>1</v>
      </c>
      <c r="E979" s="37" t="n">
        <f aca="false">1+IF($G$9=$E$9,$F$9,IF(S979&lt;($F$9-$E$9)/($G$9-$E$9),$E$9+SQRT(S979*($G$9-$E$9)*($F$9-$E$9)),$G$9-SQRT((1-S979)*($G$9-$E$9)*($G$9-$F$9))))</f>
        <v>1</v>
      </c>
      <c r="F979" s="37" t="n">
        <f aca="false">1+IF($G$10=$E$10,$F$10,IF(T979&lt;($F$10-$E$10)/($G$10-$E$10),$E$10+SQRT(T979*($G$10-$E$10)*($F$10-$E$10)),$G$10-SQRT((1-T979)*($G$10-$E$10)*($G$10-$F$10))))</f>
        <v>1</v>
      </c>
      <c r="G979" s="38" t="n">
        <f aca="false">IF($G$11=$E$11,$F$11,IF(U979&lt;($F$11-$E$11)/($G$11-$E$11),$E$11+SQRT(U979*($G$11-$E$11)*($F$11-$E$11)),$G$11-SQRT((1-U979)*($G$11-$E$11)*($G$11-$F$11))))</f>
        <v>0</v>
      </c>
      <c r="H979" s="39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0</v>
      </c>
      <c r="I979" s="39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0</v>
      </c>
      <c r="J979" s="39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0</v>
      </c>
      <c r="K979" s="39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0</v>
      </c>
      <c r="L979" s="39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0</v>
      </c>
      <c r="M979" s="39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0</v>
      </c>
      <c r="N979" s="39" t="str">
        <f aca="false">IF(COUNT('Business Case'!B11:G11)=0,"",H979+NPV(G979,I979:M979))</f>
        <v/>
      </c>
      <c r="P979" s="40" t="n">
        <f aca="true">RAND()</f>
        <v>0.564735789879913</v>
      </c>
      <c r="Q979" s="40" t="n">
        <f aca="true">RAND()</f>
        <v>0.525020766282831</v>
      </c>
      <c r="R979" s="40" t="n">
        <f aca="true">RAND()</f>
        <v>0.345517303468382</v>
      </c>
      <c r="S979" s="40" t="n">
        <f aca="true">RAND()</f>
        <v>0.991401121822494</v>
      </c>
      <c r="T979" s="40" t="n">
        <f aca="true">RAND()</f>
        <v>0.599628602678199</v>
      </c>
      <c r="U979" s="40" t="n">
        <f aca="true">RAND()</f>
        <v>0.682664455750448</v>
      </c>
    </row>
    <row r="980" customFormat="false" ht="15" hidden="false" customHeight="false" outlineLevel="0" collapsed="false">
      <c r="A980" s="36" t="n">
        <v>900</v>
      </c>
      <c r="B980" s="37" t="n">
        <f aca="false">1+IF($G$6=$E$6,$F$6,IF(P980&lt;($F$6-$E$6)/($G$6-$E$6),$E$6+SQRT(P980*($G$6-$E$6)*($F$6-$E$6)),$G$6-SQRT((1-P980)*($G$6-$E$6)*($G$6-$F$6))))</f>
        <v>1</v>
      </c>
      <c r="C980" s="37" t="n">
        <f aca="false">1+IF($G$7=$E$7,$F$7,IF(Q980&lt;($F$7-$E$7)/($G$7-$E$7),$E$7+SQRT(Q980*($G$7-$E$7)*($F$7-$E$7)),$G$7-SQRT((1-Q980)*($G$7-$E$7)*($G$7-$F$7))))</f>
        <v>1</v>
      </c>
      <c r="D980" s="37" t="n">
        <f aca="false">1+IF($G$8=$E$8,$F$8,IF(R980&lt;($F$8-$E$8)/($G$8-$E$8),$E$8+SQRT(R980*($G$8-$E$8)*($F$8-$E$8)),$G$8-SQRT((1-R980)*($G$8-$E$8)*($G$8-$F$8))))</f>
        <v>1</v>
      </c>
      <c r="E980" s="37" t="n">
        <f aca="false">1+IF($G$9=$E$9,$F$9,IF(S980&lt;($F$9-$E$9)/($G$9-$E$9),$E$9+SQRT(S980*($G$9-$E$9)*($F$9-$E$9)),$G$9-SQRT((1-S980)*($G$9-$E$9)*($G$9-$F$9))))</f>
        <v>1</v>
      </c>
      <c r="F980" s="37" t="n">
        <f aca="false">1+IF($G$10=$E$10,$F$10,IF(T980&lt;($F$10-$E$10)/($G$10-$E$10),$E$10+SQRT(T980*($G$10-$E$10)*($F$10-$E$10)),$G$10-SQRT((1-T980)*($G$10-$E$10)*($G$10-$F$10))))</f>
        <v>1</v>
      </c>
      <c r="G980" s="38" t="n">
        <f aca="false">IF($G$11=$E$11,$F$11,IF(U980&lt;($F$11-$E$11)/($G$11-$E$11),$E$11+SQRT(U980*($G$11-$E$11)*($F$11-$E$11)),$G$11-SQRT((1-U980)*($G$11-$E$11)*($G$11-$F$11))))</f>
        <v>0</v>
      </c>
      <c r="H980" s="39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0</v>
      </c>
      <c r="I980" s="39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0</v>
      </c>
      <c r="J980" s="39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0</v>
      </c>
      <c r="K980" s="39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0</v>
      </c>
      <c r="L980" s="39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0</v>
      </c>
      <c r="M980" s="39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0</v>
      </c>
      <c r="N980" s="39" t="str">
        <f aca="false">IF(COUNT('Business Case'!B11:G11)=0,"",H980+NPV(G980,I980:M980))</f>
        <v/>
      </c>
      <c r="P980" s="40" t="n">
        <f aca="true">RAND()</f>
        <v>0.141771944906826</v>
      </c>
      <c r="Q980" s="40" t="n">
        <f aca="true">RAND()</f>
        <v>0.364458935391541</v>
      </c>
      <c r="R980" s="40" t="n">
        <f aca="true">RAND()</f>
        <v>0.559399409234412</v>
      </c>
      <c r="S980" s="40" t="n">
        <f aca="true">RAND()</f>
        <v>0.871917784424093</v>
      </c>
      <c r="T980" s="40" t="n">
        <f aca="true">RAND()</f>
        <v>0.857413786726117</v>
      </c>
      <c r="U980" s="40" t="n">
        <f aca="true">RAND()</f>
        <v>0.683088262232075</v>
      </c>
    </row>
    <row r="981" customFormat="false" ht="15" hidden="false" customHeight="false" outlineLevel="0" collapsed="false">
      <c r="A981" s="36" t="n">
        <v>901</v>
      </c>
      <c r="B981" s="37" t="n">
        <f aca="false">1+IF($G$6=$E$6,$F$6,IF(P981&lt;($F$6-$E$6)/($G$6-$E$6),$E$6+SQRT(P981*($G$6-$E$6)*($F$6-$E$6)),$G$6-SQRT((1-P981)*($G$6-$E$6)*($G$6-$F$6))))</f>
        <v>1</v>
      </c>
      <c r="C981" s="37" t="n">
        <f aca="false">1+IF($G$7=$E$7,$F$7,IF(Q981&lt;($F$7-$E$7)/($G$7-$E$7),$E$7+SQRT(Q981*($G$7-$E$7)*($F$7-$E$7)),$G$7-SQRT((1-Q981)*($G$7-$E$7)*($G$7-$F$7))))</f>
        <v>1</v>
      </c>
      <c r="D981" s="37" t="n">
        <f aca="false">1+IF($G$8=$E$8,$F$8,IF(R981&lt;($F$8-$E$8)/($G$8-$E$8),$E$8+SQRT(R981*($G$8-$E$8)*($F$8-$E$8)),$G$8-SQRT((1-R981)*($G$8-$E$8)*($G$8-$F$8))))</f>
        <v>1</v>
      </c>
      <c r="E981" s="37" t="n">
        <f aca="false">1+IF($G$9=$E$9,$F$9,IF(S981&lt;($F$9-$E$9)/($G$9-$E$9),$E$9+SQRT(S981*($G$9-$E$9)*($F$9-$E$9)),$G$9-SQRT((1-S981)*($G$9-$E$9)*($G$9-$F$9))))</f>
        <v>1</v>
      </c>
      <c r="F981" s="37" t="n">
        <f aca="false">1+IF($G$10=$E$10,$F$10,IF(T981&lt;($F$10-$E$10)/($G$10-$E$10),$E$10+SQRT(T981*($G$10-$E$10)*($F$10-$E$10)),$G$10-SQRT((1-T981)*($G$10-$E$10)*($G$10-$F$10))))</f>
        <v>1</v>
      </c>
      <c r="G981" s="38" t="n">
        <f aca="false">IF($G$11=$E$11,$F$11,IF(U981&lt;($F$11-$E$11)/($G$11-$E$11),$E$11+SQRT(U981*($G$11-$E$11)*($F$11-$E$11)),$G$11-SQRT((1-U981)*($G$11-$E$11)*($G$11-$F$11))))</f>
        <v>0</v>
      </c>
      <c r="H981" s="39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0</v>
      </c>
      <c r="I981" s="39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0</v>
      </c>
      <c r="J981" s="39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0</v>
      </c>
      <c r="K981" s="39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0</v>
      </c>
      <c r="L981" s="39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0</v>
      </c>
      <c r="M981" s="39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0</v>
      </c>
      <c r="N981" s="39" t="str">
        <f aca="false">IF(COUNT('Business Case'!B11:G11)=0,"",H981+NPV(G981,I981:M981))</f>
        <v/>
      </c>
      <c r="P981" s="40" t="n">
        <f aca="true">RAND()</f>
        <v>0.455057893823896</v>
      </c>
      <c r="Q981" s="40" t="n">
        <f aca="true">RAND()</f>
        <v>0.437075110056655</v>
      </c>
      <c r="R981" s="40" t="n">
        <f aca="true">RAND()</f>
        <v>0.585027703614635</v>
      </c>
      <c r="S981" s="40" t="n">
        <f aca="true">RAND()</f>
        <v>0.426460481433051</v>
      </c>
      <c r="T981" s="40" t="n">
        <f aca="true">RAND()</f>
        <v>0.358147637029611</v>
      </c>
      <c r="U981" s="40" t="n">
        <f aca="true">RAND()</f>
        <v>0.823693719323537</v>
      </c>
    </row>
    <row r="982" customFormat="false" ht="15" hidden="false" customHeight="false" outlineLevel="0" collapsed="false">
      <c r="A982" s="36" t="n">
        <v>902</v>
      </c>
      <c r="B982" s="37" t="n">
        <f aca="false">1+IF($G$6=$E$6,$F$6,IF(P982&lt;($F$6-$E$6)/($G$6-$E$6),$E$6+SQRT(P982*($G$6-$E$6)*($F$6-$E$6)),$G$6-SQRT((1-P982)*($G$6-$E$6)*($G$6-$F$6))))</f>
        <v>1</v>
      </c>
      <c r="C982" s="37" t="n">
        <f aca="false">1+IF($G$7=$E$7,$F$7,IF(Q982&lt;($F$7-$E$7)/($G$7-$E$7),$E$7+SQRT(Q982*($G$7-$E$7)*($F$7-$E$7)),$G$7-SQRT((1-Q982)*($G$7-$E$7)*($G$7-$F$7))))</f>
        <v>1</v>
      </c>
      <c r="D982" s="37" t="n">
        <f aca="false">1+IF($G$8=$E$8,$F$8,IF(R982&lt;($F$8-$E$8)/($G$8-$E$8),$E$8+SQRT(R982*($G$8-$E$8)*($F$8-$E$8)),$G$8-SQRT((1-R982)*($G$8-$E$8)*($G$8-$F$8))))</f>
        <v>1</v>
      </c>
      <c r="E982" s="37" t="n">
        <f aca="false">1+IF($G$9=$E$9,$F$9,IF(S982&lt;($F$9-$E$9)/($G$9-$E$9),$E$9+SQRT(S982*($G$9-$E$9)*($F$9-$E$9)),$G$9-SQRT((1-S982)*($G$9-$E$9)*($G$9-$F$9))))</f>
        <v>1</v>
      </c>
      <c r="F982" s="37" t="n">
        <f aca="false">1+IF($G$10=$E$10,$F$10,IF(T982&lt;($F$10-$E$10)/($G$10-$E$10),$E$10+SQRT(T982*($G$10-$E$10)*($F$10-$E$10)),$G$10-SQRT((1-T982)*($G$10-$E$10)*($G$10-$F$10))))</f>
        <v>1</v>
      </c>
      <c r="G982" s="38" t="n">
        <f aca="false">IF($G$11=$E$11,$F$11,IF(U982&lt;($F$11-$E$11)/($G$11-$E$11),$E$11+SQRT(U982*($G$11-$E$11)*($F$11-$E$11)),$G$11-SQRT((1-U982)*($G$11-$E$11)*($G$11-$F$11))))</f>
        <v>0</v>
      </c>
      <c r="H982" s="39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0</v>
      </c>
      <c r="I982" s="39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0</v>
      </c>
      <c r="J982" s="39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0</v>
      </c>
      <c r="K982" s="39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0</v>
      </c>
      <c r="L982" s="39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0</v>
      </c>
      <c r="M982" s="39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0</v>
      </c>
      <c r="N982" s="39" t="str">
        <f aca="false">IF(COUNT('Business Case'!B11:G11)=0,"",H982+NPV(G982,I982:M982))</f>
        <v/>
      </c>
      <c r="P982" s="40" t="n">
        <f aca="true">RAND()</f>
        <v>0.652919136516489</v>
      </c>
      <c r="Q982" s="40" t="n">
        <f aca="true">RAND()</f>
        <v>0.988796009139326</v>
      </c>
      <c r="R982" s="40" t="n">
        <f aca="true">RAND()</f>
        <v>0.699942609215045</v>
      </c>
      <c r="S982" s="40" t="n">
        <f aca="true">RAND()</f>
        <v>0.980146298066152</v>
      </c>
      <c r="T982" s="40" t="n">
        <f aca="true">RAND()</f>
        <v>0.68139809566888</v>
      </c>
      <c r="U982" s="40" t="n">
        <f aca="true">RAND()</f>
        <v>0.223390324506083</v>
      </c>
    </row>
    <row r="983" customFormat="false" ht="15" hidden="false" customHeight="false" outlineLevel="0" collapsed="false">
      <c r="A983" s="36" t="n">
        <v>903</v>
      </c>
      <c r="B983" s="37" t="n">
        <f aca="false">1+IF($G$6=$E$6,$F$6,IF(P983&lt;($F$6-$E$6)/($G$6-$E$6),$E$6+SQRT(P983*($G$6-$E$6)*($F$6-$E$6)),$G$6-SQRT((1-P983)*($G$6-$E$6)*($G$6-$F$6))))</f>
        <v>1</v>
      </c>
      <c r="C983" s="37" t="n">
        <f aca="false">1+IF($G$7=$E$7,$F$7,IF(Q983&lt;($F$7-$E$7)/($G$7-$E$7),$E$7+SQRT(Q983*($G$7-$E$7)*($F$7-$E$7)),$G$7-SQRT((1-Q983)*($G$7-$E$7)*($G$7-$F$7))))</f>
        <v>1</v>
      </c>
      <c r="D983" s="37" t="n">
        <f aca="false">1+IF($G$8=$E$8,$F$8,IF(R983&lt;($F$8-$E$8)/($G$8-$E$8),$E$8+SQRT(R983*($G$8-$E$8)*($F$8-$E$8)),$G$8-SQRT((1-R983)*($G$8-$E$8)*($G$8-$F$8))))</f>
        <v>1</v>
      </c>
      <c r="E983" s="37" t="n">
        <f aca="false">1+IF($G$9=$E$9,$F$9,IF(S983&lt;($F$9-$E$9)/($G$9-$E$9),$E$9+SQRT(S983*($G$9-$E$9)*($F$9-$E$9)),$G$9-SQRT((1-S983)*($G$9-$E$9)*($G$9-$F$9))))</f>
        <v>1</v>
      </c>
      <c r="F983" s="37" t="n">
        <f aca="false">1+IF($G$10=$E$10,$F$10,IF(T983&lt;($F$10-$E$10)/($G$10-$E$10),$E$10+SQRT(T983*($G$10-$E$10)*($F$10-$E$10)),$G$10-SQRT((1-T983)*($G$10-$E$10)*($G$10-$F$10))))</f>
        <v>1</v>
      </c>
      <c r="G983" s="38" t="n">
        <f aca="false">IF($G$11=$E$11,$F$11,IF(U983&lt;($F$11-$E$11)/($G$11-$E$11),$E$11+SQRT(U983*($G$11-$E$11)*($F$11-$E$11)),$G$11-SQRT((1-U983)*($G$11-$E$11)*($G$11-$F$11))))</f>
        <v>0</v>
      </c>
      <c r="H983" s="39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0</v>
      </c>
      <c r="I983" s="39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0</v>
      </c>
      <c r="J983" s="39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0</v>
      </c>
      <c r="K983" s="39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0</v>
      </c>
      <c r="L983" s="39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0</v>
      </c>
      <c r="M983" s="39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0</v>
      </c>
      <c r="N983" s="39" t="str">
        <f aca="false">IF(COUNT('Business Case'!B11:G11)=0,"",H983+NPV(G983,I983:M983))</f>
        <v/>
      </c>
      <c r="P983" s="40" t="n">
        <f aca="true">RAND()</f>
        <v>0.556380504140453</v>
      </c>
      <c r="Q983" s="40" t="n">
        <f aca="true">RAND()</f>
        <v>0.0377552435019393</v>
      </c>
      <c r="R983" s="40" t="n">
        <f aca="true">RAND()</f>
        <v>0.368897191393533</v>
      </c>
      <c r="S983" s="40" t="n">
        <f aca="true">RAND()</f>
        <v>0.317302309612269</v>
      </c>
      <c r="T983" s="40" t="n">
        <f aca="true">RAND()</f>
        <v>0.511187977217161</v>
      </c>
      <c r="U983" s="40" t="n">
        <f aca="true">RAND()</f>
        <v>0.468739420571905</v>
      </c>
    </row>
    <row r="984" customFormat="false" ht="15" hidden="false" customHeight="false" outlineLevel="0" collapsed="false">
      <c r="A984" s="36" t="n">
        <v>904</v>
      </c>
      <c r="B984" s="37" t="n">
        <f aca="false">1+IF($G$6=$E$6,$F$6,IF(P984&lt;($F$6-$E$6)/($G$6-$E$6),$E$6+SQRT(P984*($G$6-$E$6)*($F$6-$E$6)),$G$6-SQRT((1-P984)*($G$6-$E$6)*($G$6-$F$6))))</f>
        <v>1</v>
      </c>
      <c r="C984" s="37" t="n">
        <f aca="false">1+IF($G$7=$E$7,$F$7,IF(Q984&lt;($F$7-$E$7)/($G$7-$E$7),$E$7+SQRT(Q984*($G$7-$E$7)*($F$7-$E$7)),$G$7-SQRT((1-Q984)*($G$7-$E$7)*($G$7-$F$7))))</f>
        <v>1</v>
      </c>
      <c r="D984" s="37" t="n">
        <f aca="false">1+IF($G$8=$E$8,$F$8,IF(R984&lt;($F$8-$E$8)/($G$8-$E$8),$E$8+SQRT(R984*($G$8-$E$8)*($F$8-$E$8)),$G$8-SQRT((1-R984)*($G$8-$E$8)*($G$8-$F$8))))</f>
        <v>1</v>
      </c>
      <c r="E984" s="37" t="n">
        <f aca="false">1+IF($G$9=$E$9,$F$9,IF(S984&lt;($F$9-$E$9)/($G$9-$E$9),$E$9+SQRT(S984*($G$9-$E$9)*($F$9-$E$9)),$G$9-SQRT((1-S984)*($G$9-$E$9)*($G$9-$F$9))))</f>
        <v>1</v>
      </c>
      <c r="F984" s="37" t="n">
        <f aca="false">1+IF($G$10=$E$10,$F$10,IF(T984&lt;($F$10-$E$10)/($G$10-$E$10),$E$10+SQRT(T984*($G$10-$E$10)*($F$10-$E$10)),$G$10-SQRT((1-T984)*($G$10-$E$10)*($G$10-$F$10))))</f>
        <v>1</v>
      </c>
      <c r="G984" s="38" t="n">
        <f aca="false">IF($G$11=$E$11,$F$11,IF(U984&lt;($F$11-$E$11)/($G$11-$E$11),$E$11+SQRT(U984*($G$11-$E$11)*($F$11-$E$11)),$G$11-SQRT((1-U984)*($G$11-$E$11)*($G$11-$F$11))))</f>
        <v>0</v>
      </c>
      <c r="H984" s="39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0</v>
      </c>
      <c r="I984" s="39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0</v>
      </c>
      <c r="J984" s="39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0</v>
      </c>
      <c r="K984" s="39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0</v>
      </c>
      <c r="L984" s="39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0</v>
      </c>
      <c r="M984" s="39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0</v>
      </c>
      <c r="N984" s="39" t="str">
        <f aca="false">IF(COUNT('Business Case'!B11:G11)=0,"",H984+NPV(G984,I984:M984))</f>
        <v/>
      </c>
      <c r="P984" s="40" t="n">
        <f aca="true">RAND()</f>
        <v>0.00507498357950086</v>
      </c>
      <c r="Q984" s="40" t="n">
        <f aca="true">RAND()</f>
        <v>0.652913175232317</v>
      </c>
      <c r="R984" s="40" t="n">
        <f aca="true">RAND()</f>
        <v>0.602061541698349</v>
      </c>
      <c r="S984" s="40" t="n">
        <f aca="true">RAND()</f>
        <v>0.263020965601188</v>
      </c>
      <c r="T984" s="40" t="n">
        <f aca="true">RAND()</f>
        <v>0.115348860601055</v>
      </c>
      <c r="U984" s="40" t="n">
        <f aca="true">RAND()</f>
        <v>0.746261578522197</v>
      </c>
    </row>
    <row r="985" customFormat="false" ht="15" hidden="false" customHeight="false" outlineLevel="0" collapsed="false">
      <c r="A985" s="36" t="n">
        <v>905</v>
      </c>
      <c r="B985" s="37" t="n">
        <f aca="false">1+IF($G$6=$E$6,$F$6,IF(P985&lt;($F$6-$E$6)/($G$6-$E$6),$E$6+SQRT(P985*($G$6-$E$6)*($F$6-$E$6)),$G$6-SQRT((1-P985)*($G$6-$E$6)*($G$6-$F$6))))</f>
        <v>1</v>
      </c>
      <c r="C985" s="37" t="n">
        <f aca="false">1+IF($G$7=$E$7,$F$7,IF(Q985&lt;($F$7-$E$7)/($G$7-$E$7),$E$7+SQRT(Q985*($G$7-$E$7)*($F$7-$E$7)),$G$7-SQRT((1-Q985)*($G$7-$E$7)*($G$7-$F$7))))</f>
        <v>1</v>
      </c>
      <c r="D985" s="37" t="n">
        <f aca="false">1+IF($G$8=$E$8,$F$8,IF(R985&lt;($F$8-$E$8)/($G$8-$E$8),$E$8+SQRT(R985*($G$8-$E$8)*($F$8-$E$8)),$G$8-SQRT((1-R985)*($G$8-$E$8)*($G$8-$F$8))))</f>
        <v>1</v>
      </c>
      <c r="E985" s="37" t="n">
        <f aca="false">1+IF($G$9=$E$9,$F$9,IF(S985&lt;($F$9-$E$9)/($G$9-$E$9),$E$9+SQRT(S985*($G$9-$E$9)*($F$9-$E$9)),$G$9-SQRT((1-S985)*($G$9-$E$9)*($G$9-$F$9))))</f>
        <v>1</v>
      </c>
      <c r="F985" s="37" t="n">
        <f aca="false">1+IF($G$10=$E$10,$F$10,IF(T985&lt;($F$10-$E$10)/($G$10-$E$10),$E$10+SQRT(T985*($G$10-$E$10)*($F$10-$E$10)),$G$10-SQRT((1-T985)*($G$10-$E$10)*($G$10-$F$10))))</f>
        <v>1</v>
      </c>
      <c r="G985" s="38" t="n">
        <f aca="false">IF($G$11=$E$11,$F$11,IF(U985&lt;($F$11-$E$11)/($G$11-$E$11),$E$11+SQRT(U985*($G$11-$E$11)*($F$11-$E$11)),$G$11-SQRT((1-U985)*($G$11-$E$11)*($G$11-$F$11))))</f>
        <v>0</v>
      </c>
      <c r="H985" s="39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0</v>
      </c>
      <c r="I985" s="39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0</v>
      </c>
      <c r="J985" s="39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0</v>
      </c>
      <c r="K985" s="39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0</v>
      </c>
      <c r="L985" s="39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0</v>
      </c>
      <c r="M985" s="39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0</v>
      </c>
      <c r="N985" s="39" t="str">
        <f aca="false">IF(COUNT('Business Case'!B11:G11)=0,"",H985+NPV(G985,I985:M985))</f>
        <v/>
      </c>
      <c r="P985" s="40" t="n">
        <f aca="true">RAND()</f>
        <v>0.737897331934104</v>
      </c>
      <c r="Q985" s="40" t="n">
        <f aca="true">RAND()</f>
        <v>0.0747214607300022</v>
      </c>
      <c r="R985" s="40" t="n">
        <f aca="true">RAND()</f>
        <v>0.0391312847934351</v>
      </c>
      <c r="S985" s="40" t="n">
        <f aca="true">RAND()</f>
        <v>0.7719334901319</v>
      </c>
      <c r="T985" s="40" t="n">
        <f aca="true">RAND()</f>
        <v>0.219067794196957</v>
      </c>
      <c r="U985" s="40" t="n">
        <f aca="true">RAND()</f>
        <v>0.13657568360961</v>
      </c>
    </row>
    <row r="986" customFormat="false" ht="15" hidden="false" customHeight="false" outlineLevel="0" collapsed="false">
      <c r="A986" s="36" t="n">
        <v>906</v>
      </c>
      <c r="B986" s="37" t="n">
        <f aca="false">1+IF($G$6=$E$6,$F$6,IF(P986&lt;($F$6-$E$6)/($G$6-$E$6),$E$6+SQRT(P986*($G$6-$E$6)*($F$6-$E$6)),$G$6-SQRT((1-P986)*($G$6-$E$6)*($G$6-$F$6))))</f>
        <v>1</v>
      </c>
      <c r="C986" s="37" t="n">
        <f aca="false">1+IF($G$7=$E$7,$F$7,IF(Q986&lt;($F$7-$E$7)/($G$7-$E$7),$E$7+SQRT(Q986*($G$7-$E$7)*($F$7-$E$7)),$G$7-SQRT((1-Q986)*($G$7-$E$7)*($G$7-$F$7))))</f>
        <v>1</v>
      </c>
      <c r="D986" s="37" t="n">
        <f aca="false">1+IF($G$8=$E$8,$F$8,IF(R986&lt;($F$8-$E$8)/($G$8-$E$8),$E$8+SQRT(R986*($G$8-$E$8)*($F$8-$E$8)),$G$8-SQRT((1-R986)*($G$8-$E$8)*($G$8-$F$8))))</f>
        <v>1</v>
      </c>
      <c r="E986" s="37" t="n">
        <f aca="false">1+IF($G$9=$E$9,$F$9,IF(S986&lt;($F$9-$E$9)/($G$9-$E$9),$E$9+SQRT(S986*($G$9-$E$9)*($F$9-$E$9)),$G$9-SQRT((1-S986)*($G$9-$E$9)*($G$9-$F$9))))</f>
        <v>1</v>
      </c>
      <c r="F986" s="37" t="n">
        <f aca="false">1+IF($G$10=$E$10,$F$10,IF(T986&lt;($F$10-$E$10)/($G$10-$E$10),$E$10+SQRT(T986*($G$10-$E$10)*($F$10-$E$10)),$G$10-SQRT((1-T986)*($G$10-$E$10)*($G$10-$F$10))))</f>
        <v>1</v>
      </c>
      <c r="G986" s="38" t="n">
        <f aca="false">IF($G$11=$E$11,$F$11,IF(U986&lt;($F$11-$E$11)/($G$11-$E$11),$E$11+SQRT(U986*($G$11-$E$11)*($F$11-$E$11)),$G$11-SQRT((1-U986)*($G$11-$E$11)*($G$11-$F$11))))</f>
        <v>0</v>
      </c>
      <c r="H986" s="39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0</v>
      </c>
      <c r="I986" s="39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0</v>
      </c>
      <c r="J986" s="39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0</v>
      </c>
      <c r="K986" s="39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0</v>
      </c>
      <c r="L986" s="39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0</v>
      </c>
      <c r="M986" s="39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0</v>
      </c>
      <c r="N986" s="39" t="str">
        <f aca="false">IF(COUNT('Business Case'!B11:G11)=0,"",H986+NPV(G986,I986:M986))</f>
        <v/>
      </c>
      <c r="P986" s="40" t="n">
        <f aca="true">RAND()</f>
        <v>0.911895870818807</v>
      </c>
      <c r="Q986" s="40" t="n">
        <f aca="true">RAND()</f>
        <v>0.258223654897542</v>
      </c>
      <c r="R986" s="40" t="n">
        <f aca="true">RAND()</f>
        <v>0.0300655857572753</v>
      </c>
      <c r="S986" s="40" t="n">
        <f aca="true">RAND()</f>
        <v>0.70529609722711</v>
      </c>
      <c r="T986" s="40" t="n">
        <f aca="true">RAND()</f>
        <v>0.703967289713202</v>
      </c>
      <c r="U986" s="40" t="n">
        <f aca="true">RAND()</f>
        <v>0.714909777145292</v>
      </c>
    </row>
    <row r="987" customFormat="false" ht="15" hidden="false" customHeight="false" outlineLevel="0" collapsed="false">
      <c r="A987" s="36" t="n">
        <v>907</v>
      </c>
      <c r="B987" s="37" t="n">
        <f aca="false">1+IF($G$6=$E$6,$F$6,IF(P987&lt;($F$6-$E$6)/($G$6-$E$6),$E$6+SQRT(P987*($G$6-$E$6)*($F$6-$E$6)),$G$6-SQRT((1-P987)*($G$6-$E$6)*($G$6-$F$6))))</f>
        <v>1</v>
      </c>
      <c r="C987" s="37" t="n">
        <f aca="false">1+IF($G$7=$E$7,$F$7,IF(Q987&lt;($F$7-$E$7)/($G$7-$E$7),$E$7+SQRT(Q987*($G$7-$E$7)*($F$7-$E$7)),$G$7-SQRT((1-Q987)*($G$7-$E$7)*($G$7-$F$7))))</f>
        <v>1</v>
      </c>
      <c r="D987" s="37" t="n">
        <f aca="false">1+IF($G$8=$E$8,$F$8,IF(R987&lt;($F$8-$E$8)/($G$8-$E$8),$E$8+SQRT(R987*($G$8-$E$8)*($F$8-$E$8)),$G$8-SQRT((1-R987)*($G$8-$E$8)*($G$8-$F$8))))</f>
        <v>1</v>
      </c>
      <c r="E987" s="37" t="n">
        <f aca="false">1+IF($G$9=$E$9,$F$9,IF(S987&lt;($F$9-$E$9)/($G$9-$E$9),$E$9+SQRT(S987*($G$9-$E$9)*($F$9-$E$9)),$G$9-SQRT((1-S987)*($G$9-$E$9)*($G$9-$F$9))))</f>
        <v>1</v>
      </c>
      <c r="F987" s="37" t="n">
        <f aca="false">1+IF($G$10=$E$10,$F$10,IF(T987&lt;($F$10-$E$10)/($G$10-$E$10),$E$10+SQRT(T987*($G$10-$E$10)*($F$10-$E$10)),$G$10-SQRT((1-T987)*($G$10-$E$10)*($G$10-$F$10))))</f>
        <v>1</v>
      </c>
      <c r="G987" s="38" t="n">
        <f aca="false">IF($G$11=$E$11,$F$11,IF(U987&lt;($F$11-$E$11)/($G$11-$E$11),$E$11+SQRT(U987*($G$11-$E$11)*($F$11-$E$11)),$G$11-SQRT((1-U987)*($G$11-$E$11)*($G$11-$F$11))))</f>
        <v>0</v>
      </c>
      <c r="H987" s="39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0</v>
      </c>
      <c r="I987" s="39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0</v>
      </c>
      <c r="J987" s="39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0</v>
      </c>
      <c r="K987" s="39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0</v>
      </c>
      <c r="L987" s="39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0</v>
      </c>
      <c r="M987" s="39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0</v>
      </c>
      <c r="N987" s="39" t="str">
        <f aca="false">IF(COUNT('Business Case'!B11:G11)=0,"",H987+NPV(G987,I987:M987))</f>
        <v/>
      </c>
      <c r="P987" s="40" t="n">
        <f aca="true">RAND()</f>
        <v>0.699572728759555</v>
      </c>
      <c r="Q987" s="40" t="n">
        <f aca="true">RAND()</f>
        <v>0.138362866513143</v>
      </c>
      <c r="R987" s="40" t="n">
        <f aca="true">RAND()</f>
        <v>0.644062098217097</v>
      </c>
      <c r="S987" s="40" t="n">
        <f aca="true">RAND()</f>
        <v>0.909037190330103</v>
      </c>
      <c r="T987" s="40" t="n">
        <f aca="true">RAND()</f>
        <v>0.493114914537068</v>
      </c>
      <c r="U987" s="40" t="n">
        <f aca="true">RAND()</f>
        <v>0.723624912035417</v>
      </c>
    </row>
    <row r="988" customFormat="false" ht="15" hidden="false" customHeight="false" outlineLevel="0" collapsed="false">
      <c r="A988" s="36" t="n">
        <v>908</v>
      </c>
      <c r="B988" s="37" t="n">
        <f aca="false">1+IF($G$6=$E$6,$F$6,IF(P988&lt;($F$6-$E$6)/($G$6-$E$6),$E$6+SQRT(P988*($G$6-$E$6)*($F$6-$E$6)),$G$6-SQRT((1-P988)*($G$6-$E$6)*($G$6-$F$6))))</f>
        <v>1</v>
      </c>
      <c r="C988" s="37" t="n">
        <f aca="false">1+IF($G$7=$E$7,$F$7,IF(Q988&lt;($F$7-$E$7)/($G$7-$E$7),$E$7+SQRT(Q988*($G$7-$E$7)*($F$7-$E$7)),$G$7-SQRT((1-Q988)*($G$7-$E$7)*($G$7-$F$7))))</f>
        <v>1</v>
      </c>
      <c r="D988" s="37" t="n">
        <f aca="false">1+IF($G$8=$E$8,$F$8,IF(R988&lt;($F$8-$E$8)/($G$8-$E$8),$E$8+SQRT(R988*($G$8-$E$8)*($F$8-$E$8)),$G$8-SQRT((1-R988)*($G$8-$E$8)*($G$8-$F$8))))</f>
        <v>1</v>
      </c>
      <c r="E988" s="37" t="n">
        <f aca="false">1+IF($G$9=$E$9,$F$9,IF(S988&lt;($F$9-$E$9)/($G$9-$E$9),$E$9+SQRT(S988*($G$9-$E$9)*($F$9-$E$9)),$G$9-SQRT((1-S988)*($G$9-$E$9)*($G$9-$F$9))))</f>
        <v>1</v>
      </c>
      <c r="F988" s="37" t="n">
        <f aca="false">1+IF($G$10=$E$10,$F$10,IF(T988&lt;($F$10-$E$10)/($G$10-$E$10),$E$10+SQRT(T988*($G$10-$E$10)*($F$10-$E$10)),$G$10-SQRT((1-T988)*($G$10-$E$10)*($G$10-$F$10))))</f>
        <v>1</v>
      </c>
      <c r="G988" s="38" t="n">
        <f aca="false">IF($G$11=$E$11,$F$11,IF(U988&lt;($F$11-$E$11)/($G$11-$E$11),$E$11+SQRT(U988*($G$11-$E$11)*($F$11-$E$11)),$G$11-SQRT((1-U988)*($G$11-$E$11)*($G$11-$F$11))))</f>
        <v>0</v>
      </c>
      <c r="H988" s="39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0</v>
      </c>
      <c r="I988" s="39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0</v>
      </c>
      <c r="J988" s="39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0</v>
      </c>
      <c r="K988" s="39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0</v>
      </c>
      <c r="L988" s="39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0</v>
      </c>
      <c r="M988" s="39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0</v>
      </c>
      <c r="N988" s="39" t="str">
        <f aca="false">IF(COUNT('Business Case'!B11:G11)=0,"",H988+NPV(G988,I988:M988))</f>
        <v/>
      </c>
      <c r="P988" s="40" t="n">
        <f aca="true">RAND()</f>
        <v>0.991225298607157</v>
      </c>
      <c r="Q988" s="40" t="n">
        <f aca="true">RAND()</f>
        <v>0.96894846727523</v>
      </c>
      <c r="R988" s="40" t="n">
        <f aca="true">RAND()</f>
        <v>0.907684006715611</v>
      </c>
      <c r="S988" s="40" t="n">
        <f aca="true">RAND()</f>
        <v>0.890294247688312</v>
      </c>
      <c r="T988" s="40" t="n">
        <f aca="true">RAND()</f>
        <v>0.9827338763331</v>
      </c>
      <c r="U988" s="40" t="n">
        <f aca="true">RAND()</f>
        <v>0.212653094333067</v>
      </c>
    </row>
    <row r="989" customFormat="false" ht="15" hidden="false" customHeight="false" outlineLevel="0" collapsed="false">
      <c r="A989" s="36" t="n">
        <v>909</v>
      </c>
      <c r="B989" s="37" t="n">
        <f aca="false">1+IF($G$6=$E$6,$F$6,IF(P989&lt;($F$6-$E$6)/($G$6-$E$6),$E$6+SQRT(P989*($G$6-$E$6)*($F$6-$E$6)),$G$6-SQRT((1-P989)*($G$6-$E$6)*($G$6-$F$6))))</f>
        <v>1</v>
      </c>
      <c r="C989" s="37" t="n">
        <f aca="false">1+IF($G$7=$E$7,$F$7,IF(Q989&lt;($F$7-$E$7)/($G$7-$E$7),$E$7+SQRT(Q989*($G$7-$E$7)*($F$7-$E$7)),$G$7-SQRT((1-Q989)*($G$7-$E$7)*($G$7-$F$7))))</f>
        <v>1</v>
      </c>
      <c r="D989" s="37" t="n">
        <f aca="false">1+IF($G$8=$E$8,$F$8,IF(R989&lt;($F$8-$E$8)/($G$8-$E$8),$E$8+SQRT(R989*($G$8-$E$8)*($F$8-$E$8)),$G$8-SQRT((1-R989)*($G$8-$E$8)*($G$8-$F$8))))</f>
        <v>1</v>
      </c>
      <c r="E989" s="37" t="n">
        <f aca="false">1+IF($G$9=$E$9,$F$9,IF(S989&lt;($F$9-$E$9)/($G$9-$E$9),$E$9+SQRT(S989*($G$9-$E$9)*($F$9-$E$9)),$G$9-SQRT((1-S989)*($G$9-$E$9)*($G$9-$F$9))))</f>
        <v>1</v>
      </c>
      <c r="F989" s="37" t="n">
        <f aca="false">1+IF($G$10=$E$10,$F$10,IF(T989&lt;($F$10-$E$10)/($G$10-$E$10),$E$10+SQRT(T989*($G$10-$E$10)*($F$10-$E$10)),$G$10-SQRT((1-T989)*($G$10-$E$10)*($G$10-$F$10))))</f>
        <v>1</v>
      </c>
      <c r="G989" s="38" t="n">
        <f aca="false">IF($G$11=$E$11,$F$11,IF(U989&lt;($F$11-$E$11)/($G$11-$E$11),$E$11+SQRT(U989*($G$11-$E$11)*($F$11-$E$11)),$G$11-SQRT((1-U989)*($G$11-$E$11)*($G$11-$F$11))))</f>
        <v>0</v>
      </c>
      <c r="H989" s="39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0</v>
      </c>
      <c r="I989" s="39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0</v>
      </c>
      <c r="J989" s="39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0</v>
      </c>
      <c r="K989" s="39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0</v>
      </c>
      <c r="L989" s="39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0</v>
      </c>
      <c r="M989" s="39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0</v>
      </c>
      <c r="N989" s="39" t="str">
        <f aca="false">IF(COUNT('Business Case'!B11:G11)=0,"",H989+NPV(G989,I989:M989))</f>
        <v/>
      </c>
      <c r="P989" s="40" t="n">
        <f aca="true">RAND()</f>
        <v>0.187315094399689</v>
      </c>
      <c r="Q989" s="40" t="n">
        <f aca="true">RAND()</f>
        <v>0.16753043360921</v>
      </c>
      <c r="R989" s="40" t="n">
        <f aca="true">RAND()</f>
        <v>0.678196203035978</v>
      </c>
      <c r="S989" s="40" t="n">
        <f aca="true">RAND()</f>
        <v>0.736178692764573</v>
      </c>
      <c r="T989" s="40" t="n">
        <f aca="true">RAND()</f>
        <v>0.0388395360650305</v>
      </c>
      <c r="U989" s="40" t="n">
        <f aca="true">RAND()</f>
        <v>0.174908668251821</v>
      </c>
    </row>
    <row r="990" customFormat="false" ht="15" hidden="false" customHeight="false" outlineLevel="0" collapsed="false">
      <c r="A990" s="36" t="n">
        <v>910</v>
      </c>
      <c r="B990" s="37" t="n">
        <f aca="false">1+IF($G$6=$E$6,$F$6,IF(P990&lt;($F$6-$E$6)/($G$6-$E$6),$E$6+SQRT(P990*($G$6-$E$6)*($F$6-$E$6)),$G$6-SQRT((1-P990)*($G$6-$E$6)*($G$6-$F$6))))</f>
        <v>1</v>
      </c>
      <c r="C990" s="37" t="n">
        <f aca="false">1+IF($G$7=$E$7,$F$7,IF(Q990&lt;($F$7-$E$7)/($G$7-$E$7),$E$7+SQRT(Q990*($G$7-$E$7)*($F$7-$E$7)),$G$7-SQRT((1-Q990)*($G$7-$E$7)*($G$7-$F$7))))</f>
        <v>1</v>
      </c>
      <c r="D990" s="37" t="n">
        <f aca="false">1+IF($G$8=$E$8,$F$8,IF(R990&lt;($F$8-$E$8)/($G$8-$E$8),$E$8+SQRT(R990*($G$8-$E$8)*($F$8-$E$8)),$G$8-SQRT((1-R990)*($G$8-$E$8)*($G$8-$F$8))))</f>
        <v>1</v>
      </c>
      <c r="E990" s="37" t="n">
        <f aca="false">1+IF($G$9=$E$9,$F$9,IF(S990&lt;($F$9-$E$9)/($G$9-$E$9),$E$9+SQRT(S990*($G$9-$E$9)*($F$9-$E$9)),$G$9-SQRT((1-S990)*($G$9-$E$9)*($G$9-$F$9))))</f>
        <v>1</v>
      </c>
      <c r="F990" s="37" t="n">
        <f aca="false">1+IF($G$10=$E$10,$F$10,IF(T990&lt;($F$10-$E$10)/($G$10-$E$10),$E$10+SQRT(T990*($G$10-$E$10)*($F$10-$E$10)),$G$10-SQRT((1-T990)*($G$10-$E$10)*($G$10-$F$10))))</f>
        <v>1</v>
      </c>
      <c r="G990" s="38" t="n">
        <f aca="false">IF($G$11=$E$11,$F$11,IF(U990&lt;($F$11-$E$11)/($G$11-$E$11),$E$11+SQRT(U990*($G$11-$E$11)*($F$11-$E$11)),$G$11-SQRT((1-U990)*($G$11-$E$11)*($G$11-$F$11))))</f>
        <v>0</v>
      </c>
      <c r="H990" s="39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0</v>
      </c>
      <c r="I990" s="39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0</v>
      </c>
      <c r="J990" s="39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0</v>
      </c>
      <c r="K990" s="39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0</v>
      </c>
      <c r="L990" s="39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0</v>
      </c>
      <c r="M990" s="39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0</v>
      </c>
      <c r="N990" s="39" t="str">
        <f aca="false">IF(COUNT('Business Case'!B11:G11)=0,"",H990+NPV(G990,I990:M990))</f>
        <v/>
      </c>
      <c r="P990" s="40" t="n">
        <f aca="true">RAND()</f>
        <v>0.685204252939485</v>
      </c>
      <c r="Q990" s="40" t="n">
        <f aca="true">RAND()</f>
        <v>0.620950315909272</v>
      </c>
      <c r="R990" s="40" t="n">
        <f aca="true">RAND()</f>
        <v>0.286338646724759</v>
      </c>
      <c r="S990" s="40" t="n">
        <f aca="true">RAND()</f>
        <v>0.856794884816222</v>
      </c>
      <c r="T990" s="40" t="n">
        <f aca="true">RAND()</f>
        <v>0.675748288976522</v>
      </c>
      <c r="U990" s="40" t="n">
        <f aca="true">RAND()</f>
        <v>0.368003998281196</v>
      </c>
    </row>
    <row r="991" customFormat="false" ht="15" hidden="false" customHeight="false" outlineLevel="0" collapsed="false">
      <c r="A991" s="36" t="n">
        <v>911</v>
      </c>
      <c r="B991" s="37" t="n">
        <f aca="false">1+IF($G$6=$E$6,$F$6,IF(P991&lt;($F$6-$E$6)/($G$6-$E$6),$E$6+SQRT(P991*($G$6-$E$6)*($F$6-$E$6)),$G$6-SQRT((1-P991)*($G$6-$E$6)*($G$6-$F$6))))</f>
        <v>1</v>
      </c>
      <c r="C991" s="37" t="n">
        <f aca="false">1+IF($G$7=$E$7,$F$7,IF(Q991&lt;($F$7-$E$7)/($G$7-$E$7),$E$7+SQRT(Q991*($G$7-$E$7)*($F$7-$E$7)),$G$7-SQRT((1-Q991)*($G$7-$E$7)*($G$7-$F$7))))</f>
        <v>1</v>
      </c>
      <c r="D991" s="37" t="n">
        <f aca="false">1+IF($G$8=$E$8,$F$8,IF(R991&lt;($F$8-$E$8)/($G$8-$E$8),$E$8+SQRT(R991*($G$8-$E$8)*($F$8-$E$8)),$G$8-SQRT((1-R991)*($G$8-$E$8)*($G$8-$F$8))))</f>
        <v>1</v>
      </c>
      <c r="E991" s="37" t="n">
        <f aca="false">1+IF($G$9=$E$9,$F$9,IF(S991&lt;($F$9-$E$9)/($G$9-$E$9),$E$9+SQRT(S991*($G$9-$E$9)*($F$9-$E$9)),$G$9-SQRT((1-S991)*($G$9-$E$9)*($G$9-$F$9))))</f>
        <v>1</v>
      </c>
      <c r="F991" s="37" t="n">
        <f aca="false">1+IF($G$10=$E$10,$F$10,IF(T991&lt;($F$10-$E$10)/($G$10-$E$10),$E$10+SQRT(T991*($G$10-$E$10)*($F$10-$E$10)),$G$10-SQRT((1-T991)*($G$10-$E$10)*($G$10-$F$10))))</f>
        <v>1</v>
      </c>
      <c r="G991" s="38" t="n">
        <f aca="false">IF($G$11=$E$11,$F$11,IF(U991&lt;($F$11-$E$11)/($G$11-$E$11),$E$11+SQRT(U991*($G$11-$E$11)*($F$11-$E$11)),$G$11-SQRT((1-U991)*($G$11-$E$11)*($G$11-$F$11))))</f>
        <v>0</v>
      </c>
      <c r="H991" s="39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0</v>
      </c>
      <c r="I991" s="39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0</v>
      </c>
      <c r="J991" s="39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0</v>
      </c>
      <c r="K991" s="39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0</v>
      </c>
      <c r="L991" s="39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0</v>
      </c>
      <c r="M991" s="39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0</v>
      </c>
      <c r="N991" s="39" t="str">
        <f aca="false">IF(COUNT('Business Case'!B11:G11)=0,"",H991+NPV(G991,I991:M991))</f>
        <v/>
      </c>
      <c r="P991" s="40" t="n">
        <f aca="true">RAND()</f>
        <v>0.0228865701491108</v>
      </c>
      <c r="Q991" s="40" t="n">
        <f aca="true">RAND()</f>
        <v>0.716837218393021</v>
      </c>
      <c r="R991" s="40" t="n">
        <f aca="true">RAND()</f>
        <v>0.0836460544162372</v>
      </c>
      <c r="S991" s="40" t="n">
        <f aca="true">RAND()</f>
        <v>0.383584103090359</v>
      </c>
      <c r="T991" s="40" t="n">
        <f aca="true">RAND()</f>
        <v>0.341403290039409</v>
      </c>
      <c r="U991" s="40" t="n">
        <f aca="true">RAND()</f>
        <v>0.58538057658976</v>
      </c>
    </row>
    <row r="992" customFormat="false" ht="15" hidden="false" customHeight="false" outlineLevel="0" collapsed="false">
      <c r="A992" s="36" t="n">
        <v>912</v>
      </c>
      <c r="B992" s="37" t="n">
        <f aca="false">1+IF($G$6=$E$6,$F$6,IF(P992&lt;($F$6-$E$6)/($G$6-$E$6),$E$6+SQRT(P992*($G$6-$E$6)*($F$6-$E$6)),$G$6-SQRT((1-P992)*($G$6-$E$6)*($G$6-$F$6))))</f>
        <v>1</v>
      </c>
      <c r="C992" s="37" t="n">
        <f aca="false">1+IF($G$7=$E$7,$F$7,IF(Q992&lt;($F$7-$E$7)/($G$7-$E$7),$E$7+SQRT(Q992*($G$7-$E$7)*($F$7-$E$7)),$G$7-SQRT((1-Q992)*($G$7-$E$7)*($G$7-$F$7))))</f>
        <v>1</v>
      </c>
      <c r="D992" s="37" t="n">
        <f aca="false">1+IF($G$8=$E$8,$F$8,IF(R992&lt;($F$8-$E$8)/($G$8-$E$8),$E$8+SQRT(R992*($G$8-$E$8)*($F$8-$E$8)),$G$8-SQRT((1-R992)*($G$8-$E$8)*($G$8-$F$8))))</f>
        <v>1</v>
      </c>
      <c r="E992" s="37" t="n">
        <f aca="false">1+IF($G$9=$E$9,$F$9,IF(S992&lt;($F$9-$E$9)/($G$9-$E$9),$E$9+SQRT(S992*($G$9-$E$9)*($F$9-$E$9)),$G$9-SQRT((1-S992)*($G$9-$E$9)*($G$9-$F$9))))</f>
        <v>1</v>
      </c>
      <c r="F992" s="37" t="n">
        <f aca="false">1+IF($G$10=$E$10,$F$10,IF(T992&lt;($F$10-$E$10)/($G$10-$E$10),$E$10+SQRT(T992*($G$10-$E$10)*($F$10-$E$10)),$G$10-SQRT((1-T992)*($G$10-$E$10)*($G$10-$F$10))))</f>
        <v>1</v>
      </c>
      <c r="G992" s="38" t="n">
        <f aca="false">IF($G$11=$E$11,$F$11,IF(U992&lt;($F$11-$E$11)/($G$11-$E$11),$E$11+SQRT(U992*($G$11-$E$11)*($F$11-$E$11)),$G$11-SQRT((1-U992)*($G$11-$E$11)*($G$11-$F$11))))</f>
        <v>0</v>
      </c>
      <c r="H992" s="39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0</v>
      </c>
      <c r="I992" s="39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0</v>
      </c>
      <c r="J992" s="39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0</v>
      </c>
      <c r="K992" s="39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0</v>
      </c>
      <c r="L992" s="39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0</v>
      </c>
      <c r="M992" s="39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0</v>
      </c>
      <c r="N992" s="39" t="str">
        <f aca="false">IF(COUNT('Business Case'!B11:G11)=0,"",H992+NPV(G992,I992:M992))</f>
        <v/>
      </c>
      <c r="P992" s="40" t="n">
        <f aca="true">RAND()</f>
        <v>0.923016052751567</v>
      </c>
      <c r="Q992" s="40" t="n">
        <f aca="true">RAND()</f>
        <v>0.98985892020066</v>
      </c>
      <c r="R992" s="40" t="n">
        <f aca="true">RAND()</f>
        <v>0.922120651618875</v>
      </c>
      <c r="S992" s="40" t="n">
        <f aca="true">RAND()</f>
        <v>0.04417223550698</v>
      </c>
      <c r="T992" s="40" t="n">
        <f aca="true">RAND()</f>
        <v>0.435562651397329</v>
      </c>
      <c r="U992" s="40" t="n">
        <f aca="true">RAND()</f>
        <v>0.10150896752186</v>
      </c>
    </row>
    <row r="993" customFormat="false" ht="15" hidden="false" customHeight="false" outlineLevel="0" collapsed="false">
      <c r="A993" s="36" t="n">
        <v>913</v>
      </c>
      <c r="B993" s="37" t="n">
        <f aca="false">1+IF($G$6=$E$6,$F$6,IF(P993&lt;($F$6-$E$6)/($G$6-$E$6),$E$6+SQRT(P993*($G$6-$E$6)*($F$6-$E$6)),$G$6-SQRT((1-P993)*($G$6-$E$6)*($G$6-$F$6))))</f>
        <v>1</v>
      </c>
      <c r="C993" s="37" t="n">
        <f aca="false">1+IF($G$7=$E$7,$F$7,IF(Q993&lt;($F$7-$E$7)/($G$7-$E$7),$E$7+SQRT(Q993*($G$7-$E$7)*($F$7-$E$7)),$G$7-SQRT((1-Q993)*($G$7-$E$7)*($G$7-$F$7))))</f>
        <v>1</v>
      </c>
      <c r="D993" s="37" t="n">
        <f aca="false">1+IF($G$8=$E$8,$F$8,IF(R993&lt;($F$8-$E$8)/($G$8-$E$8),$E$8+SQRT(R993*($G$8-$E$8)*($F$8-$E$8)),$G$8-SQRT((1-R993)*($G$8-$E$8)*($G$8-$F$8))))</f>
        <v>1</v>
      </c>
      <c r="E993" s="37" t="n">
        <f aca="false">1+IF($G$9=$E$9,$F$9,IF(S993&lt;($F$9-$E$9)/($G$9-$E$9),$E$9+SQRT(S993*($G$9-$E$9)*($F$9-$E$9)),$G$9-SQRT((1-S993)*($G$9-$E$9)*($G$9-$F$9))))</f>
        <v>1</v>
      </c>
      <c r="F993" s="37" t="n">
        <f aca="false">1+IF($G$10=$E$10,$F$10,IF(T993&lt;($F$10-$E$10)/($G$10-$E$10),$E$10+SQRT(T993*($G$10-$E$10)*($F$10-$E$10)),$G$10-SQRT((1-T993)*($G$10-$E$10)*($G$10-$F$10))))</f>
        <v>1</v>
      </c>
      <c r="G993" s="38" t="n">
        <f aca="false">IF($G$11=$E$11,$F$11,IF(U993&lt;($F$11-$E$11)/($G$11-$E$11),$E$11+SQRT(U993*($G$11-$E$11)*($F$11-$E$11)),$G$11-SQRT((1-U993)*($G$11-$E$11)*($G$11-$F$11))))</f>
        <v>0</v>
      </c>
      <c r="H993" s="39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0</v>
      </c>
      <c r="I993" s="39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0</v>
      </c>
      <c r="J993" s="39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0</v>
      </c>
      <c r="K993" s="39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0</v>
      </c>
      <c r="L993" s="39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0</v>
      </c>
      <c r="M993" s="39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0</v>
      </c>
      <c r="N993" s="39" t="str">
        <f aca="false">IF(COUNT('Business Case'!B11:G11)=0,"",H993+NPV(G993,I993:M993))</f>
        <v/>
      </c>
      <c r="P993" s="40" t="n">
        <f aca="true">RAND()</f>
        <v>0.333137603286386</v>
      </c>
      <c r="Q993" s="40" t="n">
        <f aca="true">RAND()</f>
        <v>0.471051155893786</v>
      </c>
      <c r="R993" s="40" t="n">
        <f aca="true">RAND()</f>
        <v>0.515835374161561</v>
      </c>
      <c r="S993" s="40" t="n">
        <f aca="true">RAND()</f>
        <v>0.924311595970621</v>
      </c>
      <c r="T993" s="40" t="n">
        <f aca="true">RAND()</f>
        <v>0.393675241681574</v>
      </c>
      <c r="U993" s="40" t="n">
        <f aca="true">RAND()</f>
        <v>0.328987273561612</v>
      </c>
    </row>
    <row r="994" customFormat="false" ht="15" hidden="false" customHeight="false" outlineLevel="0" collapsed="false">
      <c r="A994" s="36" t="n">
        <v>914</v>
      </c>
      <c r="B994" s="37" t="n">
        <f aca="false">1+IF($G$6=$E$6,$F$6,IF(P994&lt;($F$6-$E$6)/($G$6-$E$6),$E$6+SQRT(P994*($G$6-$E$6)*($F$6-$E$6)),$G$6-SQRT((1-P994)*($G$6-$E$6)*($G$6-$F$6))))</f>
        <v>1</v>
      </c>
      <c r="C994" s="37" t="n">
        <f aca="false">1+IF($G$7=$E$7,$F$7,IF(Q994&lt;($F$7-$E$7)/($G$7-$E$7),$E$7+SQRT(Q994*($G$7-$E$7)*($F$7-$E$7)),$G$7-SQRT((1-Q994)*($G$7-$E$7)*($G$7-$F$7))))</f>
        <v>1</v>
      </c>
      <c r="D994" s="37" t="n">
        <f aca="false">1+IF($G$8=$E$8,$F$8,IF(R994&lt;($F$8-$E$8)/($G$8-$E$8),$E$8+SQRT(R994*($G$8-$E$8)*($F$8-$E$8)),$G$8-SQRT((1-R994)*($G$8-$E$8)*($G$8-$F$8))))</f>
        <v>1</v>
      </c>
      <c r="E994" s="37" t="n">
        <f aca="false">1+IF($G$9=$E$9,$F$9,IF(S994&lt;($F$9-$E$9)/($G$9-$E$9),$E$9+SQRT(S994*($G$9-$E$9)*($F$9-$E$9)),$G$9-SQRT((1-S994)*($G$9-$E$9)*($G$9-$F$9))))</f>
        <v>1</v>
      </c>
      <c r="F994" s="37" t="n">
        <f aca="false">1+IF($G$10=$E$10,$F$10,IF(T994&lt;($F$10-$E$10)/($G$10-$E$10),$E$10+SQRT(T994*($G$10-$E$10)*($F$10-$E$10)),$G$10-SQRT((1-T994)*($G$10-$E$10)*($G$10-$F$10))))</f>
        <v>1</v>
      </c>
      <c r="G994" s="38" t="n">
        <f aca="false">IF($G$11=$E$11,$F$11,IF(U994&lt;($F$11-$E$11)/($G$11-$E$11),$E$11+SQRT(U994*($G$11-$E$11)*($F$11-$E$11)),$G$11-SQRT((1-U994)*($G$11-$E$11)*($G$11-$F$11))))</f>
        <v>0</v>
      </c>
      <c r="H994" s="39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0</v>
      </c>
      <c r="I994" s="39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0</v>
      </c>
      <c r="J994" s="39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0</v>
      </c>
      <c r="K994" s="39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0</v>
      </c>
      <c r="L994" s="39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0</v>
      </c>
      <c r="M994" s="39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0</v>
      </c>
      <c r="N994" s="39" t="str">
        <f aca="false">IF(COUNT('Business Case'!B11:G11)=0,"",H994+NPV(G994,I994:M994))</f>
        <v/>
      </c>
      <c r="P994" s="40" t="n">
        <f aca="true">RAND()</f>
        <v>0.652147666871215</v>
      </c>
      <c r="Q994" s="40" t="n">
        <f aca="true">RAND()</f>
        <v>0.861485820073508</v>
      </c>
      <c r="R994" s="40" t="n">
        <f aca="true">RAND()</f>
        <v>0.746976190047837</v>
      </c>
      <c r="S994" s="40" t="n">
        <f aca="true">RAND()</f>
        <v>0.51908828235065</v>
      </c>
      <c r="T994" s="40" t="n">
        <f aca="true">RAND()</f>
        <v>0.496391516298516</v>
      </c>
      <c r="U994" s="40" t="n">
        <f aca="true">RAND()</f>
        <v>0.320218673203121</v>
      </c>
    </row>
    <row r="995" customFormat="false" ht="15" hidden="false" customHeight="false" outlineLevel="0" collapsed="false">
      <c r="A995" s="36" t="n">
        <v>915</v>
      </c>
      <c r="B995" s="37" t="n">
        <f aca="false">1+IF($G$6=$E$6,$F$6,IF(P995&lt;($F$6-$E$6)/($G$6-$E$6),$E$6+SQRT(P995*($G$6-$E$6)*($F$6-$E$6)),$G$6-SQRT((1-P995)*($G$6-$E$6)*($G$6-$F$6))))</f>
        <v>1</v>
      </c>
      <c r="C995" s="37" t="n">
        <f aca="false">1+IF($G$7=$E$7,$F$7,IF(Q995&lt;($F$7-$E$7)/($G$7-$E$7),$E$7+SQRT(Q995*($G$7-$E$7)*($F$7-$E$7)),$G$7-SQRT((1-Q995)*($G$7-$E$7)*($G$7-$F$7))))</f>
        <v>1</v>
      </c>
      <c r="D995" s="37" t="n">
        <f aca="false">1+IF($G$8=$E$8,$F$8,IF(R995&lt;($F$8-$E$8)/($G$8-$E$8),$E$8+SQRT(R995*($G$8-$E$8)*($F$8-$E$8)),$G$8-SQRT((1-R995)*($G$8-$E$8)*($G$8-$F$8))))</f>
        <v>1</v>
      </c>
      <c r="E995" s="37" t="n">
        <f aca="false">1+IF($G$9=$E$9,$F$9,IF(S995&lt;($F$9-$E$9)/($G$9-$E$9),$E$9+SQRT(S995*($G$9-$E$9)*($F$9-$E$9)),$G$9-SQRT((1-S995)*($G$9-$E$9)*($G$9-$F$9))))</f>
        <v>1</v>
      </c>
      <c r="F995" s="37" t="n">
        <f aca="false">1+IF($G$10=$E$10,$F$10,IF(T995&lt;($F$10-$E$10)/($G$10-$E$10),$E$10+SQRT(T995*($G$10-$E$10)*($F$10-$E$10)),$G$10-SQRT((1-T995)*($G$10-$E$10)*($G$10-$F$10))))</f>
        <v>1</v>
      </c>
      <c r="G995" s="38" t="n">
        <f aca="false">IF($G$11=$E$11,$F$11,IF(U995&lt;($F$11-$E$11)/($G$11-$E$11),$E$11+SQRT(U995*($G$11-$E$11)*($F$11-$E$11)),$G$11-SQRT((1-U995)*($G$11-$E$11)*($G$11-$F$11))))</f>
        <v>0</v>
      </c>
      <c r="H995" s="39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0</v>
      </c>
      <c r="I995" s="39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0</v>
      </c>
      <c r="J995" s="39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0</v>
      </c>
      <c r="K995" s="39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0</v>
      </c>
      <c r="L995" s="39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0</v>
      </c>
      <c r="M995" s="39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0</v>
      </c>
      <c r="N995" s="39" t="str">
        <f aca="false">IF(COUNT('Business Case'!B11:G11)=0,"",H995+NPV(G995,I995:M995))</f>
        <v/>
      </c>
      <c r="P995" s="40" t="n">
        <f aca="true">RAND()</f>
        <v>0.504461250888357</v>
      </c>
      <c r="Q995" s="40" t="n">
        <f aca="true">RAND()</f>
        <v>0.724982716763393</v>
      </c>
      <c r="R995" s="40" t="n">
        <f aca="true">RAND()</f>
        <v>0.045179164217766</v>
      </c>
      <c r="S995" s="40" t="n">
        <f aca="true">RAND()</f>
        <v>0.160843284280436</v>
      </c>
      <c r="T995" s="40" t="n">
        <f aca="true">RAND()</f>
        <v>0.158739639499936</v>
      </c>
      <c r="U995" s="40" t="n">
        <f aca="true">RAND()</f>
        <v>0.8830691411765</v>
      </c>
    </row>
    <row r="996" customFormat="false" ht="15" hidden="false" customHeight="false" outlineLevel="0" collapsed="false">
      <c r="A996" s="36" t="n">
        <v>916</v>
      </c>
      <c r="B996" s="37" t="n">
        <f aca="false">1+IF($G$6=$E$6,$F$6,IF(P996&lt;($F$6-$E$6)/($G$6-$E$6),$E$6+SQRT(P996*($G$6-$E$6)*($F$6-$E$6)),$G$6-SQRT((1-P996)*($G$6-$E$6)*($G$6-$F$6))))</f>
        <v>1</v>
      </c>
      <c r="C996" s="37" t="n">
        <f aca="false">1+IF($G$7=$E$7,$F$7,IF(Q996&lt;($F$7-$E$7)/($G$7-$E$7),$E$7+SQRT(Q996*($G$7-$E$7)*($F$7-$E$7)),$G$7-SQRT((1-Q996)*($G$7-$E$7)*($G$7-$F$7))))</f>
        <v>1</v>
      </c>
      <c r="D996" s="37" t="n">
        <f aca="false">1+IF($G$8=$E$8,$F$8,IF(R996&lt;($F$8-$E$8)/($G$8-$E$8),$E$8+SQRT(R996*($G$8-$E$8)*($F$8-$E$8)),$G$8-SQRT((1-R996)*($G$8-$E$8)*($G$8-$F$8))))</f>
        <v>1</v>
      </c>
      <c r="E996" s="37" t="n">
        <f aca="false">1+IF($G$9=$E$9,$F$9,IF(S996&lt;($F$9-$E$9)/($G$9-$E$9),$E$9+SQRT(S996*($G$9-$E$9)*($F$9-$E$9)),$G$9-SQRT((1-S996)*($G$9-$E$9)*($G$9-$F$9))))</f>
        <v>1</v>
      </c>
      <c r="F996" s="37" t="n">
        <f aca="false">1+IF($G$10=$E$10,$F$10,IF(T996&lt;($F$10-$E$10)/($G$10-$E$10),$E$10+SQRT(T996*($G$10-$E$10)*($F$10-$E$10)),$G$10-SQRT((1-T996)*($G$10-$E$10)*($G$10-$F$10))))</f>
        <v>1</v>
      </c>
      <c r="G996" s="38" t="n">
        <f aca="false">IF($G$11=$E$11,$F$11,IF(U996&lt;($F$11-$E$11)/($G$11-$E$11),$E$11+SQRT(U996*($G$11-$E$11)*($F$11-$E$11)),$G$11-SQRT((1-U996)*($G$11-$E$11)*($G$11-$F$11))))</f>
        <v>0</v>
      </c>
      <c r="H996" s="39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0</v>
      </c>
      <c r="I996" s="39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0</v>
      </c>
      <c r="J996" s="39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0</v>
      </c>
      <c r="K996" s="39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0</v>
      </c>
      <c r="L996" s="39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0</v>
      </c>
      <c r="M996" s="39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0</v>
      </c>
      <c r="N996" s="39" t="str">
        <f aca="false">IF(COUNT('Business Case'!B11:G11)=0,"",H996+NPV(G996,I996:M996))</f>
        <v/>
      </c>
      <c r="P996" s="40" t="n">
        <f aca="true">RAND()</f>
        <v>0.867463251404328</v>
      </c>
      <c r="Q996" s="40" t="n">
        <f aca="true">RAND()</f>
        <v>0.212380102527861</v>
      </c>
      <c r="R996" s="40" t="n">
        <f aca="true">RAND()</f>
        <v>0.319955828855962</v>
      </c>
      <c r="S996" s="40" t="n">
        <f aca="true">RAND()</f>
        <v>0.3742535209987</v>
      </c>
      <c r="T996" s="40" t="n">
        <f aca="true">RAND()</f>
        <v>0.397672769267094</v>
      </c>
      <c r="U996" s="40" t="n">
        <f aca="true">RAND()</f>
        <v>0.00993520802974563</v>
      </c>
    </row>
    <row r="997" customFormat="false" ht="15" hidden="false" customHeight="false" outlineLevel="0" collapsed="false">
      <c r="A997" s="36" t="n">
        <v>917</v>
      </c>
      <c r="B997" s="37" t="n">
        <f aca="false">1+IF($G$6=$E$6,$F$6,IF(P997&lt;($F$6-$E$6)/($G$6-$E$6),$E$6+SQRT(P997*($G$6-$E$6)*($F$6-$E$6)),$G$6-SQRT((1-P997)*($G$6-$E$6)*($G$6-$F$6))))</f>
        <v>1</v>
      </c>
      <c r="C997" s="37" t="n">
        <f aca="false">1+IF($G$7=$E$7,$F$7,IF(Q997&lt;($F$7-$E$7)/($G$7-$E$7),$E$7+SQRT(Q997*($G$7-$E$7)*($F$7-$E$7)),$G$7-SQRT((1-Q997)*($G$7-$E$7)*($G$7-$F$7))))</f>
        <v>1</v>
      </c>
      <c r="D997" s="37" t="n">
        <f aca="false">1+IF($G$8=$E$8,$F$8,IF(R997&lt;($F$8-$E$8)/($G$8-$E$8),$E$8+SQRT(R997*($G$8-$E$8)*($F$8-$E$8)),$G$8-SQRT((1-R997)*($G$8-$E$8)*($G$8-$F$8))))</f>
        <v>1</v>
      </c>
      <c r="E997" s="37" t="n">
        <f aca="false">1+IF($G$9=$E$9,$F$9,IF(S997&lt;($F$9-$E$9)/($G$9-$E$9),$E$9+SQRT(S997*($G$9-$E$9)*($F$9-$E$9)),$G$9-SQRT((1-S997)*($G$9-$E$9)*($G$9-$F$9))))</f>
        <v>1</v>
      </c>
      <c r="F997" s="37" t="n">
        <f aca="false">1+IF($G$10=$E$10,$F$10,IF(T997&lt;($F$10-$E$10)/($G$10-$E$10),$E$10+SQRT(T997*($G$10-$E$10)*($F$10-$E$10)),$G$10-SQRT((1-T997)*($G$10-$E$10)*($G$10-$F$10))))</f>
        <v>1</v>
      </c>
      <c r="G997" s="38" t="n">
        <f aca="false">IF($G$11=$E$11,$F$11,IF(U997&lt;($F$11-$E$11)/($G$11-$E$11),$E$11+SQRT(U997*($G$11-$E$11)*($F$11-$E$11)),$G$11-SQRT((1-U997)*($G$11-$E$11)*($G$11-$F$11))))</f>
        <v>0</v>
      </c>
      <c r="H997" s="39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0</v>
      </c>
      <c r="I997" s="39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0</v>
      </c>
      <c r="J997" s="39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0</v>
      </c>
      <c r="K997" s="39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0</v>
      </c>
      <c r="L997" s="39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0</v>
      </c>
      <c r="M997" s="39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0</v>
      </c>
      <c r="N997" s="39" t="str">
        <f aca="false">IF(COUNT('Business Case'!B11:G11)=0,"",H997+NPV(G997,I997:M997))</f>
        <v/>
      </c>
      <c r="P997" s="40" t="n">
        <f aca="true">RAND()</f>
        <v>0.588115846388362</v>
      </c>
      <c r="Q997" s="40" t="n">
        <f aca="true">RAND()</f>
        <v>0.961894303647642</v>
      </c>
      <c r="R997" s="40" t="n">
        <f aca="true">RAND()</f>
        <v>0.529637158521409</v>
      </c>
      <c r="S997" s="40" t="n">
        <f aca="true">RAND()</f>
        <v>0.0380536028187606</v>
      </c>
      <c r="T997" s="40" t="n">
        <f aca="true">RAND()</f>
        <v>0.212001468913777</v>
      </c>
      <c r="U997" s="40" t="n">
        <f aca="true">RAND()</f>
        <v>0.174560504415935</v>
      </c>
    </row>
    <row r="998" customFormat="false" ht="15" hidden="false" customHeight="false" outlineLevel="0" collapsed="false">
      <c r="A998" s="36" t="n">
        <v>918</v>
      </c>
      <c r="B998" s="37" t="n">
        <f aca="false">1+IF($G$6=$E$6,$F$6,IF(P998&lt;($F$6-$E$6)/($G$6-$E$6),$E$6+SQRT(P998*($G$6-$E$6)*($F$6-$E$6)),$G$6-SQRT((1-P998)*($G$6-$E$6)*($G$6-$F$6))))</f>
        <v>1</v>
      </c>
      <c r="C998" s="37" t="n">
        <f aca="false">1+IF($G$7=$E$7,$F$7,IF(Q998&lt;($F$7-$E$7)/($G$7-$E$7),$E$7+SQRT(Q998*($G$7-$E$7)*($F$7-$E$7)),$G$7-SQRT((1-Q998)*($G$7-$E$7)*($G$7-$F$7))))</f>
        <v>1</v>
      </c>
      <c r="D998" s="37" t="n">
        <f aca="false">1+IF($G$8=$E$8,$F$8,IF(R998&lt;($F$8-$E$8)/($G$8-$E$8),$E$8+SQRT(R998*($G$8-$E$8)*($F$8-$E$8)),$G$8-SQRT((1-R998)*($G$8-$E$8)*($G$8-$F$8))))</f>
        <v>1</v>
      </c>
      <c r="E998" s="37" t="n">
        <f aca="false">1+IF($G$9=$E$9,$F$9,IF(S998&lt;($F$9-$E$9)/($G$9-$E$9),$E$9+SQRT(S998*($G$9-$E$9)*($F$9-$E$9)),$G$9-SQRT((1-S998)*($G$9-$E$9)*($G$9-$F$9))))</f>
        <v>1</v>
      </c>
      <c r="F998" s="37" t="n">
        <f aca="false">1+IF($G$10=$E$10,$F$10,IF(T998&lt;($F$10-$E$10)/($G$10-$E$10),$E$10+SQRT(T998*($G$10-$E$10)*($F$10-$E$10)),$G$10-SQRT((1-T998)*($G$10-$E$10)*($G$10-$F$10))))</f>
        <v>1</v>
      </c>
      <c r="G998" s="38" t="n">
        <f aca="false">IF($G$11=$E$11,$F$11,IF(U998&lt;($F$11-$E$11)/($G$11-$E$11),$E$11+SQRT(U998*($G$11-$E$11)*($F$11-$E$11)),$G$11-SQRT((1-U998)*($G$11-$E$11)*($G$11-$F$11))))</f>
        <v>0</v>
      </c>
      <c r="H998" s="39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0</v>
      </c>
      <c r="I998" s="39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0</v>
      </c>
      <c r="J998" s="39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0</v>
      </c>
      <c r="K998" s="39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0</v>
      </c>
      <c r="L998" s="39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0</v>
      </c>
      <c r="M998" s="39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0</v>
      </c>
      <c r="N998" s="39" t="str">
        <f aca="false">IF(COUNT('Business Case'!B11:G11)=0,"",H998+NPV(G998,I998:M998))</f>
        <v/>
      </c>
      <c r="P998" s="40" t="n">
        <f aca="true">RAND()</f>
        <v>0.663542615372432</v>
      </c>
      <c r="Q998" s="40" t="n">
        <f aca="true">RAND()</f>
        <v>0.460942872248643</v>
      </c>
      <c r="R998" s="40" t="n">
        <f aca="true">RAND()</f>
        <v>0.99476185917717</v>
      </c>
      <c r="S998" s="40" t="n">
        <f aca="true">RAND()</f>
        <v>0.495731740549108</v>
      </c>
      <c r="T998" s="40" t="n">
        <f aca="true">RAND()</f>
        <v>0.0772892338925548</v>
      </c>
      <c r="U998" s="40" t="n">
        <f aca="true">RAND()</f>
        <v>0.832785101556413</v>
      </c>
    </row>
    <row r="999" customFormat="false" ht="15" hidden="false" customHeight="false" outlineLevel="0" collapsed="false">
      <c r="A999" s="36" t="n">
        <v>919</v>
      </c>
      <c r="B999" s="37" t="n">
        <f aca="false">1+IF($G$6=$E$6,$F$6,IF(P999&lt;($F$6-$E$6)/($G$6-$E$6),$E$6+SQRT(P999*($G$6-$E$6)*($F$6-$E$6)),$G$6-SQRT((1-P999)*($G$6-$E$6)*($G$6-$F$6))))</f>
        <v>1</v>
      </c>
      <c r="C999" s="37" t="n">
        <f aca="false">1+IF($G$7=$E$7,$F$7,IF(Q999&lt;($F$7-$E$7)/($G$7-$E$7),$E$7+SQRT(Q999*($G$7-$E$7)*($F$7-$E$7)),$G$7-SQRT((1-Q999)*($G$7-$E$7)*($G$7-$F$7))))</f>
        <v>1</v>
      </c>
      <c r="D999" s="37" t="n">
        <f aca="false">1+IF($G$8=$E$8,$F$8,IF(R999&lt;($F$8-$E$8)/($G$8-$E$8),$E$8+SQRT(R999*($G$8-$E$8)*($F$8-$E$8)),$G$8-SQRT((1-R999)*($G$8-$E$8)*($G$8-$F$8))))</f>
        <v>1</v>
      </c>
      <c r="E999" s="37" t="n">
        <f aca="false">1+IF($G$9=$E$9,$F$9,IF(S999&lt;($F$9-$E$9)/($G$9-$E$9),$E$9+SQRT(S999*($G$9-$E$9)*($F$9-$E$9)),$G$9-SQRT((1-S999)*($G$9-$E$9)*($G$9-$F$9))))</f>
        <v>1</v>
      </c>
      <c r="F999" s="37" t="n">
        <f aca="false">1+IF($G$10=$E$10,$F$10,IF(T999&lt;($F$10-$E$10)/($G$10-$E$10),$E$10+SQRT(T999*($G$10-$E$10)*($F$10-$E$10)),$G$10-SQRT((1-T999)*($G$10-$E$10)*($G$10-$F$10))))</f>
        <v>1</v>
      </c>
      <c r="G999" s="38" t="n">
        <f aca="false">IF($G$11=$E$11,$F$11,IF(U999&lt;($F$11-$E$11)/($G$11-$E$11),$E$11+SQRT(U999*($G$11-$E$11)*($F$11-$E$11)),$G$11-SQRT((1-U999)*($G$11-$E$11)*($G$11-$F$11))))</f>
        <v>0</v>
      </c>
      <c r="H999" s="39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0</v>
      </c>
      <c r="I999" s="39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0</v>
      </c>
      <c r="J999" s="39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0</v>
      </c>
      <c r="K999" s="39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0</v>
      </c>
      <c r="L999" s="39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0</v>
      </c>
      <c r="M999" s="39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0</v>
      </c>
      <c r="N999" s="39" t="str">
        <f aca="false">IF(COUNT('Business Case'!B11:G11)=0,"",H999+NPV(G999,I999:M999))</f>
        <v/>
      </c>
      <c r="P999" s="40" t="n">
        <f aca="true">RAND()</f>
        <v>0.967755365800585</v>
      </c>
      <c r="Q999" s="40" t="n">
        <f aca="true">RAND()</f>
        <v>0.612997204834638</v>
      </c>
      <c r="R999" s="40" t="n">
        <f aca="true">RAND()</f>
        <v>0.420616590772133</v>
      </c>
      <c r="S999" s="40" t="n">
        <f aca="true">RAND()</f>
        <v>0.169891375859115</v>
      </c>
      <c r="T999" s="40" t="n">
        <f aca="true">RAND()</f>
        <v>0.885598978333117</v>
      </c>
      <c r="U999" s="40" t="n">
        <f aca="true">RAND()</f>
        <v>0.822177300558401</v>
      </c>
    </row>
    <row r="1000" customFormat="false" ht="15" hidden="false" customHeight="false" outlineLevel="0" collapsed="false">
      <c r="A1000" s="36" t="n">
        <v>920</v>
      </c>
      <c r="B1000" s="37" t="n">
        <f aca="false">1+IF($G$6=$E$6,$F$6,IF(P1000&lt;($F$6-$E$6)/($G$6-$E$6),$E$6+SQRT(P1000*($G$6-$E$6)*($F$6-$E$6)),$G$6-SQRT((1-P1000)*($G$6-$E$6)*($G$6-$F$6))))</f>
        <v>1</v>
      </c>
      <c r="C1000" s="37" t="n">
        <f aca="false">1+IF($G$7=$E$7,$F$7,IF(Q1000&lt;($F$7-$E$7)/($G$7-$E$7),$E$7+SQRT(Q1000*($G$7-$E$7)*($F$7-$E$7)),$G$7-SQRT((1-Q1000)*($G$7-$E$7)*($G$7-$F$7))))</f>
        <v>1</v>
      </c>
      <c r="D1000" s="37" t="n">
        <f aca="false">1+IF($G$8=$E$8,$F$8,IF(R1000&lt;($F$8-$E$8)/($G$8-$E$8),$E$8+SQRT(R1000*($G$8-$E$8)*($F$8-$E$8)),$G$8-SQRT((1-R1000)*($G$8-$E$8)*($G$8-$F$8))))</f>
        <v>1</v>
      </c>
      <c r="E1000" s="37" t="n">
        <f aca="false">1+IF($G$9=$E$9,$F$9,IF(S1000&lt;($F$9-$E$9)/($G$9-$E$9),$E$9+SQRT(S1000*($G$9-$E$9)*($F$9-$E$9)),$G$9-SQRT((1-S1000)*($G$9-$E$9)*($G$9-$F$9))))</f>
        <v>1</v>
      </c>
      <c r="F1000" s="37" t="n">
        <f aca="false">1+IF($G$10=$E$10,$F$10,IF(T1000&lt;($F$10-$E$10)/($G$10-$E$10),$E$10+SQRT(T1000*($G$10-$E$10)*($F$10-$E$10)),$G$10-SQRT((1-T1000)*($G$10-$E$10)*($G$10-$F$10))))</f>
        <v>1</v>
      </c>
      <c r="G1000" s="38" t="n">
        <f aca="false">IF($G$11=$E$11,$F$11,IF(U1000&lt;($F$11-$E$11)/($G$11-$E$11),$E$11+SQRT(U1000*($G$11-$E$11)*($F$11-$E$11)),$G$11-SQRT((1-U1000)*($G$11-$E$11)*($G$11-$F$11))))</f>
        <v>0</v>
      </c>
      <c r="H1000" s="39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0</v>
      </c>
      <c r="I1000" s="39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0</v>
      </c>
      <c r="J1000" s="39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0</v>
      </c>
      <c r="K1000" s="39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0</v>
      </c>
      <c r="L1000" s="39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0</v>
      </c>
      <c r="M1000" s="39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0</v>
      </c>
      <c r="N1000" s="39" t="str">
        <f aca="false">IF(COUNT('Business Case'!B11:G11)=0,"",H1000+NPV(G1000,I1000:M1000))</f>
        <v/>
      </c>
      <c r="P1000" s="40" t="n">
        <f aca="true">RAND()</f>
        <v>0.504885078229329</v>
      </c>
      <c r="Q1000" s="40" t="n">
        <f aca="true">RAND()</f>
        <v>0.0686309185599588</v>
      </c>
      <c r="R1000" s="40" t="n">
        <f aca="true">RAND()</f>
        <v>0.379973416060401</v>
      </c>
      <c r="S1000" s="40" t="n">
        <f aca="true">RAND()</f>
        <v>0.386154421065435</v>
      </c>
      <c r="T1000" s="40" t="n">
        <f aca="true">RAND()</f>
        <v>0.433803696807972</v>
      </c>
      <c r="U1000" s="40" t="n">
        <f aca="true">RAND()</f>
        <v>0.28353008902014</v>
      </c>
    </row>
    <row r="1001" customFormat="false" ht="15" hidden="false" customHeight="false" outlineLevel="0" collapsed="false">
      <c r="A1001" s="36" t="n">
        <v>921</v>
      </c>
      <c r="B1001" s="37" t="n">
        <f aca="false">1+IF($G$6=$E$6,$F$6,IF(P1001&lt;($F$6-$E$6)/($G$6-$E$6),$E$6+SQRT(P1001*($G$6-$E$6)*($F$6-$E$6)),$G$6-SQRT((1-P1001)*($G$6-$E$6)*($G$6-$F$6))))</f>
        <v>1</v>
      </c>
      <c r="C1001" s="37" t="n">
        <f aca="false">1+IF($G$7=$E$7,$F$7,IF(Q1001&lt;($F$7-$E$7)/($G$7-$E$7),$E$7+SQRT(Q1001*($G$7-$E$7)*($F$7-$E$7)),$G$7-SQRT((1-Q1001)*($G$7-$E$7)*($G$7-$F$7))))</f>
        <v>1</v>
      </c>
      <c r="D1001" s="37" t="n">
        <f aca="false">1+IF($G$8=$E$8,$F$8,IF(R1001&lt;($F$8-$E$8)/($G$8-$E$8),$E$8+SQRT(R1001*($G$8-$E$8)*($F$8-$E$8)),$G$8-SQRT((1-R1001)*($G$8-$E$8)*($G$8-$F$8))))</f>
        <v>1</v>
      </c>
      <c r="E1001" s="37" t="n">
        <f aca="false">1+IF($G$9=$E$9,$F$9,IF(S1001&lt;($F$9-$E$9)/($G$9-$E$9),$E$9+SQRT(S1001*($G$9-$E$9)*($F$9-$E$9)),$G$9-SQRT((1-S1001)*($G$9-$E$9)*($G$9-$F$9))))</f>
        <v>1</v>
      </c>
      <c r="F1001" s="37" t="n">
        <f aca="false">1+IF($G$10=$E$10,$F$10,IF(T1001&lt;($F$10-$E$10)/($G$10-$E$10),$E$10+SQRT(T1001*($G$10-$E$10)*($F$10-$E$10)),$G$10-SQRT((1-T1001)*($G$10-$E$10)*($G$10-$F$10))))</f>
        <v>1</v>
      </c>
      <c r="G1001" s="38" t="n">
        <f aca="false">IF($G$11=$E$11,$F$11,IF(U1001&lt;($F$11-$E$11)/($G$11-$E$11),$E$11+SQRT(U1001*($G$11-$E$11)*($F$11-$E$11)),$G$11-SQRT((1-U1001)*($G$11-$E$11)*($G$11-$F$11))))</f>
        <v>0</v>
      </c>
      <c r="H1001" s="39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0</v>
      </c>
      <c r="I1001" s="39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0</v>
      </c>
      <c r="J1001" s="39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0</v>
      </c>
      <c r="K1001" s="39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0</v>
      </c>
      <c r="L1001" s="39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0</v>
      </c>
      <c r="M1001" s="39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0</v>
      </c>
      <c r="N1001" s="39" t="str">
        <f aca="false">IF(COUNT('Business Case'!B11:G11)=0,"",H1001+NPV(G1001,I1001:M1001))</f>
        <v/>
      </c>
      <c r="P1001" s="40" t="n">
        <f aca="true">RAND()</f>
        <v>0.500355162943046</v>
      </c>
      <c r="Q1001" s="40" t="n">
        <f aca="true">RAND()</f>
        <v>0.535670516779179</v>
      </c>
      <c r="R1001" s="40" t="n">
        <f aca="true">RAND()</f>
        <v>0.28517406838347</v>
      </c>
      <c r="S1001" s="40" t="n">
        <f aca="true">RAND()</f>
        <v>0.806973173915983</v>
      </c>
      <c r="T1001" s="40" t="n">
        <f aca="true">RAND()</f>
        <v>0.847034649457061</v>
      </c>
      <c r="U1001" s="40" t="n">
        <f aca="true">RAND()</f>
        <v>0.139122191038573</v>
      </c>
    </row>
    <row r="1002" customFormat="false" ht="15" hidden="false" customHeight="false" outlineLevel="0" collapsed="false">
      <c r="A1002" s="36" t="n">
        <v>922</v>
      </c>
      <c r="B1002" s="37" t="n">
        <f aca="false">1+IF($G$6=$E$6,$F$6,IF(P1002&lt;($F$6-$E$6)/($G$6-$E$6),$E$6+SQRT(P1002*($G$6-$E$6)*($F$6-$E$6)),$G$6-SQRT((1-P1002)*($G$6-$E$6)*($G$6-$F$6))))</f>
        <v>1</v>
      </c>
      <c r="C1002" s="37" t="n">
        <f aca="false">1+IF($G$7=$E$7,$F$7,IF(Q1002&lt;($F$7-$E$7)/($G$7-$E$7),$E$7+SQRT(Q1002*($G$7-$E$7)*($F$7-$E$7)),$G$7-SQRT((1-Q1002)*($G$7-$E$7)*($G$7-$F$7))))</f>
        <v>1</v>
      </c>
      <c r="D1002" s="37" t="n">
        <f aca="false">1+IF($G$8=$E$8,$F$8,IF(R1002&lt;($F$8-$E$8)/($G$8-$E$8),$E$8+SQRT(R1002*($G$8-$E$8)*($F$8-$E$8)),$G$8-SQRT((1-R1002)*($G$8-$E$8)*($G$8-$F$8))))</f>
        <v>1</v>
      </c>
      <c r="E1002" s="37" t="n">
        <f aca="false">1+IF($G$9=$E$9,$F$9,IF(S1002&lt;($F$9-$E$9)/($G$9-$E$9),$E$9+SQRT(S1002*($G$9-$E$9)*($F$9-$E$9)),$G$9-SQRT((1-S1002)*($G$9-$E$9)*($G$9-$F$9))))</f>
        <v>1</v>
      </c>
      <c r="F1002" s="37" t="n">
        <f aca="false">1+IF($G$10=$E$10,$F$10,IF(T1002&lt;($F$10-$E$10)/($G$10-$E$10),$E$10+SQRT(T1002*($G$10-$E$10)*($F$10-$E$10)),$G$10-SQRT((1-T1002)*($G$10-$E$10)*($G$10-$F$10))))</f>
        <v>1</v>
      </c>
      <c r="G1002" s="38" t="n">
        <f aca="false">IF($G$11=$E$11,$F$11,IF(U1002&lt;($F$11-$E$11)/($G$11-$E$11),$E$11+SQRT(U1002*($G$11-$E$11)*($F$11-$E$11)),$G$11-SQRT((1-U1002)*($G$11-$E$11)*($G$11-$F$11))))</f>
        <v>0</v>
      </c>
      <c r="H1002" s="39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0</v>
      </c>
      <c r="I1002" s="39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0</v>
      </c>
      <c r="J1002" s="39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0</v>
      </c>
      <c r="K1002" s="39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0</v>
      </c>
      <c r="L1002" s="39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0</v>
      </c>
      <c r="M1002" s="39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0</v>
      </c>
      <c r="N1002" s="39" t="str">
        <f aca="false">IF(COUNT('Business Case'!B11:G11)=0,"",H1002+NPV(G1002,I1002:M1002))</f>
        <v/>
      </c>
      <c r="P1002" s="40" t="n">
        <f aca="true">RAND()</f>
        <v>0.728063223347794</v>
      </c>
      <c r="Q1002" s="40" t="n">
        <f aca="true">RAND()</f>
        <v>0.47962808264534</v>
      </c>
      <c r="R1002" s="40" t="n">
        <f aca="true">RAND()</f>
        <v>0.18611842381998</v>
      </c>
      <c r="S1002" s="40" t="n">
        <f aca="true">RAND()</f>
        <v>0.38782470478001</v>
      </c>
      <c r="T1002" s="40" t="n">
        <f aca="true">RAND()</f>
        <v>0.876944838423182</v>
      </c>
      <c r="U1002" s="40" t="n">
        <f aca="true">RAND()</f>
        <v>0.326118819215186</v>
      </c>
    </row>
    <row r="1003" customFormat="false" ht="15" hidden="false" customHeight="false" outlineLevel="0" collapsed="false">
      <c r="A1003" s="36" t="n">
        <v>923</v>
      </c>
      <c r="B1003" s="37" t="n">
        <f aca="false">1+IF($G$6=$E$6,$F$6,IF(P1003&lt;($F$6-$E$6)/($G$6-$E$6),$E$6+SQRT(P1003*($G$6-$E$6)*($F$6-$E$6)),$G$6-SQRT((1-P1003)*($G$6-$E$6)*($G$6-$F$6))))</f>
        <v>1</v>
      </c>
      <c r="C1003" s="37" t="n">
        <f aca="false">1+IF($G$7=$E$7,$F$7,IF(Q1003&lt;($F$7-$E$7)/($G$7-$E$7),$E$7+SQRT(Q1003*($G$7-$E$7)*($F$7-$E$7)),$G$7-SQRT((1-Q1003)*($G$7-$E$7)*($G$7-$F$7))))</f>
        <v>1</v>
      </c>
      <c r="D1003" s="37" t="n">
        <f aca="false">1+IF($G$8=$E$8,$F$8,IF(R1003&lt;($F$8-$E$8)/($G$8-$E$8),$E$8+SQRT(R1003*($G$8-$E$8)*($F$8-$E$8)),$G$8-SQRT((1-R1003)*($G$8-$E$8)*($G$8-$F$8))))</f>
        <v>1</v>
      </c>
      <c r="E1003" s="37" t="n">
        <f aca="false">1+IF($G$9=$E$9,$F$9,IF(S1003&lt;($F$9-$E$9)/($G$9-$E$9),$E$9+SQRT(S1003*($G$9-$E$9)*($F$9-$E$9)),$G$9-SQRT((1-S1003)*($G$9-$E$9)*($G$9-$F$9))))</f>
        <v>1</v>
      </c>
      <c r="F1003" s="37" t="n">
        <f aca="false">1+IF($G$10=$E$10,$F$10,IF(T1003&lt;($F$10-$E$10)/($G$10-$E$10),$E$10+SQRT(T1003*($G$10-$E$10)*($F$10-$E$10)),$G$10-SQRT((1-T1003)*($G$10-$E$10)*($G$10-$F$10))))</f>
        <v>1</v>
      </c>
      <c r="G1003" s="38" t="n">
        <f aca="false">IF($G$11=$E$11,$F$11,IF(U1003&lt;($F$11-$E$11)/($G$11-$E$11),$E$11+SQRT(U1003*($G$11-$E$11)*($F$11-$E$11)),$G$11-SQRT((1-U1003)*($G$11-$E$11)*($G$11-$F$11))))</f>
        <v>0</v>
      </c>
      <c r="H1003" s="39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0</v>
      </c>
      <c r="I1003" s="39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0</v>
      </c>
      <c r="J1003" s="39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0</v>
      </c>
      <c r="K1003" s="39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0</v>
      </c>
      <c r="L1003" s="39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0</v>
      </c>
      <c r="M1003" s="39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0</v>
      </c>
      <c r="N1003" s="39" t="str">
        <f aca="false">IF(COUNT('Business Case'!B11:G11)=0,"",H1003+NPV(G1003,I1003:M1003))</f>
        <v/>
      </c>
      <c r="P1003" s="40" t="n">
        <f aca="true">RAND()</f>
        <v>0.436083440751178</v>
      </c>
      <c r="Q1003" s="40" t="n">
        <f aca="true">RAND()</f>
        <v>0.0298487208833034</v>
      </c>
      <c r="R1003" s="40" t="n">
        <f aca="true">RAND()</f>
        <v>0.221216202178161</v>
      </c>
      <c r="S1003" s="40" t="n">
        <f aca="true">RAND()</f>
        <v>0.491929410163993</v>
      </c>
      <c r="T1003" s="40" t="n">
        <f aca="true">RAND()</f>
        <v>0.0395759489325616</v>
      </c>
      <c r="U1003" s="40" t="n">
        <f aca="true">RAND()</f>
        <v>0.891528494580648</v>
      </c>
    </row>
    <row r="1004" customFormat="false" ht="15" hidden="false" customHeight="false" outlineLevel="0" collapsed="false">
      <c r="A1004" s="36" t="n">
        <v>924</v>
      </c>
      <c r="B1004" s="37" t="n">
        <f aca="false">1+IF($G$6=$E$6,$F$6,IF(P1004&lt;($F$6-$E$6)/($G$6-$E$6),$E$6+SQRT(P1004*($G$6-$E$6)*($F$6-$E$6)),$G$6-SQRT((1-P1004)*($G$6-$E$6)*($G$6-$F$6))))</f>
        <v>1</v>
      </c>
      <c r="C1004" s="37" t="n">
        <f aca="false">1+IF($G$7=$E$7,$F$7,IF(Q1004&lt;($F$7-$E$7)/($G$7-$E$7),$E$7+SQRT(Q1004*($G$7-$E$7)*($F$7-$E$7)),$G$7-SQRT((1-Q1004)*($G$7-$E$7)*($G$7-$F$7))))</f>
        <v>1</v>
      </c>
      <c r="D1004" s="37" t="n">
        <f aca="false">1+IF($G$8=$E$8,$F$8,IF(R1004&lt;($F$8-$E$8)/($G$8-$E$8),$E$8+SQRT(R1004*($G$8-$E$8)*($F$8-$E$8)),$G$8-SQRT((1-R1004)*($G$8-$E$8)*($G$8-$F$8))))</f>
        <v>1</v>
      </c>
      <c r="E1004" s="37" t="n">
        <f aca="false">1+IF($G$9=$E$9,$F$9,IF(S1004&lt;($F$9-$E$9)/($G$9-$E$9),$E$9+SQRT(S1004*($G$9-$E$9)*($F$9-$E$9)),$G$9-SQRT((1-S1004)*($G$9-$E$9)*($G$9-$F$9))))</f>
        <v>1</v>
      </c>
      <c r="F1004" s="37" t="n">
        <f aca="false">1+IF($G$10=$E$10,$F$10,IF(T1004&lt;($F$10-$E$10)/($G$10-$E$10),$E$10+SQRT(T1004*($G$10-$E$10)*($F$10-$E$10)),$G$10-SQRT((1-T1004)*($G$10-$E$10)*($G$10-$F$10))))</f>
        <v>1</v>
      </c>
      <c r="G1004" s="38" t="n">
        <f aca="false">IF($G$11=$E$11,$F$11,IF(U1004&lt;($F$11-$E$11)/($G$11-$E$11),$E$11+SQRT(U1004*($G$11-$E$11)*($F$11-$E$11)),$G$11-SQRT((1-U1004)*($G$11-$E$11)*($G$11-$F$11))))</f>
        <v>0</v>
      </c>
      <c r="H1004" s="39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0</v>
      </c>
      <c r="I1004" s="39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0</v>
      </c>
      <c r="J1004" s="39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0</v>
      </c>
      <c r="K1004" s="39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0</v>
      </c>
      <c r="L1004" s="39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0</v>
      </c>
      <c r="M1004" s="39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0</v>
      </c>
      <c r="N1004" s="39" t="str">
        <f aca="false">IF(COUNT('Business Case'!B11:G11)=0,"",H1004+NPV(G1004,I1004:M1004))</f>
        <v/>
      </c>
      <c r="P1004" s="40" t="n">
        <f aca="true">RAND()</f>
        <v>0.984100617750931</v>
      </c>
      <c r="Q1004" s="40" t="n">
        <f aca="true">RAND()</f>
        <v>0.39045944643404</v>
      </c>
      <c r="R1004" s="40" t="n">
        <f aca="true">RAND()</f>
        <v>0.376930297949828</v>
      </c>
      <c r="S1004" s="40" t="n">
        <f aca="true">RAND()</f>
        <v>0.800236292765676</v>
      </c>
      <c r="T1004" s="40" t="n">
        <f aca="true">RAND()</f>
        <v>0.45221246975434</v>
      </c>
      <c r="U1004" s="40" t="n">
        <f aca="true">RAND()</f>
        <v>0.525452480307325</v>
      </c>
    </row>
    <row r="1005" customFormat="false" ht="15" hidden="false" customHeight="false" outlineLevel="0" collapsed="false">
      <c r="A1005" s="36" t="n">
        <v>925</v>
      </c>
      <c r="B1005" s="37" t="n">
        <f aca="false">1+IF($G$6=$E$6,$F$6,IF(P1005&lt;($F$6-$E$6)/($G$6-$E$6),$E$6+SQRT(P1005*($G$6-$E$6)*($F$6-$E$6)),$G$6-SQRT((1-P1005)*($G$6-$E$6)*($G$6-$F$6))))</f>
        <v>1</v>
      </c>
      <c r="C1005" s="37" t="n">
        <f aca="false">1+IF($G$7=$E$7,$F$7,IF(Q1005&lt;($F$7-$E$7)/($G$7-$E$7),$E$7+SQRT(Q1005*($G$7-$E$7)*($F$7-$E$7)),$G$7-SQRT((1-Q1005)*($G$7-$E$7)*($G$7-$F$7))))</f>
        <v>1</v>
      </c>
      <c r="D1005" s="37" t="n">
        <f aca="false">1+IF($G$8=$E$8,$F$8,IF(R1005&lt;($F$8-$E$8)/($G$8-$E$8),$E$8+SQRT(R1005*($G$8-$E$8)*($F$8-$E$8)),$G$8-SQRT((1-R1005)*($G$8-$E$8)*($G$8-$F$8))))</f>
        <v>1</v>
      </c>
      <c r="E1005" s="37" t="n">
        <f aca="false">1+IF($G$9=$E$9,$F$9,IF(S1005&lt;($F$9-$E$9)/($G$9-$E$9),$E$9+SQRT(S1005*($G$9-$E$9)*($F$9-$E$9)),$G$9-SQRT((1-S1005)*($G$9-$E$9)*($G$9-$F$9))))</f>
        <v>1</v>
      </c>
      <c r="F1005" s="37" t="n">
        <f aca="false">1+IF($G$10=$E$10,$F$10,IF(T1005&lt;($F$10-$E$10)/($G$10-$E$10),$E$10+SQRT(T1005*($G$10-$E$10)*($F$10-$E$10)),$G$10-SQRT((1-T1005)*($G$10-$E$10)*($G$10-$F$10))))</f>
        <v>1</v>
      </c>
      <c r="G1005" s="38" t="n">
        <f aca="false">IF($G$11=$E$11,$F$11,IF(U1005&lt;($F$11-$E$11)/($G$11-$E$11),$E$11+SQRT(U1005*($G$11-$E$11)*($F$11-$E$11)),$G$11-SQRT((1-U1005)*($G$11-$E$11)*($G$11-$F$11))))</f>
        <v>0</v>
      </c>
      <c r="H1005" s="39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0</v>
      </c>
      <c r="I1005" s="39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0</v>
      </c>
      <c r="J1005" s="39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0</v>
      </c>
      <c r="K1005" s="39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0</v>
      </c>
      <c r="L1005" s="39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0</v>
      </c>
      <c r="M1005" s="39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0</v>
      </c>
      <c r="N1005" s="39" t="str">
        <f aca="false">IF(COUNT('Business Case'!B11:G11)=0,"",H1005+NPV(G1005,I1005:M1005))</f>
        <v/>
      </c>
      <c r="P1005" s="40" t="n">
        <f aca="true">RAND()</f>
        <v>0.348332512983415</v>
      </c>
      <c r="Q1005" s="40" t="n">
        <f aca="true">RAND()</f>
        <v>0.38863160399247</v>
      </c>
      <c r="R1005" s="40" t="n">
        <f aca="true">RAND()</f>
        <v>0.445324074992972</v>
      </c>
      <c r="S1005" s="40" t="n">
        <f aca="true">RAND()</f>
        <v>0.0353118711377997</v>
      </c>
      <c r="T1005" s="40" t="n">
        <f aca="true">RAND()</f>
        <v>0.568744199821507</v>
      </c>
      <c r="U1005" s="40" t="n">
        <f aca="true">RAND()</f>
        <v>0.87218113457569</v>
      </c>
    </row>
    <row r="1006" customFormat="false" ht="15" hidden="false" customHeight="false" outlineLevel="0" collapsed="false">
      <c r="A1006" s="36" t="n">
        <v>926</v>
      </c>
      <c r="B1006" s="37" t="n">
        <f aca="false">1+IF($G$6=$E$6,$F$6,IF(P1006&lt;($F$6-$E$6)/($G$6-$E$6),$E$6+SQRT(P1006*($G$6-$E$6)*($F$6-$E$6)),$G$6-SQRT((1-P1006)*($G$6-$E$6)*($G$6-$F$6))))</f>
        <v>1</v>
      </c>
      <c r="C1006" s="37" t="n">
        <f aca="false">1+IF($G$7=$E$7,$F$7,IF(Q1006&lt;($F$7-$E$7)/($G$7-$E$7),$E$7+SQRT(Q1006*($G$7-$E$7)*($F$7-$E$7)),$G$7-SQRT((1-Q1006)*($G$7-$E$7)*($G$7-$F$7))))</f>
        <v>1</v>
      </c>
      <c r="D1006" s="37" t="n">
        <f aca="false">1+IF($G$8=$E$8,$F$8,IF(R1006&lt;($F$8-$E$8)/($G$8-$E$8),$E$8+SQRT(R1006*($G$8-$E$8)*($F$8-$E$8)),$G$8-SQRT((1-R1006)*($G$8-$E$8)*($G$8-$F$8))))</f>
        <v>1</v>
      </c>
      <c r="E1006" s="37" t="n">
        <f aca="false">1+IF($G$9=$E$9,$F$9,IF(S1006&lt;($F$9-$E$9)/($G$9-$E$9),$E$9+SQRT(S1006*($G$9-$E$9)*($F$9-$E$9)),$G$9-SQRT((1-S1006)*($G$9-$E$9)*($G$9-$F$9))))</f>
        <v>1</v>
      </c>
      <c r="F1006" s="37" t="n">
        <f aca="false">1+IF($G$10=$E$10,$F$10,IF(T1006&lt;($F$10-$E$10)/($G$10-$E$10),$E$10+SQRT(T1006*($G$10-$E$10)*($F$10-$E$10)),$G$10-SQRT((1-T1006)*($G$10-$E$10)*($G$10-$F$10))))</f>
        <v>1</v>
      </c>
      <c r="G1006" s="38" t="n">
        <f aca="false">IF($G$11=$E$11,$F$11,IF(U1006&lt;($F$11-$E$11)/($G$11-$E$11),$E$11+SQRT(U1006*($G$11-$E$11)*($F$11-$E$11)),$G$11-SQRT((1-U1006)*($G$11-$E$11)*($G$11-$F$11))))</f>
        <v>0</v>
      </c>
      <c r="H1006" s="39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0</v>
      </c>
      <c r="I1006" s="39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0</v>
      </c>
      <c r="J1006" s="39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0</v>
      </c>
      <c r="K1006" s="39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0</v>
      </c>
      <c r="L1006" s="39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0</v>
      </c>
      <c r="M1006" s="39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0</v>
      </c>
      <c r="N1006" s="39" t="str">
        <f aca="false">IF(COUNT('Business Case'!B11:G11)=0,"",H1006+NPV(G1006,I1006:M1006))</f>
        <v/>
      </c>
      <c r="P1006" s="40" t="n">
        <f aca="true">RAND()</f>
        <v>0.269000523190248</v>
      </c>
      <c r="Q1006" s="40" t="n">
        <f aca="true">RAND()</f>
        <v>0.444247741912867</v>
      </c>
      <c r="R1006" s="40" t="n">
        <f aca="true">RAND()</f>
        <v>0.630438373819536</v>
      </c>
      <c r="S1006" s="40" t="n">
        <f aca="true">RAND()</f>
        <v>0.368084212399374</v>
      </c>
      <c r="T1006" s="40" t="n">
        <f aca="true">RAND()</f>
        <v>0.609333510805871</v>
      </c>
      <c r="U1006" s="40" t="n">
        <f aca="true">RAND()</f>
        <v>0.717174448109761</v>
      </c>
    </row>
    <row r="1007" customFormat="false" ht="15" hidden="false" customHeight="false" outlineLevel="0" collapsed="false">
      <c r="A1007" s="36" t="n">
        <v>927</v>
      </c>
      <c r="B1007" s="37" t="n">
        <f aca="false">1+IF($G$6=$E$6,$F$6,IF(P1007&lt;($F$6-$E$6)/($G$6-$E$6),$E$6+SQRT(P1007*($G$6-$E$6)*($F$6-$E$6)),$G$6-SQRT((1-P1007)*($G$6-$E$6)*($G$6-$F$6))))</f>
        <v>1</v>
      </c>
      <c r="C1007" s="37" t="n">
        <f aca="false">1+IF($G$7=$E$7,$F$7,IF(Q1007&lt;($F$7-$E$7)/($G$7-$E$7),$E$7+SQRT(Q1007*($G$7-$E$7)*($F$7-$E$7)),$G$7-SQRT((1-Q1007)*($G$7-$E$7)*($G$7-$F$7))))</f>
        <v>1</v>
      </c>
      <c r="D1007" s="37" t="n">
        <f aca="false">1+IF($G$8=$E$8,$F$8,IF(R1007&lt;($F$8-$E$8)/($G$8-$E$8),$E$8+SQRT(R1007*($G$8-$E$8)*($F$8-$E$8)),$G$8-SQRT((1-R1007)*($G$8-$E$8)*($G$8-$F$8))))</f>
        <v>1</v>
      </c>
      <c r="E1007" s="37" t="n">
        <f aca="false">1+IF($G$9=$E$9,$F$9,IF(S1007&lt;($F$9-$E$9)/($G$9-$E$9),$E$9+SQRT(S1007*($G$9-$E$9)*($F$9-$E$9)),$G$9-SQRT((1-S1007)*($G$9-$E$9)*($G$9-$F$9))))</f>
        <v>1</v>
      </c>
      <c r="F1007" s="37" t="n">
        <f aca="false">1+IF($G$10=$E$10,$F$10,IF(T1007&lt;($F$10-$E$10)/($G$10-$E$10),$E$10+SQRT(T1007*($G$10-$E$10)*($F$10-$E$10)),$G$10-SQRT((1-T1007)*($G$10-$E$10)*($G$10-$F$10))))</f>
        <v>1</v>
      </c>
      <c r="G1007" s="38" t="n">
        <f aca="false">IF($G$11=$E$11,$F$11,IF(U1007&lt;($F$11-$E$11)/($G$11-$E$11),$E$11+SQRT(U1007*($G$11-$E$11)*($F$11-$E$11)),$G$11-SQRT((1-U1007)*($G$11-$E$11)*($G$11-$F$11))))</f>
        <v>0</v>
      </c>
      <c r="H1007" s="39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0</v>
      </c>
      <c r="I1007" s="39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0</v>
      </c>
      <c r="J1007" s="39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0</v>
      </c>
      <c r="K1007" s="39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0</v>
      </c>
      <c r="L1007" s="39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0</v>
      </c>
      <c r="M1007" s="39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0</v>
      </c>
      <c r="N1007" s="39" t="str">
        <f aca="false">IF(COUNT('Business Case'!B11:G11)=0,"",H1007+NPV(G1007,I1007:M1007))</f>
        <v/>
      </c>
      <c r="P1007" s="40" t="n">
        <f aca="true">RAND()</f>
        <v>0.741334924716683</v>
      </c>
      <c r="Q1007" s="40" t="n">
        <f aca="true">RAND()</f>
        <v>0.174236080472094</v>
      </c>
      <c r="R1007" s="40" t="n">
        <f aca="true">RAND()</f>
        <v>0.229953504786834</v>
      </c>
      <c r="S1007" s="40" t="n">
        <f aca="true">RAND()</f>
        <v>0.772030089446615</v>
      </c>
      <c r="T1007" s="40" t="n">
        <f aca="true">RAND()</f>
        <v>0.851311833256157</v>
      </c>
      <c r="U1007" s="40" t="n">
        <f aca="true">RAND()</f>
        <v>0.471375932248553</v>
      </c>
    </row>
    <row r="1008" customFormat="false" ht="15" hidden="false" customHeight="false" outlineLevel="0" collapsed="false">
      <c r="A1008" s="36" t="n">
        <v>928</v>
      </c>
      <c r="B1008" s="37" t="n">
        <f aca="false">1+IF($G$6=$E$6,$F$6,IF(P1008&lt;($F$6-$E$6)/($G$6-$E$6),$E$6+SQRT(P1008*($G$6-$E$6)*($F$6-$E$6)),$G$6-SQRT((1-P1008)*($G$6-$E$6)*($G$6-$F$6))))</f>
        <v>1</v>
      </c>
      <c r="C1008" s="37" t="n">
        <f aca="false">1+IF($G$7=$E$7,$F$7,IF(Q1008&lt;($F$7-$E$7)/($G$7-$E$7),$E$7+SQRT(Q1008*($G$7-$E$7)*($F$7-$E$7)),$G$7-SQRT((1-Q1008)*($G$7-$E$7)*($G$7-$F$7))))</f>
        <v>1</v>
      </c>
      <c r="D1008" s="37" t="n">
        <f aca="false">1+IF($G$8=$E$8,$F$8,IF(R1008&lt;($F$8-$E$8)/($G$8-$E$8),$E$8+SQRT(R1008*($G$8-$E$8)*($F$8-$E$8)),$G$8-SQRT((1-R1008)*($G$8-$E$8)*($G$8-$F$8))))</f>
        <v>1</v>
      </c>
      <c r="E1008" s="37" t="n">
        <f aca="false">1+IF($G$9=$E$9,$F$9,IF(S1008&lt;($F$9-$E$9)/($G$9-$E$9),$E$9+SQRT(S1008*($G$9-$E$9)*($F$9-$E$9)),$G$9-SQRT((1-S1008)*($G$9-$E$9)*($G$9-$F$9))))</f>
        <v>1</v>
      </c>
      <c r="F1008" s="37" t="n">
        <f aca="false">1+IF($G$10=$E$10,$F$10,IF(T1008&lt;($F$10-$E$10)/($G$10-$E$10),$E$10+SQRT(T1008*($G$10-$E$10)*($F$10-$E$10)),$G$10-SQRT((1-T1008)*($G$10-$E$10)*($G$10-$F$10))))</f>
        <v>1</v>
      </c>
      <c r="G1008" s="38" t="n">
        <f aca="false">IF($G$11=$E$11,$F$11,IF(U1008&lt;($F$11-$E$11)/($G$11-$E$11),$E$11+SQRT(U1008*($G$11-$E$11)*($F$11-$E$11)),$G$11-SQRT((1-U1008)*($G$11-$E$11)*($G$11-$F$11))))</f>
        <v>0</v>
      </c>
      <c r="H1008" s="39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0</v>
      </c>
      <c r="I1008" s="39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0</v>
      </c>
      <c r="J1008" s="39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0</v>
      </c>
      <c r="K1008" s="39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0</v>
      </c>
      <c r="L1008" s="39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0</v>
      </c>
      <c r="M1008" s="39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0</v>
      </c>
      <c r="N1008" s="39" t="str">
        <f aca="false">IF(COUNT('Business Case'!B11:G11)=0,"",H1008+NPV(G1008,I1008:M1008))</f>
        <v/>
      </c>
      <c r="P1008" s="40" t="n">
        <f aca="true">RAND()</f>
        <v>0.934014819292512</v>
      </c>
      <c r="Q1008" s="40" t="n">
        <f aca="true">RAND()</f>
        <v>0.0688811507073432</v>
      </c>
      <c r="R1008" s="40" t="n">
        <f aca="true">RAND()</f>
        <v>0.239279478872277</v>
      </c>
      <c r="S1008" s="40" t="n">
        <f aca="true">RAND()</f>
        <v>0.492234465850311</v>
      </c>
      <c r="T1008" s="40" t="n">
        <f aca="true">RAND()</f>
        <v>0.393950391535167</v>
      </c>
      <c r="U1008" s="40" t="n">
        <f aca="true">RAND()</f>
        <v>0.405224348382499</v>
      </c>
    </row>
    <row r="1009" customFormat="false" ht="15" hidden="false" customHeight="false" outlineLevel="0" collapsed="false">
      <c r="A1009" s="36" t="n">
        <v>929</v>
      </c>
      <c r="B1009" s="37" t="n">
        <f aca="false">1+IF($G$6=$E$6,$F$6,IF(P1009&lt;($F$6-$E$6)/($G$6-$E$6),$E$6+SQRT(P1009*($G$6-$E$6)*($F$6-$E$6)),$G$6-SQRT((1-P1009)*($G$6-$E$6)*($G$6-$F$6))))</f>
        <v>1</v>
      </c>
      <c r="C1009" s="37" t="n">
        <f aca="false">1+IF($G$7=$E$7,$F$7,IF(Q1009&lt;($F$7-$E$7)/($G$7-$E$7),$E$7+SQRT(Q1009*($G$7-$E$7)*($F$7-$E$7)),$G$7-SQRT((1-Q1009)*($G$7-$E$7)*($G$7-$F$7))))</f>
        <v>1</v>
      </c>
      <c r="D1009" s="37" t="n">
        <f aca="false">1+IF($G$8=$E$8,$F$8,IF(R1009&lt;($F$8-$E$8)/($G$8-$E$8),$E$8+SQRT(R1009*($G$8-$E$8)*($F$8-$E$8)),$G$8-SQRT((1-R1009)*($G$8-$E$8)*($G$8-$F$8))))</f>
        <v>1</v>
      </c>
      <c r="E1009" s="37" t="n">
        <f aca="false">1+IF($G$9=$E$9,$F$9,IF(S1009&lt;($F$9-$E$9)/($G$9-$E$9),$E$9+SQRT(S1009*($G$9-$E$9)*($F$9-$E$9)),$G$9-SQRT((1-S1009)*($G$9-$E$9)*($G$9-$F$9))))</f>
        <v>1</v>
      </c>
      <c r="F1009" s="37" t="n">
        <f aca="false">1+IF($G$10=$E$10,$F$10,IF(T1009&lt;($F$10-$E$10)/($G$10-$E$10),$E$10+SQRT(T1009*($G$10-$E$10)*($F$10-$E$10)),$G$10-SQRT((1-T1009)*($G$10-$E$10)*($G$10-$F$10))))</f>
        <v>1</v>
      </c>
      <c r="G1009" s="38" t="n">
        <f aca="false">IF($G$11=$E$11,$F$11,IF(U1009&lt;($F$11-$E$11)/($G$11-$E$11),$E$11+SQRT(U1009*($G$11-$E$11)*($F$11-$E$11)),$G$11-SQRT((1-U1009)*($G$11-$E$11)*($G$11-$F$11))))</f>
        <v>0</v>
      </c>
      <c r="H1009" s="39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0</v>
      </c>
      <c r="I1009" s="39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0</v>
      </c>
      <c r="J1009" s="39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0</v>
      </c>
      <c r="K1009" s="39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0</v>
      </c>
      <c r="L1009" s="39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0</v>
      </c>
      <c r="M1009" s="39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0</v>
      </c>
      <c r="N1009" s="39" t="str">
        <f aca="false">IF(COUNT('Business Case'!B11:G11)=0,"",H1009+NPV(G1009,I1009:M1009))</f>
        <v/>
      </c>
      <c r="P1009" s="40" t="n">
        <f aca="true">RAND()</f>
        <v>0.895973123080876</v>
      </c>
      <c r="Q1009" s="40" t="n">
        <f aca="true">RAND()</f>
        <v>0.044936239825918</v>
      </c>
      <c r="R1009" s="40" t="n">
        <f aca="true">RAND()</f>
        <v>0.374059592553833</v>
      </c>
      <c r="S1009" s="40" t="n">
        <f aca="true">RAND()</f>
        <v>0.177305722283536</v>
      </c>
      <c r="T1009" s="40" t="n">
        <f aca="true">RAND()</f>
        <v>0.751353145812521</v>
      </c>
      <c r="U1009" s="40" t="n">
        <f aca="true">RAND()</f>
        <v>0.269489940511033</v>
      </c>
    </row>
    <row r="1010" customFormat="false" ht="15" hidden="false" customHeight="false" outlineLevel="0" collapsed="false">
      <c r="A1010" s="36" t="n">
        <v>930</v>
      </c>
      <c r="B1010" s="37" t="n">
        <f aca="false">1+IF($G$6=$E$6,$F$6,IF(P1010&lt;($F$6-$E$6)/($G$6-$E$6),$E$6+SQRT(P1010*($G$6-$E$6)*($F$6-$E$6)),$G$6-SQRT((1-P1010)*($G$6-$E$6)*($G$6-$F$6))))</f>
        <v>1</v>
      </c>
      <c r="C1010" s="37" t="n">
        <f aca="false">1+IF($G$7=$E$7,$F$7,IF(Q1010&lt;($F$7-$E$7)/($G$7-$E$7),$E$7+SQRT(Q1010*($G$7-$E$7)*($F$7-$E$7)),$G$7-SQRT((1-Q1010)*($G$7-$E$7)*($G$7-$F$7))))</f>
        <v>1</v>
      </c>
      <c r="D1010" s="37" t="n">
        <f aca="false">1+IF($G$8=$E$8,$F$8,IF(R1010&lt;($F$8-$E$8)/($G$8-$E$8),$E$8+SQRT(R1010*($G$8-$E$8)*($F$8-$E$8)),$G$8-SQRT((1-R1010)*($G$8-$E$8)*($G$8-$F$8))))</f>
        <v>1</v>
      </c>
      <c r="E1010" s="37" t="n">
        <f aca="false">1+IF($G$9=$E$9,$F$9,IF(S1010&lt;($F$9-$E$9)/($G$9-$E$9),$E$9+SQRT(S1010*($G$9-$E$9)*($F$9-$E$9)),$G$9-SQRT((1-S1010)*($G$9-$E$9)*($G$9-$F$9))))</f>
        <v>1</v>
      </c>
      <c r="F1010" s="37" t="n">
        <f aca="false">1+IF($G$10=$E$10,$F$10,IF(T1010&lt;($F$10-$E$10)/($G$10-$E$10),$E$10+SQRT(T1010*($G$10-$E$10)*($F$10-$E$10)),$G$10-SQRT((1-T1010)*($G$10-$E$10)*($G$10-$F$10))))</f>
        <v>1</v>
      </c>
      <c r="G1010" s="38" t="n">
        <f aca="false">IF($G$11=$E$11,$F$11,IF(U1010&lt;($F$11-$E$11)/($G$11-$E$11),$E$11+SQRT(U1010*($G$11-$E$11)*($F$11-$E$11)),$G$11-SQRT((1-U1010)*($G$11-$E$11)*($G$11-$F$11))))</f>
        <v>0</v>
      </c>
      <c r="H1010" s="39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0</v>
      </c>
      <c r="I1010" s="39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0</v>
      </c>
      <c r="J1010" s="39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0</v>
      </c>
      <c r="K1010" s="39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0</v>
      </c>
      <c r="L1010" s="39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0</v>
      </c>
      <c r="M1010" s="39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0</v>
      </c>
      <c r="N1010" s="39" t="str">
        <f aca="false">IF(COUNT('Business Case'!B11:G11)=0,"",H1010+NPV(G1010,I1010:M1010))</f>
        <v/>
      </c>
      <c r="P1010" s="40" t="n">
        <f aca="true">RAND()</f>
        <v>0.475930356945376</v>
      </c>
      <c r="Q1010" s="40" t="n">
        <f aca="true">RAND()</f>
        <v>0.729953266357239</v>
      </c>
      <c r="R1010" s="40" t="n">
        <f aca="true">RAND()</f>
        <v>0.00180437662481395</v>
      </c>
      <c r="S1010" s="40" t="n">
        <f aca="true">RAND()</f>
        <v>0.467199146409482</v>
      </c>
      <c r="T1010" s="40" t="n">
        <f aca="true">RAND()</f>
        <v>0.87046690057059</v>
      </c>
      <c r="U1010" s="40" t="n">
        <f aca="true">RAND()</f>
        <v>0.894465564086055</v>
      </c>
    </row>
    <row r="1011" customFormat="false" ht="15" hidden="false" customHeight="false" outlineLevel="0" collapsed="false">
      <c r="A1011" s="36" t="n">
        <v>931</v>
      </c>
      <c r="B1011" s="37" t="n">
        <f aca="false">1+IF($G$6=$E$6,$F$6,IF(P1011&lt;($F$6-$E$6)/($G$6-$E$6),$E$6+SQRT(P1011*($G$6-$E$6)*($F$6-$E$6)),$G$6-SQRT((1-P1011)*($G$6-$E$6)*($G$6-$F$6))))</f>
        <v>1</v>
      </c>
      <c r="C1011" s="37" t="n">
        <f aca="false">1+IF($G$7=$E$7,$F$7,IF(Q1011&lt;($F$7-$E$7)/($G$7-$E$7),$E$7+SQRT(Q1011*($G$7-$E$7)*($F$7-$E$7)),$G$7-SQRT((1-Q1011)*($G$7-$E$7)*($G$7-$F$7))))</f>
        <v>1</v>
      </c>
      <c r="D1011" s="37" t="n">
        <f aca="false">1+IF($G$8=$E$8,$F$8,IF(R1011&lt;($F$8-$E$8)/($G$8-$E$8),$E$8+SQRT(R1011*($G$8-$E$8)*($F$8-$E$8)),$G$8-SQRT((1-R1011)*($G$8-$E$8)*($G$8-$F$8))))</f>
        <v>1</v>
      </c>
      <c r="E1011" s="37" t="n">
        <f aca="false">1+IF($G$9=$E$9,$F$9,IF(S1011&lt;($F$9-$E$9)/($G$9-$E$9),$E$9+SQRT(S1011*($G$9-$E$9)*($F$9-$E$9)),$G$9-SQRT((1-S1011)*($G$9-$E$9)*($G$9-$F$9))))</f>
        <v>1</v>
      </c>
      <c r="F1011" s="37" t="n">
        <f aca="false">1+IF($G$10=$E$10,$F$10,IF(T1011&lt;($F$10-$E$10)/($G$10-$E$10),$E$10+SQRT(T1011*($G$10-$E$10)*($F$10-$E$10)),$G$10-SQRT((1-T1011)*($G$10-$E$10)*($G$10-$F$10))))</f>
        <v>1</v>
      </c>
      <c r="G1011" s="38" t="n">
        <f aca="false">IF($G$11=$E$11,$F$11,IF(U1011&lt;($F$11-$E$11)/($G$11-$E$11),$E$11+SQRT(U1011*($G$11-$E$11)*($F$11-$E$11)),$G$11-SQRT((1-U1011)*($G$11-$E$11)*($G$11-$F$11))))</f>
        <v>0</v>
      </c>
      <c r="H1011" s="39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0</v>
      </c>
      <c r="I1011" s="39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0</v>
      </c>
      <c r="J1011" s="39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0</v>
      </c>
      <c r="K1011" s="39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0</v>
      </c>
      <c r="L1011" s="39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0</v>
      </c>
      <c r="M1011" s="39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0</v>
      </c>
      <c r="N1011" s="39" t="str">
        <f aca="false">IF(COUNT('Business Case'!B11:G11)=0,"",H1011+NPV(G1011,I1011:M1011))</f>
        <v/>
      </c>
      <c r="P1011" s="40" t="n">
        <f aca="true">RAND()</f>
        <v>0.297475495917717</v>
      </c>
      <c r="Q1011" s="40" t="n">
        <f aca="true">RAND()</f>
        <v>0.0152941184450837</v>
      </c>
      <c r="R1011" s="40" t="n">
        <f aca="true">RAND()</f>
        <v>0.798461209016073</v>
      </c>
      <c r="S1011" s="40" t="n">
        <f aca="true">RAND()</f>
        <v>0.951347027391428</v>
      </c>
      <c r="T1011" s="40" t="n">
        <f aca="true">RAND()</f>
        <v>0.355437647318132</v>
      </c>
      <c r="U1011" s="40" t="n">
        <f aca="true">RAND()</f>
        <v>0.964170999459483</v>
      </c>
    </row>
    <row r="1012" customFormat="false" ht="15" hidden="false" customHeight="false" outlineLevel="0" collapsed="false">
      <c r="A1012" s="36" t="n">
        <v>932</v>
      </c>
      <c r="B1012" s="37" t="n">
        <f aca="false">1+IF($G$6=$E$6,$F$6,IF(P1012&lt;($F$6-$E$6)/($G$6-$E$6),$E$6+SQRT(P1012*($G$6-$E$6)*($F$6-$E$6)),$G$6-SQRT((1-P1012)*($G$6-$E$6)*($G$6-$F$6))))</f>
        <v>1</v>
      </c>
      <c r="C1012" s="37" t="n">
        <f aca="false">1+IF($G$7=$E$7,$F$7,IF(Q1012&lt;($F$7-$E$7)/($G$7-$E$7),$E$7+SQRT(Q1012*($G$7-$E$7)*($F$7-$E$7)),$G$7-SQRT((1-Q1012)*($G$7-$E$7)*($G$7-$F$7))))</f>
        <v>1</v>
      </c>
      <c r="D1012" s="37" t="n">
        <f aca="false">1+IF($G$8=$E$8,$F$8,IF(R1012&lt;($F$8-$E$8)/($G$8-$E$8),$E$8+SQRT(R1012*($G$8-$E$8)*($F$8-$E$8)),$G$8-SQRT((1-R1012)*($G$8-$E$8)*($G$8-$F$8))))</f>
        <v>1</v>
      </c>
      <c r="E1012" s="37" t="n">
        <f aca="false">1+IF($G$9=$E$9,$F$9,IF(S1012&lt;($F$9-$E$9)/($G$9-$E$9),$E$9+SQRT(S1012*($G$9-$E$9)*($F$9-$E$9)),$G$9-SQRT((1-S1012)*($G$9-$E$9)*($G$9-$F$9))))</f>
        <v>1</v>
      </c>
      <c r="F1012" s="37" t="n">
        <f aca="false">1+IF($G$10=$E$10,$F$10,IF(T1012&lt;($F$10-$E$10)/($G$10-$E$10),$E$10+SQRT(T1012*($G$10-$E$10)*($F$10-$E$10)),$G$10-SQRT((1-T1012)*($G$10-$E$10)*($G$10-$F$10))))</f>
        <v>1</v>
      </c>
      <c r="G1012" s="38" t="n">
        <f aca="false">IF($G$11=$E$11,$F$11,IF(U1012&lt;($F$11-$E$11)/($G$11-$E$11),$E$11+SQRT(U1012*($G$11-$E$11)*($F$11-$E$11)),$G$11-SQRT((1-U1012)*($G$11-$E$11)*($G$11-$F$11))))</f>
        <v>0</v>
      </c>
      <c r="H1012" s="39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0</v>
      </c>
      <c r="I1012" s="39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0</v>
      </c>
      <c r="J1012" s="39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0</v>
      </c>
      <c r="K1012" s="39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0</v>
      </c>
      <c r="L1012" s="39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0</v>
      </c>
      <c r="M1012" s="39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0</v>
      </c>
      <c r="N1012" s="39" t="str">
        <f aca="false">IF(COUNT('Business Case'!B11:G11)=0,"",H1012+NPV(G1012,I1012:M1012))</f>
        <v/>
      </c>
      <c r="P1012" s="40" t="n">
        <f aca="true">RAND()</f>
        <v>0.589207297996771</v>
      </c>
      <c r="Q1012" s="40" t="n">
        <f aca="true">RAND()</f>
        <v>0.0143360315551965</v>
      </c>
      <c r="R1012" s="40" t="n">
        <f aca="true">RAND()</f>
        <v>0.852680291881554</v>
      </c>
      <c r="S1012" s="40" t="n">
        <f aca="true">RAND()</f>
        <v>0.636910970349562</v>
      </c>
      <c r="T1012" s="40" t="n">
        <f aca="true">RAND()</f>
        <v>0.310975403978759</v>
      </c>
      <c r="U1012" s="40" t="n">
        <f aca="true">RAND()</f>
        <v>0.780761740843466</v>
      </c>
    </row>
    <row r="1013" customFormat="false" ht="15" hidden="false" customHeight="false" outlineLevel="0" collapsed="false">
      <c r="A1013" s="36" t="n">
        <v>933</v>
      </c>
      <c r="B1013" s="37" t="n">
        <f aca="false">1+IF($G$6=$E$6,$F$6,IF(P1013&lt;($F$6-$E$6)/($G$6-$E$6),$E$6+SQRT(P1013*($G$6-$E$6)*($F$6-$E$6)),$G$6-SQRT((1-P1013)*($G$6-$E$6)*($G$6-$F$6))))</f>
        <v>1</v>
      </c>
      <c r="C1013" s="37" t="n">
        <f aca="false">1+IF($G$7=$E$7,$F$7,IF(Q1013&lt;($F$7-$E$7)/($G$7-$E$7),$E$7+SQRT(Q1013*($G$7-$E$7)*($F$7-$E$7)),$G$7-SQRT((1-Q1013)*($G$7-$E$7)*($G$7-$F$7))))</f>
        <v>1</v>
      </c>
      <c r="D1013" s="37" t="n">
        <f aca="false">1+IF($G$8=$E$8,$F$8,IF(R1013&lt;($F$8-$E$8)/($G$8-$E$8),$E$8+SQRT(R1013*($G$8-$E$8)*($F$8-$E$8)),$G$8-SQRT((1-R1013)*($G$8-$E$8)*($G$8-$F$8))))</f>
        <v>1</v>
      </c>
      <c r="E1013" s="37" t="n">
        <f aca="false">1+IF($G$9=$E$9,$F$9,IF(S1013&lt;($F$9-$E$9)/($G$9-$E$9),$E$9+SQRT(S1013*($G$9-$E$9)*($F$9-$E$9)),$G$9-SQRT((1-S1013)*($G$9-$E$9)*($G$9-$F$9))))</f>
        <v>1</v>
      </c>
      <c r="F1013" s="37" t="n">
        <f aca="false">1+IF($G$10=$E$10,$F$10,IF(T1013&lt;($F$10-$E$10)/($G$10-$E$10),$E$10+SQRT(T1013*($G$10-$E$10)*($F$10-$E$10)),$G$10-SQRT((1-T1013)*($G$10-$E$10)*($G$10-$F$10))))</f>
        <v>1</v>
      </c>
      <c r="G1013" s="38" t="n">
        <f aca="false">IF($G$11=$E$11,$F$11,IF(U1013&lt;($F$11-$E$11)/($G$11-$E$11),$E$11+SQRT(U1013*($G$11-$E$11)*($F$11-$E$11)),$G$11-SQRT((1-U1013)*($G$11-$E$11)*($G$11-$F$11))))</f>
        <v>0</v>
      </c>
      <c r="H1013" s="39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0</v>
      </c>
      <c r="I1013" s="39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0</v>
      </c>
      <c r="J1013" s="39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0</v>
      </c>
      <c r="K1013" s="39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0</v>
      </c>
      <c r="L1013" s="39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0</v>
      </c>
      <c r="M1013" s="39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0</v>
      </c>
      <c r="N1013" s="39" t="str">
        <f aca="false">IF(COUNT('Business Case'!B11:G11)=0,"",H1013+NPV(G1013,I1013:M1013))</f>
        <v/>
      </c>
      <c r="P1013" s="40" t="n">
        <f aca="true">RAND()</f>
        <v>0.788316168608023</v>
      </c>
      <c r="Q1013" s="40" t="n">
        <f aca="true">RAND()</f>
        <v>0.635667073850741</v>
      </c>
      <c r="R1013" s="40" t="n">
        <f aca="true">RAND()</f>
        <v>0.882612724880709</v>
      </c>
      <c r="S1013" s="40" t="n">
        <f aca="true">RAND()</f>
        <v>0.360262832177076</v>
      </c>
      <c r="T1013" s="40" t="n">
        <f aca="true">RAND()</f>
        <v>0.930601641389763</v>
      </c>
      <c r="U1013" s="40" t="n">
        <f aca="true">RAND()</f>
        <v>0.964271649921832</v>
      </c>
    </row>
    <row r="1014" customFormat="false" ht="15" hidden="false" customHeight="false" outlineLevel="0" collapsed="false">
      <c r="A1014" s="36" t="n">
        <v>934</v>
      </c>
      <c r="B1014" s="37" t="n">
        <f aca="false">1+IF($G$6=$E$6,$F$6,IF(P1014&lt;($F$6-$E$6)/($G$6-$E$6),$E$6+SQRT(P1014*($G$6-$E$6)*($F$6-$E$6)),$G$6-SQRT((1-P1014)*($G$6-$E$6)*($G$6-$F$6))))</f>
        <v>1</v>
      </c>
      <c r="C1014" s="37" t="n">
        <f aca="false">1+IF($G$7=$E$7,$F$7,IF(Q1014&lt;($F$7-$E$7)/($G$7-$E$7),$E$7+SQRT(Q1014*($G$7-$E$7)*($F$7-$E$7)),$G$7-SQRT((1-Q1014)*($G$7-$E$7)*($G$7-$F$7))))</f>
        <v>1</v>
      </c>
      <c r="D1014" s="37" t="n">
        <f aca="false">1+IF($G$8=$E$8,$F$8,IF(R1014&lt;($F$8-$E$8)/($G$8-$E$8),$E$8+SQRT(R1014*($G$8-$E$8)*($F$8-$E$8)),$G$8-SQRT((1-R1014)*($G$8-$E$8)*($G$8-$F$8))))</f>
        <v>1</v>
      </c>
      <c r="E1014" s="37" t="n">
        <f aca="false">1+IF($G$9=$E$9,$F$9,IF(S1014&lt;($F$9-$E$9)/($G$9-$E$9),$E$9+SQRT(S1014*($G$9-$E$9)*($F$9-$E$9)),$G$9-SQRT((1-S1014)*($G$9-$E$9)*($G$9-$F$9))))</f>
        <v>1</v>
      </c>
      <c r="F1014" s="37" t="n">
        <f aca="false">1+IF($G$10=$E$10,$F$10,IF(T1014&lt;($F$10-$E$10)/($G$10-$E$10),$E$10+SQRT(T1014*($G$10-$E$10)*($F$10-$E$10)),$G$10-SQRT((1-T1014)*($G$10-$E$10)*($G$10-$F$10))))</f>
        <v>1</v>
      </c>
      <c r="G1014" s="38" t="n">
        <f aca="false">IF($G$11=$E$11,$F$11,IF(U1014&lt;($F$11-$E$11)/($G$11-$E$11),$E$11+SQRT(U1014*($G$11-$E$11)*($F$11-$E$11)),$G$11-SQRT((1-U1014)*($G$11-$E$11)*($G$11-$F$11))))</f>
        <v>0</v>
      </c>
      <c r="H1014" s="39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0</v>
      </c>
      <c r="I1014" s="39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0</v>
      </c>
      <c r="J1014" s="39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0</v>
      </c>
      <c r="K1014" s="39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0</v>
      </c>
      <c r="L1014" s="39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0</v>
      </c>
      <c r="M1014" s="39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0</v>
      </c>
      <c r="N1014" s="39" t="str">
        <f aca="false">IF(COUNT('Business Case'!B11:G11)=0,"",H1014+NPV(G1014,I1014:M1014))</f>
        <v/>
      </c>
      <c r="P1014" s="40" t="n">
        <f aca="true">RAND()</f>
        <v>0.290739207586666</v>
      </c>
      <c r="Q1014" s="40" t="n">
        <f aca="true">RAND()</f>
        <v>0.808848929904438</v>
      </c>
      <c r="R1014" s="40" t="n">
        <f aca="true">RAND()</f>
        <v>0.342279172450364</v>
      </c>
      <c r="S1014" s="40" t="n">
        <f aca="true">RAND()</f>
        <v>0.0739210116095503</v>
      </c>
      <c r="T1014" s="40" t="n">
        <f aca="true">RAND()</f>
        <v>0.0266261795934648</v>
      </c>
      <c r="U1014" s="40" t="n">
        <f aca="true">RAND()</f>
        <v>0.0132438229982669</v>
      </c>
    </row>
    <row r="1015" customFormat="false" ht="15" hidden="false" customHeight="false" outlineLevel="0" collapsed="false">
      <c r="A1015" s="36" t="n">
        <v>935</v>
      </c>
      <c r="B1015" s="37" t="n">
        <f aca="false">1+IF($G$6=$E$6,$F$6,IF(P1015&lt;($F$6-$E$6)/($G$6-$E$6),$E$6+SQRT(P1015*($G$6-$E$6)*($F$6-$E$6)),$G$6-SQRT((1-P1015)*($G$6-$E$6)*($G$6-$F$6))))</f>
        <v>1</v>
      </c>
      <c r="C1015" s="37" t="n">
        <f aca="false">1+IF($G$7=$E$7,$F$7,IF(Q1015&lt;($F$7-$E$7)/($G$7-$E$7),$E$7+SQRT(Q1015*($G$7-$E$7)*($F$7-$E$7)),$G$7-SQRT((1-Q1015)*($G$7-$E$7)*($G$7-$F$7))))</f>
        <v>1</v>
      </c>
      <c r="D1015" s="37" t="n">
        <f aca="false">1+IF($G$8=$E$8,$F$8,IF(R1015&lt;($F$8-$E$8)/($G$8-$E$8),$E$8+SQRT(R1015*($G$8-$E$8)*($F$8-$E$8)),$G$8-SQRT((1-R1015)*($G$8-$E$8)*($G$8-$F$8))))</f>
        <v>1</v>
      </c>
      <c r="E1015" s="37" t="n">
        <f aca="false">1+IF($G$9=$E$9,$F$9,IF(S1015&lt;($F$9-$E$9)/($G$9-$E$9),$E$9+SQRT(S1015*($G$9-$E$9)*($F$9-$E$9)),$G$9-SQRT((1-S1015)*($G$9-$E$9)*($G$9-$F$9))))</f>
        <v>1</v>
      </c>
      <c r="F1015" s="37" t="n">
        <f aca="false">1+IF($G$10=$E$10,$F$10,IF(T1015&lt;($F$10-$E$10)/($G$10-$E$10),$E$10+SQRT(T1015*($G$10-$E$10)*($F$10-$E$10)),$G$10-SQRT((1-T1015)*($G$10-$E$10)*($G$10-$F$10))))</f>
        <v>1</v>
      </c>
      <c r="G1015" s="38" t="n">
        <f aca="false">IF($G$11=$E$11,$F$11,IF(U1015&lt;($F$11-$E$11)/($G$11-$E$11),$E$11+SQRT(U1015*($G$11-$E$11)*($F$11-$E$11)),$G$11-SQRT((1-U1015)*($G$11-$E$11)*($G$11-$F$11))))</f>
        <v>0</v>
      </c>
      <c r="H1015" s="39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0</v>
      </c>
      <c r="I1015" s="39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0</v>
      </c>
      <c r="J1015" s="39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0</v>
      </c>
      <c r="K1015" s="39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0</v>
      </c>
      <c r="L1015" s="39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0</v>
      </c>
      <c r="M1015" s="39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0</v>
      </c>
      <c r="N1015" s="39" t="str">
        <f aca="false">IF(COUNT('Business Case'!B11:G11)=0,"",H1015+NPV(G1015,I1015:M1015))</f>
        <v/>
      </c>
      <c r="P1015" s="40" t="n">
        <f aca="true">RAND()</f>
        <v>0.595202871145914</v>
      </c>
      <c r="Q1015" s="40" t="n">
        <f aca="true">RAND()</f>
        <v>0.621705418920323</v>
      </c>
      <c r="R1015" s="40" t="n">
        <f aca="true">RAND()</f>
        <v>0.4489705689782</v>
      </c>
      <c r="S1015" s="40" t="n">
        <f aca="true">RAND()</f>
        <v>0.766874974841475</v>
      </c>
      <c r="T1015" s="40" t="n">
        <f aca="true">RAND()</f>
        <v>0.501430626990716</v>
      </c>
      <c r="U1015" s="40" t="n">
        <f aca="true">RAND()</f>
        <v>0.226490647650421</v>
      </c>
    </row>
    <row r="1016" customFormat="false" ht="15" hidden="false" customHeight="false" outlineLevel="0" collapsed="false">
      <c r="A1016" s="36" t="n">
        <v>936</v>
      </c>
      <c r="B1016" s="37" t="n">
        <f aca="false">1+IF($G$6=$E$6,$F$6,IF(P1016&lt;($F$6-$E$6)/($G$6-$E$6),$E$6+SQRT(P1016*($G$6-$E$6)*($F$6-$E$6)),$G$6-SQRT((1-P1016)*($G$6-$E$6)*($G$6-$F$6))))</f>
        <v>1</v>
      </c>
      <c r="C1016" s="37" t="n">
        <f aca="false">1+IF($G$7=$E$7,$F$7,IF(Q1016&lt;($F$7-$E$7)/($G$7-$E$7),$E$7+SQRT(Q1016*($G$7-$E$7)*($F$7-$E$7)),$G$7-SQRT((1-Q1016)*($G$7-$E$7)*($G$7-$F$7))))</f>
        <v>1</v>
      </c>
      <c r="D1016" s="37" t="n">
        <f aca="false">1+IF($G$8=$E$8,$F$8,IF(R1016&lt;($F$8-$E$8)/($G$8-$E$8),$E$8+SQRT(R1016*($G$8-$E$8)*($F$8-$E$8)),$G$8-SQRT((1-R1016)*($G$8-$E$8)*($G$8-$F$8))))</f>
        <v>1</v>
      </c>
      <c r="E1016" s="37" t="n">
        <f aca="false">1+IF($G$9=$E$9,$F$9,IF(S1016&lt;($F$9-$E$9)/($G$9-$E$9),$E$9+SQRT(S1016*($G$9-$E$9)*($F$9-$E$9)),$G$9-SQRT((1-S1016)*($G$9-$E$9)*($G$9-$F$9))))</f>
        <v>1</v>
      </c>
      <c r="F1016" s="37" t="n">
        <f aca="false">1+IF($G$10=$E$10,$F$10,IF(T1016&lt;($F$10-$E$10)/($G$10-$E$10),$E$10+SQRT(T1016*($G$10-$E$10)*($F$10-$E$10)),$G$10-SQRT((1-T1016)*($G$10-$E$10)*($G$10-$F$10))))</f>
        <v>1</v>
      </c>
      <c r="G1016" s="38" t="n">
        <f aca="false">IF($G$11=$E$11,$F$11,IF(U1016&lt;($F$11-$E$11)/($G$11-$E$11),$E$11+SQRT(U1016*($G$11-$E$11)*($F$11-$E$11)),$G$11-SQRT((1-U1016)*($G$11-$E$11)*($G$11-$F$11))))</f>
        <v>0</v>
      </c>
      <c r="H1016" s="39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0</v>
      </c>
      <c r="I1016" s="39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0</v>
      </c>
      <c r="J1016" s="39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0</v>
      </c>
      <c r="K1016" s="39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0</v>
      </c>
      <c r="L1016" s="39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0</v>
      </c>
      <c r="M1016" s="39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0</v>
      </c>
      <c r="N1016" s="39" t="str">
        <f aca="false">IF(COUNT('Business Case'!B11:G11)=0,"",H1016+NPV(G1016,I1016:M1016))</f>
        <v/>
      </c>
      <c r="P1016" s="40" t="n">
        <f aca="true">RAND()</f>
        <v>0.167594439239534</v>
      </c>
      <c r="Q1016" s="40" t="n">
        <f aca="true">RAND()</f>
        <v>0.670376152924199</v>
      </c>
      <c r="R1016" s="40" t="n">
        <f aca="true">RAND()</f>
        <v>0.0888658743846084</v>
      </c>
      <c r="S1016" s="40" t="n">
        <f aca="true">RAND()</f>
        <v>0.503081728232889</v>
      </c>
      <c r="T1016" s="40" t="n">
        <f aca="true">RAND()</f>
        <v>0.631105685994545</v>
      </c>
      <c r="U1016" s="40" t="n">
        <f aca="true">RAND()</f>
        <v>0.437546831468267</v>
      </c>
    </row>
    <row r="1017" customFormat="false" ht="15" hidden="false" customHeight="false" outlineLevel="0" collapsed="false">
      <c r="A1017" s="36" t="n">
        <v>937</v>
      </c>
      <c r="B1017" s="37" t="n">
        <f aca="false">1+IF($G$6=$E$6,$F$6,IF(P1017&lt;($F$6-$E$6)/($G$6-$E$6),$E$6+SQRT(P1017*($G$6-$E$6)*($F$6-$E$6)),$G$6-SQRT((1-P1017)*($G$6-$E$6)*($G$6-$F$6))))</f>
        <v>1</v>
      </c>
      <c r="C1017" s="37" t="n">
        <f aca="false">1+IF($G$7=$E$7,$F$7,IF(Q1017&lt;($F$7-$E$7)/($G$7-$E$7),$E$7+SQRT(Q1017*($G$7-$E$7)*($F$7-$E$7)),$G$7-SQRT((1-Q1017)*($G$7-$E$7)*($G$7-$F$7))))</f>
        <v>1</v>
      </c>
      <c r="D1017" s="37" t="n">
        <f aca="false">1+IF($G$8=$E$8,$F$8,IF(R1017&lt;($F$8-$E$8)/($G$8-$E$8),$E$8+SQRT(R1017*($G$8-$E$8)*($F$8-$E$8)),$G$8-SQRT((1-R1017)*($G$8-$E$8)*($G$8-$F$8))))</f>
        <v>1</v>
      </c>
      <c r="E1017" s="37" t="n">
        <f aca="false">1+IF($G$9=$E$9,$F$9,IF(S1017&lt;($F$9-$E$9)/($G$9-$E$9),$E$9+SQRT(S1017*($G$9-$E$9)*($F$9-$E$9)),$G$9-SQRT((1-S1017)*($G$9-$E$9)*($G$9-$F$9))))</f>
        <v>1</v>
      </c>
      <c r="F1017" s="37" t="n">
        <f aca="false">1+IF($G$10=$E$10,$F$10,IF(T1017&lt;($F$10-$E$10)/($G$10-$E$10),$E$10+SQRT(T1017*($G$10-$E$10)*($F$10-$E$10)),$G$10-SQRT((1-T1017)*($G$10-$E$10)*($G$10-$F$10))))</f>
        <v>1</v>
      </c>
      <c r="G1017" s="38" t="n">
        <f aca="false">IF($G$11=$E$11,$F$11,IF(U1017&lt;($F$11-$E$11)/($G$11-$E$11),$E$11+SQRT(U1017*($G$11-$E$11)*($F$11-$E$11)),$G$11-SQRT((1-U1017)*($G$11-$E$11)*($G$11-$F$11))))</f>
        <v>0</v>
      </c>
      <c r="H1017" s="39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0</v>
      </c>
      <c r="I1017" s="39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0</v>
      </c>
      <c r="J1017" s="39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0</v>
      </c>
      <c r="K1017" s="39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0</v>
      </c>
      <c r="L1017" s="39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0</v>
      </c>
      <c r="M1017" s="39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0</v>
      </c>
      <c r="N1017" s="39" t="str">
        <f aca="false">IF(COUNT('Business Case'!B11:G11)=0,"",H1017+NPV(G1017,I1017:M1017))</f>
        <v/>
      </c>
      <c r="P1017" s="40" t="n">
        <f aca="true">RAND()</f>
        <v>0.639113753900057</v>
      </c>
      <c r="Q1017" s="40" t="n">
        <f aca="true">RAND()</f>
        <v>0.600845866572856</v>
      </c>
      <c r="R1017" s="40" t="n">
        <f aca="true">RAND()</f>
        <v>0.849071890623675</v>
      </c>
      <c r="S1017" s="40" t="n">
        <f aca="true">RAND()</f>
        <v>0.499246026548705</v>
      </c>
      <c r="T1017" s="40" t="n">
        <f aca="true">RAND()</f>
        <v>0.683766272295119</v>
      </c>
      <c r="U1017" s="40" t="n">
        <f aca="true">RAND()</f>
        <v>0.343230574080014</v>
      </c>
    </row>
    <row r="1018" customFormat="false" ht="15" hidden="false" customHeight="false" outlineLevel="0" collapsed="false">
      <c r="A1018" s="36" t="n">
        <v>938</v>
      </c>
      <c r="B1018" s="37" t="n">
        <f aca="false">1+IF($G$6=$E$6,$F$6,IF(P1018&lt;($F$6-$E$6)/($G$6-$E$6),$E$6+SQRT(P1018*($G$6-$E$6)*($F$6-$E$6)),$G$6-SQRT((1-P1018)*($G$6-$E$6)*($G$6-$F$6))))</f>
        <v>1</v>
      </c>
      <c r="C1018" s="37" t="n">
        <f aca="false">1+IF($G$7=$E$7,$F$7,IF(Q1018&lt;($F$7-$E$7)/($G$7-$E$7),$E$7+SQRT(Q1018*($G$7-$E$7)*($F$7-$E$7)),$G$7-SQRT((1-Q1018)*($G$7-$E$7)*($G$7-$F$7))))</f>
        <v>1</v>
      </c>
      <c r="D1018" s="37" t="n">
        <f aca="false">1+IF($G$8=$E$8,$F$8,IF(R1018&lt;($F$8-$E$8)/($G$8-$E$8),$E$8+SQRT(R1018*($G$8-$E$8)*($F$8-$E$8)),$G$8-SQRT((1-R1018)*($G$8-$E$8)*($G$8-$F$8))))</f>
        <v>1</v>
      </c>
      <c r="E1018" s="37" t="n">
        <f aca="false">1+IF($G$9=$E$9,$F$9,IF(S1018&lt;($F$9-$E$9)/($G$9-$E$9),$E$9+SQRT(S1018*($G$9-$E$9)*($F$9-$E$9)),$G$9-SQRT((1-S1018)*($G$9-$E$9)*($G$9-$F$9))))</f>
        <v>1</v>
      </c>
      <c r="F1018" s="37" t="n">
        <f aca="false">1+IF($G$10=$E$10,$F$10,IF(T1018&lt;($F$10-$E$10)/($G$10-$E$10),$E$10+SQRT(T1018*($G$10-$E$10)*($F$10-$E$10)),$G$10-SQRT((1-T1018)*($G$10-$E$10)*($G$10-$F$10))))</f>
        <v>1</v>
      </c>
      <c r="G1018" s="38" t="n">
        <f aca="false">IF($G$11=$E$11,$F$11,IF(U1018&lt;($F$11-$E$11)/($G$11-$E$11),$E$11+SQRT(U1018*($G$11-$E$11)*($F$11-$E$11)),$G$11-SQRT((1-U1018)*($G$11-$E$11)*($G$11-$F$11))))</f>
        <v>0</v>
      </c>
      <c r="H1018" s="39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0</v>
      </c>
      <c r="I1018" s="39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0</v>
      </c>
      <c r="J1018" s="39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0</v>
      </c>
      <c r="K1018" s="39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0</v>
      </c>
      <c r="L1018" s="39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0</v>
      </c>
      <c r="M1018" s="39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0</v>
      </c>
      <c r="N1018" s="39" t="str">
        <f aca="false">IF(COUNT('Business Case'!B11:G11)=0,"",H1018+NPV(G1018,I1018:M1018))</f>
        <v/>
      </c>
      <c r="P1018" s="40" t="n">
        <f aca="true">RAND()</f>
        <v>0.293187881228895</v>
      </c>
      <c r="Q1018" s="40" t="n">
        <f aca="true">RAND()</f>
        <v>0.761220486166434</v>
      </c>
      <c r="R1018" s="40" t="n">
        <f aca="true">RAND()</f>
        <v>0.0253745757073954</v>
      </c>
      <c r="S1018" s="40" t="n">
        <f aca="true">RAND()</f>
        <v>0.274725673653061</v>
      </c>
      <c r="T1018" s="40" t="n">
        <f aca="true">RAND()</f>
        <v>0.694140051093001</v>
      </c>
      <c r="U1018" s="40" t="n">
        <f aca="true">RAND()</f>
        <v>0.939641327198202</v>
      </c>
    </row>
    <row r="1019" customFormat="false" ht="15" hidden="false" customHeight="false" outlineLevel="0" collapsed="false">
      <c r="A1019" s="36" t="n">
        <v>939</v>
      </c>
      <c r="B1019" s="37" t="n">
        <f aca="false">1+IF($G$6=$E$6,$F$6,IF(P1019&lt;($F$6-$E$6)/($G$6-$E$6),$E$6+SQRT(P1019*($G$6-$E$6)*($F$6-$E$6)),$G$6-SQRT((1-P1019)*($G$6-$E$6)*($G$6-$F$6))))</f>
        <v>1</v>
      </c>
      <c r="C1019" s="37" t="n">
        <f aca="false">1+IF($G$7=$E$7,$F$7,IF(Q1019&lt;($F$7-$E$7)/($G$7-$E$7),$E$7+SQRT(Q1019*($G$7-$E$7)*($F$7-$E$7)),$G$7-SQRT((1-Q1019)*($G$7-$E$7)*($G$7-$F$7))))</f>
        <v>1</v>
      </c>
      <c r="D1019" s="37" t="n">
        <f aca="false">1+IF($G$8=$E$8,$F$8,IF(R1019&lt;($F$8-$E$8)/($G$8-$E$8),$E$8+SQRT(R1019*($G$8-$E$8)*($F$8-$E$8)),$G$8-SQRT((1-R1019)*($G$8-$E$8)*($G$8-$F$8))))</f>
        <v>1</v>
      </c>
      <c r="E1019" s="37" t="n">
        <f aca="false">1+IF($G$9=$E$9,$F$9,IF(S1019&lt;($F$9-$E$9)/($G$9-$E$9),$E$9+SQRT(S1019*($G$9-$E$9)*($F$9-$E$9)),$G$9-SQRT((1-S1019)*($G$9-$E$9)*($G$9-$F$9))))</f>
        <v>1</v>
      </c>
      <c r="F1019" s="37" t="n">
        <f aca="false">1+IF($G$10=$E$10,$F$10,IF(T1019&lt;($F$10-$E$10)/($G$10-$E$10),$E$10+SQRT(T1019*($G$10-$E$10)*($F$10-$E$10)),$G$10-SQRT((1-T1019)*($G$10-$E$10)*($G$10-$F$10))))</f>
        <v>1</v>
      </c>
      <c r="G1019" s="38" t="n">
        <f aca="false">IF($G$11=$E$11,$F$11,IF(U1019&lt;($F$11-$E$11)/($G$11-$E$11),$E$11+SQRT(U1019*($G$11-$E$11)*($F$11-$E$11)),$G$11-SQRT((1-U1019)*($G$11-$E$11)*($G$11-$F$11))))</f>
        <v>0</v>
      </c>
      <c r="H1019" s="39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0</v>
      </c>
      <c r="I1019" s="39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0</v>
      </c>
      <c r="J1019" s="39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0</v>
      </c>
      <c r="K1019" s="39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0</v>
      </c>
      <c r="L1019" s="39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0</v>
      </c>
      <c r="M1019" s="39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0</v>
      </c>
      <c r="N1019" s="39" t="str">
        <f aca="false">IF(COUNT('Business Case'!B11:G11)=0,"",H1019+NPV(G1019,I1019:M1019))</f>
        <v/>
      </c>
      <c r="P1019" s="40" t="n">
        <f aca="true">RAND()</f>
        <v>0.223994005069088</v>
      </c>
      <c r="Q1019" s="40" t="n">
        <f aca="true">RAND()</f>
        <v>0.676473120868787</v>
      </c>
      <c r="R1019" s="40" t="n">
        <f aca="true">RAND()</f>
        <v>0.514080224123567</v>
      </c>
      <c r="S1019" s="40" t="n">
        <f aca="true">RAND()</f>
        <v>0.798505716777546</v>
      </c>
      <c r="T1019" s="40" t="n">
        <f aca="true">RAND()</f>
        <v>0.716553281309825</v>
      </c>
      <c r="U1019" s="40" t="n">
        <f aca="true">RAND()</f>
        <v>0.8402421308272</v>
      </c>
    </row>
    <row r="1020" customFormat="false" ht="15" hidden="false" customHeight="false" outlineLevel="0" collapsed="false">
      <c r="A1020" s="36" t="n">
        <v>940</v>
      </c>
      <c r="B1020" s="37" t="n">
        <f aca="false">1+IF($G$6=$E$6,$F$6,IF(P1020&lt;($F$6-$E$6)/($G$6-$E$6),$E$6+SQRT(P1020*($G$6-$E$6)*($F$6-$E$6)),$G$6-SQRT((1-P1020)*($G$6-$E$6)*($G$6-$F$6))))</f>
        <v>1</v>
      </c>
      <c r="C1020" s="37" t="n">
        <f aca="false">1+IF($G$7=$E$7,$F$7,IF(Q1020&lt;($F$7-$E$7)/($G$7-$E$7),$E$7+SQRT(Q1020*($G$7-$E$7)*($F$7-$E$7)),$G$7-SQRT((1-Q1020)*($G$7-$E$7)*($G$7-$F$7))))</f>
        <v>1</v>
      </c>
      <c r="D1020" s="37" t="n">
        <f aca="false">1+IF($G$8=$E$8,$F$8,IF(R1020&lt;($F$8-$E$8)/($G$8-$E$8),$E$8+SQRT(R1020*($G$8-$E$8)*($F$8-$E$8)),$G$8-SQRT((1-R1020)*($G$8-$E$8)*($G$8-$F$8))))</f>
        <v>1</v>
      </c>
      <c r="E1020" s="37" t="n">
        <f aca="false">1+IF($G$9=$E$9,$F$9,IF(S1020&lt;($F$9-$E$9)/($G$9-$E$9),$E$9+SQRT(S1020*($G$9-$E$9)*($F$9-$E$9)),$G$9-SQRT((1-S1020)*($G$9-$E$9)*($G$9-$F$9))))</f>
        <v>1</v>
      </c>
      <c r="F1020" s="37" t="n">
        <f aca="false">1+IF($G$10=$E$10,$F$10,IF(T1020&lt;($F$10-$E$10)/($G$10-$E$10),$E$10+SQRT(T1020*($G$10-$E$10)*($F$10-$E$10)),$G$10-SQRT((1-T1020)*($G$10-$E$10)*($G$10-$F$10))))</f>
        <v>1</v>
      </c>
      <c r="G1020" s="38" t="n">
        <f aca="false">IF($G$11=$E$11,$F$11,IF(U1020&lt;($F$11-$E$11)/($G$11-$E$11),$E$11+SQRT(U1020*($G$11-$E$11)*($F$11-$E$11)),$G$11-SQRT((1-U1020)*($G$11-$E$11)*($G$11-$F$11))))</f>
        <v>0</v>
      </c>
      <c r="H1020" s="39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0</v>
      </c>
      <c r="I1020" s="39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0</v>
      </c>
      <c r="J1020" s="39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0</v>
      </c>
      <c r="K1020" s="39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0</v>
      </c>
      <c r="L1020" s="39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0</v>
      </c>
      <c r="M1020" s="39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0</v>
      </c>
      <c r="N1020" s="39" t="str">
        <f aca="false">IF(COUNT('Business Case'!B11:G11)=0,"",H1020+NPV(G1020,I1020:M1020))</f>
        <v/>
      </c>
      <c r="P1020" s="40" t="n">
        <f aca="true">RAND()</f>
        <v>0.593617225508466</v>
      </c>
      <c r="Q1020" s="40" t="n">
        <f aca="true">RAND()</f>
        <v>0.943660580852644</v>
      </c>
      <c r="R1020" s="40" t="n">
        <f aca="true">RAND()</f>
        <v>0.73980111408923</v>
      </c>
      <c r="S1020" s="40" t="n">
        <f aca="true">RAND()</f>
        <v>0.950850882980245</v>
      </c>
      <c r="T1020" s="40" t="n">
        <f aca="true">RAND()</f>
        <v>0.910915516860051</v>
      </c>
      <c r="U1020" s="40" t="n">
        <f aca="true">RAND()</f>
        <v>0.754930835386159</v>
      </c>
    </row>
    <row r="1021" customFormat="false" ht="15" hidden="false" customHeight="false" outlineLevel="0" collapsed="false">
      <c r="A1021" s="36" t="n">
        <v>941</v>
      </c>
      <c r="B1021" s="37" t="n">
        <f aca="false">1+IF($G$6=$E$6,$F$6,IF(P1021&lt;($F$6-$E$6)/($G$6-$E$6),$E$6+SQRT(P1021*($G$6-$E$6)*($F$6-$E$6)),$G$6-SQRT((1-P1021)*($G$6-$E$6)*($G$6-$F$6))))</f>
        <v>1</v>
      </c>
      <c r="C1021" s="37" t="n">
        <f aca="false">1+IF($G$7=$E$7,$F$7,IF(Q1021&lt;($F$7-$E$7)/($G$7-$E$7),$E$7+SQRT(Q1021*($G$7-$E$7)*($F$7-$E$7)),$G$7-SQRT((1-Q1021)*($G$7-$E$7)*($G$7-$F$7))))</f>
        <v>1</v>
      </c>
      <c r="D1021" s="37" t="n">
        <f aca="false">1+IF($G$8=$E$8,$F$8,IF(R1021&lt;($F$8-$E$8)/($G$8-$E$8),$E$8+SQRT(R1021*($G$8-$E$8)*($F$8-$E$8)),$G$8-SQRT((1-R1021)*($G$8-$E$8)*($G$8-$F$8))))</f>
        <v>1</v>
      </c>
      <c r="E1021" s="37" t="n">
        <f aca="false">1+IF($G$9=$E$9,$F$9,IF(S1021&lt;($F$9-$E$9)/($G$9-$E$9),$E$9+SQRT(S1021*($G$9-$E$9)*($F$9-$E$9)),$G$9-SQRT((1-S1021)*($G$9-$E$9)*($G$9-$F$9))))</f>
        <v>1</v>
      </c>
      <c r="F1021" s="37" t="n">
        <f aca="false">1+IF($G$10=$E$10,$F$10,IF(T1021&lt;($F$10-$E$10)/($G$10-$E$10),$E$10+SQRT(T1021*($G$10-$E$10)*($F$10-$E$10)),$G$10-SQRT((1-T1021)*($G$10-$E$10)*($G$10-$F$10))))</f>
        <v>1</v>
      </c>
      <c r="G1021" s="38" t="n">
        <f aca="false">IF($G$11=$E$11,$F$11,IF(U1021&lt;($F$11-$E$11)/($G$11-$E$11),$E$11+SQRT(U1021*($G$11-$E$11)*($F$11-$E$11)),$G$11-SQRT((1-U1021)*($G$11-$E$11)*($G$11-$F$11))))</f>
        <v>0</v>
      </c>
      <c r="H1021" s="39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0</v>
      </c>
      <c r="I1021" s="39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0</v>
      </c>
      <c r="J1021" s="39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0</v>
      </c>
      <c r="K1021" s="39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0</v>
      </c>
      <c r="L1021" s="39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0</v>
      </c>
      <c r="M1021" s="39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0</v>
      </c>
      <c r="N1021" s="39" t="str">
        <f aca="false">IF(COUNT('Business Case'!B11:G11)=0,"",H1021+NPV(G1021,I1021:M1021))</f>
        <v/>
      </c>
      <c r="P1021" s="40" t="n">
        <f aca="true">RAND()</f>
        <v>0.121978421511556</v>
      </c>
      <c r="Q1021" s="40" t="n">
        <f aca="true">RAND()</f>
        <v>0.293112543141251</v>
      </c>
      <c r="R1021" s="40" t="n">
        <f aca="true">RAND()</f>
        <v>0.941747776466595</v>
      </c>
      <c r="S1021" s="40" t="n">
        <f aca="true">RAND()</f>
        <v>0.191103070801461</v>
      </c>
      <c r="T1021" s="40" t="n">
        <f aca="true">RAND()</f>
        <v>0.708459039506865</v>
      </c>
      <c r="U1021" s="40" t="n">
        <f aca="true">RAND()</f>
        <v>0.781755720850277</v>
      </c>
    </row>
    <row r="1022" customFormat="false" ht="15" hidden="false" customHeight="false" outlineLevel="0" collapsed="false">
      <c r="A1022" s="36" t="n">
        <v>942</v>
      </c>
      <c r="B1022" s="37" t="n">
        <f aca="false">1+IF($G$6=$E$6,$F$6,IF(P1022&lt;($F$6-$E$6)/($G$6-$E$6),$E$6+SQRT(P1022*($G$6-$E$6)*($F$6-$E$6)),$G$6-SQRT((1-P1022)*($G$6-$E$6)*($G$6-$F$6))))</f>
        <v>1</v>
      </c>
      <c r="C1022" s="37" t="n">
        <f aca="false">1+IF($G$7=$E$7,$F$7,IF(Q1022&lt;($F$7-$E$7)/($G$7-$E$7),$E$7+SQRT(Q1022*($G$7-$E$7)*($F$7-$E$7)),$G$7-SQRT((1-Q1022)*($G$7-$E$7)*($G$7-$F$7))))</f>
        <v>1</v>
      </c>
      <c r="D1022" s="37" t="n">
        <f aca="false">1+IF($G$8=$E$8,$F$8,IF(R1022&lt;($F$8-$E$8)/($G$8-$E$8),$E$8+SQRT(R1022*($G$8-$E$8)*($F$8-$E$8)),$G$8-SQRT((1-R1022)*($G$8-$E$8)*($G$8-$F$8))))</f>
        <v>1</v>
      </c>
      <c r="E1022" s="37" t="n">
        <f aca="false">1+IF($G$9=$E$9,$F$9,IF(S1022&lt;($F$9-$E$9)/($G$9-$E$9),$E$9+SQRT(S1022*($G$9-$E$9)*($F$9-$E$9)),$G$9-SQRT((1-S1022)*($G$9-$E$9)*($G$9-$F$9))))</f>
        <v>1</v>
      </c>
      <c r="F1022" s="37" t="n">
        <f aca="false">1+IF($G$10=$E$10,$F$10,IF(T1022&lt;($F$10-$E$10)/($G$10-$E$10),$E$10+SQRT(T1022*($G$10-$E$10)*($F$10-$E$10)),$G$10-SQRT((1-T1022)*($G$10-$E$10)*($G$10-$F$10))))</f>
        <v>1</v>
      </c>
      <c r="G1022" s="38" t="n">
        <f aca="false">IF($G$11=$E$11,$F$11,IF(U1022&lt;($F$11-$E$11)/($G$11-$E$11),$E$11+SQRT(U1022*($G$11-$E$11)*($F$11-$E$11)),$G$11-SQRT((1-U1022)*($G$11-$E$11)*($G$11-$F$11))))</f>
        <v>0</v>
      </c>
      <c r="H1022" s="39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0</v>
      </c>
      <c r="I1022" s="39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0</v>
      </c>
      <c r="J1022" s="39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0</v>
      </c>
      <c r="K1022" s="39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0</v>
      </c>
      <c r="L1022" s="39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0</v>
      </c>
      <c r="M1022" s="39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0</v>
      </c>
      <c r="N1022" s="39" t="str">
        <f aca="false">IF(COUNT('Business Case'!B11:G11)=0,"",H1022+NPV(G1022,I1022:M1022))</f>
        <v/>
      </c>
      <c r="P1022" s="40" t="n">
        <f aca="true">RAND()</f>
        <v>0.94805092517122</v>
      </c>
      <c r="Q1022" s="40" t="n">
        <f aca="true">RAND()</f>
        <v>0.47740453952971</v>
      </c>
      <c r="R1022" s="40" t="n">
        <f aca="true">RAND()</f>
        <v>0.721256107090398</v>
      </c>
      <c r="S1022" s="40" t="n">
        <f aca="true">RAND()</f>
        <v>0.741001948856333</v>
      </c>
      <c r="T1022" s="40" t="n">
        <f aca="true">RAND()</f>
        <v>0.916878118225489</v>
      </c>
      <c r="U1022" s="40" t="n">
        <f aca="true">RAND()</f>
        <v>0.458464164514224</v>
      </c>
    </row>
    <row r="1023" customFormat="false" ht="15" hidden="false" customHeight="false" outlineLevel="0" collapsed="false">
      <c r="A1023" s="36" t="n">
        <v>943</v>
      </c>
      <c r="B1023" s="37" t="n">
        <f aca="false">1+IF($G$6=$E$6,$F$6,IF(P1023&lt;($F$6-$E$6)/($G$6-$E$6),$E$6+SQRT(P1023*($G$6-$E$6)*($F$6-$E$6)),$G$6-SQRT((1-P1023)*($G$6-$E$6)*($G$6-$F$6))))</f>
        <v>1</v>
      </c>
      <c r="C1023" s="37" t="n">
        <f aca="false">1+IF($G$7=$E$7,$F$7,IF(Q1023&lt;($F$7-$E$7)/($G$7-$E$7),$E$7+SQRT(Q1023*($G$7-$E$7)*($F$7-$E$7)),$G$7-SQRT((1-Q1023)*($G$7-$E$7)*($G$7-$F$7))))</f>
        <v>1</v>
      </c>
      <c r="D1023" s="37" t="n">
        <f aca="false">1+IF($G$8=$E$8,$F$8,IF(R1023&lt;($F$8-$E$8)/($G$8-$E$8),$E$8+SQRT(R1023*($G$8-$E$8)*($F$8-$E$8)),$G$8-SQRT((1-R1023)*($G$8-$E$8)*($G$8-$F$8))))</f>
        <v>1</v>
      </c>
      <c r="E1023" s="37" t="n">
        <f aca="false">1+IF($G$9=$E$9,$F$9,IF(S1023&lt;($F$9-$E$9)/($G$9-$E$9),$E$9+SQRT(S1023*($G$9-$E$9)*($F$9-$E$9)),$G$9-SQRT((1-S1023)*($G$9-$E$9)*($G$9-$F$9))))</f>
        <v>1</v>
      </c>
      <c r="F1023" s="37" t="n">
        <f aca="false">1+IF($G$10=$E$10,$F$10,IF(T1023&lt;($F$10-$E$10)/($G$10-$E$10),$E$10+SQRT(T1023*($G$10-$E$10)*($F$10-$E$10)),$G$10-SQRT((1-T1023)*($G$10-$E$10)*($G$10-$F$10))))</f>
        <v>1</v>
      </c>
      <c r="G1023" s="38" t="n">
        <f aca="false">IF($G$11=$E$11,$F$11,IF(U1023&lt;($F$11-$E$11)/($G$11-$E$11),$E$11+SQRT(U1023*($G$11-$E$11)*($F$11-$E$11)),$G$11-SQRT((1-U1023)*($G$11-$E$11)*($G$11-$F$11))))</f>
        <v>0</v>
      </c>
      <c r="H1023" s="39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0</v>
      </c>
      <c r="I1023" s="39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0</v>
      </c>
      <c r="J1023" s="39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0</v>
      </c>
      <c r="K1023" s="39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0</v>
      </c>
      <c r="L1023" s="39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0</v>
      </c>
      <c r="M1023" s="39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0</v>
      </c>
      <c r="N1023" s="39" t="str">
        <f aca="false">IF(COUNT('Business Case'!B11:G11)=0,"",H1023+NPV(G1023,I1023:M1023))</f>
        <v/>
      </c>
      <c r="P1023" s="40" t="n">
        <f aca="true">RAND()</f>
        <v>0.61428392552027</v>
      </c>
      <c r="Q1023" s="40" t="n">
        <f aca="true">RAND()</f>
        <v>0.0848236764429551</v>
      </c>
      <c r="R1023" s="40" t="n">
        <f aca="true">RAND()</f>
        <v>0.855795556106373</v>
      </c>
      <c r="S1023" s="40" t="n">
        <f aca="true">RAND()</f>
        <v>0.720360263799069</v>
      </c>
      <c r="T1023" s="40" t="n">
        <f aca="true">RAND()</f>
        <v>0.542375352863995</v>
      </c>
      <c r="U1023" s="40" t="n">
        <f aca="true">RAND()</f>
        <v>0.887361855312688</v>
      </c>
    </row>
    <row r="1024" customFormat="false" ht="15" hidden="false" customHeight="false" outlineLevel="0" collapsed="false">
      <c r="A1024" s="36" t="n">
        <v>944</v>
      </c>
      <c r="B1024" s="37" t="n">
        <f aca="false">1+IF($G$6=$E$6,$F$6,IF(P1024&lt;($F$6-$E$6)/($G$6-$E$6),$E$6+SQRT(P1024*($G$6-$E$6)*($F$6-$E$6)),$G$6-SQRT((1-P1024)*($G$6-$E$6)*($G$6-$F$6))))</f>
        <v>1</v>
      </c>
      <c r="C1024" s="37" t="n">
        <f aca="false">1+IF($G$7=$E$7,$F$7,IF(Q1024&lt;($F$7-$E$7)/($G$7-$E$7),$E$7+SQRT(Q1024*($G$7-$E$7)*($F$7-$E$7)),$G$7-SQRT((1-Q1024)*($G$7-$E$7)*($G$7-$F$7))))</f>
        <v>1</v>
      </c>
      <c r="D1024" s="37" t="n">
        <f aca="false">1+IF($G$8=$E$8,$F$8,IF(R1024&lt;($F$8-$E$8)/($G$8-$E$8),$E$8+SQRT(R1024*($G$8-$E$8)*($F$8-$E$8)),$G$8-SQRT((1-R1024)*($G$8-$E$8)*($G$8-$F$8))))</f>
        <v>1</v>
      </c>
      <c r="E1024" s="37" t="n">
        <f aca="false">1+IF($G$9=$E$9,$F$9,IF(S1024&lt;($F$9-$E$9)/($G$9-$E$9),$E$9+SQRT(S1024*($G$9-$E$9)*($F$9-$E$9)),$G$9-SQRT((1-S1024)*($G$9-$E$9)*($G$9-$F$9))))</f>
        <v>1</v>
      </c>
      <c r="F1024" s="37" t="n">
        <f aca="false">1+IF($G$10=$E$10,$F$10,IF(T1024&lt;($F$10-$E$10)/($G$10-$E$10),$E$10+SQRT(T1024*($G$10-$E$10)*($F$10-$E$10)),$G$10-SQRT((1-T1024)*($G$10-$E$10)*($G$10-$F$10))))</f>
        <v>1</v>
      </c>
      <c r="G1024" s="38" t="n">
        <f aca="false">IF($G$11=$E$11,$F$11,IF(U1024&lt;($F$11-$E$11)/($G$11-$E$11),$E$11+SQRT(U1024*($G$11-$E$11)*($F$11-$E$11)),$G$11-SQRT((1-U1024)*($G$11-$E$11)*($G$11-$F$11))))</f>
        <v>0</v>
      </c>
      <c r="H1024" s="39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0</v>
      </c>
      <c r="I1024" s="39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0</v>
      </c>
      <c r="J1024" s="39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0</v>
      </c>
      <c r="K1024" s="39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0</v>
      </c>
      <c r="L1024" s="39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0</v>
      </c>
      <c r="M1024" s="39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0</v>
      </c>
      <c r="N1024" s="39" t="str">
        <f aca="false">IF(COUNT('Business Case'!B11:G11)=0,"",H1024+NPV(G1024,I1024:M1024))</f>
        <v/>
      </c>
      <c r="P1024" s="40" t="n">
        <f aca="true">RAND()</f>
        <v>0.775193029210895</v>
      </c>
      <c r="Q1024" s="40" t="n">
        <f aca="true">RAND()</f>
        <v>0.237709840079153</v>
      </c>
      <c r="R1024" s="40" t="n">
        <f aca="true">RAND()</f>
        <v>0.584605645413742</v>
      </c>
      <c r="S1024" s="40" t="n">
        <f aca="true">RAND()</f>
        <v>0.0388595034051389</v>
      </c>
      <c r="T1024" s="40" t="n">
        <f aca="true">RAND()</f>
        <v>0.553963937547297</v>
      </c>
      <c r="U1024" s="40" t="n">
        <f aca="true">RAND()</f>
        <v>0.601285259286094</v>
      </c>
    </row>
    <row r="1025" customFormat="false" ht="15" hidden="false" customHeight="false" outlineLevel="0" collapsed="false">
      <c r="A1025" s="36" t="n">
        <v>945</v>
      </c>
      <c r="B1025" s="37" t="n">
        <f aca="false">1+IF($G$6=$E$6,$F$6,IF(P1025&lt;($F$6-$E$6)/($G$6-$E$6),$E$6+SQRT(P1025*($G$6-$E$6)*($F$6-$E$6)),$G$6-SQRT((1-P1025)*($G$6-$E$6)*($G$6-$F$6))))</f>
        <v>1</v>
      </c>
      <c r="C1025" s="37" t="n">
        <f aca="false">1+IF($G$7=$E$7,$F$7,IF(Q1025&lt;($F$7-$E$7)/($G$7-$E$7),$E$7+SQRT(Q1025*($G$7-$E$7)*($F$7-$E$7)),$G$7-SQRT((1-Q1025)*($G$7-$E$7)*($G$7-$F$7))))</f>
        <v>1</v>
      </c>
      <c r="D1025" s="37" t="n">
        <f aca="false">1+IF($G$8=$E$8,$F$8,IF(R1025&lt;($F$8-$E$8)/($G$8-$E$8),$E$8+SQRT(R1025*($G$8-$E$8)*($F$8-$E$8)),$G$8-SQRT((1-R1025)*($G$8-$E$8)*($G$8-$F$8))))</f>
        <v>1</v>
      </c>
      <c r="E1025" s="37" t="n">
        <f aca="false">1+IF($G$9=$E$9,$F$9,IF(S1025&lt;($F$9-$E$9)/($G$9-$E$9),$E$9+SQRT(S1025*($G$9-$E$9)*($F$9-$E$9)),$G$9-SQRT((1-S1025)*($G$9-$E$9)*($G$9-$F$9))))</f>
        <v>1</v>
      </c>
      <c r="F1025" s="37" t="n">
        <f aca="false">1+IF($G$10=$E$10,$F$10,IF(T1025&lt;($F$10-$E$10)/($G$10-$E$10),$E$10+SQRT(T1025*($G$10-$E$10)*($F$10-$E$10)),$G$10-SQRT((1-T1025)*($G$10-$E$10)*($G$10-$F$10))))</f>
        <v>1</v>
      </c>
      <c r="G1025" s="38" t="n">
        <f aca="false">IF($G$11=$E$11,$F$11,IF(U1025&lt;($F$11-$E$11)/($G$11-$E$11),$E$11+SQRT(U1025*($G$11-$E$11)*($F$11-$E$11)),$G$11-SQRT((1-U1025)*($G$11-$E$11)*($G$11-$F$11))))</f>
        <v>0</v>
      </c>
      <c r="H1025" s="39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0</v>
      </c>
      <c r="I1025" s="39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0</v>
      </c>
      <c r="J1025" s="39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0</v>
      </c>
      <c r="K1025" s="39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0</v>
      </c>
      <c r="L1025" s="39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0</v>
      </c>
      <c r="M1025" s="39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0</v>
      </c>
      <c r="N1025" s="39" t="str">
        <f aca="false">IF(COUNT('Business Case'!B11:G11)=0,"",H1025+NPV(G1025,I1025:M1025))</f>
        <v/>
      </c>
      <c r="P1025" s="40" t="n">
        <f aca="true">RAND()</f>
        <v>0.250134589129055</v>
      </c>
      <c r="Q1025" s="40" t="n">
        <f aca="true">RAND()</f>
        <v>0.396939515715927</v>
      </c>
      <c r="R1025" s="40" t="n">
        <f aca="true">RAND()</f>
        <v>0.153974157017763</v>
      </c>
      <c r="S1025" s="40" t="n">
        <f aca="true">RAND()</f>
        <v>0.0310951672564175</v>
      </c>
      <c r="T1025" s="40" t="n">
        <f aca="true">RAND()</f>
        <v>0.953117020168635</v>
      </c>
      <c r="U1025" s="40" t="n">
        <f aca="true">RAND()</f>
        <v>0.617561151682811</v>
      </c>
    </row>
    <row r="1026" customFormat="false" ht="15" hidden="false" customHeight="false" outlineLevel="0" collapsed="false">
      <c r="A1026" s="36" t="n">
        <v>946</v>
      </c>
      <c r="B1026" s="37" t="n">
        <f aca="false">1+IF($G$6=$E$6,$F$6,IF(P1026&lt;($F$6-$E$6)/($G$6-$E$6),$E$6+SQRT(P1026*($G$6-$E$6)*($F$6-$E$6)),$G$6-SQRT((1-P1026)*($G$6-$E$6)*($G$6-$F$6))))</f>
        <v>1</v>
      </c>
      <c r="C1026" s="37" t="n">
        <f aca="false">1+IF($G$7=$E$7,$F$7,IF(Q1026&lt;($F$7-$E$7)/($G$7-$E$7),$E$7+SQRT(Q1026*($G$7-$E$7)*($F$7-$E$7)),$G$7-SQRT((1-Q1026)*($G$7-$E$7)*($G$7-$F$7))))</f>
        <v>1</v>
      </c>
      <c r="D1026" s="37" t="n">
        <f aca="false">1+IF($G$8=$E$8,$F$8,IF(R1026&lt;($F$8-$E$8)/($G$8-$E$8),$E$8+SQRT(R1026*($G$8-$E$8)*($F$8-$E$8)),$G$8-SQRT((1-R1026)*($G$8-$E$8)*($G$8-$F$8))))</f>
        <v>1</v>
      </c>
      <c r="E1026" s="37" t="n">
        <f aca="false">1+IF($G$9=$E$9,$F$9,IF(S1026&lt;($F$9-$E$9)/($G$9-$E$9),$E$9+SQRT(S1026*($G$9-$E$9)*($F$9-$E$9)),$G$9-SQRT((1-S1026)*($G$9-$E$9)*($G$9-$F$9))))</f>
        <v>1</v>
      </c>
      <c r="F1026" s="37" t="n">
        <f aca="false">1+IF($G$10=$E$10,$F$10,IF(T1026&lt;($F$10-$E$10)/($G$10-$E$10),$E$10+SQRT(T1026*($G$10-$E$10)*($F$10-$E$10)),$G$10-SQRT((1-T1026)*($G$10-$E$10)*($G$10-$F$10))))</f>
        <v>1</v>
      </c>
      <c r="G1026" s="38" t="n">
        <f aca="false">IF($G$11=$E$11,$F$11,IF(U1026&lt;($F$11-$E$11)/($G$11-$E$11),$E$11+SQRT(U1026*($G$11-$E$11)*($F$11-$E$11)),$G$11-SQRT((1-U1026)*($G$11-$E$11)*($G$11-$F$11))))</f>
        <v>0</v>
      </c>
      <c r="H1026" s="39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0</v>
      </c>
      <c r="I1026" s="39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0</v>
      </c>
      <c r="J1026" s="39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0</v>
      </c>
      <c r="K1026" s="39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0</v>
      </c>
      <c r="L1026" s="39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0</v>
      </c>
      <c r="M1026" s="39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0</v>
      </c>
      <c r="N1026" s="39" t="str">
        <f aca="false">IF(COUNT('Business Case'!B11:G11)=0,"",H1026+NPV(G1026,I1026:M1026))</f>
        <v/>
      </c>
      <c r="P1026" s="40" t="n">
        <f aca="true">RAND()</f>
        <v>0.820886462166585</v>
      </c>
      <c r="Q1026" s="40" t="n">
        <f aca="true">RAND()</f>
        <v>0.428102897496521</v>
      </c>
      <c r="R1026" s="40" t="n">
        <f aca="true">RAND()</f>
        <v>0.238097312901537</v>
      </c>
      <c r="S1026" s="40" t="n">
        <f aca="true">RAND()</f>
        <v>0.0364963608210532</v>
      </c>
      <c r="T1026" s="40" t="n">
        <f aca="true">RAND()</f>
        <v>0.201361953069346</v>
      </c>
      <c r="U1026" s="40" t="n">
        <f aca="true">RAND()</f>
        <v>0.866878142698152</v>
      </c>
    </row>
    <row r="1027" customFormat="false" ht="15" hidden="false" customHeight="false" outlineLevel="0" collapsed="false">
      <c r="A1027" s="36" t="n">
        <v>947</v>
      </c>
      <c r="B1027" s="37" t="n">
        <f aca="false">1+IF($G$6=$E$6,$F$6,IF(P1027&lt;($F$6-$E$6)/($G$6-$E$6),$E$6+SQRT(P1027*($G$6-$E$6)*($F$6-$E$6)),$G$6-SQRT((1-P1027)*($G$6-$E$6)*($G$6-$F$6))))</f>
        <v>1</v>
      </c>
      <c r="C1027" s="37" t="n">
        <f aca="false">1+IF($G$7=$E$7,$F$7,IF(Q1027&lt;($F$7-$E$7)/($G$7-$E$7),$E$7+SQRT(Q1027*($G$7-$E$7)*($F$7-$E$7)),$G$7-SQRT((1-Q1027)*($G$7-$E$7)*($G$7-$F$7))))</f>
        <v>1</v>
      </c>
      <c r="D1027" s="37" t="n">
        <f aca="false">1+IF($G$8=$E$8,$F$8,IF(R1027&lt;($F$8-$E$8)/($G$8-$E$8),$E$8+SQRT(R1027*($G$8-$E$8)*($F$8-$E$8)),$G$8-SQRT((1-R1027)*($G$8-$E$8)*($G$8-$F$8))))</f>
        <v>1</v>
      </c>
      <c r="E1027" s="37" t="n">
        <f aca="false">1+IF($G$9=$E$9,$F$9,IF(S1027&lt;($F$9-$E$9)/($G$9-$E$9),$E$9+SQRT(S1027*($G$9-$E$9)*($F$9-$E$9)),$G$9-SQRT((1-S1027)*($G$9-$E$9)*($G$9-$F$9))))</f>
        <v>1</v>
      </c>
      <c r="F1027" s="37" t="n">
        <f aca="false">1+IF($G$10=$E$10,$F$10,IF(T1027&lt;($F$10-$E$10)/($G$10-$E$10),$E$10+SQRT(T1027*($G$10-$E$10)*($F$10-$E$10)),$G$10-SQRT((1-T1027)*($G$10-$E$10)*($G$10-$F$10))))</f>
        <v>1</v>
      </c>
      <c r="G1027" s="38" t="n">
        <f aca="false">IF($G$11=$E$11,$F$11,IF(U1027&lt;($F$11-$E$11)/($G$11-$E$11),$E$11+SQRT(U1027*($G$11-$E$11)*($F$11-$E$11)),$G$11-SQRT((1-U1027)*($G$11-$E$11)*($G$11-$F$11))))</f>
        <v>0</v>
      </c>
      <c r="H1027" s="39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0</v>
      </c>
      <c r="I1027" s="39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0</v>
      </c>
      <c r="J1027" s="39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0</v>
      </c>
      <c r="K1027" s="39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0</v>
      </c>
      <c r="L1027" s="39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0</v>
      </c>
      <c r="M1027" s="39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0</v>
      </c>
      <c r="N1027" s="39" t="str">
        <f aca="false">IF(COUNT('Business Case'!B11:G11)=0,"",H1027+NPV(G1027,I1027:M1027))</f>
        <v/>
      </c>
      <c r="P1027" s="40" t="n">
        <f aca="true">RAND()</f>
        <v>0.22696977893366</v>
      </c>
      <c r="Q1027" s="40" t="n">
        <f aca="true">RAND()</f>
        <v>0.624315091798266</v>
      </c>
      <c r="R1027" s="40" t="n">
        <f aca="true">RAND()</f>
        <v>0.325422035436914</v>
      </c>
      <c r="S1027" s="40" t="n">
        <f aca="true">RAND()</f>
        <v>0.183439483211001</v>
      </c>
      <c r="T1027" s="40" t="n">
        <f aca="true">RAND()</f>
        <v>0.742530763389719</v>
      </c>
      <c r="U1027" s="40" t="n">
        <f aca="true">RAND()</f>
        <v>0.0398688686578353</v>
      </c>
    </row>
    <row r="1028" customFormat="false" ht="15" hidden="false" customHeight="false" outlineLevel="0" collapsed="false">
      <c r="A1028" s="36" t="n">
        <v>948</v>
      </c>
      <c r="B1028" s="37" t="n">
        <f aca="false">1+IF($G$6=$E$6,$F$6,IF(P1028&lt;($F$6-$E$6)/($G$6-$E$6),$E$6+SQRT(P1028*($G$6-$E$6)*($F$6-$E$6)),$G$6-SQRT((1-P1028)*($G$6-$E$6)*($G$6-$F$6))))</f>
        <v>1</v>
      </c>
      <c r="C1028" s="37" t="n">
        <f aca="false">1+IF($G$7=$E$7,$F$7,IF(Q1028&lt;($F$7-$E$7)/($G$7-$E$7),$E$7+SQRT(Q1028*($G$7-$E$7)*($F$7-$E$7)),$G$7-SQRT((1-Q1028)*($G$7-$E$7)*($G$7-$F$7))))</f>
        <v>1</v>
      </c>
      <c r="D1028" s="37" t="n">
        <f aca="false">1+IF($G$8=$E$8,$F$8,IF(R1028&lt;($F$8-$E$8)/($G$8-$E$8),$E$8+SQRT(R1028*($G$8-$E$8)*($F$8-$E$8)),$G$8-SQRT((1-R1028)*($G$8-$E$8)*($G$8-$F$8))))</f>
        <v>1</v>
      </c>
      <c r="E1028" s="37" t="n">
        <f aca="false">1+IF($G$9=$E$9,$F$9,IF(S1028&lt;($F$9-$E$9)/($G$9-$E$9),$E$9+SQRT(S1028*($G$9-$E$9)*($F$9-$E$9)),$G$9-SQRT((1-S1028)*($G$9-$E$9)*($G$9-$F$9))))</f>
        <v>1</v>
      </c>
      <c r="F1028" s="37" t="n">
        <f aca="false">1+IF($G$10=$E$10,$F$10,IF(T1028&lt;($F$10-$E$10)/($G$10-$E$10),$E$10+SQRT(T1028*($G$10-$E$10)*($F$10-$E$10)),$G$10-SQRT((1-T1028)*($G$10-$E$10)*($G$10-$F$10))))</f>
        <v>1</v>
      </c>
      <c r="G1028" s="38" t="n">
        <f aca="false">IF($G$11=$E$11,$F$11,IF(U1028&lt;($F$11-$E$11)/($G$11-$E$11),$E$11+SQRT(U1028*($G$11-$E$11)*($F$11-$E$11)),$G$11-SQRT((1-U1028)*($G$11-$E$11)*($G$11-$F$11))))</f>
        <v>0</v>
      </c>
      <c r="H1028" s="39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0</v>
      </c>
      <c r="I1028" s="39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0</v>
      </c>
      <c r="J1028" s="39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0</v>
      </c>
      <c r="K1028" s="39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0</v>
      </c>
      <c r="L1028" s="39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0</v>
      </c>
      <c r="M1028" s="39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0</v>
      </c>
      <c r="N1028" s="39" t="str">
        <f aca="false">IF(COUNT('Business Case'!B11:G11)=0,"",H1028+NPV(G1028,I1028:M1028))</f>
        <v/>
      </c>
      <c r="P1028" s="40" t="n">
        <f aca="true">RAND()</f>
        <v>0.274728355465955</v>
      </c>
      <c r="Q1028" s="40" t="n">
        <f aca="true">RAND()</f>
        <v>0.848133712626004</v>
      </c>
      <c r="R1028" s="40" t="n">
        <f aca="true">RAND()</f>
        <v>0.471532717206809</v>
      </c>
      <c r="S1028" s="40" t="n">
        <f aca="true">RAND()</f>
        <v>0.690618482354789</v>
      </c>
      <c r="T1028" s="40" t="n">
        <f aca="true">RAND()</f>
        <v>0.420588386068885</v>
      </c>
      <c r="U1028" s="40" t="n">
        <f aca="true">RAND()</f>
        <v>0.667945262924653</v>
      </c>
    </row>
    <row r="1029" customFormat="false" ht="15" hidden="false" customHeight="false" outlineLevel="0" collapsed="false">
      <c r="A1029" s="36" t="n">
        <v>949</v>
      </c>
      <c r="B1029" s="37" t="n">
        <f aca="false">1+IF($G$6=$E$6,$F$6,IF(P1029&lt;($F$6-$E$6)/($G$6-$E$6),$E$6+SQRT(P1029*($G$6-$E$6)*($F$6-$E$6)),$G$6-SQRT((1-P1029)*($G$6-$E$6)*($G$6-$F$6))))</f>
        <v>1</v>
      </c>
      <c r="C1029" s="37" t="n">
        <f aca="false">1+IF($G$7=$E$7,$F$7,IF(Q1029&lt;($F$7-$E$7)/($G$7-$E$7),$E$7+SQRT(Q1029*($G$7-$E$7)*($F$7-$E$7)),$G$7-SQRT((1-Q1029)*($G$7-$E$7)*($G$7-$F$7))))</f>
        <v>1</v>
      </c>
      <c r="D1029" s="37" t="n">
        <f aca="false">1+IF($G$8=$E$8,$F$8,IF(R1029&lt;($F$8-$E$8)/($G$8-$E$8),$E$8+SQRT(R1029*($G$8-$E$8)*($F$8-$E$8)),$G$8-SQRT((1-R1029)*($G$8-$E$8)*($G$8-$F$8))))</f>
        <v>1</v>
      </c>
      <c r="E1029" s="37" t="n">
        <f aca="false">1+IF($G$9=$E$9,$F$9,IF(S1029&lt;($F$9-$E$9)/($G$9-$E$9),$E$9+SQRT(S1029*($G$9-$E$9)*($F$9-$E$9)),$G$9-SQRT((1-S1029)*($G$9-$E$9)*($G$9-$F$9))))</f>
        <v>1</v>
      </c>
      <c r="F1029" s="37" t="n">
        <f aca="false">1+IF($G$10=$E$10,$F$10,IF(T1029&lt;($F$10-$E$10)/($G$10-$E$10),$E$10+SQRT(T1029*($G$10-$E$10)*($F$10-$E$10)),$G$10-SQRT((1-T1029)*($G$10-$E$10)*($G$10-$F$10))))</f>
        <v>1</v>
      </c>
      <c r="G1029" s="38" t="n">
        <f aca="false">IF($G$11=$E$11,$F$11,IF(U1029&lt;($F$11-$E$11)/($G$11-$E$11),$E$11+SQRT(U1029*($G$11-$E$11)*($F$11-$E$11)),$G$11-SQRT((1-U1029)*($G$11-$E$11)*($G$11-$F$11))))</f>
        <v>0</v>
      </c>
      <c r="H1029" s="39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0</v>
      </c>
      <c r="I1029" s="39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0</v>
      </c>
      <c r="J1029" s="39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0</v>
      </c>
      <c r="K1029" s="39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0</v>
      </c>
      <c r="L1029" s="39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0</v>
      </c>
      <c r="M1029" s="39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0</v>
      </c>
      <c r="N1029" s="39" t="str">
        <f aca="false">IF(COUNT('Business Case'!B11:G11)=0,"",H1029+NPV(G1029,I1029:M1029))</f>
        <v/>
      </c>
      <c r="P1029" s="40" t="n">
        <f aca="true">RAND()</f>
        <v>0.887429357726294</v>
      </c>
      <c r="Q1029" s="40" t="n">
        <f aca="true">RAND()</f>
        <v>0.165230050973467</v>
      </c>
      <c r="R1029" s="40" t="n">
        <f aca="true">RAND()</f>
        <v>0.317256767550543</v>
      </c>
      <c r="S1029" s="40" t="n">
        <f aca="true">RAND()</f>
        <v>0.817259273337156</v>
      </c>
      <c r="T1029" s="40" t="n">
        <f aca="true">RAND()</f>
        <v>0.52811531726435</v>
      </c>
      <c r="U1029" s="40" t="n">
        <f aca="true">RAND()</f>
        <v>0.228637201688854</v>
      </c>
    </row>
    <row r="1030" customFormat="false" ht="15" hidden="false" customHeight="false" outlineLevel="0" collapsed="false">
      <c r="A1030" s="36" t="n">
        <v>950</v>
      </c>
      <c r="B1030" s="37" t="n">
        <f aca="false">1+IF($G$6=$E$6,$F$6,IF(P1030&lt;($F$6-$E$6)/($G$6-$E$6),$E$6+SQRT(P1030*($G$6-$E$6)*($F$6-$E$6)),$G$6-SQRT((1-P1030)*($G$6-$E$6)*($G$6-$F$6))))</f>
        <v>1</v>
      </c>
      <c r="C1030" s="37" t="n">
        <f aca="false">1+IF($G$7=$E$7,$F$7,IF(Q1030&lt;($F$7-$E$7)/($G$7-$E$7),$E$7+SQRT(Q1030*($G$7-$E$7)*($F$7-$E$7)),$G$7-SQRT((1-Q1030)*($G$7-$E$7)*($G$7-$F$7))))</f>
        <v>1</v>
      </c>
      <c r="D1030" s="37" t="n">
        <f aca="false">1+IF($G$8=$E$8,$F$8,IF(R1030&lt;($F$8-$E$8)/($G$8-$E$8),$E$8+SQRT(R1030*($G$8-$E$8)*($F$8-$E$8)),$G$8-SQRT((1-R1030)*($G$8-$E$8)*($G$8-$F$8))))</f>
        <v>1</v>
      </c>
      <c r="E1030" s="37" t="n">
        <f aca="false">1+IF($G$9=$E$9,$F$9,IF(S1030&lt;($F$9-$E$9)/($G$9-$E$9),$E$9+SQRT(S1030*($G$9-$E$9)*($F$9-$E$9)),$G$9-SQRT((1-S1030)*($G$9-$E$9)*($G$9-$F$9))))</f>
        <v>1</v>
      </c>
      <c r="F1030" s="37" t="n">
        <f aca="false">1+IF($G$10=$E$10,$F$10,IF(T1030&lt;($F$10-$E$10)/($G$10-$E$10),$E$10+SQRT(T1030*($G$10-$E$10)*($F$10-$E$10)),$G$10-SQRT((1-T1030)*($G$10-$E$10)*($G$10-$F$10))))</f>
        <v>1</v>
      </c>
      <c r="G1030" s="38" t="n">
        <f aca="false">IF($G$11=$E$11,$F$11,IF(U1030&lt;($F$11-$E$11)/($G$11-$E$11),$E$11+SQRT(U1030*($G$11-$E$11)*($F$11-$E$11)),$G$11-SQRT((1-U1030)*($G$11-$E$11)*($G$11-$F$11))))</f>
        <v>0</v>
      </c>
      <c r="H1030" s="39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0</v>
      </c>
      <c r="I1030" s="39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0</v>
      </c>
      <c r="J1030" s="39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0</v>
      </c>
      <c r="K1030" s="39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0</v>
      </c>
      <c r="L1030" s="39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0</v>
      </c>
      <c r="M1030" s="39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0</v>
      </c>
      <c r="N1030" s="39" t="str">
        <f aca="false">IF(COUNT('Business Case'!B11:G11)=0,"",H1030+NPV(G1030,I1030:M1030))</f>
        <v/>
      </c>
      <c r="P1030" s="40" t="n">
        <f aca="true">RAND()</f>
        <v>0.0478182987382468</v>
      </c>
      <c r="Q1030" s="40" t="n">
        <f aca="true">RAND()</f>
        <v>0.241450661419177</v>
      </c>
      <c r="R1030" s="40" t="n">
        <f aca="true">RAND()</f>
        <v>0.405914447348061</v>
      </c>
      <c r="S1030" s="40" t="n">
        <f aca="true">RAND()</f>
        <v>0.88153446666539</v>
      </c>
      <c r="T1030" s="40" t="n">
        <f aca="true">RAND()</f>
        <v>0.804009618406442</v>
      </c>
      <c r="U1030" s="40" t="n">
        <f aca="true">RAND()</f>
        <v>0.197970955476401</v>
      </c>
    </row>
    <row r="1031" customFormat="false" ht="15" hidden="false" customHeight="false" outlineLevel="0" collapsed="false">
      <c r="A1031" s="36" t="n">
        <v>951</v>
      </c>
      <c r="B1031" s="37" t="n">
        <f aca="false">1+IF($G$6=$E$6,$F$6,IF(P1031&lt;($F$6-$E$6)/($G$6-$E$6),$E$6+SQRT(P1031*($G$6-$E$6)*($F$6-$E$6)),$G$6-SQRT((1-P1031)*($G$6-$E$6)*($G$6-$F$6))))</f>
        <v>1</v>
      </c>
      <c r="C1031" s="37" t="n">
        <f aca="false">1+IF($G$7=$E$7,$F$7,IF(Q1031&lt;($F$7-$E$7)/($G$7-$E$7),$E$7+SQRT(Q1031*($G$7-$E$7)*($F$7-$E$7)),$G$7-SQRT((1-Q1031)*($G$7-$E$7)*($G$7-$F$7))))</f>
        <v>1</v>
      </c>
      <c r="D1031" s="37" t="n">
        <f aca="false">1+IF($G$8=$E$8,$F$8,IF(R1031&lt;($F$8-$E$8)/($G$8-$E$8),$E$8+SQRT(R1031*($G$8-$E$8)*($F$8-$E$8)),$G$8-SQRT((1-R1031)*($G$8-$E$8)*($G$8-$F$8))))</f>
        <v>1</v>
      </c>
      <c r="E1031" s="37" t="n">
        <f aca="false">1+IF($G$9=$E$9,$F$9,IF(S1031&lt;($F$9-$E$9)/($G$9-$E$9),$E$9+SQRT(S1031*($G$9-$E$9)*($F$9-$E$9)),$G$9-SQRT((1-S1031)*($G$9-$E$9)*($G$9-$F$9))))</f>
        <v>1</v>
      </c>
      <c r="F1031" s="37" t="n">
        <f aca="false">1+IF($G$10=$E$10,$F$10,IF(T1031&lt;($F$10-$E$10)/($G$10-$E$10),$E$10+SQRT(T1031*($G$10-$E$10)*($F$10-$E$10)),$G$10-SQRT((1-T1031)*($G$10-$E$10)*($G$10-$F$10))))</f>
        <v>1</v>
      </c>
      <c r="G1031" s="38" t="n">
        <f aca="false">IF($G$11=$E$11,$F$11,IF(U1031&lt;($F$11-$E$11)/($G$11-$E$11),$E$11+SQRT(U1031*($G$11-$E$11)*($F$11-$E$11)),$G$11-SQRT((1-U1031)*($G$11-$E$11)*($G$11-$F$11))))</f>
        <v>0</v>
      </c>
      <c r="H1031" s="39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0</v>
      </c>
      <c r="I1031" s="39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0</v>
      </c>
      <c r="J1031" s="39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0</v>
      </c>
      <c r="K1031" s="39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0</v>
      </c>
      <c r="L1031" s="39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0</v>
      </c>
      <c r="M1031" s="39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0</v>
      </c>
      <c r="N1031" s="39" t="str">
        <f aca="false">IF(COUNT('Business Case'!B11:G11)=0,"",H1031+NPV(G1031,I1031:M1031))</f>
        <v/>
      </c>
      <c r="P1031" s="40" t="n">
        <f aca="true">RAND()</f>
        <v>0.527614543821512</v>
      </c>
      <c r="Q1031" s="40" t="n">
        <f aca="true">RAND()</f>
        <v>0.605996916302028</v>
      </c>
      <c r="R1031" s="40" t="n">
        <f aca="true">RAND()</f>
        <v>0.589939473003527</v>
      </c>
      <c r="S1031" s="40" t="n">
        <f aca="true">RAND()</f>
        <v>0.643622707806557</v>
      </c>
      <c r="T1031" s="40" t="n">
        <f aca="true">RAND()</f>
        <v>0.636117962645992</v>
      </c>
      <c r="U1031" s="40" t="n">
        <f aca="true">RAND()</f>
        <v>0.88155810416598</v>
      </c>
    </row>
    <row r="1032" customFormat="false" ht="15" hidden="false" customHeight="false" outlineLevel="0" collapsed="false">
      <c r="A1032" s="36" t="n">
        <v>952</v>
      </c>
      <c r="B1032" s="37" t="n">
        <f aca="false">1+IF($G$6=$E$6,$F$6,IF(P1032&lt;($F$6-$E$6)/($G$6-$E$6),$E$6+SQRT(P1032*($G$6-$E$6)*($F$6-$E$6)),$G$6-SQRT((1-P1032)*($G$6-$E$6)*($G$6-$F$6))))</f>
        <v>1</v>
      </c>
      <c r="C1032" s="37" t="n">
        <f aca="false">1+IF($G$7=$E$7,$F$7,IF(Q1032&lt;($F$7-$E$7)/($G$7-$E$7),$E$7+SQRT(Q1032*($G$7-$E$7)*($F$7-$E$7)),$G$7-SQRT((1-Q1032)*($G$7-$E$7)*($G$7-$F$7))))</f>
        <v>1</v>
      </c>
      <c r="D1032" s="37" t="n">
        <f aca="false">1+IF($G$8=$E$8,$F$8,IF(R1032&lt;($F$8-$E$8)/($G$8-$E$8),$E$8+SQRT(R1032*($G$8-$E$8)*($F$8-$E$8)),$G$8-SQRT((1-R1032)*($G$8-$E$8)*($G$8-$F$8))))</f>
        <v>1</v>
      </c>
      <c r="E1032" s="37" t="n">
        <f aca="false">1+IF($G$9=$E$9,$F$9,IF(S1032&lt;($F$9-$E$9)/($G$9-$E$9),$E$9+SQRT(S1032*($G$9-$E$9)*($F$9-$E$9)),$G$9-SQRT((1-S1032)*($G$9-$E$9)*($G$9-$F$9))))</f>
        <v>1</v>
      </c>
      <c r="F1032" s="37" t="n">
        <f aca="false">1+IF($G$10=$E$10,$F$10,IF(T1032&lt;($F$10-$E$10)/($G$10-$E$10),$E$10+SQRT(T1032*($G$10-$E$10)*($F$10-$E$10)),$G$10-SQRT((1-T1032)*($G$10-$E$10)*($G$10-$F$10))))</f>
        <v>1</v>
      </c>
      <c r="G1032" s="38" t="n">
        <f aca="false">IF($G$11=$E$11,$F$11,IF(U1032&lt;($F$11-$E$11)/($G$11-$E$11),$E$11+SQRT(U1032*($G$11-$E$11)*($F$11-$E$11)),$G$11-SQRT((1-U1032)*($G$11-$E$11)*($G$11-$F$11))))</f>
        <v>0</v>
      </c>
      <c r="H1032" s="39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0</v>
      </c>
      <c r="I1032" s="39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0</v>
      </c>
      <c r="J1032" s="39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0</v>
      </c>
      <c r="K1032" s="39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0</v>
      </c>
      <c r="L1032" s="39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0</v>
      </c>
      <c r="M1032" s="39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0</v>
      </c>
      <c r="N1032" s="39" t="str">
        <f aca="false">IF(COUNT('Business Case'!B11:G11)=0,"",H1032+NPV(G1032,I1032:M1032))</f>
        <v/>
      </c>
      <c r="P1032" s="40" t="n">
        <f aca="true">RAND()</f>
        <v>0.849300279530207</v>
      </c>
      <c r="Q1032" s="40" t="n">
        <f aca="true">RAND()</f>
        <v>0.475203641096037</v>
      </c>
      <c r="R1032" s="40" t="n">
        <f aca="true">RAND()</f>
        <v>0.253873569859445</v>
      </c>
      <c r="S1032" s="40" t="n">
        <f aca="true">RAND()</f>
        <v>0.883441820316158</v>
      </c>
      <c r="T1032" s="40" t="n">
        <f aca="true">RAND()</f>
        <v>0.254018524864122</v>
      </c>
      <c r="U1032" s="40" t="n">
        <f aca="true">RAND()</f>
        <v>0.483948922228661</v>
      </c>
    </row>
    <row r="1033" customFormat="false" ht="15" hidden="false" customHeight="false" outlineLevel="0" collapsed="false">
      <c r="A1033" s="36" t="n">
        <v>953</v>
      </c>
      <c r="B1033" s="37" t="n">
        <f aca="false">1+IF($G$6=$E$6,$F$6,IF(P1033&lt;($F$6-$E$6)/($G$6-$E$6),$E$6+SQRT(P1033*($G$6-$E$6)*($F$6-$E$6)),$G$6-SQRT((1-P1033)*($G$6-$E$6)*($G$6-$F$6))))</f>
        <v>1</v>
      </c>
      <c r="C1033" s="37" t="n">
        <f aca="false">1+IF($G$7=$E$7,$F$7,IF(Q1033&lt;($F$7-$E$7)/($G$7-$E$7),$E$7+SQRT(Q1033*($G$7-$E$7)*($F$7-$E$7)),$G$7-SQRT((1-Q1033)*($G$7-$E$7)*($G$7-$F$7))))</f>
        <v>1</v>
      </c>
      <c r="D1033" s="37" t="n">
        <f aca="false">1+IF($G$8=$E$8,$F$8,IF(R1033&lt;($F$8-$E$8)/($G$8-$E$8),$E$8+SQRT(R1033*($G$8-$E$8)*($F$8-$E$8)),$G$8-SQRT((1-R1033)*($G$8-$E$8)*($G$8-$F$8))))</f>
        <v>1</v>
      </c>
      <c r="E1033" s="37" t="n">
        <f aca="false">1+IF($G$9=$E$9,$F$9,IF(S1033&lt;($F$9-$E$9)/($G$9-$E$9),$E$9+SQRT(S1033*($G$9-$E$9)*($F$9-$E$9)),$G$9-SQRT((1-S1033)*($G$9-$E$9)*($G$9-$F$9))))</f>
        <v>1</v>
      </c>
      <c r="F1033" s="37" t="n">
        <f aca="false">1+IF($G$10=$E$10,$F$10,IF(T1033&lt;($F$10-$E$10)/($G$10-$E$10),$E$10+SQRT(T1033*($G$10-$E$10)*($F$10-$E$10)),$G$10-SQRT((1-T1033)*($G$10-$E$10)*($G$10-$F$10))))</f>
        <v>1</v>
      </c>
      <c r="G1033" s="38" t="n">
        <f aca="false">IF($G$11=$E$11,$F$11,IF(U1033&lt;($F$11-$E$11)/($G$11-$E$11),$E$11+SQRT(U1033*($G$11-$E$11)*($F$11-$E$11)),$G$11-SQRT((1-U1033)*($G$11-$E$11)*($G$11-$F$11))))</f>
        <v>0</v>
      </c>
      <c r="H1033" s="39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0</v>
      </c>
      <c r="I1033" s="39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0</v>
      </c>
      <c r="J1033" s="39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0</v>
      </c>
      <c r="K1033" s="39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0</v>
      </c>
      <c r="L1033" s="39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0</v>
      </c>
      <c r="M1033" s="39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0</v>
      </c>
      <c r="N1033" s="39" t="str">
        <f aca="false">IF(COUNT('Business Case'!B11:G11)=0,"",H1033+NPV(G1033,I1033:M1033))</f>
        <v/>
      </c>
      <c r="P1033" s="40" t="n">
        <f aca="true">RAND()</f>
        <v>0.638155681958822</v>
      </c>
      <c r="Q1033" s="40" t="n">
        <f aca="true">RAND()</f>
        <v>0.207988570101508</v>
      </c>
      <c r="R1033" s="40" t="n">
        <f aca="true">RAND()</f>
        <v>0.701646957431367</v>
      </c>
      <c r="S1033" s="40" t="n">
        <f aca="true">RAND()</f>
        <v>0.489478733518474</v>
      </c>
      <c r="T1033" s="40" t="n">
        <f aca="true">RAND()</f>
        <v>0.13012799060615</v>
      </c>
      <c r="U1033" s="40" t="n">
        <f aca="true">RAND()</f>
        <v>0.0113815836006018</v>
      </c>
    </row>
    <row r="1034" customFormat="false" ht="15" hidden="false" customHeight="false" outlineLevel="0" collapsed="false">
      <c r="A1034" s="36" t="n">
        <v>954</v>
      </c>
      <c r="B1034" s="37" t="n">
        <f aca="false">1+IF($G$6=$E$6,$F$6,IF(P1034&lt;($F$6-$E$6)/($G$6-$E$6),$E$6+SQRT(P1034*($G$6-$E$6)*($F$6-$E$6)),$G$6-SQRT((1-P1034)*($G$6-$E$6)*($G$6-$F$6))))</f>
        <v>1</v>
      </c>
      <c r="C1034" s="37" t="n">
        <f aca="false">1+IF($G$7=$E$7,$F$7,IF(Q1034&lt;($F$7-$E$7)/($G$7-$E$7),$E$7+SQRT(Q1034*($G$7-$E$7)*($F$7-$E$7)),$G$7-SQRT((1-Q1034)*($G$7-$E$7)*($G$7-$F$7))))</f>
        <v>1</v>
      </c>
      <c r="D1034" s="37" t="n">
        <f aca="false">1+IF($G$8=$E$8,$F$8,IF(R1034&lt;($F$8-$E$8)/($G$8-$E$8),$E$8+SQRT(R1034*($G$8-$E$8)*($F$8-$E$8)),$G$8-SQRT((1-R1034)*($G$8-$E$8)*($G$8-$F$8))))</f>
        <v>1</v>
      </c>
      <c r="E1034" s="37" t="n">
        <f aca="false">1+IF($G$9=$E$9,$F$9,IF(S1034&lt;($F$9-$E$9)/($G$9-$E$9),$E$9+SQRT(S1034*($G$9-$E$9)*($F$9-$E$9)),$G$9-SQRT((1-S1034)*($G$9-$E$9)*($G$9-$F$9))))</f>
        <v>1</v>
      </c>
      <c r="F1034" s="37" t="n">
        <f aca="false">1+IF($G$10=$E$10,$F$10,IF(T1034&lt;($F$10-$E$10)/($G$10-$E$10),$E$10+SQRT(T1034*($G$10-$E$10)*($F$10-$E$10)),$G$10-SQRT((1-T1034)*($G$10-$E$10)*($G$10-$F$10))))</f>
        <v>1</v>
      </c>
      <c r="G1034" s="38" t="n">
        <f aca="false">IF($G$11=$E$11,$F$11,IF(U1034&lt;($F$11-$E$11)/($G$11-$E$11),$E$11+SQRT(U1034*($G$11-$E$11)*($F$11-$E$11)),$G$11-SQRT((1-U1034)*($G$11-$E$11)*($G$11-$F$11))))</f>
        <v>0</v>
      </c>
      <c r="H1034" s="39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0</v>
      </c>
      <c r="I1034" s="39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0</v>
      </c>
      <c r="J1034" s="39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0</v>
      </c>
      <c r="K1034" s="39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0</v>
      </c>
      <c r="L1034" s="39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0</v>
      </c>
      <c r="M1034" s="39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0</v>
      </c>
      <c r="N1034" s="39" t="str">
        <f aca="false">IF(COUNT('Business Case'!B11:G11)=0,"",H1034+NPV(G1034,I1034:M1034))</f>
        <v/>
      </c>
      <c r="P1034" s="40" t="n">
        <f aca="true">RAND()</f>
        <v>0.0307543579138394</v>
      </c>
      <c r="Q1034" s="40" t="n">
        <f aca="true">RAND()</f>
        <v>0.959545000494258</v>
      </c>
      <c r="R1034" s="40" t="n">
        <f aca="true">RAND()</f>
        <v>0.168009292584668</v>
      </c>
      <c r="S1034" s="40" t="n">
        <f aca="true">RAND()</f>
        <v>0.514866486899859</v>
      </c>
      <c r="T1034" s="40" t="n">
        <f aca="true">RAND()</f>
        <v>0.36805597784411</v>
      </c>
      <c r="U1034" s="40" t="n">
        <f aca="true">RAND()</f>
        <v>0.285097076395305</v>
      </c>
    </row>
    <row r="1035" customFormat="false" ht="15" hidden="false" customHeight="false" outlineLevel="0" collapsed="false">
      <c r="A1035" s="36" t="n">
        <v>955</v>
      </c>
      <c r="B1035" s="37" t="n">
        <f aca="false">1+IF($G$6=$E$6,$F$6,IF(P1035&lt;($F$6-$E$6)/($G$6-$E$6),$E$6+SQRT(P1035*($G$6-$E$6)*($F$6-$E$6)),$G$6-SQRT((1-P1035)*($G$6-$E$6)*($G$6-$F$6))))</f>
        <v>1</v>
      </c>
      <c r="C1035" s="37" t="n">
        <f aca="false">1+IF($G$7=$E$7,$F$7,IF(Q1035&lt;($F$7-$E$7)/($G$7-$E$7),$E$7+SQRT(Q1035*($G$7-$E$7)*($F$7-$E$7)),$G$7-SQRT((1-Q1035)*($G$7-$E$7)*($G$7-$F$7))))</f>
        <v>1</v>
      </c>
      <c r="D1035" s="37" t="n">
        <f aca="false">1+IF($G$8=$E$8,$F$8,IF(R1035&lt;($F$8-$E$8)/($G$8-$E$8),$E$8+SQRT(R1035*($G$8-$E$8)*($F$8-$E$8)),$G$8-SQRT((1-R1035)*($G$8-$E$8)*($G$8-$F$8))))</f>
        <v>1</v>
      </c>
      <c r="E1035" s="37" t="n">
        <f aca="false">1+IF($G$9=$E$9,$F$9,IF(S1035&lt;($F$9-$E$9)/($G$9-$E$9),$E$9+SQRT(S1035*($G$9-$E$9)*($F$9-$E$9)),$G$9-SQRT((1-S1035)*($G$9-$E$9)*($G$9-$F$9))))</f>
        <v>1</v>
      </c>
      <c r="F1035" s="37" t="n">
        <f aca="false">1+IF($G$10=$E$10,$F$10,IF(T1035&lt;($F$10-$E$10)/($G$10-$E$10),$E$10+SQRT(T1035*($G$10-$E$10)*($F$10-$E$10)),$G$10-SQRT((1-T1035)*($G$10-$E$10)*($G$10-$F$10))))</f>
        <v>1</v>
      </c>
      <c r="G1035" s="38" t="n">
        <f aca="false">IF($G$11=$E$11,$F$11,IF(U1035&lt;($F$11-$E$11)/($G$11-$E$11),$E$11+SQRT(U1035*($G$11-$E$11)*($F$11-$E$11)),$G$11-SQRT((1-U1035)*($G$11-$E$11)*($G$11-$F$11))))</f>
        <v>0</v>
      </c>
      <c r="H1035" s="39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0</v>
      </c>
      <c r="I1035" s="39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0</v>
      </c>
      <c r="J1035" s="39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0</v>
      </c>
      <c r="K1035" s="39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0</v>
      </c>
      <c r="L1035" s="39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0</v>
      </c>
      <c r="M1035" s="39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0</v>
      </c>
      <c r="N1035" s="39" t="str">
        <f aca="false">IF(COUNT('Business Case'!B11:G11)=0,"",H1035+NPV(G1035,I1035:M1035))</f>
        <v/>
      </c>
      <c r="P1035" s="40" t="n">
        <f aca="true">RAND()</f>
        <v>0.639863868042094</v>
      </c>
      <c r="Q1035" s="40" t="n">
        <f aca="true">RAND()</f>
        <v>0.829348365761689</v>
      </c>
      <c r="R1035" s="40" t="n">
        <f aca="true">RAND()</f>
        <v>0.419127197491378</v>
      </c>
      <c r="S1035" s="40" t="n">
        <f aca="true">RAND()</f>
        <v>0.458770138218359</v>
      </c>
      <c r="T1035" s="40" t="n">
        <f aca="true">RAND()</f>
        <v>0.3630458828149</v>
      </c>
      <c r="U1035" s="40" t="n">
        <f aca="true">RAND()</f>
        <v>0.959491545441903</v>
      </c>
    </row>
    <row r="1036" customFormat="false" ht="15" hidden="false" customHeight="false" outlineLevel="0" collapsed="false">
      <c r="A1036" s="36" t="n">
        <v>956</v>
      </c>
      <c r="B1036" s="37" t="n">
        <f aca="false">1+IF($G$6=$E$6,$F$6,IF(P1036&lt;($F$6-$E$6)/($G$6-$E$6),$E$6+SQRT(P1036*($G$6-$E$6)*($F$6-$E$6)),$G$6-SQRT((1-P1036)*($G$6-$E$6)*($G$6-$F$6))))</f>
        <v>1</v>
      </c>
      <c r="C1036" s="37" t="n">
        <f aca="false">1+IF($G$7=$E$7,$F$7,IF(Q1036&lt;($F$7-$E$7)/($G$7-$E$7),$E$7+SQRT(Q1036*($G$7-$E$7)*($F$7-$E$7)),$G$7-SQRT((1-Q1036)*($G$7-$E$7)*($G$7-$F$7))))</f>
        <v>1</v>
      </c>
      <c r="D1036" s="37" t="n">
        <f aca="false">1+IF($G$8=$E$8,$F$8,IF(R1036&lt;($F$8-$E$8)/($G$8-$E$8),$E$8+SQRT(R1036*($G$8-$E$8)*($F$8-$E$8)),$G$8-SQRT((1-R1036)*($G$8-$E$8)*($G$8-$F$8))))</f>
        <v>1</v>
      </c>
      <c r="E1036" s="37" t="n">
        <f aca="false">1+IF($G$9=$E$9,$F$9,IF(S1036&lt;($F$9-$E$9)/($G$9-$E$9),$E$9+SQRT(S1036*($G$9-$E$9)*($F$9-$E$9)),$G$9-SQRT((1-S1036)*($G$9-$E$9)*($G$9-$F$9))))</f>
        <v>1</v>
      </c>
      <c r="F1036" s="37" t="n">
        <f aca="false">1+IF($G$10=$E$10,$F$10,IF(T1036&lt;($F$10-$E$10)/($G$10-$E$10),$E$10+SQRT(T1036*($G$10-$E$10)*($F$10-$E$10)),$G$10-SQRT((1-T1036)*($G$10-$E$10)*($G$10-$F$10))))</f>
        <v>1</v>
      </c>
      <c r="G1036" s="38" t="n">
        <f aca="false">IF($G$11=$E$11,$F$11,IF(U1036&lt;($F$11-$E$11)/($G$11-$E$11),$E$11+SQRT(U1036*($G$11-$E$11)*($F$11-$E$11)),$G$11-SQRT((1-U1036)*($G$11-$E$11)*($G$11-$F$11))))</f>
        <v>0</v>
      </c>
      <c r="H1036" s="39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0</v>
      </c>
      <c r="I1036" s="39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0</v>
      </c>
      <c r="J1036" s="39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0</v>
      </c>
      <c r="K1036" s="39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0</v>
      </c>
      <c r="L1036" s="39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0</v>
      </c>
      <c r="M1036" s="39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0</v>
      </c>
      <c r="N1036" s="39" t="str">
        <f aca="false">IF(COUNT('Business Case'!B11:G11)=0,"",H1036+NPV(G1036,I1036:M1036))</f>
        <v/>
      </c>
      <c r="P1036" s="40" t="n">
        <f aca="true">RAND()</f>
        <v>0.41536679972552</v>
      </c>
      <c r="Q1036" s="40" t="n">
        <f aca="true">RAND()</f>
        <v>0.765422631570671</v>
      </c>
      <c r="R1036" s="40" t="n">
        <f aca="true">RAND()</f>
        <v>0.0107761753238891</v>
      </c>
      <c r="S1036" s="40" t="n">
        <f aca="true">RAND()</f>
        <v>0.942329794193785</v>
      </c>
      <c r="T1036" s="40" t="n">
        <f aca="true">RAND()</f>
        <v>0.804478068933138</v>
      </c>
      <c r="U1036" s="40" t="n">
        <f aca="true">RAND()</f>
        <v>0.98261069411808</v>
      </c>
    </row>
    <row r="1037" customFormat="false" ht="15" hidden="false" customHeight="false" outlineLevel="0" collapsed="false">
      <c r="A1037" s="36" t="n">
        <v>957</v>
      </c>
      <c r="B1037" s="37" t="n">
        <f aca="false">1+IF($G$6=$E$6,$F$6,IF(P1037&lt;($F$6-$E$6)/($G$6-$E$6),$E$6+SQRT(P1037*($G$6-$E$6)*($F$6-$E$6)),$G$6-SQRT((1-P1037)*($G$6-$E$6)*($G$6-$F$6))))</f>
        <v>1</v>
      </c>
      <c r="C1037" s="37" t="n">
        <f aca="false">1+IF($G$7=$E$7,$F$7,IF(Q1037&lt;($F$7-$E$7)/($G$7-$E$7),$E$7+SQRT(Q1037*($G$7-$E$7)*($F$7-$E$7)),$G$7-SQRT((1-Q1037)*($G$7-$E$7)*($G$7-$F$7))))</f>
        <v>1</v>
      </c>
      <c r="D1037" s="37" t="n">
        <f aca="false">1+IF($G$8=$E$8,$F$8,IF(R1037&lt;($F$8-$E$8)/($G$8-$E$8),$E$8+SQRT(R1037*($G$8-$E$8)*($F$8-$E$8)),$G$8-SQRT((1-R1037)*($G$8-$E$8)*($G$8-$F$8))))</f>
        <v>1</v>
      </c>
      <c r="E1037" s="37" t="n">
        <f aca="false">1+IF($G$9=$E$9,$F$9,IF(S1037&lt;($F$9-$E$9)/($G$9-$E$9),$E$9+SQRT(S1037*($G$9-$E$9)*($F$9-$E$9)),$G$9-SQRT((1-S1037)*($G$9-$E$9)*($G$9-$F$9))))</f>
        <v>1</v>
      </c>
      <c r="F1037" s="37" t="n">
        <f aca="false">1+IF($G$10=$E$10,$F$10,IF(T1037&lt;($F$10-$E$10)/($G$10-$E$10),$E$10+SQRT(T1037*($G$10-$E$10)*($F$10-$E$10)),$G$10-SQRT((1-T1037)*($G$10-$E$10)*($G$10-$F$10))))</f>
        <v>1</v>
      </c>
      <c r="G1037" s="38" t="n">
        <f aca="false">IF($G$11=$E$11,$F$11,IF(U1037&lt;($F$11-$E$11)/($G$11-$E$11),$E$11+SQRT(U1037*($G$11-$E$11)*($F$11-$E$11)),$G$11-SQRT((1-U1037)*($G$11-$E$11)*($G$11-$F$11))))</f>
        <v>0</v>
      </c>
      <c r="H1037" s="39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0</v>
      </c>
      <c r="I1037" s="39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0</v>
      </c>
      <c r="J1037" s="39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0</v>
      </c>
      <c r="K1037" s="39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0</v>
      </c>
      <c r="L1037" s="39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0</v>
      </c>
      <c r="M1037" s="39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0</v>
      </c>
      <c r="N1037" s="39" t="str">
        <f aca="false">IF(COUNT('Business Case'!B11:G11)=0,"",H1037+NPV(G1037,I1037:M1037))</f>
        <v/>
      </c>
      <c r="P1037" s="40" t="n">
        <f aca="true">RAND()</f>
        <v>0.979634874992425</v>
      </c>
      <c r="Q1037" s="40" t="n">
        <f aca="true">RAND()</f>
        <v>0.739225891407698</v>
      </c>
      <c r="R1037" s="40" t="n">
        <f aca="true">RAND()</f>
        <v>0.056559692521521</v>
      </c>
      <c r="S1037" s="40" t="n">
        <f aca="true">RAND()</f>
        <v>0.516630662466476</v>
      </c>
      <c r="T1037" s="40" t="n">
        <f aca="true">RAND()</f>
        <v>0.657289378584322</v>
      </c>
      <c r="U1037" s="40" t="n">
        <f aca="true">RAND()</f>
        <v>0.972087469107915</v>
      </c>
    </row>
    <row r="1038" customFormat="false" ht="15" hidden="false" customHeight="false" outlineLevel="0" collapsed="false">
      <c r="A1038" s="36" t="n">
        <v>958</v>
      </c>
      <c r="B1038" s="37" t="n">
        <f aca="false">1+IF($G$6=$E$6,$F$6,IF(P1038&lt;($F$6-$E$6)/($G$6-$E$6),$E$6+SQRT(P1038*($G$6-$E$6)*($F$6-$E$6)),$G$6-SQRT((1-P1038)*($G$6-$E$6)*($G$6-$F$6))))</f>
        <v>1</v>
      </c>
      <c r="C1038" s="37" t="n">
        <f aca="false">1+IF($G$7=$E$7,$F$7,IF(Q1038&lt;($F$7-$E$7)/($G$7-$E$7),$E$7+SQRT(Q1038*($G$7-$E$7)*($F$7-$E$7)),$G$7-SQRT((1-Q1038)*($G$7-$E$7)*($G$7-$F$7))))</f>
        <v>1</v>
      </c>
      <c r="D1038" s="37" t="n">
        <f aca="false">1+IF($G$8=$E$8,$F$8,IF(R1038&lt;($F$8-$E$8)/($G$8-$E$8),$E$8+SQRT(R1038*($G$8-$E$8)*($F$8-$E$8)),$G$8-SQRT((1-R1038)*($G$8-$E$8)*($G$8-$F$8))))</f>
        <v>1</v>
      </c>
      <c r="E1038" s="37" t="n">
        <f aca="false">1+IF($G$9=$E$9,$F$9,IF(S1038&lt;($F$9-$E$9)/($G$9-$E$9),$E$9+SQRT(S1038*($G$9-$E$9)*($F$9-$E$9)),$G$9-SQRT((1-S1038)*($G$9-$E$9)*($G$9-$F$9))))</f>
        <v>1</v>
      </c>
      <c r="F1038" s="37" t="n">
        <f aca="false">1+IF($G$10=$E$10,$F$10,IF(T1038&lt;($F$10-$E$10)/($G$10-$E$10),$E$10+SQRT(T1038*($G$10-$E$10)*($F$10-$E$10)),$G$10-SQRT((1-T1038)*($G$10-$E$10)*($G$10-$F$10))))</f>
        <v>1</v>
      </c>
      <c r="G1038" s="38" t="n">
        <f aca="false">IF($G$11=$E$11,$F$11,IF(U1038&lt;($F$11-$E$11)/($G$11-$E$11),$E$11+SQRT(U1038*($G$11-$E$11)*($F$11-$E$11)),$G$11-SQRT((1-U1038)*($G$11-$E$11)*($G$11-$F$11))))</f>
        <v>0</v>
      </c>
      <c r="H1038" s="39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0</v>
      </c>
      <c r="I1038" s="39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0</v>
      </c>
      <c r="J1038" s="39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0</v>
      </c>
      <c r="K1038" s="39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0</v>
      </c>
      <c r="L1038" s="39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0</v>
      </c>
      <c r="M1038" s="39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0</v>
      </c>
      <c r="N1038" s="39" t="str">
        <f aca="false">IF(COUNT('Business Case'!B11:G11)=0,"",H1038+NPV(G1038,I1038:M1038))</f>
        <v/>
      </c>
      <c r="P1038" s="40" t="n">
        <f aca="true">RAND()</f>
        <v>0.949969244513595</v>
      </c>
      <c r="Q1038" s="40" t="n">
        <f aca="true">RAND()</f>
        <v>0.0668631015714839</v>
      </c>
      <c r="R1038" s="40" t="n">
        <f aca="true">RAND()</f>
        <v>0.916594650897461</v>
      </c>
      <c r="S1038" s="40" t="n">
        <f aca="true">RAND()</f>
        <v>0.578395165004105</v>
      </c>
      <c r="T1038" s="40" t="n">
        <f aca="true">RAND()</f>
        <v>0.176342362119531</v>
      </c>
      <c r="U1038" s="40" t="n">
        <f aca="true">RAND()</f>
        <v>0.419764992205598</v>
      </c>
    </row>
    <row r="1039" customFormat="false" ht="15" hidden="false" customHeight="false" outlineLevel="0" collapsed="false">
      <c r="A1039" s="36" t="n">
        <v>959</v>
      </c>
      <c r="B1039" s="37" t="n">
        <f aca="false">1+IF($G$6=$E$6,$F$6,IF(P1039&lt;($F$6-$E$6)/($G$6-$E$6),$E$6+SQRT(P1039*($G$6-$E$6)*($F$6-$E$6)),$G$6-SQRT((1-P1039)*($G$6-$E$6)*($G$6-$F$6))))</f>
        <v>1</v>
      </c>
      <c r="C1039" s="37" t="n">
        <f aca="false">1+IF($G$7=$E$7,$F$7,IF(Q1039&lt;($F$7-$E$7)/($G$7-$E$7),$E$7+SQRT(Q1039*($G$7-$E$7)*($F$7-$E$7)),$G$7-SQRT((1-Q1039)*($G$7-$E$7)*($G$7-$F$7))))</f>
        <v>1</v>
      </c>
      <c r="D1039" s="37" t="n">
        <f aca="false">1+IF($G$8=$E$8,$F$8,IF(R1039&lt;($F$8-$E$8)/($G$8-$E$8),$E$8+SQRT(R1039*($G$8-$E$8)*($F$8-$E$8)),$G$8-SQRT((1-R1039)*($G$8-$E$8)*($G$8-$F$8))))</f>
        <v>1</v>
      </c>
      <c r="E1039" s="37" t="n">
        <f aca="false">1+IF($G$9=$E$9,$F$9,IF(S1039&lt;($F$9-$E$9)/($G$9-$E$9),$E$9+SQRT(S1039*($G$9-$E$9)*($F$9-$E$9)),$G$9-SQRT((1-S1039)*($G$9-$E$9)*($G$9-$F$9))))</f>
        <v>1</v>
      </c>
      <c r="F1039" s="37" t="n">
        <f aca="false">1+IF($G$10=$E$10,$F$10,IF(T1039&lt;($F$10-$E$10)/($G$10-$E$10),$E$10+SQRT(T1039*($G$10-$E$10)*($F$10-$E$10)),$G$10-SQRT((1-T1039)*($G$10-$E$10)*($G$10-$F$10))))</f>
        <v>1</v>
      </c>
      <c r="G1039" s="38" t="n">
        <f aca="false">IF($G$11=$E$11,$F$11,IF(U1039&lt;($F$11-$E$11)/($G$11-$E$11),$E$11+SQRT(U1039*($G$11-$E$11)*($F$11-$E$11)),$G$11-SQRT((1-U1039)*($G$11-$E$11)*($G$11-$F$11))))</f>
        <v>0</v>
      </c>
      <c r="H1039" s="39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0</v>
      </c>
      <c r="I1039" s="39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0</v>
      </c>
      <c r="J1039" s="39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0</v>
      </c>
      <c r="K1039" s="39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0</v>
      </c>
      <c r="L1039" s="39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0</v>
      </c>
      <c r="M1039" s="39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0</v>
      </c>
      <c r="N1039" s="39" t="str">
        <f aca="false">IF(COUNT('Business Case'!B11:G11)=0,"",H1039+NPV(G1039,I1039:M1039))</f>
        <v/>
      </c>
      <c r="P1039" s="40" t="n">
        <f aca="true">RAND()</f>
        <v>0.472730505380215</v>
      </c>
      <c r="Q1039" s="40" t="n">
        <f aca="true">RAND()</f>
        <v>0.715454974518549</v>
      </c>
      <c r="R1039" s="40" t="n">
        <f aca="true">RAND()</f>
        <v>0.406687680312528</v>
      </c>
      <c r="S1039" s="40" t="n">
        <f aca="true">RAND()</f>
        <v>0.293160544006864</v>
      </c>
      <c r="T1039" s="40" t="n">
        <f aca="true">RAND()</f>
        <v>0.768549744656353</v>
      </c>
      <c r="U1039" s="40" t="n">
        <f aca="true">RAND()</f>
        <v>0.270164414657676</v>
      </c>
    </row>
    <row r="1040" customFormat="false" ht="15" hidden="false" customHeight="false" outlineLevel="0" collapsed="false">
      <c r="A1040" s="36" t="n">
        <v>960</v>
      </c>
      <c r="B1040" s="37" t="n">
        <f aca="false">1+IF($G$6=$E$6,$F$6,IF(P1040&lt;($F$6-$E$6)/($G$6-$E$6),$E$6+SQRT(P1040*($G$6-$E$6)*($F$6-$E$6)),$G$6-SQRT((1-P1040)*($G$6-$E$6)*($G$6-$F$6))))</f>
        <v>1</v>
      </c>
      <c r="C1040" s="37" t="n">
        <f aca="false">1+IF($G$7=$E$7,$F$7,IF(Q1040&lt;($F$7-$E$7)/($G$7-$E$7),$E$7+SQRT(Q1040*($G$7-$E$7)*($F$7-$E$7)),$G$7-SQRT((1-Q1040)*($G$7-$E$7)*($G$7-$F$7))))</f>
        <v>1</v>
      </c>
      <c r="D1040" s="37" t="n">
        <f aca="false">1+IF($G$8=$E$8,$F$8,IF(R1040&lt;($F$8-$E$8)/($G$8-$E$8),$E$8+SQRT(R1040*($G$8-$E$8)*($F$8-$E$8)),$G$8-SQRT((1-R1040)*($G$8-$E$8)*($G$8-$F$8))))</f>
        <v>1</v>
      </c>
      <c r="E1040" s="37" t="n">
        <f aca="false">1+IF($G$9=$E$9,$F$9,IF(S1040&lt;($F$9-$E$9)/($G$9-$E$9),$E$9+SQRT(S1040*($G$9-$E$9)*($F$9-$E$9)),$G$9-SQRT((1-S1040)*($G$9-$E$9)*($G$9-$F$9))))</f>
        <v>1</v>
      </c>
      <c r="F1040" s="37" t="n">
        <f aca="false">1+IF($G$10=$E$10,$F$10,IF(T1040&lt;($F$10-$E$10)/($G$10-$E$10),$E$10+SQRT(T1040*($G$10-$E$10)*($F$10-$E$10)),$G$10-SQRT((1-T1040)*($G$10-$E$10)*($G$10-$F$10))))</f>
        <v>1</v>
      </c>
      <c r="G1040" s="38" t="n">
        <f aca="false">IF($G$11=$E$11,$F$11,IF(U1040&lt;($F$11-$E$11)/($G$11-$E$11),$E$11+SQRT(U1040*($G$11-$E$11)*($F$11-$E$11)),$G$11-SQRT((1-U1040)*($G$11-$E$11)*($G$11-$F$11))))</f>
        <v>0</v>
      </c>
      <c r="H1040" s="39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0</v>
      </c>
      <c r="I1040" s="39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0</v>
      </c>
      <c r="J1040" s="39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0</v>
      </c>
      <c r="K1040" s="39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0</v>
      </c>
      <c r="L1040" s="39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0</v>
      </c>
      <c r="M1040" s="39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0</v>
      </c>
      <c r="N1040" s="39" t="str">
        <f aca="false">IF(COUNT('Business Case'!B11:G11)=0,"",H1040+NPV(G1040,I1040:M1040))</f>
        <v/>
      </c>
      <c r="P1040" s="40" t="n">
        <f aca="true">RAND()</f>
        <v>0.00635669699583629</v>
      </c>
      <c r="Q1040" s="40" t="n">
        <f aca="true">RAND()</f>
        <v>0.58951494440631</v>
      </c>
      <c r="R1040" s="40" t="n">
        <f aca="true">RAND()</f>
        <v>0.624761140450592</v>
      </c>
      <c r="S1040" s="40" t="n">
        <f aca="true">RAND()</f>
        <v>0.224754570580353</v>
      </c>
      <c r="T1040" s="40" t="n">
        <f aca="true">RAND()</f>
        <v>0.157693577366272</v>
      </c>
      <c r="U1040" s="40" t="n">
        <f aca="true">RAND()</f>
        <v>0.0765216759300659</v>
      </c>
    </row>
    <row r="1041" customFormat="false" ht="15" hidden="false" customHeight="false" outlineLevel="0" collapsed="false">
      <c r="A1041" s="36" t="n">
        <v>961</v>
      </c>
      <c r="B1041" s="37" t="n">
        <f aca="false">1+IF($G$6=$E$6,$F$6,IF(P1041&lt;($F$6-$E$6)/($G$6-$E$6),$E$6+SQRT(P1041*($G$6-$E$6)*($F$6-$E$6)),$G$6-SQRT((1-P1041)*($G$6-$E$6)*($G$6-$F$6))))</f>
        <v>1</v>
      </c>
      <c r="C1041" s="37" t="n">
        <f aca="false">1+IF($G$7=$E$7,$F$7,IF(Q1041&lt;($F$7-$E$7)/($G$7-$E$7),$E$7+SQRT(Q1041*($G$7-$E$7)*($F$7-$E$7)),$G$7-SQRT((1-Q1041)*($G$7-$E$7)*($G$7-$F$7))))</f>
        <v>1</v>
      </c>
      <c r="D1041" s="37" t="n">
        <f aca="false">1+IF($G$8=$E$8,$F$8,IF(R1041&lt;($F$8-$E$8)/($G$8-$E$8),$E$8+SQRT(R1041*($G$8-$E$8)*($F$8-$E$8)),$G$8-SQRT((1-R1041)*($G$8-$E$8)*($G$8-$F$8))))</f>
        <v>1</v>
      </c>
      <c r="E1041" s="37" t="n">
        <f aca="false">1+IF($G$9=$E$9,$F$9,IF(S1041&lt;($F$9-$E$9)/($G$9-$E$9),$E$9+SQRT(S1041*($G$9-$E$9)*($F$9-$E$9)),$G$9-SQRT((1-S1041)*($G$9-$E$9)*($G$9-$F$9))))</f>
        <v>1</v>
      </c>
      <c r="F1041" s="37" t="n">
        <f aca="false">1+IF($G$10=$E$10,$F$10,IF(T1041&lt;($F$10-$E$10)/($G$10-$E$10),$E$10+SQRT(T1041*($G$10-$E$10)*($F$10-$E$10)),$G$10-SQRT((1-T1041)*($G$10-$E$10)*($G$10-$F$10))))</f>
        <v>1</v>
      </c>
      <c r="G1041" s="38" t="n">
        <f aca="false">IF($G$11=$E$11,$F$11,IF(U1041&lt;($F$11-$E$11)/($G$11-$E$11),$E$11+SQRT(U1041*($G$11-$E$11)*($F$11-$E$11)),$G$11-SQRT((1-U1041)*($G$11-$E$11)*($G$11-$F$11))))</f>
        <v>0</v>
      </c>
      <c r="H1041" s="39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0</v>
      </c>
      <c r="I1041" s="39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0</v>
      </c>
      <c r="J1041" s="39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0</v>
      </c>
      <c r="K1041" s="39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0</v>
      </c>
      <c r="L1041" s="39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0</v>
      </c>
      <c r="M1041" s="39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0</v>
      </c>
      <c r="N1041" s="39" t="str">
        <f aca="false">IF(COUNT('Business Case'!B11:G11)=0,"",H1041+NPV(G1041,I1041:M1041))</f>
        <v/>
      </c>
      <c r="P1041" s="40" t="n">
        <f aca="true">RAND()</f>
        <v>0.308316727211978</v>
      </c>
      <c r="Q1041" s="40" t="n">
        <f aca="true">RAND()</f>
        <v>0.0956628221509151</v>
      </c>
      <c r="R1041" s="40" t="n">
        <f aca="true">RAND()</f>
        <v>0.297780102270936</v>
      </c>
      <c r="S1041" s="40" t="n">
        <f aca="true">RAND()</f>
        <v>0.835444539404657</v>
      </c>
      <c r="T1041" s="40" t="n">
        <f aca="true">RAND()</f>
        <v>0.774476093417959</v>
      </c>
      <c r="U1041" s="40" t="n">
        <f aca="true">RAND()</f>
        <v>0.439285835055555</v>
      </c>
    </row>
    <row r="1042" customFormat="false" ht="15" hidden="false" customHeight="false" outlineLevel="0" collapsed="false">
      <c r="A1042" s="36" t="n">
        <v>962</v>
      </c>
      <c r="B1042" s="37" t="n">
        <f aca="false">1+IF($G$6=$E$6,$F$6,IF(P1042&lt;($F$6-$E$6)/($G$6-$E$6),$E$6+SQRT(P1042*($G$6-$E$6)*($F$6-$E$6)),$G$6-SQRT((1-P1042)*($G$6-$E$6)*($G$6-$F$6))))</f>
        <v>1</v>
      </c>
      <c r="C1042" s="37" t="n">
        <f aca="false">1+IF($G$7=$E$7,$F$7,IF(Q1042&lt;($F$7-$E$7)/($G$7-$E$7),$E$7+SQRT(Q1042*($G$7-$E$7)*($F$7-$E$7)),$G$7-SQRT((1-Q1042)*($G$7-$E$7)*($G$7-$F$7))))</f>
        <v>1</v>
      </c>
      <c r="D1042" s="37" t="n">
        <f aca="false">1+IF($G$8=$E$8,$F$8,IF(R1042&lt;($F$8-$E$8)/($G$8-$E$8),$E$8+SQRT(R1042*($G$8-$E$8)*($F$8-$E$8)),$G$8-SQRT((1-R1042)*($G$8-$E$8)*($G$8-$F$8))))</f>
        <v>1</v>
      </c>
      <c r="E1042" s="37" t="n">
        <f aca="false">1+IF($G$9=$E$9,$F$9,IF(S1042&lt;($F$9-$E$9)/($G$9-$E$9),$E$9+SQRT(S1042*($G$9-$E$9)*($F$9-$E$9)),$G$9-SQRT((1-S1042)*($G$9-$E$9)*($G$9-$F$9))))</f>
        <v>1</v>
      </c>
      <c r="F1042" s="37" t="n">
        <f aca="false">1+IF($G$10=$E$10,$F$10,IF(T1042&lt;($F$10-$E$10)/($G$10-$E$10),$E$10+SQRT(T1042*($G$10-$E$10)*($F$10-$E$10)),$G$10-SQRT((1-T1042)*($G$10-$E$10)*($G$10-$F$10))))</f>
        <v>1</v>
      </c>
      <c r="G1042" s="38" t="n">
        <f aca="false">IF($G$11=$E$11,$F$11,IF(U1042&lt;($F$11-$E$11)/($G$11-$E$11),$E$11+SQRT(U1042*($G$11-$E$11)*($F$11-$E$11)),$G$11-SQRT((1-U1042)*($G$11-$E$11)*($G$11-$F$11))))</f>
        <v>0</v>
      </c>
      <c r="H1042" s="39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0</v>
      </c>
      <c r="I1042" s="39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0</v>
      </c>
      <c r="J1042" s="39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0</v>
      </c>
      <c r="K1042" s="39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0</v>
      </c>
      <c r="L1042" s="39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0</v>
      </c>
      <c r="M1042" s="39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0</v>
      </c>
      <c r="N1042" s="39" t="str">
        <f aca="false">IF(COUNT('Business Case'!B11:G11)=0,"",H1042+NPV(G1042,I1042:M1042))</f>
        <v/>
      </c>
      <c r="P1042" s="40" t="n">
        <f aca="true">RAND()</f>
        <v>0.832944570791014</v>
      </c>
      <c r="Q1042" s="40" t="n">
        <f aca="true">RAND()</f>
        <v>0.857299935369188</v>
      </c>
      <c r="R1042" s="40" t="n">
        <f aca="true">RAND()</f>
        <v>0.742609057421284</v>
      </c>
      <c r="S1042" s="40" t="n">
        <f aca="true">RAND()</f>
        <v>0.464743534333394</v>
      </c>
      <c r="T1042" s="40" t="n">
        <f aca="true">RAND()</f>
        <v>0.461325983468922</v>
      </c>
      <c r="U1042" s="40" t="n">
        <f aca="true">RAND()</f>
        <v>0.799731538969402</v>
      </c>
    </row>
    <row r="1043" customFormat="false" ht="15" hidden="false" customHeight="false" outlineLevel="0" collapsed="false">
      <c r="A1043" s="36" t="n">
        <v>963</v>
      </c>
      <c r="B1043" s="37" t="n">
        <f aca="false">1+IF($G$6=$E$6,$F$6,IF(P1043&lt;($F$6-$E$6)/($G$6-$E$6),$E$6+SQRT(P1043*($G$6-$E$6)*($F$6-$E$6)),$G$6-SQRT((1-P1043)*($G$6-$E$6)*($G$6-$F$6))))</f>
        <v>1</v>
      </c>
      <c r="C1043" s="37" t="n">
        <f aca="false">1+IF($G$7=$E$7,$F$7,IF(Q1043&lt;($F$7-$E$7)/($G$7-$E$7),$E$7+SQRT(Q1043*($G$7-$E$7)*($F$7-$E$7)),$G$7-SQRT((1-Q1043)*($G$7-$E$7)*($G$7-$F$7))))</f>
        <v>1</v>
      </c>
      <c r="D1043" s="37" t="n">
        <f aca="false">1+IF($G$8=$E$8,$F$8,IF(R1043&lt;($F$8-$E$8)/($G$8-$E$8),$E$8+SQRT(R1043*($G$8-$E$8)*($F$8-$E$8)),$G$8-SQRT((1-R1043)*($G$8-$E$8)*($G$8-$F$8))))</f>
        <v>1</v>
      </c>
      <c r="E1043" s="37" t="n">
        <f aca="false">1+IF($G$9=$E$9,$F$9,IF(S1043&lt;($F$9-$E$9)/($G$9-$E$9),$E$9+SQRT(S1043*($G$9-$E$9)*($F$9-$E$9)),$G$9-SQRT((1-S1043)*($G$9-$E$9)*($G$9-$F$9))))</f>
        <v>1</v>
      </c>
      <c r="F1043" s="37" t="n">
        <f aca="false">1+IF($G$10=$E$10,$F$10,IF(T1043&lt;($F$10-$E$10)/($G$10-$E$10),$E$10+SQRT(T1043*($G$10-$E$10)*($F$10-$E$10)),$G$10-SQRT((1-T1043)*($G$10-$E$10)*($G$10-$F$10))))</f>
        <v>1</v>
      </c>
      <c r="G1043" s="38" t="n">
        <f aca="false">IF($G$11=$E$11,$F$11,IF(U1043&lt;($F$11-$E$11)/($G$11-$E$11),$E$11+SQRT(U1043*($G$11-$E$11)*($F$11-$E$11)),$G$11-SQRT((1-U1043)*($G$11-$E$11)*($G$11-$F$11))))</f>
        <v>0</v>
      </c>
      <c r="H1043" s="39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0</v>
      </c>
      <c r="I1043" s="39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0</v>
      </c>
      <c r="J1043" s="39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0</v>
      </c>
      <c r="K1043" s="39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0</v>
      </c>
      <c r="L1043" s="39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0</v>
      </c>
      <c r="M1043" s="39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0</v>
      </c>
      <c r="N1043" s="39" t="str">
        <f aca="false">IF(COUNT('Business Case'!B11:G11)=0,"",H1043+NPV(G1043,I1043:M1043))</f>
        <v/>
      </c>
      <c r="P1043" s="40" t="n">
        <f aca="true">RAND()</f>
        <v>0.133909470264514</v>
      </c>
      <c r="Q1043" s="40" t="n">
        <f aca="true">RAND()</f>
        <v>0.0316529264662777</v>
      </c>
      <c r="R1043" s="40" t="n">
        <f aca="true">RAND()</f>
        <v>0.829312685450904</v>
      </c>
      <c r="S1043" s="40" t="n">
        <f aca="true">RAND()</f>
        <v>0.865237835710931</v>
      </c>
      <c r="T1043" s="40" t="n">
        <f aca="true">RAND()</f>
        <v>0.989013220907778</v>
      </c>
      <c r="U1043" s="40" t="n">
        <f aca="true">RAND()</f>
        <v>0.346479525532617</v>
      </c>
    </row>
    <row r="1044" customFormat="false" ht="15" hidden="false" customHeight="false" outlineLevel="0" collapsed="false">
      <c r="A1044" s="36" t="n">
        <v>964</v>
      </c>
      <c r="B1044" s="37" t="n">
        <f aca="false">1+IF($G$6=$E$6,$F$6,IF(P1044&lt;($F$6-$E$6)/($G$6-$E$6),$E$6+SQRT(P1044*($G$6-$E$6)*($F$6-$E$6)),$G$6-SQRT((1-P1044)*($G$6-$E$6)*($G$6-$F$6))))</f>
        <v>1</v>
      </c>
      <c r="C1044" s="37" t="n">
        <f aca="false">1+IF($G$7=$E$7,$F$7,IF(Q1044&lt;($F$7-$E$7)/($G$7-$E$7),$E$7+SQRT(Q1044*($G$7-$E$7)*($F$7-$E$7)),$G$7-SQRT((1-Q1044)*($G$7-$E$7)*($G$7-$F$7))))</f>
        <v>1</v>
      </c>
      <c r="D1044" s="37" t="n">
        <f aca="false">1+IF($G$8=$E$8,$F$8,IF(R1044&lt;($F$8-$E$8)/($G$8-$E$8),$E$8+SQRT(R1044*($G$8-$E$8)*($F$8-$E$8)),$G$8-SQRT((1-R1044)*($G$8-$E$8)*($G$8-$F$8))))</f>
        <v>1</v>
      </c>
      <c r="E1044" s="37" t="n">
        <f aca="false">1+IF($G$9=$E$9,$F$9,IF(S1044&lt;($F$9-$E$9)/($G$9-$E$9),$E$9+SQRT(S1044*($G$9-$E$9)*($F$9-$E$9)),$G$9-SQRT((1-S1044)*($G$9-$E$9)*($G$9-$F$9))))</f>
        <v>1</v>
      </c>
      <c r="F1044" s="37" t="n">
        <f aca="false">1+IF($G$10=$E$10,$F$10,IF(T1044&lt;($F$10-$E$10)/($G$10-$E$10),$E$10+SQRT(T1044*($G$10-$E$10)*($F$10-$E$10)),$G$10-SQRT((1-T1044)*($G$10-$E$10)*($G$10-$F$10))))</f>
        <v>1</v>
      </c>
      <c r="G1044" s="38" t="n">
        <f aca="false">IF($G$11=$E$11,$F$11,IF(U1044&lt;($F$11-$E$11)/($G$11-$E$11),$E$11+SQRT(U1044*($G$11-$E$11)*($F$11-$E$11)),$G$11-SQRT((1-U1044)*($G$11-$E$11)*($G$11-$F$11))))</f>
        <v>0</v>
      </c>
      <c r="H1044" s="39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0</v>
      </c>
      <c r="I1044" s="39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0</v>
      </c>
      <c r="J1044" s="39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0</v>
      </c>
      <c r="K1044" s="39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0</v>
      </c>
      <c r="L1044" s="39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0</v>
      </c>
      <c r="M1044" s="39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0</v>
      </c>
      <c r="N1044" s="39" t="str">
        <f aca="false">IF(COUNT('Business Case'!B11:G11)=0,"",H1044+NPV(G1044,I1044:M1044))</f>
        <v/>
      </c>
      <c r="P1044" s="40" t="n">
        <f aca="true">RAND()</f>
        <v>0.312543508866318</v>
      </c>
      <c r="Q1044" s="40" t="n">
        <f aca="true">RAND()</f>
        <v>0.89711792485185</v>
      </c>
      <c r="R1044" s="40" t="n">
        <f aca="true">RAND()</f>
        <v>0.490501320291915</v>
      </c>
      <c r="S1044" s="40" t="n">
        <f aca="true">RAND()</f>
        <v>0.51275769421005</v>
      </c>
      <c r="T1044" s="40" t="n">
        <f aca="true">RAND()</f>
        <v>0.874042168858339</v>
      </c>
      <c r="U1044" s="40" t="n">
        <f aca="true">RAND()</f>
        <v>0.591797576049598</v>
      </c>
    </row>
    <row r="1045" customFormat="false" ht="15" hidden="false" customHeight="false" outlineLevel="0" collapsed="false">
      <c r="A1045" s="36" t="n">
        <v>965</v>
      </c>
      <c r="B1045" s="37" t="n">
        <f aca="false">1+IF($G$6=$E$6,$F$6,IF(P1045&lt;($F$6-$E$6)/($G$6-$E$6),$E$6+SQRT(P1045*($G$6-$E$6)*($F$6-$E$6)),$G$6-SQRT((1-P1045)*($G$6-$E$6)*($G$6-$F$6))))</f>
        <v>1</v>
      </c>
      <c r="C1045" s="37" t="n">
        <f aca="false">1+IF($G$7=$E$7,$F$7,IF(Q1045&lt;($F$7-$E$7)/($G$7-$E$7),$E$7+SQRT(Q1045*($G$7-$E$7)*($F$7-$E$7)),$G$7-SQRT((1-Q1045)*($G$7-$E$7)*($G$7-$F$7))))</f>
        <v>1</v>
      </c>
      <c r="D1045" s="37" t="n">
        <f aca="false">1+IF($G$8=$E$8,$F$8,IF(R1045&lt;($F$8-$E$8)/($G$8-$E$8),$E$8+SQRT(R1045*($G$8-$E$8)*($F$8-$E$8)),$G$8-SQRT((1-R1045)*($G$8-$E$8)*($G$8-$F$8))))</f>
        <v>1</v>
      </c>
      <c r="E1045" s="37" t="n">
        <f aca="false">1+IF($G$9=$E$9,$F$9,IF(S1045&lt;($F$9-$E$9)/($G$9-$E$9),$E$9+SQRT(S1045*($G$9-$E$9)*($F$9-$E$9)),$G$9-SQRT((1-S1045)*($G$9-$E$9)*($G$9-$F$9))))</f>
        <v>1</v>
      </c>
      <c r="F1045" s="37" t="n">
        <f aca="false">1+IF($G$10=$E$10,$F$10,IF(T1045&lt;($F$10-$E$10)/($G$10-$E$10),$E$10+SQRT(T1045*($G$10-$E$10)*($F$10-$E$10)),$G$10-SQRT((1-T1045)*($G$10-$E$10)*($G$10-$F$10))))</f>
        <v>1</v>
      </c>
      <c r="G1045" s="38" t="n">
        <f aca="false">IF($G$11=$E$11,$F$11,IF(U1045&lt;($F$11-$E$11)/($G$11-$E$11),$E$11+SQRT(U1045*($G$11-$E$11)*($F$11-$E$11)),$G$11-SQRT((1-U1045)*($G$11-$E$11)*($G$11-$F$11))))</f>
        <v>0</v>
      </c>
      <c r="H1045" s="39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0</v>
      </c>
      <c r="I1045" s="39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0</v>
      </c>
      <c r="J1045" s="39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0</v>
      </c>
      <c r="K1045" s="39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0</v>
      </c>
      <c r="L1045" s="39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0</v>
      </c>
      <c r="M1045" s="39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0</v>
      </c>
      <c r="N1045" s="39" t="str">
        <f aca="false">IF(COUNT('Business Case'!B11:G11)=0,"",H1045+NPV(G1045,I1045:M1045))</f>
        <v/>
      </c>
      <c r="P1045" s="40" t="n">
        <f aca="true">RAND()</f>
        <v>0.700381126925644</v>
      </c>
      <c r="Q1045" s="40" t="n">
        <f aca="true">RAND()</f>
        <v>0.294904598439684</v>
      </c>
      <c r="R1045" s="40" t="n">
        <f aca="true">RAND()</f>
        <v>0.743479247810362</v>
      </c>
      <c r="S1045" s="40" t="n">
        <f aca="true">RAND()</f>
        <v>0.858932596091513</v>
      </c>
      <c r="T1045" s="40" t="n">
        <f aca="true">RAND()</f>
        <v>0.21653657952077</v>
      </c>
      <c r="U1045" s="40" t="n">
        <f aca="true">RAND()</f>
        <v>0.205686920081888</v>
      </c>
    </row>
    <row r="1046" customFormat="false" ht="15" hidden="false" customHeight="false" outlineLevel="0" collapsed="false">
      <c r="A1046" s="36" t="n">
        <v>966</v>
      </c>
      <c r="B1046" s="37" t="n">
        <f aca="false">1+IF($G$6=$E$6,$F$6,IF(P1046&lt;($F$6-$E$6)/($G$6-$E$6),$E$6+SQRT(P1046*($G$6-$E$6)*($F$6-$E$6)),$G$6-SQRT((1-P1046)*($G$6-$E$6)*($G$6-$F$6))))</f>
        <v>1</v>
      </c>
      <c r="C1046" s="37" t="n">
        <f aca="false">1+IF($G$7=$E$7,$F$7,IF(Q1046&lt;($F$7-$E$7)/($G$7-$E$7),$E$7+SQRT(Q1046*($G$7-$E$7)*($F$7-$E$7)),$G$7-SQRT((1-Q1046)*($G$7-$E$7)*($G$7-$F$7))))</f>
        <v>1</v>
      </c>
      <c r="D1046" s="37" t="n">
        <f aca="false">1+IF($G$8=$E$8,$F$8,IF(R1046&lt;($F$8-$E$8)/($G$8-$E$8),$E$8+SQRT(R1046*($G$8-$E$8)*($F$8-$E$8)),$G$8-SQRT((1-R1046)*($G$8-$E$8)*($G$8-$F$8))))</f>
        <v>1</v>
      </c>
      <c r="E1046" s="37" t="n">
        <f aca="false">1+IF($G$9=$E$9,$F$9,IF(S1046&lt;($F$9-$E$9)/($G$9-$E$9),$E$9+SQRT(S1046*($G$9-$E$9)*($F$9-$E$9)),$G$9-SQRT((1-S1046)*($G$9-$E$9)*($G$9-$F$9))))</f>
        <v>1</v>
      </c>
      <c r="F1046" s="37" t="n">
        <f aca="false">1+IF($G$10=$E$10,$F$10,IF(T1046&lt;($F$10-$E$10)/($G$10-$E$10),$E$10+SQRT(T1046*($G$10-$E$10)*($F$10-$E$10)),$G$10-SQRT((1-T1046)*($G$10-$E$10)*($G$10-$F$10))))</f>
        <v>1</v>
      </c>
      <c r="G1046" s="38" t="n">
        <f aca="false">IF($G$11=$E$11,$F$11,IF(U1046&lt;($F$11-$E$11)/($G$11-$E$11),$E$11+SQRT(U1046*($G$11-$E$11)*($F$11-$E$11)),$G$11-SQRT((1-U1046)*($G$11-$E$11)*($G$11-$F$11))))</f>
        <v>0</v>
      </c>
      <c r="H1046" s="39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0</v>
      </c>
      <c r="I1046" s="39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0</v>
      </c>
      <c r="J1046" s="39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0</v>
      </c>
      <c r="K1046" s="39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0</v>
      </c>
      <c r="L1046" s="39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0</v>
      </c>
      <c r="M1046" s="39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0</v>
      </c>
      <c r="N1046" s="39" t="str">
        <f aca="false">IF(COUNT('Business Case'!B11:G11)=0,"",H1046+NPV(G1046,I1046:M1046))</f>
        <v/>
      </c>
      <c r="P1046" s="40" t="n">
        <f aca="true">RAND()</f>
        <v>0.139274133874726</v>
      </c>
      <c r="Q1046" s="40" t="n">
        <f aca="true">RAND()</f>
        <v>0.560425580808532</v>
      </c>
      <c r="R1046" s="40" t="n">
        <f aca="true">RAND()</f>
        <v>0.728020945214372</v>
      </c>
      <c r="S1046" s="40" t="n">
        <f aca="true">RAND()</f>
        <v>0.0689628315318974</v>
      </c>
      <c r="T1046" s="40" t="n">
        <f aca="true">RAND()</f>
        <v>0.668381747182571</v>
      </c>
      <c r="U1046" s="40" t="n">
        <f aca="true">RAND()</f>
        <v>0.364532251493417</v>
      </c>
    </row>
    <row r="1047" customFormat="false" ht="15" hidden="false" customHeight="false" outlineLevel="0" collapsed="false">
      <c r="A1047" s="36" t="n">
        <v>967</v>
      </c>
      <c r="B1047" s="37" t="n">
        <f aca="false">1+IF($G$6=$E$6,$F$6,IF(P1047&lt;($F$6-$E$6)/($G$6-$E$6),$E$6+SQRT(P1047*($G$6-$E$6)*($F$6-$E$6)),$G$6-SQRT((1-P1047)*($G$6-$E$6)*($G$6-$F$6))))</f>
        <v>1</v>
      </c>
      <c r="C1047" s="37" t="n">
        <f aca="false">1+IF($G$7=$E$7,$F$7,IF(Q1047&lt;($F$7-$E$7)/($G$7-$E$7),$E$7+SQRT(Q1047*($G$7-$E$7)*($F$7-$E$7)),$G$7-SQRT((1-Q1047)*($G$7-$E$7)*($G$7-$F$7))))</f>
        <v>1</v>
      </c>
      <c r="D1047" s="37" t="n">
        <f aca="false">1+IF($G$8=$E$8,$F$8,IF(R1047&lt;($F$8-$E$8)/($G$8-$E$8),$E$8+SQRT(R1047*($G$8-$E$8)*($F$8-$E$8)),$G$8-SQRT((1-R1047)*($G$8-$E$8)*($G$8-$F$8))))</f>
        <v>1</v>
      </c>
      <c r="E1047" s="37" t="n">
        <f aca="false">1+IF($G$9=$E$9,$F$9,IF(S1047&lt;($F$9-$E$9)/($G$9-$E$9),$E$9+SQRT(S1047*($G$9-$E$9)*($F$9-$E$9)),$G$9-SQRT((1-S1047)*($G$9-$E$9)*($G$9-$F$9))))</f>
        <v>1</v>
      </c>
      <c r="F1047" s="37" t="n">
        <f aca="false">1+IF($G$10=$E$10,$F$10,IF(T1047&lt;($F$10-$E$10)/($G$10-$E$10),$E$10+SQRT(T1047*($G$10-$E$10)*($F$10-$E$10)),$G$10-SQRT((1-T1047)*($G$10-$E$10)*($G$10-$F$10))))</f>
        <v>1</v>
      </c>
      <c r="G1047" s="38" t="n">
        <f aca="false">IF($G$11=$E$11,$F$11,IF(U1047&lt;($F$11-$E$11)/($G$11-$E$11),$E$11+SQRT(U1047*($G$11-$E$11)*($F$11-$E$11)),$G$11-SQRT((1-U1047)*($G$11-$E$11)*($G$11-$F$11))))</f>
        <v>0</v>
      </c>
      <c r="H1047" s="39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0</v>
      </c>
      <c r="I1047" s="39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0</v>
      </c>
      <c r="J1047" s="39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0</v>
      </c>
      <c r="K1047" s="39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0</v>
      </c>
      <c r="L1047" s="39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0</v>
      </c>
      <c r="M1047" s="39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0</v>
      </c>
      <c r="N1047" s="39" t="str">
        <f aca="false">IF(COUNT('Business Case'!B11:G11)=0,"",H1047+NPV(G1047,I1047:M1047))</f>
        <v/>
      </c>
      <c r="P1047" s="40" t="n">
        <f aca="true">RAND()</f>
        <v>0.166101906035207</v>
      </c>
      <c r="Q1047" s="40" t="n">
        <f aca="true">RAND()</f>
        <v>0.166716437197235</v>
      </c>
      <c r="R1047" s="40" t="n">
        <f aca="true">RAND()</f>
        <v>0.93620925790842</v>
      </c>
      <c r="S1047" s="40" t="n">
        <f aca="true">RAND()</f>
        <v>0.480430968567543</v>
      </c>
      <c r="T1047" s="40" t="n">
        <f aca="true">RAND()</f>
        <v>0.580544961948338</v>
      </c>
      <c r="U1047" s="40" t="n">
        <f aca="true">RAND()</f>
        <v>0.305135841045028</v>
      </c>
    </row>
    <row r="1048" customFormat="false" ht="15" hidden="false" customHeight="false" outlineLevel="0" collapsed="false">
      <c r="A1048" s="36" t="n">
        <v>968</v>
      </c>
      <c r="B1048" s="37" t="n">
        <f aca="false">1+IF($G$6=$E$6,$F$6,IF(P1048&lt;($F$6-$E$6)/($G$6-$E$6),$E$6+SQRT(P1048*($G$6-$E$6)*($F$6-$E$6)),$G$6-SQRT((1-P1048)*($G$6-$E$6)*($G$6-$F$6))))</f>
        <v>1</v>
      </c>
      <c r="C1048" s="37" t="n">
        <f aca="false">1+IF($G$7=$E$7,$F$7,IF(Q1048&lt;($F$7-$E$7)/($G$7-$E$7),$E$7+SQRT(Q1048*($G$7-$E$7)*($F$7-$E$7)),$G$7-SQRT((1-Q1048)*($G$7-$E$7)*($G$7-$F$7))))</f>
        <v>1</v>
      </c>
      <c r="D1048" s="37" t="n">
        <f aca="false">1+IF($G$8=$E$8,$F$8,IF(R1048&lt;($F$8-$E$8)/($G$8-$E$8),$E$8+SQRT(R1048*($G$8-$E$8)*($F$8-$E$8)),$G$8-SQRT((1-R1048)*($G$8-$E$8)*($G$8-$F$8))))</f>
        <v>1</v>
      </c>
      <c r="E1048" s="37" t="n">
        <f aca="false">1+IF($G$9=$E$9,$F$9,IF(S1048&lt;($F$9-$E$9)/($G$9-$E$9),$E$9+SQRT(S1048*($G$9-$E$9)*($F$9-$E$9)),$G$9-SQRT((1-S1048)*($G$9-$E$9)*($G$9-$F$9))))</f>
        <v>1</v>
      </c>
      <c r="F1048" s="37" t="n">
        <f aca="false">1+IF($G$10=$E$10,$F$10,IF(T1048&lt;($F$10-$E$10)/($G$10-$E$10),$E$10+SQRT(T1048*($G$10-$E$10)*($F$10-$E$10)),$G$10-SQRT((1-T1048)*($G$10-$E$10)*($G$10-$F$10))))</f>
        <v>1</v>
      </c>
      <c r="G1048" s="38" t="n">
        <f aca="false">IF($G$11=$E$11,$F$11,IF(U1048&lt;($F$11-$E$11)/($G$11-$E$11),$E$11+SQRT(U1048*($G$11-$E$11)*($F$11-$E$11)),$G$11-SQRT((1-U1048)*($G$11-$E$11)*($G$11-$F$11))))</f>
        <v>0</v>
      </c>
      <c r="H1048" s="39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0</v>
      </c>
      <c r="I1048" s="39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0</v>
      </c>
      <c r="J1048" s="39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0</v>
      </c>
      <c r="K1048" s="39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0</v>
      </c>
      <c r="L1048" s="39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0</v>
      </c>
      <c r="M1048" s="39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0</v>
      </c>
      <c r="N1048" s="39" t="str">
        <f aca="false">IF(COUNT('Business Case'!B11:G11)=0,"",H1048+NPV(G1048,I1048:M1048))</f>
        <v/>
      </c>
      <c r="P1048" s="40" t="n">
        <f aca="true">RAND()</f>
        <v>0.606884812246419</v>
      </c>
      <c r="Q1048" s="40" t="n">
        <f aca="true">RAND()</f>
        <v>0.979927787300539</v>
      </c>
      <c r="R1048" s="40" t="n">
        <f aca="true">RAND()</f>
        <v>0.549006978015858</v>
      </c>
      <c r="S1048" s="40" t="n">
        <f aca="true">RAND()</f>
        <v>0.497611093452943</v>
      </c>
      <c r="T1048" s="40" t="n">
        <f aca="true">RAND()</f>
        <v>0.0680581679823462</v>
      </c>
      <c r="U1048" s="40" t="n">
        <f aca="true">RAND()</f>
        <v>0.411867438865192</v>
      </c>
    </row>
    <row r="1049" customFormat="false" ht="15" hidden="false" customHeight="false" outlineLevel="0" collapsed="false">
      <c r="A1049" s="36" t="n">
        <v>969</v>
      </c>
      <c r="B1049" s="37" t="n">
        <f aca="false">1+IF($G$6=$E$6,$F$6,IF(P1049&lt;($F$6-$E$6)/($G$6-$E$6),$E$6+SQRT(P1049*($G$6-$E$6)*($F$6-$E$6)),$G$6-SQRT((1-P1049)*($G$6-$E$6)*($G$6-$F$6))))</f>
        <v>1</v>
      </c>
      <c r="C1049" s="37" t="n">
        <f aca="false">1+IF($G$7=$E$7,$F$7,IF(Q1049&lt;($F$7-$E$7)/($G$7-$E$7),$E$7+SQRT(Q1049*($G$7-$E$7)*($F$7-$E$7)),$G$7-SQRT((1-Q1049)*($G$7-$E$7)*($G$7-$F$7))))</f>
        <v>1</v>
      </c>
      <c r="D1049" s="37" t="n">
        <f aca="false">1+IF($G$8=$E$8,$F$8,IF(R1049&lt;($F$8-$E$8)/($G$8-$E$8),$E$8+SQRT(R1049*($G$8-$E$8)*($F$8-$E$8)),$G$8-SQRT((1-R1049)*($G$8-$E$8)*($G$8-$F$8))))</f>
        <v>1</v>
      </c>
      <c r="E1049" s="37" t="n">
        <f aca="false">1+IF($G$9=$E$9,$F$9,IF(S1049&lt;($F$9-$E$9)/($G$9-$E$9),$E$9+SQRT(S1049*($G$9-$E$9)*($F$9-$E$9)),$G$9-SQRT((1-S1049)*($G$9-$E$9)*($G$9-$F$9))))</f>
        <v>1</v>
      </c>
      <c r="F1049" s="37" t="n">
        <f aca="false">1+IF($G$10=$E$10,$F$10,IF(T1049&lt;($F$10-$E$10)/($G$10-$E$10),$E$10+SQRT(T1049*($G$10-$E$10)*($F$10-$E$10)),$G$10-SQRT((1-T1049)*($G$10-$E$10)*($G$10-$F$10))))</f>
        <v>1</v>
      </c>
      <c r="G1049" s="38" t="n">
        <f aca="false">IF($G$11=$E$11,$F$11,IF(U1049&lt;($F$11-$E$11)/($G$11-$E$11),$E$11+SQRT(U1049*($G$11-$E$11)*($F$11-$E$11)),$G$11-SQRT((1-U1049)*($G$11-$E$11)*($G$11-$F$11))))</f>
        <v>0</v>
      </c>
      <c r="H1049" s="39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0</v>
      </c>
      <c r="I1049" s="39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0</v>
      </c>
      <c r="J1049" s="39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0</v>
      </c>
      <c r="K1049" s="39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0</v>
      </c>
      <c r="L1049" s="39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0</v>
      </c>
      <c r="M1049" s="39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0</v>
      </c>
      <c r="N1049" s="39" t="str">
        <f aca="false">IF(COUNT('Business Case'!B11:G11)=0,"",H1049+NPV(G1049,I1049:M1049))</f>
        <v/>
      </c>
      <c r="P1049" s="40" t="n">
        <f aca="true">RAND()</f>
        <v>0.468402996168843</v>
      </c>
      <c r="Q1049" s="40" t="n">
        <f aca="true">RAND()</f>
        <v>0.829611714423213</v>
      </c>
      <c r="R1049" s="40" t="n">
        <f aca="true">RAND()</f>
        <v>0.456230325157771</v>
      </c>
      <c r="S1049" s="40" t="n">
        <f aca="true">RAND()</f>
        <v>0.204398460632853</v>
      </c>
      <c r="T1049" s="40" t="n">
        <f aca="true">RAND()</f>
        <v>0.528393389489459</v>
      </c>
      <c r="U1049" s="40" t="n">
        <f aca="true">RAND()</f>
        <v>0.342349452567269</v>
      </c>
    </row>
    <row r="1050" customFormat="false" ht="15" hidden="false" customHeight="false" outlineLevel="0" collapsed="false">
      <c r="A1050" s="36" t="n">
        <v>970</v>
      </c>
      <c r="B1050" s="37" t="n">
        <f aca="false">1+IF($G$6=$E$6,$F$6,IF(P1050&lt;($F$6-$E$6)/($G$6-$E$6),$E$6+SQRT(P1050*($G$6-$E$6)*($F$6-$E$6)),$G$6-SQRT((1-P1050)*($G$6-$E$6)*($G$6-$F$6))))</f>
        <v>1</v>
      </c>
      <c r="C1050" s="37" t="n">
        <f aca="false">1+IF($G$7=$E$7,$F$7,IF(Q1050&lt;($F$7-$E$7)/($G$7-$E$7),$E$7+SQRT(Q1050*($G$7-$E$7)*($F$7-$E$7)),$G$7-SQRT((1-Q1050)*($G$7-$E$7)*($G$7-$F$7))))</f>
        <v>1</v>
      </c>
      <c r="D1050" s="37" t="n">
        <f aca="false">1+IF($G$8=$E$8,$F$8,IF(R1050&lt;($F$8-$E$8)/($G$8-$E$8),$E$8+SQRT(R1050*($G$8-$E$8)*($F$8-$E$8)),$G$8-SQRT((1-R1050)*($G$8-$E$8)*($G$8-$F$8))))</f>
        <v>1</v>
      </c>
      <c r="E1050" s="37" t="n">
        <f aca="false">1+IF($G$9=$E$9,$F$9,IF(S1050&lt;($F$9-$E$9)/($G$9-$E$9),$E$9+SQRT(S1050*($G$9-$E$9)*($F$9-$E$9)),$G$9-SQRT((1-S1050)*($G$9-$E$9)*($G$9-$F$9))))</f>
        <v>1</v>
      </c>
      <c r="F1050" s="37" t="n">
        <f aca="false">1+IF($G$10=$E$10,$F$10,IF(T1050&lt;($F$10-$E$10)/($G$10-$E$10),$E$10+SQRT(T1050*($G$10-$E$10)*($F$10-$E$10)),$G$10-SQRT((1-T1050)*($G$10-$E$10)*($G$10-$F$10))))</f>
        <v>1</v>
      </c>
      <c r="G1050" s="38" t="n">
        <f aca="false">IF($G$11=$E$11,$F$11,IF(U1050&lt;($F$11-$E$11)/($G$11-$E$11),$E$11+SQRT(U1050*($G$11-$E$11)*($F$11-$E$11)),$G$11-SQRT((1-U1050)*($G$11-$E$11)*($G$11-$F$11))))</f>
        <v>0</v>
      </c>
      <c r="H1050" s="39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0</v>
      </c>
      <c r="I1050" s="39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0</v>
      </c>
      <c r="J1050" s="39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0</v>
      </c>
      <c r="K1050" s="39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0</v>
      </c>
      <c r="L1050" s="39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0</v>
      </c>
      <c r="M1050" s="39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0</v>
      </c>
      <c r="N1050" s="39" t="str">
        <f aca="false">IF(COUNT('Business Case'!B11:G11)=0,"",H1050+NPV(G1050,I1050:M1050))</f>
        <v/>
      </c>
      <c r="P1050" s="40" t="n">
        <f aca="true">RAND()</f>
        <v>0.723508924839253</v>
      </c>
      <c r="Q1050" s="40" t="n">
        <f aca="true">RAND()</f>
        <v>0.36730862264836</v>
      </c>
      <c r="R1050" s="40" t="n">
        <f aca="true">RAND()</f>
        <v>0.258843083273886</v>
      </c>
      <c r="S1050" s="40" t="n">
        <f aca="true">RAND()</f>
        <v>0.0107247775612361</v>
      </c>
      <c r="T1050" s="40" t="n">
        <f aca="true">RAND()</f>
        <v>0.998387311210424</v>
      </c>
      <c r="U1050" s="40" t="n">
        <f aca="true">RAND()</f>
        <v>0.604551842102116</v>
      </c>
    </row>
    <row r="1051" customFormat="false" ht="15" hidden="false" customHeight="false" outlineLevel="0" collapsed="false">
      <c r="A1051" s="36" t="n">
        <v>971</v>
      </c>
      <c r="B1051" s="37" t="n">
        <f aca="false">1+IF($G$6=$E$6,$F$6,IF(P1051&lt;($F$6-$E$6)/($G$6-$E$6),$E$6+SQRT(P1051*($G$6-$E$6)*($F$6-$E$6)),$G$6-SQRT((1-P1051)*($G$6-$E$6)*($G$6-$F$6))))</f>
        <v>1</v>
      </c>
      <c r="C1051" s="37" t="n">
        <f aca="false">1+IF($G$7=$E$7,$F$7,IF(Q1051&lt;($F$7-$E$7)/($G$7-$E$7),$E$7+SQRT(Q1051*($G$7-$E$7)*($F$7-$E$7)),$G$7-SQRT((1-Q1051)*($G$7-$E$7)*($G$7-$F$7))))</f>
        <v>1</v>
      </c>
      <c r="D1051" s="37" t="n">
        <f aca="false">1+IF($G$8=$E$8,$F$8,IF(R1051&lt;($F$8-$E$8)/($G$8-$E$8),$E$8+SQRT(R1051*($G$8-$E$8)*($F$8-$E$8)),$G$8-SQRT((1-R1051)*($G$8-$E$8)*($G$8-$F$8))))</f>
        <v>1</v>
      </c>
      <c r="E1051" s="37" t="n">
        <f aca="false">1+IF($G$9=$E$9,$F$9,IF(S1051&lt;($F$9-$E$9)/($G$9-$E$9),$E$9+SQRT(S1051*($G$9-$E$9)*($F$9-$E$9)),$G$9-SQRT((1-S1051)*($G$9-$E$9)*($G$9-$F$9))))</f>
        <v>1</v>
      </c>
      <c r="F1051" s="37" t="n">
        <f aca="false">1+IF($G$10=$E$10,$F$10,IF(T1051&lt;($F$10-$E$10)/($G$10-$E$10),$E$10+SQRT(T1051*($G$10-$E$10)*($F$10-$E$10)),$G$10-SQRT((1-T1051)*($G$10-$E$10)*($G$10-$F$10))))</f>
        <v>1</v>
      </c>
      <c r="G1051" s="38" t="n">
        <f aca="false">IF($G$11=$E$11,$F$11,IF(U1051&lt;($F$11-$E$11)/($G$11-$E$11),$E$11+SQRT(U1051*($G$11-$E$11)*($F$11-$E$11)),$G$11-SQRT((1-U1051)*($G$11-$E$11)*($G$11-$F$11))))</f>
        <v>0</v>
      </c>
      <c r="H1051" s="39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0</v>
      </c>
      <c r="I1051" s="39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0</v>
      </c>
      <c r="J1051" s="39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0</v>
      </c>
      <c r="K1051" s="39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0</v>
      </c>
      <c r="L1051" s="39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0</v>
      </c>
      <c r="M1051" s="39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0</v>
      </c>
      <c r="N1051" s="39" t="str">
        <f aca="false">IF(COUNT('Business Case'!B11:G11)=0,"",H1051+NPV(G1051,I1051:M1051))</f>
        <v/>
      </c>
      <c r="P1051" s="40" t="n">
        <f aca="true">RAND()</f>
        <v>0.142642022276467</v>
      </c>
      <c r="Q1051" s="40" t="n">
        <f aca="true">RAND()</f>
        <v>0.918657120251485</v>
      </c>
      <c r="R1051" s="40" t="n">
        <f aca="true">RAND()</f>
        <v>0.522681042387954</v>
      </c>
      <c r="S1051" s="40" t="n">
        <f aca="true">RAND()</f>
        <v>0.197040053173794</v>
      </c>
      <c r="T1051" s="40" t="n">
        <f aca="true">RAND()</f>
        <v>0.986173528193462</v>
      </c>
      <c r="U1051" s="40" t="n">
        <f aca="true">RAND()</f>
        <v>0.342484484454095</v>
      </c>
    </row>
    <row r="1052" customFormat="false" ht="15" hidden="false" customHeight="false" outlineLevel="0" collapsed="false">
      <c r="A1052" s="36" t="n">
        <v>972</v>
      </c>
      <c r="B1052" s="37" t="n">
        <f aca="false">1+IF($G$6=$E$6,$F$6,IF(P1052&lt;($F$6-$E$6)/($G$6-$E$6),$E$6+SQRT(P1052*($G$6-$E$6)*($F$6-$E$6)),$G$6-SQRT((1-P1052)*($G$6-$E$6)*($G$6-$F$6))))</f>
        <v>1</v>
      </c>
      <c r="C1052" s="37" t="n">
        <f aca="false">1+IF($G$7=$E$7,$F$7,IF(Q1052&lt;($F$7-$E$7)/($G$7-$E$7),$E$7+SQRT(Q1052*($G$7-$E$7)*($F$7-$E$7)),$G$7-SQRT((1-Q1052)*($G$7-$E$7)*($G$7-$F$7))))</f>
        <v>1</v>
      </c>
      <c r="D1052" s="37" t="n">
        <f aca="false">1+IF($G$8=$E$8,$F$8,IF(R1052&lt;($F$8-$E$8)/($G$8-$E$8),$E$8+SQRT(R1052*($G$8-$E$8)*($F$8-$E$8)),$G$8-SQRT((1-R1052)*($G$8-$E$8)*($G$8-$F$8))))</f>
        <v>1</v>
      </c>
      <c r="E1052" s="37" t="n">
        <f aca="false">1+IF($G$9=$E$9,$F$9,IF(S1052&lt;($F$9-$E$9)/($G$9-$E$9),$E$9+SQRT(S1052*($G$9-$E$9)*($F$9-$E$9)),$G$9-SQRT((1-S1052)*($G$9-$E$9)*($G$9-$F$9))))</f>
        <v>1</v>
      </c>
      <c r="F1052" s="37" t="n">
        <f aca="false">1+IF($G$10=$E$10,$F$10,IF(T1052&lt;($F$10-$E$10)/($G$10-$E$10),$E$10+SQRT(T1052*($G$10-$E$10)*($F$10-$E$10)),$G$10-SQRT((1-T1052)*($G$10-$E$10)*($G$10-$F$10))))</f>
        <v>1</v>
      </c>
      <c r="G1052" s="38" t="n">
        <f aca="false">IF($G$11=$E$11,$F$11,IF(U1052&lt;($F$11-$E$11)/($G$11-$E$11),$E$11+SQRT(U1052*($G$11-$E$11)*($F$11-$E$11)),$G$11-SQRT((1-U1052)*($G$11-$E$11)*($G$11-$F$11))))</f>
        <v>0</v>
      </c>
      <c r="H1052" s="39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0</v>
      </c>
      <c r="I1052" s="39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0</v>
      </c>
      <c r="J1052" s="39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0</v>
      </c>
      <c r="K1052" s="39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0</v>
      </c>
      <c r="L1052" s="39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0</v>
      </c>
      <c r="M1052" s="39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0</v>
      </c>
      <c r="N1052" s="39" t="str">
        <f aca="false">IF(COUNT('Business Case'!B11:G11)=0,"",H1052+NPV(G1052,I1052:M1052))</f>
        <v/>
      </c>
      <c r="P1052" s="40" t="n">
        <f aca="true">RAND()</f>
        <v>0.452720488672297</v>
      </c>
      <c r="Q1052" s="40" t="n">
        <f aca="true">RAND()</f>
        <v>0.669507629248533</v>
      </c>
      <c r="R1052" s="40" t="n">
        <f aca="true">RAND()</f>
        <v>0.785191610145141</v>
      </c>
      <c r="S1052" s="40" t="n">
        <f aca="true">RAND()</f>
        <v>0.98445462768705</v>
      </c>
      <c r="T1052" s="40" t="n">
        <f aca="true">RAND()</f>
        <v>0.970095928604211</v>
      </c>
      <c r="U1052" s="40" t="n">
        <f aca="true">RAND()</f>
        <v>0.131755566476214</v>
      </c>
    </row>
    <row r="1053" customFormat="false" ht="15" hidden="false" customHeight="false" outlineLevel="0" collapsed="false">
      <c r="A1053" s="36" t="n">
        <v>973</v>
      </c>
      <c r="B1053" s="37" t="n">
        <f aca="false">1+IF($G$6=$E$6,$F$6,IF(P1053&lt;($F$6-$E$6)/($G$6-$E$6),$E$6+SQRT(P1053*($G$6-$E$6)*($F$6-$E$6)),$G$6-SQRT((1-P1053)*($G$6-$E$6)*($G$6-$F$6))))</f>
        <v>1</v>
      </c>
      <c r="C1053" s="37" t="n">
        <f aca="false">1+IF($G$7=$E$7,$F$7,IF(Q1053&lt;($F$7-$E$7)/($G$7-$E$7),$E$7+SQRT(Q1053*($G$7-$E$7)*($F$7-$E$7)),$G$7-SQRT((1-Q1053)*($G$7-$E$7)*($G$7-$F$7))))</f>
        <v>1</v>
      </c>
      <c r="D1053" s="37" t="n">
        <f aca="false">1+IF($G$8=$E$8,$F$8,IF(R1053&lt;($F$8-$E$8)/($G$8-$E$8),$E$8+SQRT(R1053*($G$8-$E$8)*($F$8-$E$8)),$G$8-SQRT((1-R1053)*($G$8-$E$8)*($G$8-$F$8))))</f>
        <v>1</v>
      </c>
      <c r="E1053" s="37" t="n">
        <f aca="false">1+IF($G$9=$E$9,$F$9,IF(S1053&lt;($F$9-$E$9)/($G$9-$E$9),$E$9+SQRT(S1053*($G$9-$E$9)*($F$9-$E$9)),$G$9-SQRT((1-S1053)*($G$9-$E$9)*($G$9-$F$9))))</f>
        <v>1</v>
      </c>
      <c r="F1053" s="37" t="n">
        <f aca="false">1+IF($G$10=$E$10,$F$10,IF(T1053&lt;($F$10-$E$10)/($G$10-$E$10),$E$10+SQRT(T1053*($G$10-$E$10)*($F$10-$E$10)),$G$10-SQRT((1-T1053)*($G$10-$E$10)*($G$10-$F$10))))</f>
        <v>1</v>
      </c>
      <c r="G1053" s="38" t="n">
        <f aca="false">IF($G$11=$E$11,$F$11,IF(U1053&lt;($F$11-$E$11)/($G$11-$E$11),$E$11+SQRT(U1053*($G$11-$E$11)*($F$11-$E$11)),$G$11-SQRT((1-U1053)*($G$11-$E$11)*($G$11-$F$11))))</f>
        <v>0</v>
      </c>
      <c r="H1053" s="39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0</v>
      </c>
      <c r="I1053" s="39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0</v>
      </c>
      <c r="J1053" s="39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0</v>
      </c>
      <c r="K1053" s="39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0</v>
      </c>
      <c r="L1053" s="39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0</v>
      </c>
      <c r="M1053" s="39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0</v>
      </c>
      <c r="N1053" s="39" t="str">
        <f aca="false">IF(COUNT('Business Case'!B11:G11)=0,"",H1053+NPV(G1053,I1053:M1053))</f>
        <v/>
      </c>
      <c r="P1053" s="40" t="n">
        <f aca="true">RAND()</f>
        <v>0.448921072351417</v>
      </c>
      <c r="Q1053" s="40" t="n">
        <f aca="true">RAND()</f>
        <v>0.329226713411437</v>
      </c>
      <c r="R1053" s="40" t="n">
        <f aca="true">RAND()</f>
        <v>0.1078202305082</v>
      </c>
      <c r="S1053" s="40" t="n">
        <f aca="true">RAND()</f>
        <v>0.447932409824436</v>
      </c>
      <c r="T1053" s="40" t="n">
        <f aca="true">RAND()</f>
        <v>0.898775267186232</v>
      </c>
      <c r="U1053" s="40" t="n">
        <f aca="true">RAND()</f>
        <v>0.323339032246032</v>
      </c>
    </row>
    <row r="1054" customFormat="false" ht="15" hidden="false" customHeight="false" outlineLevel="0" collapsed="false">
      <c r="A1054" s="36" t="n">
        <v>974</v>
      </c>
      <c r="B1054" s="37" t="n">
        <f aca="false">1+IF($G$6=$E$6,$F$6,IF(P1054&lt;($F$6-$E$6)/($G$6-$E$6),$E$6+SQRT(P1054*($G$6-$E$6)*($F$6-$E$6)),$G$6-SQRT((1-P1054)*($G$6-$E$6)*($G$6-$F$6))))</f>
        <v>1</v>
      </c>
      <c r="C1054" s="37" t="n">
        <f aca="false">1+IF($G$7=$E$7,$F$7,IF(Q1054&lt;($F$7-$E$7)/($G$7-$E$7),$E$7+SQRT(Q1054*($G$7-$E$7)*($F$7-$E$7)),$G$7-SQRT((1-Q1054)*($G$7-$E$7)*($G$7-$F$7))))</f>
        <v>1</v>
      </c>
      <c r="D1054" s="37" t="n">
        <f aca="false">1+IF($G$8=$E$8,$F$8,IF(R1054&lt;($F$8-$E$8)/($G$8-$E$8),$E$8+SQRT(R1054*($G$8-$E$8)*($F$8-$E$8)),$G$8-SQRT((1-R1054)*($G$8-$E$8)*($G$8-$F$8))))</f>
        <v>1</v>
      </c>
      <c r="E1054" s="37" t="n">
        <f aca="false">1+IF($G$9=$E$9,$F$9,IF(S1054&lt;($F$9-$E$9)/($G$9-$E$9),$E$9+SQRT(S1054*($G$9-$E$9)*($F$9-$E$9)),$G$9-SQRT((1-S1054)*($G$9-$E$9)*($G$9-$F$9))))</f>
        <v>1</v>
      </c>
      <c r="F1054" s="37" t="n">
        <f aca="false">1+IF($G$10=$E$10,$F$10,IF(T1054&lt;($F$10-$E$10)/($G$10-$E$10),$E$10+SQRT(T1054*($G$10-$E$10)*($F$10-$E$10)),$G$10-SQRT((1-T1054)*($G$10-$E$10)*($G$10-$F$10))))</f>
        <v>1</v>
      </c>
      <c r="G1054" s="38" t="n">
        <f aca="false">IF($G$11=$E$11,$F$11,IF(U1054&lt;($F$11-$E$11)/($G$11-$E$11),$E$11+SQRT(U1054*($G$11-$E$11)*($F$11-$E$11)),$G$11-SQRT((1-U1054)*($G$11-$E$11)*($G$11-$F$11))))</f>
        <v>0</v>
      </c>
      <c r="H1054" s="39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0</v>
      </c>
      <c r="I1054" s="39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0</v>
      </c>
      <c r="J1054" s="39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0</v>
      </c>
      <c r="K1054" s="39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0</v>
      </c>
      <c r="L1054" s="39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0</v>
      </c>
      <c r="M1054" s="39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0</v>
      </c>
      <c r="N1054" s="39" t="str">
        <f aca="false">IF(COUNT('Business Case'!B11:G11)=0,"",H1054+NPV(G1054,I1054:M1054))</f>
        <v/>
      </c>
      <c r="P1054" s="40" t="n">
        <f aca="true">RAND()</f>
        <v>0.649453158388823</v>
      </c>
      <c r="Q1054" s="40" t="n">
        <f aca="true">RAND()</f>
        <v>0.0897549779738738</v>
      </c>
      <c r="R1054" s="40" t="n">
        <f aca="true">RAND()</f>
        <v>0.375462687502742</v>
      </c>
      <c r="S1054" s="40" t="n">
        <f aca="true">RAND()</f>
        <v>0.118995663754282</v>
      </c>
      <c r="T1054" s="40" t="n">
        <f aca="true">RAND()</f>
        <v>0.660340850642103</v>
      </c>
      <c r="U1054" s="40" t="n">
        <f aca="true">RAND()</f>
        <v>0.865467143878059</v>
      </c>
    </row>
    <row r="1055" customFormat="false" ht="15" hidden="false" customHeight="false" outlineLevel="0" collapsed="false">
      <c r="A1055" s="36" t="n">
        <v>975</v>
      </c>
      <c r="B1055" s="37" t="n">
        <f aca="false">1+IF($G$6=$E$6,$F$6,IF(P1055&lt;($F$6-$E$6)/($G$6-$E$6),$E$6+SQRT(P1055*($G$6-$E$6)*($F$6-$E$6)),$G$6-SQRT((1-P1055)*($G$6-$E$6)*($G$6-$F$6))))</f>
        <v>1</v>
      </c>
      <c r="C1055" s="37" t="n">
        <f aca="false">1+IF($G$7=$E$7,$F$7,IF(Q1055&lt;($F$7-$E$7)/($G$7-$E$7),$E$7+SQRT(Q1055*($G$7-$E$7)*($F$7-$E$7)),$G$7-SQRT((1-Q1055)*($G$7-$E$7)*($G$7-$F$7))))</f>
        <v>1</v>
      </c>
      <c r="D1055" s="37" t="n">
        <f aca="false">1+IF($G$8=$E$8,$F$8,IF(R1055&lt;($F$8-$E$8)/($G$8-$E$8),$E$8+SQRT(R1055*($G$8-$E$8)*($F$8-$E$8)),$G$8-SQRT((1-R1055)*($G$8-$E$8)*($G$8-$F$8))))</f>
        <v>1</v>
      </c>
      <c r="E1055" s="37" t="n">
        <f aca="false">1+IF($G$9=$E$9,$F$9,IF(S1055&lt;($F$9-$E$9)/($G$9-$E$9),$E$9+SQRT(S1055*($G$9-$E$9)*($F$9-$E$9)),$G$9-SQRT((1-S1055)*($G$9-$E$9)*($G$9-$F$9))))</f>
        <v>1</v>
      </c>
      <c r="F1055" s="37" t="n">
        <f aca="false">1+IF($G$10=$E$10,$F$10,IF(T1055&lt;($F$10-$E$10)/($G$10-$E$10),$E$10+SQRT(T1055*($G$10-$E$10)*($F$10-$E$10)),$G$10-SQRT((1-T1055)*($G$10-$E$10)*($G$10-$F$10))))</f>
        <v>1</v>
      </c>
      <c r="G1055" s="38" t="n">
        <f aca="false">IF($G$11=$E$11,$F$11,IF(U1055&lt;($F$11-$E$11)/($G$11-$E$11),$E$11+SQRT(U1055*($G$11-$E$11)*($F$11-$E$11)),$G$11-SQRT((1-U1055)*($G$11-$E$11)*($G$11-$F$11))))</f>
        <v>0</v>
      </c>
      <c r="H1055" s="39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0</v>
      </c>
      <c r="I1055" s="39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0</v>
      </c>
      <c r="J1055" s="39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0</v>
      </c>
      <c r="K1055" s="39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0</v>
      </c>
      <c r="L1055" s="39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0</v>
      </c>
      <c r="M1055" s="39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0</v>
      </c>
      <c r="N1055" s="39" t="str">
        <f aca="false">IF(COUNT('Business Case'!B11:G11)=0,"",H1055+NPV(G1055,I1055:M1055))</f>
        <v/>
      </c>
      <c r="P1055" s="40" t="n">
        <f aca="true">RAND()</f>
        <v>0.41585842184927</v>
      </c>
      <c r="Q1055" s="40" t="n">
        <f aca="true">RAND()</f>
        <v>0.455835127786693</v>
      </c>
      <c r="R1055" s="40" t="n">
        <f aca="true">RAND()</f>
        <v>0.745037339517974</v>
      </c>
      <c r="S1055" s="40" t="n">
        <f aca="true">RAND()</f>
        <v>0.432573276342908</v>
      </c>
      <c r="T1055" s="40" t="n">
        <f aca="true">RAND()</f>
        <v>0.710232203831909</v>
      </c>
      <c r="U1055" s="40" t="n">
        <f aca="true">RAND()</f>
        <v>0.761516165778118</v>
      </c>
    </row>
    <row r="1056" customFormat="false" ht="15" hidden="false" customHeight="false" outlineLevel="0" collapsed="false">
      <c r="A1056" s="36" t="n">
        <v>976</v>
      </c>
      <c r="B1056" s="37" t="n">
        <f aca="false">1+IF($G$6=$E$6,$F$6,IF(P1056&lt;($F$6-$E$6)/($G$6-$E$6),$E$6+SQRT(P1056*($G$6-$E$6)*($F$6-$E$6)),$G$6-SQRT((1-P1056)*($G$6-$E$6)*($G$6-$F$6))))</f>
        <v>1</v>
      </c>
      <c r="C1056" s="37" t="n">
        <f aca="false">1+IF($G$7=$E$7,$F$7,IF(Q1056&lt;($F$7-$E$7)/($G$7-$E$7),$E$7+SQRT(Q1056*($G$7-$E$7)*($F$7-$E$7)),$G$7-SQRT((1-Q1056)*($G$7-$E$7)*($G$7-$F$7))))</f>
        <v>1</v>
      </c>
      <c r="D1056" s="37" t="n">
        <f aca="false">1+IF($G$8=$E$8,$F$8,IF(R1056&lt;($F$8-$E$8)/($G$8-$E$8),$E$8+SQRT(R1056*($G$8-$E$8)*($F$8-$E$8)),$G$8-SQRT((1-R1056)*($G$8-$E$8)*($G$8-$F$8))))</f>
        <v>1</v>
      </c>
      <c r="E1056" s="37" t="n">
        <f aca="false">1+IF($G$9=$E$9,$F$9,IF(S1056&lt;($F$9-$E$9)/($G$9-$E$9),$E$9+SQRT(S1056*($G$9-$E$9)*($F$9-$E$9)),$G$9-SQRT((1-S1056)*($G$9-$E$9)*($G$9-$F$9))))</f>
        <v>1</v>
      </c>
      <c r="F1056" s="37" t="n">
        <f aca="false">1+IF($G$10=$E$10,$F$10,IF(T1056&lt;($F$10-$E$10)/($G$10-$E$10),$E$10+SQRT(T1056*($G$10-$E$10)*($F$10-$E$10)),$G$10-SQRT((1-T1056)*($G$10-$E$10)*($G$10-$F$10))))</f>
        <v>1</v>
      </c>
      <c r="G1056" s="38" t="n">
        <f aca="false">IF($G$11=$E$11,$F$11,IF(U1056&lt;($F$11-$E$11)/($G$11-$E$11),$E$11+SQRT(U1056*($G$11-$E$11)*($F$11-$E$11)),$G$11-SQRT((1-U1056)*($G$11-$E$11)*($G$11-$F$11))))</f>
        <v>0</v>
      </c>
      <c r="H1056" s="39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0</v>
      </c>
      <c r="I1056" s="39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0</v>
      </c>
      <c r="J1056" s="39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0</v>
      </c>
      <c r="K1056" s="39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0</v>
      </c>
      <c r="L1056" s="39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0</v>
      </c>
      <c r="M1056" s="39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0</v>
      </c>
      <c r="N1056" s="39" t="str">
        <f aca="false">IF(COUNT('Business Case'!B11:G11)=0,"",H1056+NPV(G1056,I1056:M1056))</f>
        <v/>
      </c>
      <c r="P1056" s="40" t="n">
        <f aca="true">RAND()</f>
        <v>0.972876856287339</v>
      </c>
      <c r="Q1056" s="40" t="n">
        <f aca="true">RAND()</f>
        <v>0.514206529522538</v>
      </c>
      <c r="R1056" s="40" t="n">
        <f aca="true">RAND()</f>
        <v>0.814712592409038</v>
      </c>
      <c r="S1056" s="40" t="n">
        <f aca="true">RAND()</f>
        <v>0.413808256739854</v>
      </c>
      <c r="T1056" s="40" t="n">
        <f aca="true">RAND()</f>
        <v>0.581788764593934</v>
      </c>
      <c r="U1056" s="40" t="n">
        <f aca="true">RAND()</f>
        <v>0.85651456328097</v>
      </c>
    </row>
    <row r="1057" customFormat="false" ht="15" hidden="false" customHeight="false" outlineLevel="0" collapsed="false">
      <c r="A1057" s="36" t="n">
        <v>977</v>
      </c>
      <c r="B1057" s="37" t="n">
        <f aca="false">1+IF($G$6=$E$6,$F$6,IF(P1057&lt;($F$6-$E$6)/($G$6-$E$6),$E$6+SQRT(P1057*($G$6-$E$6)*($F$6-$E$6)),$G$6-SQRT((1-P1057)*($G$6-$E$6)*($G$6-$F$6))))</f>
        <v>1</v>
      </c>
      <c r="C1057" s="37" t="n">
        <f aca="false">1+IF($G$7=$E$7,$F$7,IF(Q1057&lt;($F$7-$E$7)/($G$7-$E$7),$E$7+SQRT(Q1057*($G$7-$E$7)*($F$7-$E$7)),$G$7-SQRT((1-Q1057)*($G$7-$E$7)*($G$7-$F$7))))</f>
        <v>1</v>
      </c>
      <c r="D1057" s="37" t="n">
        <f aca="false">1+IF($G$8=$E$8,$F$8,IF(R1057&lt;($F$8-$E$8)/($G$8-$E$8),$E$8+SQRT(R1057*($G$8-$E$8)*($F$8-$E$8)),$G$8-SQRT((1-R1057)*($G$8-$E$8)*($G$8-$F$8))))</f>
        <v>1</v>
      </c>
      <c r="E1057" s="37" t="n">
        <f aca="false">1+IF($G$9=$E$9,$F$9,IF(S1057&lt;($F$9-$E$9)/($G$9-$E$9),$E$9+SQRT(S1057*($G$9-$E$9)*($F$9-$E$9)),$G$9-SQRT((1-S1057)*($G$9-$E$9)*($G$9-$F$9))))</f>
        <v>1</v>
      </c>
      <c r="F1057" s="37" t="n">
        <f aca="false">1+IF($G$10=$E$10,$F$10,IF(T1057&lt;($F$10-$E$10)/($G$10-$E$10),$E$10+SQRT(T1057*($G$10-$E$10)*($F$10-$E$10)),$G$10-SQRT((1-T1057)*($G$10-$E$10)*($G$10-$F$10))))</f>
        <v>1</v>
      </c>
      <c r="G1057" s="38" t="n">
        <f aca="false">IF($G$11=$E$11,$F$11,IF(U1057&lt;($F$11-$E$11)/($G$11-$E$11),$E$11+SQRT(U1057*($G$11-$E$11)*($F$11-$E$11)),$G$11-SQRT((1-U1057)*($G$11-$E$11)*($G$11-$F$11))))</f>
        <v>0</v>
      </c>
      <c r="H1057" s="39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0</v>
      </c>
      <c r="I1057" s="39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0</v>
      </c>
      <c r="J1057" s="39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0</v>
      </c>
      <c r="K1057" s="39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0</v>
      </c>
      <c r="L1057" s="39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0</v>
      </c>
      <c r="M1057" s="39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0</v>
      </c>
      <c r="N1057" s="39" t="str">
        <f aca="false">IF(COUNT('Business Case'!B11:G11)=0,"",H1057+NPV(G1057,I1057:M1057))</f>
        <v/>
      </c>
      <c r="P1057" s="40" t="n">
        <f aca="true">RAND()</f>
        <v>0.337208245769542</v>
      </c>
      <c r="Q1057" s="40" t="n">
        <f aca="true">RAND()</f>
        <v>0.897209586498656</v>
      </c>
      <c r="R1057" s="40" t="n">
        <f aca="true">RAND()</f>
        <v>0.592582412014809</v>
      </c>
      <c r="S1057" s="40" t="n">
        <f aca="true">RAND()</f>
        <v>0.729341006930643</v>
      </c>
      <c r="T1057" s="40" t="n">
        <f aca="true">RAND()</f>
        <v>0.713483724461158</v>
      </c>
      <c r="U1057" s="40" t="n">
        <f aca="true">RAND()</f>
        <v>0.813892743292877</v>
      </c>
    </row>
    <row r="1058" customFormat="false" ht="15" hidden="false" customHeight="false" outlineLevel="0" collapsed="false">
      <c r="A1058" s="36" t="n">
        <v>978</v>
      </c>
      <c r="B1058" s="37" t="n">
        <f aca="false">1+IF($G$6=$E$6,$F$6,IF(P1058&lt;($F$6-$E$6)/($G$6-$E$6),$E$6+SQRT(P1058*($G$6-$E$6)*($F$6-$E$6)),$G$6-SQRT((1-P1058)*($G$6-$E$6)*($G$6-$F$6))))</f>
        <v>1</v>
      </c>
      <c r="C1058" s="37" t="n">
        <f aca="false">1+IF($G$7=$E$7,$F$7,IF(Q1058&lt;($F$7-$E$7)/($G$7-$E$7),$E$7+SQRT(Q1058*($G$7-$E$7)*($F$7-$E$7)),$G$7-SQRT((1-Q1058)*($G$7-$E$7)*($G$7-$F$7))))</f>
        <v>1</v>
      </c>
      <c r="D1058" s="37" t="n">
        <f aca="false">1+IF($G$8=$E$8,$F$8,IF(R1058&lt;($F$8-$E$8)/($G$8-$E$8),$E$8+SQRT(R1058*($G$8-$E$8)*($F$8-$E$8)),$G$8-SQRT((1-R1058)*($G$8-$E$8)*($G$8-$F$8))))</f>
        <v>1</v>
      </c>
      <c r="E1058" s="37" t="n">
        <f aca="false">1+IF($G$9=$E$9,$F$9,IF(S1058&lt;($F$9-$E$9)/($G$9-$E$9),$E$9+SQRT(S1058*($G$9-$E$9)*($F$9-$E$9)),$G$9-SQRT((1-S1058)*($G$9-$E$9)*($G$9-$F$9))))</f>
        <v>1</v>
      </c>
      <c r="F1058" s="37" t="n">
        <f aca="false">1+IF($G$10=$E$10,$F$10,IF(T1058&lt;($F$10-$E$10)/($G$10-$E$10),$E$10+SQRT(T1058*($G$10-$E$10)*($F$10-$E$10)),$G$10-SQRT((1-T1058)*($G$10-$E$10)*($G$10-$F$10))))</f>
        <v>1</v>
      </c>
      <c r="G1058" s="38" t="n">
        <f aca="false">IF($G$11=$E$11,$F$11,IF(U1058&lt;($F$11-$E$11)/($G$11-$E$11),$E$11+SQRT(U1058*($G$11-$E$11)*($F$11-$E$11)),$G$11-SQRT((1-U1058)*($G$11-$E$11)*($G$11-$F$11))))</f>
        <v>0</v>
      </c>
      <c r="H1058" s="39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0</v>
      </c>
      <c r="I1058" s="39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0</v>
      </c>
      <c r="J1058" s="39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0</v>
      </c>
      <c r="K1058" s="39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0</v>
      </c>
      <c r="L1058" s="39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0</v>
      </c>
      <c r="M1058" s="39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0</v>
      </c>
      <c r="N1058" s="39" t="str">
        <f aca="false">IF(COUNT('Business Case'!B11:G11)=0,"",H1058+NPV(G1058,I1058:M1058))</f>
        <v/>
      </c>
      <c r="P1058" s="40" t="n">
        <f aca="true">RAND()</f>
        <v>0.707151629619534</v>
      </c>
      <c r="Q1058" s="40" t="n">
        <f aca="true">RAND()</f>
        <v>0.24169750809444</v>
      </c>
      <c r="R1058" s="40" t="n">
        <f aca="true">RAND()</f>
        <v>0.738021356420682</v>
      </c>
      <c r="S1058" s="40" t="n">
        <f aca="true">RAND()</f>
        <v>0.122914625087201</v>
      </c>
      <c r="T1058" s="40" t="n">
        <f aca="true">RAND()</f>
        <v>0.863998989757379</v>
      </c>
      <c r="U1058" s="40" t="n">
        <f aca="true">RAND()</f>
        <v>0.663880913399778</v>
      </c>
    </row>
    <row r="1059" customFormat="false" ht="15" hidden="false" customHeight="false" outlineLevel="0" collapsed="false">
      <c r="A1059" s="36" t="n">
        <v>979</v>
      </c>
      <c r="B1059" s="37" t="n">
        <f aca="false">1+IF($G$6=$E$6,$F$6,IF(P1059&lt;($F$6-$E$6)/($G$6-$E$6),$E$6+SQRT(P1059*($G$6-$E$6)*($F$6-$E$6)),$G$6-SQRT((1-P1059)*($G$6-$E$6)*($G$6-$F$6))))</f>
        <v>1</v>
      </c>
      <c r="C1059" s="37" t="n">
        <f aca="false">1+IF($G$7=$E$7,$F$7,IF(Q1059&lt;($F$7-$E$7)/($G$7-$E$7),$E$7+SQRT(Q1059*($G$7-$E$7)*($F$7-$E$7)),$G$7-SQRT((1-Q1059)*($G$7-$E$7)*($G$7-$F$7))))</f>
        <v>1</v>
      </c>
      <c r="D1059" s="37" t="n">
        <f aca="false">1+IF($G$8=$E$8,$F$8,IF(R1059&lt;($F$8-$E$8)/($G$8-$E$8),$E$8+SQRT(R1059*($G$8-$E$8)*($F$8-$E$8)),$G$8-SQRT((1-R1059)*($G$8-$E$8)*($G$8-$F$8))))</f>
        <v>1</v>
      </c>
      <c r="E1059" s="37" t="n">
        <f aca="false">1+IF($G$9=$E$9,$F$9,IF(S1059&lt;($F$9-$E$9)/($G$9-$E$9),$E$9+SQRT(S1059*($G$9-$E$9)*($F$9-$E$9)),$G$9-SQRT((1-S1059)*($G$9-$E$9)*($G$9-$F$9))))</f>
        <v>1</v>
      </c>
      <c r="F1059" s="37" t="n">
        <f aca="false">1+IF($G$10=$E$10,$F$10,IF(T1059&lt;($F$10-$E$10)/($G$10-$E$10),$E$10+SQRT(T1059*($G$10-$E$10)*($F$10-$E$10)),$G$10-SQRT((1-T1059)*($G$10-$E$10)*($G$10-$F$10))))</f>
        <v>1</v>
      </c>
      <c r="G1059" s="38" t="n">
        <f aca="false">IF($G$11=$E$11,$F$11,IF(U1059&lt;($F$11-$E$11)/($G$11-$E$11),$E$11+SQRT(U1059*($G$11-$E$11)*($F$11-$E$11)),$G$11-SQRT((1-U1059)*($G$11-$E$11)*($G$11-$F$11))))</f>
        <v>0</v>
      </c>
      <c r="H1059" s="39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0</v>
      </c>
      <c r="I1059" s="39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0</v>
      </c>
      <c r="J1059" s="39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0</v>
      </c>
      <c r="K1059" s="39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0</v>
      </c>
      <c r="L1059" s="39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0</v>
      </c>
      <c r="M1059" s="39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0</v>
      </c>
      <c r="N1059" s="39" t="str">
        <f aca="false">IF(COUNT('Business Case'!B11:G11)=0,"",H1059+NPV(G1059,I1059:M1059))</f>
        <v/>
      </c>
      <c r="P1059" s="40" t="n">
        <f aca="true">RAND()</f>
        <v>0.537594534149884</v>
      </c>
      <c r="Q1059" s="40" t="n">
        <f aca="true">RAND()</f>
        <v>0.293352251214376</v>
      </c>
      <c r="R1059" s="40" t="n">
        <f aca="true">RAND()</f>
        <v>0.0754882367891216</v>
      </c>
      <c r="S1059" s="40" t="n">
        <f aca="true">RAND()</f>
        <v>0.38603331660328</v>
      </c>
      <c r="T1059" s="40" t="n">
        <f aca="true">RAND()</f>
        <v>0.115052944543321</v>
      </c>
      <c r="U1059" s="40" t="n">
        <f aca="true">RAND()</f>
        <v>0.745720956783973</v>
      </c>
    </row>
    <row r="1060" customFormat="false" ht="15" hidden="false" customHeight="false" outlineLevel="0" collapsed="false">
      <c r="A1060" s="36" t="n">
        <v>980</v>
      </c>
      <c r="B1060" s="37" t="n">
        <f aca="false">1+IF($G$6=$E$6,$F$6,IF(P1060&lt;($F$6-$E$6)/($G$6-$E$6),$E$6+SQRT(P1060*($G$6-$E$6)*($F$6-$E$6)),$G$6-SQRT((1-P1060)*($G$6-$E$6)*($G$6-$F$6))))</f>
        <v>1</v>
      </c>
      <c r="C1060" s="37" t="n">
        <f aca="false">1+IF($G$7=$E$7,$F$7,IF(Q1060&lt;($F$7-$E$7)/($G$7-$E$7),$E$7+SQRT(Q1060*($G$7-$E$7)*($F$7-$E$7)),$G$7-SQRT((1-Q1060)*($G$7-$E$7)*($G$7-$F$7))))</f>
        <v>1</v>
      </c>
      <c r="D1060" s="37" t="n">
        <f aca="false">1+IF($G$8=$E$8,$F$8,IF(R1060&lt;($F$8-$E$8)/($G$8-$E$8),$E$8+SQRT(R1060*($G$8-$E$8)*($F$8-$E$8)),$G$8-SQRT((1-R1060)*($G$8-$E$8)*($G$8-$F$8))))</f>
        <v>1</v>
      </c>
      <c r="E1060" s="37" t="n">
        <f aca="false">1+IF($G$9=$E$9,$F$9,IF(S1060&lt;($F$9-$E$9)/($G$9-$E$9),$E$9+SQRT(S1060*($G$9-$E$9)*($F$9-$E$9)),$G$9-SQRT((1-S1060)*($G$9-$E$9)*($G$9-$F$9))))</f>
        <v>1</v>
      </c>
      <c r="F1060" s="37" t="n">
        <f aca="false">1+IF($G$10=$E$10,$F$10,IF(T1060&lt;($F$10-$E$10)/($G$10-$E$10),$E$10+SQRT(T1060*($G$10-$E$10)*($F$10-$E$10)),$G$10-SQRT((1-T1060)*($G$10-$E$10)*($G$10-$F$10))))</f>
        <v>1</v>
      </c>
      <c r="G1060" s="38" t="n">
        <f aca="false">IF($G$11=$E$11,$F$11,IF(U1060&lt;($F$11-$E$11)/($G$11-$E$11),$E$11+SQRT(U1060*($G$11-$E$11)*($F$11-$E$11)),$G$11-SQRT((1-U1060)*($G$11-$E$11)*($G$11-$F$11))))</f>
        <v>0</v>
      </c>
      <c r="H1060" s="39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0</v>
      </c>
      <c r="I1060" s="39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0</v>
      </c>
      <c r="J1060" s="39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0</v>
      </c>
      <c r="K1060" s="39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0</v>
      </c>
      <c r="L1060" s="39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0</v>
      </c>
      <c r="M1060" s="39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0</v>
      </c>
      <c r="N1060" s="39" t="str">
        <f aca="false">IF(COUNT('Business Case'!B11:G11)=0,"",H1060+NPV(G1060,I1060:M1060))</f>
        <v/>
      </c>
      <c r="P1060" s="40" t="n">
        <f aca="true">RAND()</f>
        <v>0.916809204331164</v>
      </c>
      <c r="Q1060" s="40" t="n">
        <f aca="true">RAND()</f>
        <v>0.953518468621474</v>
      </c>
      <c r="R1060" s="40" t="n">
        <f aca="true">RAND()</f>
        <v>0.135931064780126</v>
      </c>
      <c r="S1060" s="40" t="n">
        <f aca="true">RAND()</f>
        <v>0.715191761231148</v>
      </c>
      <c r="T1060" s="40" t="n">
        <f aca="true">RAND()</f>
        <v>0.290381117579698</v>
      </c>
      <c r="U1060" s="40" t="n">
        <f aca="true">RAND()</f>
        <v>0.322485784524621</v>
      </c>
    </row>
    <row r="1061" customFormat="false" ht="15" hidden="false" customHeight="false" outlineLevel="0" collapsed="false">
      <c r="A1061" s="36" t="n">
        <v>981</v>
      </c>
      <c r="B1061" s="37" t="n">
        <f aca="false">1+IF($G$6=$E$6,$F$6,IF(P1061&lt;($F$6-$E$6)/($G$6-$E$6),$E$6+SQRT(P1061*($G$6-$E$6)*($F$6-$E$6)),$G$6-SQRT((1-P1061)*($G$6-$E$6)*($G$6-$F$6))))</f>
        <v>1</v>
      </c>
      <c r="C1061" s="37" t="n">
        <f aca="false">1+IF($G$7=$E$7,$F$7,IF(Q1061&lt;($F$7-$E$7)/($G$7-$E$7),$E$7+SQRT(Q1061*($G$7-$E$7)*($F$7-$E$7)),$G$7-SQRT((1-Q1061)*($G$7-$E$7)*($G$7-$F$7))))</f>
        <v>1</v>
      </c>
      <c r="D1061" s="37" t="n">
        <f aca="false">1+IF($G$8=$E$8,$F$8,IF(R1061&lt;($F$8-$E$8)/($G$8-$E$8),$E$8+SQRT(R1061*($G$8-$E$8)*($F$8-$E$8)),$G$8-SQRT((1-R1061)*($G$8-$E$8)*($G$8-$F$8))))</f>
        <v>1</v>
      </c>
      <c r="E1061" s="37" t="n">
        <f aca="false">1+IF($G$9=$E$9,$F$9,IF(S1061&lt;($F$9-$E$9)/($G$9-$E$9),$E$9+SQRT(S1061*($G$9-$E$9)*($F$9-$E$9)),$G$9-SQRT((1-S1061)*($G$9-$E$9)*($G$9-$F$9))))</f>
        <v>1</v>
      </c>
      <c r="F1061" s="37" t="n">
        <f aca="false">1+IF($G$10=$E$10,$F$10,IF(T1061&lt;($F$10-$E$10)/($G$10-$E$10),$E$10+SQRT(T1061*($G$10-$E$10)*($F$10-$E$10)),$G$10-SQRT((1-T1061)*($G$10-$E$10)*($G$10-$F$10))))</f>
        <v>1</v>
      </c>
      <c r="G1061" s="38" t="n">
        <f aca="false">IF($G$11=$E$11,$F$11,IF(U1061&lt;($F$11-$E$11)/($G$11-$E$11),$E$11+SQRT(U1061*($G$11-$E$11)*($F$11-$E$11)),$G$11-SQRT((1-U1061)*($G$11-$E$11)*($G$11-$F$11))))</f>
        <v>0</v>
      </c>
      <c r="H1061" s="39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0</v>
      </c>
      <c r="I1061" s="39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0</v>
      </c>
      <c r="J1061" s="39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0</v>
      </c>
      <c r="K1061" s="39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0</v>
      </c>
      <c r="L1061" s="39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0</v>
      </c>
      <c r="M1061" s="39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0</v>
      </c>
      <c r="N1061" s="39" t="str">
        <f aca="false">IF(COUNT('Business Case'!B11:G11)=0,"",H1061+NPV(G1061,I1061:M1061))</f>
        <v/>
      </c>
      <c r="P1061" s="40" t="n">
        <f aca="true">RAND()</f>
        <v>0.326498876944025</v>
      </c>
      <c r="Q1061" s="40" t="n">
        <f aca="true">RAND()</f>
        <v>0.539425876653368</v>
      </c>
      <c r="R1061" s="40" t="n">
        <f aca="true">RAND()</f>
        <v>0.837110288553495</v>
      </c>
      <c r="S1061" s="40" t="n">
        <f aca="true">RAND()</f>
        <v>0.273306855614656</v>
      </c>
      <c r="T1061" s="40" t="n">
        <f aca="true">RAND()</f>
        <v>0.180482934084094</v>
      </c>
      <c r="U1061" s="40" t="n">
        <f aca="true">RAND()</f>
        <v>0.643259387061498</v>
      </c>
    </row>
    <row r="1062" customFormat="false" ht="15" hidden="false" customHeight="false" outlineLevel="0" collapsed="false">
      <c r="A1062" s="36" t="n">
        <v>982</v>
      </c>
      <c r="B1062" s="37" t="n">
        <f aca="false">1+IF($G$6=$E$6,$F$6,IF(P1062&lt;($F$6-$E$6)/($G$6-$E$6),$E$6+SQRT(P1062*($G$6-$E$6)*($F$6-$E$6)),$G$6-SQRT((1-P1062)*($G$6-$E$6)*($G$6-$F$6))))</f>
        <v>1</v>
      </c>
      <c r="C1062" s="37" t="n">
        <f aca="false">1+IF($G$7=$E$7,$F$7,IF(Q1062&lt;($F$7-$E$7)/($G$7-$E$7),$E$7+SQRT(Q1062*($G$7-$E$7)*($F$7-$E$7)),$G$7-SQRT((1-Q1062)*($G$7-$E$7)*($G$7-$F$7))))</f>
        <v>1</v>
      </c>
      <c r="D1062" s="37" t="n">
        <f aca="false">1+IF($G$8=$E$8,$F$8,IF(R1062&lt;($F$8-$E$8)/($G$8-$E$8),$E$8+SQRT(R1062*($G$8-$E$8)*($F$8-$E$8)),$G$8-SQRT((1-R1062)*($G$8-$E$8)*($G$8-$F$8))))</f>
        <v>1</v>
      </c>
      <c r="E1062" s="37" t="n">
        <f aca="false">1+IF($G$9=$E$9,$F$9,IF(S1062&lt;($F$9-$E$9)/($G$9-$E$9),$E$9+SQRT(S1062*($G$9-$E$9)*($F$9-$E$9)),$G$9-SQRT((1-S1062)*($G$9-$E$9)*($G$9-$F$9))))</f>
        <v>1</v>
      </c>
      <c r="F1062" s="37" t="n">
        <f aca="false">1+IF($G$10=$E$10,$F$10,IF(T1062&lt;($F$10-$E$10)/($G$10-$E$10),$E$10+SQRT(T1062*($G$10-$E$10)*($F$10-$E$10)),$G$10-SQRT((1-T1062)*($G$10-$E$10)*($G$10-$F$10))))</f>
        <v>1</v>
      </c>
      <c r="G1062" s="38" t="n">
        <f aca="false">IF($G$11=$E$11,$F$11,IF(U1062&lt;($F$11-$E$11)/($G$11-$E$11),$E$11+SQRT(U1062*($G$11-$E$11)*($F$11-$E$11)),$G$11-SQRT((1-U1062)*($G$11-$E$11)*($G$11-$F$11))))</f>
        <v>0</v>
      </c>
      <c r="H1062" s="39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0</v>
      </c>
      <c r="I1062" s="39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0</v>
      </c>
      <c r="J1062" s="39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0</v>
      </c>
      <c r="K1062" s="39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0</v>
      </c>
      <c r="L1062" s="39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0</v>
      </c>
      <c r="M1062" s="39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0</v>
      </c>
      <c r="N1062" s="39" t="str">
        <f aca="false">IF(COUNT('Business Case'!B11:G11)=0,"",H1062+NPV(G1062,I1062:M1062))</f>
        <v/>
      </c>
      <c r="P1062" s="40" t="n">
        <f aca="true">RAND()</f>
        <v>0.984151936999776</v>
      </c>
      <c r="Q1062" s="40" t="n">
        <f aca="true">RAND()</f>
        <v>0.860247804823311</v>
      </c>
      <c r="R1062" s="40" t="n">
        <f aca="true">RAND()</f>
        <v>0.798185761673398</v>
      </c>
      <c r="S1062" s="40" t="n">
        <f aca="true">RAND()</f>
        <v>0.823666772589055</v>
      </c>
      <c r="T1062" s="40" t="n">
        <f aca="true">RAND()</f>
        <v>0.840846739351865</v>
      </c>
      <c r="U1062" s="40" t="n">
        <f aca="true">RAND()</f>
        <v>0.855548669902165</v>
      </c>
    </row>
    <row r="1063" customFormat="false" ht="15" hidden="false" customHeight="false" outlineLevel="0" collapsed="false">
      <c r="A1063" s="36" t="n">
        <v>983</v>
      </c>
      <c r="B1063" s="37" t="n">
        <f aca="false">1+IF($G$6=$E$6,$F$6,IF(P1063&lt;($F$6-$E$6)/($G$6-$E$6),$E$6+SQRT(P1063*($G$6-$E$6)*($F$6-$E$6)),$G$6-SQRT((1-P1063)*($G$6-$E$6)*($G$6-$F$6))))</f>
        <v>1</v>
      </c>
      <c r="C1063" s="37" t="n">
        <f aca="false">1+IF($G$7=$E$7,$F$7,IF(Q1063&lt;($F$7-$E$7)/($G$7-$E$7),$E$7+SQRT(Q1063*($G$7-$E$7)*($F$7-$E$7)),$G$7-SQRT((1-Q1063)*($G$7-$E$7)*($G$7-$F$7))))</f>
        <v>1</v>
      </c>
      <c r="D1063" s="37" t="n">
        <f aca="false">1+IF($G$8=$E$8,$F$8,IF(R1063&lt;($F$8-$E$8)/($G$8-$E$8),$E$8+SQRT(R1063*($G$8-$E$8)*($F$8-$E$8)),$G$8-SQRT((1-R1063)*($G$8-$E$8)*($G$8-$F$8))))</f>
        <v>1</v>
      </c>
      <c r="E1063" s="37" t="n">
        <f aca="false">1+IF($G$9=$E$9,$F$9,IF(S1063&lt;($F$9-$E$9)/($G$9-$E$9),$E$9+SQRT(S1063*($G$9-$E$9)*($F$9-$E$9)),$G$9-SQRT((1-S1063)*($G$9-$E$9)*($G$9-$F$9))))</f>
        <v>1</v>
      </c>
      <c r="F1063" s="37" t="n">
        <f aca="false">1+IF($G$10=$E$10,$F$10,IF(T1063&lt;($F$10-$E$10)/($G$10-$E$10),$E$10+SQRT(T1063*($G$10-$E$10)*($F$10-$E$10)),$G$10-SQRT((1-T1063)*($G$10-$E$10)*($G$10-$F$10))))</f>
        <v>1</v>
      </c>
      <c r="G1063" s="38" t="n">
        <f aca="false">IF($G$11=$E$11,$F$11,IF(U1063&lt;($F$11-$E$11)/($G$11-$E$11),$E$11+SQRT(U1063*($G$11-$E$11)*($F$11-$E$11)),$G$11-SQRT((1-U1063)*($G$11-$E$11)*($G$11-$F$11))))</f>
        <v>0</v>
      </c>
      <c r="H1063" s="39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0</v>
      </c>
      <c r="I1063" s="39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0</v>
      </c>
      <c r="J1063" s="39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0</v>
      </c>
      <c r="K1063" s="39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0</v>
      </c>
      <c r="L1063" s="39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0</v>
      </c>
      <c r="M1063" s="39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0</v>
      </c>
      <c r="N1063" s="39" t="str">
        <f aca="false">IF(COUNT('Business Case'!B11:G11)=0,"",H1063+NPV(G1063,I1063:M1063))</f>
        <v/>
      </c>
      <c r="P1063" s="40" t="n">
        <f aca="true">RAND()</f>
        <v>0.388821503214463</v>
      </c>
      <c r="Q1063" s="40" t="n">
        <f aca="true">RAND()</f>
        <v>0.101916730995428</v>
      </c>
      <c r="R1063" s="40" t="n">
        <f aca="true">RAND()</f>
        <v>0.563115957776826</v>
      </c>
      <c r="S1063" s="40" t="n">
        <f aca="true">RAND()</f>
        <v>0.945480058532066</v>
      </c>
      <c r="T1063" s="40" t="n">
        <f aca="true">RAND()</f>
        <v>0.109634105793827</v>
      </c>
      <c r="U1063" s="40" t="n">
        <f aca="true">RAND()</f>
        <v>0.138682967871006</v>
      </c>
    </row>
    <row r="1064" customFormat="false" ht="15" hidden="false" customHeight="false" outlineLevel="0" collapsed="false">
      <c r="A1064" s="36" t="n">
        <v>984</v>
      </c>
      <c r="B1064" s="37" t="n">
        <f aca="false">1+IF($G$6=$E$6,$F$6,IF(P1064&lt;($F$6-$E$6)/($G$6-$E$6),$E$6+SQRT(P1064*($G$6-$E$6)*($F$6-$E$6)),$G$6-SQRT((1-P1064)*($G$6-$E$6)*($G$6-$F$6))))</f>
        <v>1</v>
      </c>
      <c r="C1064" s="37" t="n">
        <f aca="false">1+IF($G$7=$E$7,$F$7,IF(Q1064&lt;($F$7-$E$7)/($G$7-$E$7),$E$7+SQRT(Q1064*($G$7-$E$7)*($F$7-$E$7)),$G$7-SQRT((1-Q1064)*($G$7-$E$7)*($G$7-$F$7))))</f>
        <v>1</v>
      </c>
      <c r="D1064" s="37" t="n">
        <f aca="false">1+IF($G$8=$E$8,$F$8,IF(R1064&lt;($F$8-$E$8)/($G$8-$E$8),$E$8+SQRT(R1064*($G$8-$E$8)*($F$8-$E$8)),$G$8-SQRT((1-R1064)*($G$8-$E$8)*($G$8-$F$8))))</f>
        <v>1</v>
      </c>
      <c r="E1064" s="37" t="n">
        <f aca="false">1+IF($G$9=$E$9,$F$9,IF(S1064&lt;($F$9-$E$9)/($G$9-$E$9),$E$9+SQRT(S1064*($G$9-$E$9)*($F$9-$E$9)),$G$9-SQRT((1-S1064)*($G$9-$E$9)*($G$9-$F$9))))</f>
        <v>1</v>
      </c>
      <c r="F1064" s="37" t="n">
        <f aca="false">1+IF($G$10=$E$10,$F$10,IF(T1064&lt;($F$10-$E$10)/($G$10-$E$10),$E$10+SQRT(T1064*($G$10-$E$10)*($F$10-$E$10)),$G$10-SQRT((1-T1064)*($G$10-$E$10)*($G$10-$F$10))))</f>
        <v>1</v>
      </c>
      <c r="G1064" s="38" t="n">
        <f aca="false">IF($G$11=$E$11,$F$11,IF(U1064&lt;($F$11-$E$11)/($G$11-$E$11),$E$11+SQRT(U1064*($G$11-$E$11)*($F$11-$E$11)),$G$11-SQRT((1-U1064)*($G$11-$E$11)*($G$11-$F$11))))</f>
        <v>0</v>
      </c>
      <c r="H1064" s="39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0</v>
      </c>
      <c r="I1064" s="39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0</v>
      </c>
      <c r="J1064" s="39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0</v>
      </c>
      <c r="K1064" s="39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0</v>
      </c>
      <c r="L1064" s="39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0</v>
      </c>
      <c r="M1064" s="39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0</v>
      </c>
      <c r="N1064" s="39" t="str">
        <f aca="false">IF(COUNT('Business Case'!B11:G11)=0,"",H1064+NPV(G1064,I1064:M1064))</f>
        <v/>
      </c>
      <c r="P1064" s="40" t="n">
        <f aca="true">RAND()</f>
        <v>0.175490026894165</v>
      </c>
      <c r="Q1064" s="40" t="n">
        <f aca="true">RAND()</f>
        <v>0.775856089702537</v>
      </c>
      <c r="R1064" s="40" t="n">
        <f aca="true">RAND()</f>
        <v>0.45709117322032</v>
      </c>
      <c r="S1064" s="40" t="n">
        <f aca="true">RAND()</f>
        <v>0.447368985517196</v>
      </c>
      <c r="T1064" s="40" t="n">
        <f aca="true">RAND()</f>
        <v>0.82123168426238</v>
      </c>
      <c r="U1064" s="40" t="n">
        <f aca="true">RAND()</f>
        <v>0.16037789712927</v>
      </c>
    </row>
    <row r="1065" customFormat="false" ht="15" hidden="false" customHeight="false" outlineLevel="0" collapsed="false">
      <c r="A1065" s="36" t="n">
        <v>985</v>
      </c>
      <c r="B1065" s="37" t="n">
        <f aca="false">1+IF($G$6=$E$6,$F$6,IF(P1065&lt;($F$6-$E$6)/($G$6-$E$6),$E$6+SQRT(P1065*($G$6-$E$6)*($F$6-$E$6)),$G$6-SQRT((1-P1065)*($G$6-$E$6)*($G$6-$F$6))))</f>
        <v>1</v>
      </c>
      <c r="C1065" s="37" t="n">
        <f aca="false">1+IF($G$7=$E$7,$F$7,IF(Q1065&lt;($F$7-$E$7)/($G$7-$E$7),$E$7+SQRT(Q1065*($G$7-$E$7)*($F$7-$E$7)),$G$7-SQRT((1-Q1065)*($G$7-$E$7)*($G$7-$F$7))))</f>
        <v>1</v>
      </c>
      <c r="D1065" s="37" t="n">
        <f aca="false">1+IF($G$8=$E$8,$F$8,IF(R1065&lt;($F$8-$E$8)/($G$8-$E$8),$E$8+SQRT(R1065*($G$8-$E$8)*($F$8-$E$8)),$G$8-SQRT((1-R1065)*($G$8-$E$8)*($G$8-$F$8))))</f>
        <v>1</v>
      </c>
      <c r="E1065" s="37" t="n">
        <f aca="false">1+IF($G$9=$E$9,$F$9,IF(S1065&lt;($F$9-$E$9)/($G$9-$E$9),$E$9+SQRT(S1065*($G$9-$E$9)*($F$9-$E$9)),$G$9-SQRT((1-S1065)*($G$9-$E$9)*($G$9-$F$9))))</f>
        <v>1</v>
      </c>
      <c r="F1065" s="37" t="n">
        <f aca="false">1+IF($G$10=$E$10,$F$10,IF(T1065&lt;($F$10-$E$10)/($G$10-$E$10),$E$10+SQRT(T1065*($G$10-$E$10)*($F$10-$E$10)),$G$10-SQRT((1-T1065)*($G$10-$E$10)*($G$10-$F$10))))</f>
        <v>1</v>
      </c>
      <c r="G1065" s="38" t="n">
        <f aca="false">IF($G$11=$E$11,$F$11,IF(U1065&lt;($F$11-$E$11)/($G$11-$E$11),$E$11+SQRT(U1065*($G$11-$E$11)*($F$11-$E$11)),$G$11-SQRT((1-U1065)*($G$11-$E$11)*($G$11-$F$11))))</f>
        <v>0</v>
      </c>
      <c r="H1065" s="39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0</v>
      </c>
      <c r="I1065" s="39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0</v>
      </c>
      <c r="J1065" s="39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0</v>
      </c>
      <c r="K1065" s="39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0</v>
      </c>
      <c r="L1065" s="39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0</v>
      </c>
      <c r="M1065" s="39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0</v>
      </c>
      <c r="N1065" s="39" t="str">
        <f aca="false">IF(COUNT('Business Case'!B11:G11)=0,"",H1065+NPV(G1065,I1065:M1065))</f>
        <v/>
      </c>
      <c r="P1065" s="40" t="n">
        <f aca="true">RAND()</f>
        <v>0.278228018509381</v>
      </c>
      <c r="Q1065" s="40" t="n">
        <f aca="true">RAND()</f>
        <v>0.0537172670048341</v>
      </c>
      <c r="R1065" s="40" t="n">
        <f aca="true">RAND()</f>
        <v>0.545626614431561</v>
      </c>
      <c r="S1065" s="40" t="n">
        <f aca="true">RAND()</f>
        <v>0.992469823135039</v>
      </c>
      <c r="T1065" s="40" t="n">
        <f aca="true">RAND()</f>
        <v>0.0588643657787814</v>
      </c>
      <c r="U1065" s="40" t="n">
        <f aca="true">RAND()</f>
        <v>0.284555840434711</v>
      </c>
    </row>
    <row r="1066" customFormat="false" ht="15" hidden="false" customHeight="false" outlineLevel="0" collapsed="false">
      <c r="A1066" s="36" t="n">
        <v>986</v>
      </c>
      <c r="B1066" s="37" t="n">
        <f aca="false">1+IF($G$6=$E$6,$F$6,IF(P1066&lt;($F$6-$E$6)/($G$6-$E$6),$E$6+SQRT(P1066*($G$6-$E$6)*($F$6-$E$6)),$G$6-SQRT((1-P1066)*($G$6-$E$6)*($G$6-$F$6))))</f>
        <v>1</v>
      </c>
      <c r="C1066" s="37" t="n">
        <f aca="false">1+IF($G$7=$E$7,$F$7,IF(Q1066&lt;($F$7-$E$7)/($G$7-$E$7),$E$7+SQRT(Q1066*($G$7-$E$7)*($F$7-$E$7)),$G$7-SQRT((1-Q1066)*($G$7-$E$7)*($G$7-$F$7))))</f>
        <v>1</v>
      </c>
      <c r="D1066" s="37" t="n">
        <f aca="false">1+IF($G$8=$E$8,$F$8,IF(R1066&lt;($F$8-$E$8)/($G$8-$E$8),$E$8+SQRT(R1066*($G$8-$E$8)*($F$8-$E$8)),$G$8-SQRT((1-R1066)*($G$8-$E$8)*($G$8-$F$8))))</f>
        <v>1</v>
      </c>
      <c r="E1066" s="37" t="n">
        <f aca="false">1+IF($G$9=$E$9,$F$9,IF(S1066&lt;($F$9-$E$9)/($G$9-$E$9),$E$9+SQRT(S1066*($G$9-$E$9)*($F$9-$E$9)),$G$9-SQRT((1-S1066)*($G$9-$E$9)*($G$9-$F$9))))</f>
        <v>1</v>
      </c>
      <c r="F1066" s="37" t="n">
        <f aca="false">1+IF($G$10=$E$10,$F$10,IF(T1066&lt;($F$10-$E$10)/($G$10-$E$10),$E$10+SQRT(T1066*($G$10-$E$10)*($F$10-$E$10)),$G$10-SQRT((1-T1066)*($G$10-$E$10)*($G$10-$F$10))))</f>
        <v>1</v>
      </c>
      <c r="G1066" s="38" t="n">
        <f aca="false">IF($G$11=$E$11,$F$11,IF(U1066&lt;($F$11-$E$11)/($G$11-$E$11),$E$11+SQRT(U1066*($G$11-$E$11)*($F$11-$E$11)),$G$11-SQRT((1-U1066)*($G$11-$E$11)*($G$11-$F$11))))</f>
        <v>0</v>
      </c>
      <c r="H1066" s="39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0</v>
      </c>
      <c r="I1066" s="39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0</v>
      </c>
      <c r="J1066" s="39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0</v>
      </c>
      <c r="K1066" s="39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0</v>
      </c>
      <c r="L1066" s="39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0</v>
      </c>
      <c r="M1066" s="39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0</v>
      </c>
      <c r="N1066" s="39" t="str">
        <f aca="false">IF(COUNT('Business Case'!B11:G11)=0,"",H1066+NPV(G1066,I1066:M1066))</f>
        <v/>
      </c>
      <c r="P1066" s="40" t="n">
        <f aca="true">RAND()</f>
        <v>0.155553042366365</v>
      </c>
      <c r="Q1066" s="40" t="n">
        <f aca="true">RAND()</f>
        <v>0.317568755700484</v>
      </c>
      <c r="R1066" s="40" t="n">
        <f aca="true">RAND()</f>
        <v>0.262978304539746</v>
      </c>
      <c r="S1066" s="40" t="n">
        <f aca="true">RAND()</f>
        <v>0.366238321482555</v>
      </c>
      <c r="T1066" s="40" t="n">
        <f aca="true">RAND()</f>
        <v>0.758963153013626</v>
      </c>
      <c r="U1066" s="40" t="n">
        <f aca="true">RAND()</f>
        <v>0.139219676123676</v>
      </c>
    </row>
    <row r="1067" customFormat="false" ht="15" hidden="false" customHeight="false" outlineLevel="0" collapsed="false">
      <c r="A1067" s="36" t="n">
        <v>987</v>
      </c>
      <c r="B1067" s="37" t="n">
        <f aca="false">1+IF($G$6=$E$6,$F$6,IF(P1067&lt;($F$6-$E$6)/($G$6-$E$6),$E$6+SQRT(P1067*($G$6-$E$6)*($F$6-$E$6)),$G$6-SQRT((1-P1067)*($G$6-$E$6)*($G$6-$F$6))))</f>
        <v>1</v>
      </c>
      <c r="C1067" s="37" t="n">
        <f aca="false">1+IF($G$7=$E$7,$F$7,IF(Q1067&lt;($F$7-$E$7)/($G$7-$E$7),$E$7+SQRT(Q1067*($G$7-$E$7)*($F$7-$E$7)),$G$7-SQRT((1-Q1067)*($G$7-$E$7)*($G$7-$F$7))))</f>
        <v>1</v>
      </c>
      <c r="D1067" s="37" t="n">
        <f aca="false">1+IF($G$8=$E$8,$F$8,IF(R1067&lt;($F$8-$E$8)/($G$8-$E$8),$E$8+SQRT(R1067*($G$8-$E$8)*($F$8-$E$8)),$G$8-SQRT((1-R1067)*($G$8-$E$8)*($G$8-$F$8))))</f>
        <v>1</v>
      </c>
      <c r="E1067" s="37" t="n">
        <f aca="false">1+IF($G$9=$E$9,$F$9,IF(S1067&lt;($F$9-$E$9)/($G$9-$E$9),$E$9+SQRT(S1067*($G$9-$E$9)*($F$9-$E$9)),$G$9-SQRT((1-S1067)*($G$9-$E$9)*($G$9-$F$9))))</f>
        <v>1</v>
      </c>
      <c r="F1067" s="37" t="n">
        <f aca="false">1+IF($G$10=$E$10,$F$10,IF(T1067&lt;($F$10-$E$10)/($G$10-$E$10),$E$10+SQRT(T1067*($G$10-$E$10)*($F$10-$E$10)),$G$10-SQRT((1-T1067)*($G$10-$E$10)*($G$10-$F$10))))</f>
        <v>1</v>
      </c>
      <c r="G1067" s="38" t="n">
        <f aca="false">IF($G$11=$E$11,$F$11,IF(U1067&lt;($F$11-$E$11)/($G$11-$E$11),$E$11+SQRT(U1067*($G$11-$E$11)*($F$11-$E$11)),$G$11-SQRT((1-U1067)*($G$11-$E$11)*($G$11-$F$11))))</f>
        <v>0</v>
      </c>
      <c r="H1067" s="39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0</v>
      </c>
      <c r="I1067" s="39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0</v>
      </c>
      <c r="J1067" s="39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0</v>
      </c>
      <c r="K1067" s="39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0</v>
      </c>
      <c r="L1067" s="39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0</v>
      </c>
      <c r="M1067" s="39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0</v>
      </c>
      <c r="N1067" s="39" t="str">
        <f aca="false">IF(COUNT('Business Case'!B11:G11)=0,"",H1067+NPV(G1067,I1067:M1067))</f>
        <v/>
      </c>
      <c r="P1067" s="40" t="n">
        <f aca="true">RAND()</f>
        <v>0.358750111975552</v>
      </c>
      <c r="Q1067" s="40" t="n">
        <f aca="true">RAND()</f>
        <v>0.080228399311401</v>
      </c>
      <c r="R1067" s="40" t="n">
        <f aca="true">RAND()</f>
        <v>0.527870820437315</v>
      </c>
      <c r="S1067" s="40" t="n">
        <f aca="true">RAND()</f>
        <v>0.839024458506148</v>
      </c>
      <c r="T1067" s="40" t="n">
        <f aca="true">RAND()</f>
        <v>0.474206847001667</v>
      </c>
      <c r="U1067" s="40" t="n">
        <f aca="true">RAND()</f>
        <v>0.102778296162783</v>
      </c>
    </row>
    <row r="1068" customFormat="false" ht="15" hidden="false" customHeight="false" outlineLevel="0" collapsed="false">
      <c r="A1068" s="36" t="n">
        <v>988</v>
      </c>
      <c r="B1068" s="37" t="n">
        <f aca="false">1+IF($G$6=$E$6,$F$6,IF(P1068&lt;($F$6-$E$6)/($G$6-$E$6),$E$6+SQRT(P1068*($G$6-$E$6)*($F$6-$E$6)),$G$6-SQRT((1-P1068)*($G$6-$E$6)*($G$6-$F$6))))</f>
        <v>1</v>
      </c>
      <c r="C1068" s="37" t="n">
        <f aca="false">1+IF($G$7=$E$7,$F$7,IF(Q1068&lt;($F$7-$E$7)/($G$7-$E$7),$E$7+SQRT(Q1068*($G$7-$E$7)*($F$7-$E$7)),$G$7-SQRT((1-Q1068)*($G$7-$E$7)*($G$7-$F$7))))</f>
        <v>1</v>
      </c>
      <c r="D1068" s="37" t="n">
        <f aca="false">1+IF($G$8=$E$8,$F$8,IF(R1068&lt;($F$8-$E$8)/($G$8-$E$8),$E$8+SQRT(R1068*($G$8-$E$8)*($F$8-$E$8)),$G$8-SQRT((1-R1068)*($G$8-$E$8)*($G$8-$F$8))))</f>
        <v>1</v>
      </c>
      <c r="E1068" s="37" t="n">
        <f aca="false">1+IF($G$9=$E$9,$F$9,IF(S1068&lt;($F$9-$E$9)/($G$9-$E$9),$E$9+SQRT(S1068*($G$9-$E$9)*($F$9-$E$9)),$G$9-SQRT((1-S1068)*($G$9-$E$9)*($G$9-$F$9))))</f>
        <v>1</v>
      </c>
      <c r="F1068" s="37" t="n">
        <f aca="false">1+IF($G$10=$E$10,$F$10,IF(T1068&lt;($F$10-$E$10)/($G$10-$E$10),$E$10+SQRT(T1068*($G$10-$E$10)*($F$10-$E$10)),$G$10-SQRT((1-T1068)*($G$10-$E$10)*($G$10-$F$10))))</f>
        <v>1</v>
      </c>
      <c r="G1068" s="38" t="n">
        <f aca="false">IF($G$11=$E$11,$F$11,IF(U1068&lt;($F$11-$E$11)/($G$11-$E$11),$E$11+SQRT(U1068*($G$11-$E$11)*($F$11-$E$11)),$G$11-SQRT((1-U1068)*($G$11-$E$11)*($G$11-$F$11))))</f>
        <v>0</v>
      </c>
      <c r="H1068" s="39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0</v>
      </c>
      <c r="I1068" s="39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0</v>
      </c>
      <c r="J1068" s="39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0</v>
      </c>
      <c r="K1068" s="39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0</v>
      </c>
      <c r="L1068" s="39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0</v>
      </c>
      <c r="M1068" s="39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0</v>
      </c>
      <c r="N1068" s="39" t="str">
        <f aca="false">IF(COUNT('Business Case'!B11:G11)=0,"",H1068+NPV(G1068,I1068:M1068))</f>
        <v/>
      </c>
      <c r="P1068" s="40" t="n">
        <f aca="true">RAND()</f>
        <v>0.355517964822263</v>
      </c>
      <c r="Q1068" s="40" t="n">
        <f aca="true">RAND()</f>
        <v>0.0255712216835488</v>
      </c>
      <c r="R1068" s="40" t="n">
        <f aca="true">RAND()</f>
        <v>0.497561650789994</v>
      </c>
      <c r="S1068" s="40" t="n">
        <f aca="true">RAND()</f>
        <v>0.0184754032724345</v>
      </c>
      <c r="T1068" s="40" t="n">
        <f aca="true">RAND()</f>
        <v>0.0251596502543325</v>
      </c>
      <c r="U1068" s="40" t="n">
        <f aca="true">RAND()</f>
        <v>0.102429156644607</v>
      </c>
    </row>
    <row r="1069" customFormat="false" ht="15" hidden="false" customHeight="false" outlineLevel="0" collapsed="false">
      <c r="A1069" s="36" t="n">
        <v>989</v>
      </c>
      <c r="B1069" s="37" t="n">
        <f aca="false">1+IF($G$6=$E$6,$F$6,IF(P1069&lt;($F$6-$E$6)/($G$6-$E$6),$E$6+SQRT(P1069*($G$6-$E$6)*($F$6-$E$6)),$G$6-SQRT((1-P1069)*($G$6-$E$6)*($G$6-$F$6))))</f>
        <v>1</v>
      </c>
      <c r="C1069" s="37" t="n">
        <f aca="false">1+IF($G$7=$E$7,$F$7,IF(Q1069&lt;($F$7-$E$7)/($G$7-$E$7),$E$7+SQRT(Q1069*($G$7-$E$7)*($F$7-$E$7)),$G$7-SQRT((1-Q1069)*($G$7-$E$7)*($G$7-$F$7))))</f>
        <v>1</v>
      </c>
      <c r="D1069" s="37" t="n">
        <f aca="false">1+IF($G$8=$E$8,$F$8,IF(R1069&lt;($F$8-$E$8)/($G$8-$E$8),$E$8+SQRT(R1069*($G$8-$E$8)*($F$8-$E$8)),$G$8-SQRT((1-R1069)*($G$8-$E$8)*($G$8-$F$8))))</f>
        <v>1</v>
      </c>
      <c r="E1069" s="37" t="n">
        <f aca="false">1+IF($G$9=$E$9,$F$9,IF(S1069&lt;($F$9-$E$9)/($G$9-$E$9),$E$9+SQRT(S1069*($G$9-$E$9)*($F$9-$E$9)),$G$9-SQRT((1-S1069)*($G$9-$E$9)*($G$9-$F$9))))</f>
        <v>1</v>
      </c>
      <c r="F1069" s="37" t="n">
        <f aca="false">1+IF($G$10=$E$10,$F$10,IF(T1069&lt;($F$10-$E$10)/($G$10-$E$10),$E$10+SQRT(T1069*($G$10-$E$10)*($F$10-$E$10)),$G$10-SQRT((1-T1069)*($G$10-$E$10)*($G$10-$F$10))))</f>
        <v>1</v>
      </c>
      <c r="G1069" s="38" t="n">
        <f aca="false">IF($G$11=$E$11,$F$11,IF(U1069&lt;($F$11-$E$11)/($G$11-$E$11),$E$11+SQRT(U1069*($G$11-$E$11)*($F$11-$E$11)),$G$11-SQRT((1-U1069)*($G$11-$E$11)*($G$11-$F$11))))</f>
        <v>0</v>
      </c>
      <c r="H1069" s="39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0</v>
      </c>
      <c r="I1069" s="39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0</v>
      </c>
      <c r="J1069" s="39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0</v>
      </c>
      <c r="K1069" s="39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0</v>
      </c>
      <c r="L1069" s="39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0</v>
      </c>
      <c r="M1069" s="39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0</v>
      </c>
      <c r="N1069" s="39" t="str">
        <f aca="false">IF(COUNT('Business Case'!B11:G11)=0,"",H1069+NPV(G1069,I1069:M1069))</f>
        <v/>
      </c>
      <c r="P1069" s="40" t="n">
        <f aca="true">RAND()</f>
        <v>0.132581837605694</v>
      </c>
      <c r="Q1069" s="40" t="n">
        <f aca="true">RAND()</f>
        <v>0.766201495977275</v>
      </c>
      <c r="R1069" s="40" t="n">
        <f aca="true">RAND()</f>
        <v>0.699122604157729</v>
      </c>
      <c r="S1069" s="40" t="n">
        <f aca="true">RAND()</f>
        <v>0.0890106084201994</v>
      </c>
      <c r="T1069" s="40" t="n">
        <f aca="true">RAND()</f>
        <v>0.6806702679599</v>
      </c>
      <c r="U1069" s="40" t="n">
        <f aca="true">RAND()</f>
        <v>0.90910607806844</v>
      </c>
    </row>
    <row r="1070" customFormat="false" ht="15" hidden="false" customHeight="false" outlineLevel="0" collapsed="false">
      <c r="A1070" s="36" t="n">
        <v>990</v>
      </c>
      <c r="B1070" s="37" t="n">
        <f aca="false">1+IF($G$6=$E$6,$F$6,IF(P1070&lt;($F$6-$E$6)/($G$6-$E$6),$E$6+SQRT(P1070*($G$6-$E$6)*($F$6-$E$6)),$G$6-SQRT((1-P1070)*($G$6-$E$6)*($G$6-$F$6))))</f>
        <v>1</v>
      </c>
      <c r="C1070" s="37" t="n">
        <f aca="false">1+IF($G$7=$E$7,$F$7,IF(Q1070&lt;($F$7-$E$7)/($G$7-$E$7),$E$7+SQRT(Q1070*($G$7-$E$7)*($F$7-$E$7)),$G$7-SQRT((1-Q1070)*($G$7-$E$7)*($G$7-$F$7))))</f>
        <v>1</v>
      </c>
      <c r="D1070" s="37" t="n">
        <f aca="false">1+IF($G$8=$E$8,$F$8,IF(R1070&lt;($F$8-$E$8)/($G$8-$E$8),$E$8+SQRT(R1070*($G$8-$E$8)*($F$8-$E$8)),$G$8-SQRT((1-R1070)*($G$8-$E$8)*($G$8-$F$8))))</f>
        <v>1</v>
      </c>
      <c r="E1070" s="37" t="n">
        <f aca="false">1+IF($G$9=$E$9,$F$9,IF(S1070&lt;($F$9-$E$9)/($G$9-$E$9),$E$9+SQRT(S1070*($G$9-$E$9)*($F$9-$E$9)),$G$9-SQRT((1-S1070)*($G$9-$E$9)*($G$9-$F$9))))</f>
        <v>1</v>
      </c>
      <c r="F1070" s="37" t="n">
        <f aca="false">1+IF($G$10=$E$10,$F$10,IF(T1070&lt;($F$10-$E$10)/($G$10-$E$10),$E$10+SQRT(T1070*($G$10-$E$10)*($F$10-$E$10)),$G$10-SQRT((1-T1070)*($G$10-$E$10)*($G$10-$F$10))))</f>
        <v>1</v>
      </c>
      <c r="G1070" s="38" t="n">
        <f aca="false">IF($G$11=$E$11,$F$11,IF(U1070&lt;($F$11-$E$11)/($G$11-$E$11),$E$11+SQRT(U1070*($G$11-$E$11)*($F$11-$E$11)),$G$11-SQRT((1-U1070)*($G$11-$E$11)*($G$11-$F$11))))</f>
        <v>0</v>
      </c>
      <c r="H1070" s="39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0</v>
      </c>
      <c r="I1070" s="39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0</v>
      </c>
      <c r="J1070" s="39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0</v>
      </c>
      <c r="K1070" s="39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0</v>
      </c>
      <c r="L1070" s="39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0</v>
      </c>
      <c r="M1070" s="39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0</v>
      </c>
      <c r="N1070" s="39" t="str">
        <f aca="false">IF(COUNT('Business Case'!B11:G11)=0,"",H1070+NPV(G1070,I1070:M1070))</f>
        <v/>
      </c>
      <c r="P1070" s="40" t="n">
        <f aca="true">RAND()</f>
        <v>0.162926047476566</v>
      </c>
      <c r="Q1070" s="40" t="n">
        <f aca="true">RAND()</f>
        <v>0.481564002251035</v>
      </c>
      <c r="R1070" s="40" t="n">
        <f aca="true">RAND()</f>
        <v>0.840991078985262</v>
      </c>
      <c r="S1070" s="40" t="n">
        <f aca="true">RAND()</f>
        <v>0.426309387846489</v>
      </c>
      <c r="T1070" s="40" t="n">
        <f aca="true">RAND()</f>
        <v>0.690125779119645</v>
      </c>
      <c r="U1070" s="40" t="n">
        <f aca="true">RAND()</f>
        <v>0.588127183925565</v>
      </c>
    </row>
    <row r="1071" customFormat="false" ht="15" hidden="false" customHeight="false" outlineLevel="0" collapsed="false">
      <c r="A1071" s="36" t="n">
        <v>991</v>
      </c>
      <c r="B1071" s="37" t="n">
        <f aca="false">1+IF($G$6=$E$6,$F$6,IF(P1071&lt;($F$6-$E$6)/($G$6-$E$6),$E$6+SQRT(P1071*($G$6-$E$6)*($F$6-$E$6)),$G$6-SQRT((1-P1071)*($G$6-$E$6)*($G$6-$F$6))))</f>
        <v>1</v>
      </c>
      <c r="C1071" s="37" t="n">
        <f aca="false">1+IF($G$7=$E$7,$F$7,IF(Q1071&lt;($F$7-$E$7)/($G$7-$E$7),$E$7+SQRT(Q1071*($G$7-$E$7)*($F$7-$E$7)),$G$7-SQRT((1-Q1071)*($G$7-$E$7)*($G$7-$F$7))))</f>
        <v>1</v>
      </c>
      <c r="D1071" s="37" t="n">
        <f aca="false">1+IF($G$8=$E$8,$F$8,IF(R1071&lt;($F$8-$E$8)/($G$8-$E$8),$E$8+SQRT(R1071*($G$8-$E$8)*($F$8-$E$8)),$G$8-SQRT((1-R1071)*($G$8-$E$8)*($G$8-$F$8))))</f>
        <v>1</v>
      </c>
      <c r="E1071" s="37" t="n">
        <f aca="false">1+IF($G$9=$E$9,$F$9,IF(S1071&lt;($F$9-$E$9)/($G$9-$E$9),$E$9+SQRT(S1071*($G$9-$E$9)*($F$9-$E$9)),$G$9-SQRT((1-S1071)*($G$9-$E$9)*($G$9-$F$9))))</f>
        <v>1</v>
      </c>
      <c r="F1071" s="37" t="n">
        <f aca="false">1+IF($G$10=$E$10,$F$10,IF(T1071&lt;($F$10-$E$10)/($G$10-$E$10),$E$10+SQRT(T1071*($G$10-$E$10)*($F$10-$E$10)),$G$10-SQRT((1-T1071)*($G$10-$E$10)*($G$10-$F$10))))</f>
        <v>1</v>
      </c>
      <c r="G1071" s="38" t="n">
        <f aca="false">IF($G$11=$E$11,$F$11,IF(U1071&lt;($F$11-$E$11)/($G$11-$E$11),$E$11+SQRT(U1071*($G$11-$E$11)*($F$11-$E$11)),$G$11-SQRT((1-U1071)*($G$11-$E$11)*($G$11-$F$11))))</f>
        <v>0</v>
      </c>
      <c r="H1071" s="39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0</v>
      </c>
      <c r="I1071" s="39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0</v>
      </c>
      <c r="J1071" s="39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0</v>
      </c>
      <c r="K1071" s="39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0</v>
      </c>
      <c r="L1071" s="39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0</v>
      </c>
      <c r="M1071" s="39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0</v>
      </c>
      <c r="N1071" s="39" t="str">
        <f aca="false">IF(COUNT('Business Case'!B11:G11)=0,"",H1071+NPV(G1071,I1071:M1071))</f>
        <v/>
      </c>
      <c r="P1071" s="40" t="n">
        <f aca="true">RAND()</f>
        <v>0.98161628572845</v>
      </c>
      <c r="Q1071" s="40" t="n">
        <f aca="true">RAND()</f>
        <v>0.261812788164794</v>
      </c>
      <c r="R1071" s="40" t="n">
        <f aca="true">RAND()</f>
        <v>0.988689352877337</v>
      </c>
      <c r="S1071" s="40" t="n">
        <f aca="true">RAND()</f>
        <v>0.130778712893708</v>
      </c>
      <c r="T1071" s="40" t="n">
        <f aca="true">RAND()</f>
        <v>0.171231059691451</v>
      </c>
      <c r="U1071" s="40" t="n">
        <f aca="true">RAND()</f>
        <v>0.53853510881166</v>
      </c>
    </row>
    <row r="1072" customFormat="false" ht="15" hidden="false" customHeight="false" outlineLevel="0" collapsed="false">
      <c r="A1072" s="36" t="n">
        <v>992</v>
      </c>
      <c r="B1072" s="37" t="n">
        <f aca="false">1+IF($G$6=$E$6,$F$6,IF(P1072&lt;($F$6-$E$6)/($G$6-$E$6),$E$6+SQRT(P1072*($G$6-$E$6)*($F$6-$E$6)),$G$6-SQRT((1-P1072)*($G$6-$E$6)*($G$6-$F$6))))</f>
        <v>1</v>
      </c>
      <c r="C1072" s="37" t="n">
        <f aca="false">1+IF($G$7=$E$7,$F$7,IF(Q1072&lt;($F$7-$E$7)/($G$7-$E$7),$E$7+SQRT(Q1072*($G$7-$E$7)*($F$7-$E$7)),$G$7-SQRT((1-Q1072)*($G$7-$E$7)*($G$7-$F$7))))</f>
        <v>1</v>
      </c>
      <c r="D1072" s="37" t="n">
        <f aca="false">1+IF($G$8=$E$8,$F$8,IF(R1072&lt;($F$8-$E$8)/($G$8-$E$8),$E$8+SQRT(R1072*($G$8-$E$8)*($F$8-$E$8)),$G$8-SQRT((1-R1072)*($G$8-$E$8)*($G$8-$F$8))))</f>
        <v>1</v>
      </c>
      <c r="E1072" s="37" t="n">
        <f aca="false">1+IF($G$9=$E$9,$F$9,IF(S1072&lt;($F$9-$E$9)/($G$9-$E$9),$E$9+SQRT(S1072*($G$9-$E$9)*($F$9-$E$9)),$G$9-SQRT((1-S1072)*($G$9-$E$9)*($G$9-$F$9))))</f>
        <v>1</v>
      </c>
      <c r="F1072" s="37" t="n">
        <f aca="false">1+IF($G$10=$E$10,$F$10,IF(T1072&lt;($F$10-$E$10)/($G$10-$E$10),$E$10+SQRT(T1072*($G$10-$E$10)*($F$10-$E$10)),$G$10-SQRT((1-T1072)*($G$10-$E$10)*($G$10-$F$10))))</f>
        <v>1</v>
      </c>
      <c r="G1072" s="38" t="n">
        <f aca="false">IF($G$11=$E$11,$F$11,IF(U1072&lt;($F$11-$E$11)/($G$11-$E$11),$E$11+SQRT(U1072*($G$11-$E$11)*($F$11-$E$11)),$G$11-SQRT((1-U1072)*($G$11-$E$11)*($G$11-$F$11))))</f>
        <v>0</v>
      </c>
      <c r="H1072" s="39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0</v>
      </c>
      <c r="I1072" s="39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0</v>
      </c>
      <c r="J1072" s="39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0</v>
      </c>
      <c r="K1072" s="39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0</v>
      </c>
      <c r="L1072" s="39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0</v>
      </c>
      <c r="M1072" s="39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0</v>
      </c>
      <c r="N1072" s="39" t="str">
        <f aca="false">IF(COUNT('Business Case'!B11:G11)=0,"",H1072+NPV(G1072,I1072:M1072))</f>
        <v/>
      </c>
      <c r="P1072" s="40" t="n">
        <f aca="true">RAND()</f>
        <v>0.520315621382912</v>
      </c>
      <c r="Q1072" s="40" t="n">
        <f aca="true">RAND()</f>
        <v>0.676359134327021</v>
      </c>
      <c r="R1072" s="40" t="n">
        <f aca="true">RAND()</f>
        <v>0.273509579994838</v>
      </c>
      <c r="S1072" s="40" t="n">
        <f aca="true">RAND()</f>
        <v>0.22445407275216</v>
      </c>
      <c r="T1072" s="40" t="n">
        <f aca="true">RAND()</f>
        <v>0.898639800250629</v>
      </c>
      <c r="U1072" s="40" t="n">
        <f aca="true">RAND()</f>
        <v>0.793321090386142</v>
      </c>
    </row>
    <row r="1073" customFormat="false" ht="15" hidden="false" customHeight="false" outlineLevel="0" collapsed="false">
      <c r="A1073" s="36" t="n">
        <v>993</v>
      </c>
      <c r="B1073" s="37" t="n">
        <f aca="false">1+IF($G$6=$E$6,$F$6,IF(P1073&lt;($F$6-$E$6)/($G$6-$E$6),$E$6+SQRT(P1073*($G$6-$E$6)*($F$6-$E$6)),$G$6-SQRT((1-P1073)*($G$6-$E$6)*($G$6-$F$6))))</f>
        <v>1</v>
      </c>
      <c r="C1073" s="37" t="n">
        <f aca="false">1+IF($G$7=$E$7,$F$7,IF(Q1073&lt;($F$7-$E$7)/($G$7-$E$7),$E$7+SQRT(Q1073*($G$7-$E$7)*($F$7-$E$7)),$G$7-SQRT((1-Q1073)*($G$7-$E$7)*($G$7-$F$7))))</f>
        <v>1</v>
      </c>
      <c r="D1073" s="37" t="n">
        <f aca="false">1+IF($G$8=$E$8,$F$8,IF(R1073&lt;($F$8-$E$8)/($G$8-$E$8),$E$8+SQRT(R1073*($G$8-$E$8)*($F$8-$E$8)),$G$8-SQRT((1-R1073)*($G$8-$E$8)*($G$8-$F$8))))</f>
        <v>1</v>
      </c>
      <c r="E1073" s="37" t="n">
        <f aca="false">1+IF($G$9=$E$9,$F$9,IF(S1073&lt;($F$9-$E$9)/($G$9-$E$9),$E$9+SQRT(S1073*($G$9-$E$9)*($F$9-$E$9)),$G$9-SQRT((1-S1073)*($G$9-$E$9)*($G$9-$F$9))))</f>
        <v>1</v>
      </c>
      <c r="F1073" s="37" t="n">
        <f aca="false">1+IF($G$10=$E$10,$F$10,IF(T1073&lt;($F$10-$E$10)/($G$10-$E$10),$E$10+SQRT(T1073*($G$10-$E$10)*($F$10-$E$10)),$G$10-SQRT((1-T1073)*($G$10-$E$10)*($G$10-$F$10))))</f>
        <v>1</v>
      </c>
      <c r="G1073" s="38" t="n">
        <f aca="false">IF($G$11=$E$11,$F$11,IF(U1073&lt;($F$11-$E$11)/($G$11-$E$11),$E$11+SQRT(U1073*($G$11-$E$11)*($F$11-$E$11)),$G$11-SQRT((1-U1073)*($G$11-$E$11)*($G$11-$F$11))))</f>
        <v>0</v>
      </c>
      <c r="H1073" s="39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0</v>
      </c>
      <c r="I1073" s="39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0</v>
      </c>
      <c r="J1073" s="39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0</v>
      </c>
      <c r="K1073" s="39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0</v>
      </c>
      <c r="L1073" s="39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0</v>
      </c>
      <c r="M1073" s="39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0</v>
      </c>
      <c r="N1073" s="39" t="str">
        <f aca="false">IF(COUNT('Business Case'!B11:G11)=0,"",H1073+NPV(G1073,I1073:M1073))</f>
        <v/>
      </c>
      <c r="P1073" s="40" t="n">
        <f aca="true">RAND()</f>
        <v>0.765499020283147</v>
      </c>
      <c r="Q1073" s="40" t="n">
        <f aca="true">RAND()</f>
        <v>0.0432912531222758</v>
      </c>
      <c r="R1073" s="40" t="n">
        <f aca="true">RAND()</f>
        <v>0.602254916637013</v>
      </c>
      <c r="S1073" s="40" t="n">
        <f aca="true">RAND()</f>
        <v>0.0102227795518967</v>
      </c>
      <c r="T1073" s="40" t="n">
        <f aca="true">RAND()</f>
        <v>0.0892997687572904</v>
      </c>
      <c r="U1073" s="40" t="n">
        <f aca="true">RAND()</f>
        <v>0.789393418504483</v>
      </c>
    </row>
    <row r="1074" customFormat="false" ht="15" hidden="false" customHeight="false" outlineLevel="0" collapsed="false">
      <c r="A1074" s="36" t="n">
        <v>994</v>
      </c>
      <c r="B1074" s="37" t="n">
        <f aca="false">1+IF($G$6=$E$6,$F$6,IF(P1074&lt;($F$6-$E$6)/($G$6-$E$6),$E$6+SQRT(P1074*($G$6-$E$6)*($F$6-$E$6)),$G$6-SQRT((1-P1074)*($G$6-$E$6)*($G$6-$F$6))))</f>
        <v>1</v>
      </c>
      <c r="C1074" s="37" t="n">
        <f aca="false">1+IF($G$7=$E$7,$F$7,IF(Q1074&lt;($F$7-$E$7)/($G$7-$E$7),$E$7+SQRT(Q1074*($G$7-$E$7)*($F$7-$E$7)),$G$7-SQRT((1-Q1074)*($G$7-$E$7)*($G$7-$F$7))))</f>
        <v>1</v>
      </c>
      <c r="D1074" s="37" t="n">
        <f aca="false">1+IF($G$8=$E$8,$F$8,IF(R1074&lt;($F$8-$E$8)/($G$8-$E$8),$E$8+SQRT(R1074*($G$8-$E$8)*($F$8-$E$8)),$G$8-SQRT((1-R1074)*($G$8-$E$8)*($G$8-$F$8))))</f>
        <v>1</v>
      </c>
      <c r="E1074" s="37" t="n">
        <f aca="false">1+IF($G$9=$E$9,$F$9,IF(S1074&lt;($F$9-$E$9)/($G$9-$E$9),$E$9+SQRT(S1074*($G$9-$E$9)*($F$9-$E$9)),$G$9-SQRT((1-S1074)*($G$9-$E$9)*($G$9-$F$9))))</f>
        <v>1</v>
      </c>
      <c r="F1074" s="37" t="n">
        <f aca="false">1+IF($G$10=$E$10,$F$10,IF(T1074&lt;($F$10-$E$10)/($G$10-$E$10),$E$10+SQRT(T1074*($G$10-$E$10)*($F$10-$E$10)),$G$10-SQRT((1-T1074)*($G$10-$E$10)*($G$10-$F$10))))</f>
        <v>1</v>
      </c>
      <c r="G1074" s="38" t="n">
        <f aca="false">IF($G$11=$E$11,$F$11,IF(U1074&lt;($F$11-$E$11)/($G$11-$E$11),$E$11+SQRT(U1074*($G$11-$E$11)*($F$11-$E$11)),$G$11-SQRT((1-U1074)*($G$11-$E$11)*($G$11-$F$11))))</f>
        <v>0</v>
      </c>
      <c r="H1074" s="39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0</v>
      </c>
      <c r="I1074" s="39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0</v>
      </c>
      <c r="J1074" s="39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0</v>
      </c>
      <c r="K1074" s="39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0</v>
      </c>
      <c r="L1074" s="39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0</v>
      </c>
      <c r="M1074" s="39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0</v>
      </c>
      <c r="N1074" s="39" t="str">
        <f aca="false">IF(COUNT('Business Case'!B11:G11)=0,"",H1074+NPV(G1074,I1074:M1074))</f>
        <v/>
      </c>
      <c r="P1074" s="40" t="n">
        <f aca="true">RAND()</f>
        <v>0.568823140696767</v>
      </c>
      <c r="Q1074" s="40" t="n">
        <f aca="true">RAND()</f>
        <v>0.12426192611806</v>
      </c>
      <c r="R1074" s="40" t="n">
        <f aca="true">RAND()</f>
        <v>0.135173938611212</v>
      </c>
      <c r="S1074" s="40" t="n">
        <f aca="true">RAND()</f>
        <v>0.498748575273981</v>
      </c>
      <c r="T1074" s="40" t="n">
        <f aca="true">RAND()</f>
        <v>0.121310128572551</v>
      </c>
      <c r="U1074" s="40" t="n">
        <f aca="true">RAND()</f>
        <v>0.265415292175568</v>
      </c>
    </row>
    <row r="1075" customFormat="false" ht="15" hidden="false" customHeight="false" outlineLevel="0" collapsed="false">
      <c r="A1075" s="36" t="n">
        <v>995</v>
      </c>
      <c r="B1075" s="37" t="n">
        <f aca="false">1+IF($G$6=$E$6,$F$6,IF(P1075&lt;($F$6-$E$6)/($G$6-$E$6),$E$6+SQRT(P1075*($G$6-$E$6)*($F$6-$E$6)),$G$6-SQRT((1-P1075)*($G$6-$E$6)*($G$6-$F$6))))</f>
        <v>1</v>
      </c>
      <c r="C1075" s="37" t="n">
        <f aca="false">1+IF($G$7=$E$7,$F$7,IF(Q1075&lt;($F$7-$E$7)/($G$7-$E$7),$E$7+SQRT(Q1075*($G$7-$E$7)*($F$7-$E$7)),$G$7-SQRT((1-Q1075)*($G$7-$E$7)*($G$7-$F$7))))</f>
        <v>1</v>
      </c>
      <c r="D1075" s="37" t="n">
        <f aca="false">1+IF($G$8=$E$8,$F$8,IF(R1075&lt;($F$8-$E$8)/($G$8-$E$8),$E$8+SQRT(R1075*($G$8-$E$8)*($F$8-$E$8)),$G$8-SQRT((1-R1075)*($G$8-$E$8)*($G$8-$F$8))))</f>
        <v>1</v>
      </c>
      <c r="E1075" s="37" t="n">
        <f aca="false">1+IF($G$9=$E$9,$F$9,IF(S1075&lt;($F$9-$E$9)/($G$9-$E$9),$E$9+SQRT(S1075*($G$9-$E$9)*($F$9-$E$9)),$G$9-SQRT((1-S1075)*($G$9-$E$9)*($G$9-$F$9))))</f>
        <v>1</v>
      </c>
      <c r="F1075" s="37" t="n">
        <f aca="false">1+IF($G$10=$E$10,$F$10,IF(T1075&lt;($F$10-$E$10)/($G$10-$E$10),$E$10+SQRT(T1075*($G$10-$E$10)*($F$10-$E$10)),$G$10-SQRT((1-T1075)*($G$10-$E$10)*($G$10-$F$10))))</f>
        <v>1</v>
      </c>
      <c r="G1075" s="38" t="n">
        <f aca="false">IF($G$11=$E$11,$F$11,IF(U1075&lt;($F$11-$E$11)/($G$11-$E$11),$E$11+SQRT(U1075*($G$11-$E$11)*($F$11-$E$11)),$G$11-SQRT((1-U1075)*($G$11-$E$11)*($G$11-$F$11))))</f>
        <v>0</v>
      </c>
      <c r="H1075" s="39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0</v>
      </c>
      <c r="I1075" s="39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0</v>
      </c>
      <c r="J1075" s="39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0</v>
      </c>
      <c r="K1075" s="39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0</v>
      </c>
      <c r="L1075" s="39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0</v>
      </c>
      <c r="M1075" s="39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0</v>
      </c>
      <c r="N1075" s="39" t="str">
        <f aca="false">IF(COUNT('Business Case'!B11:G11)=0,"",H1075+NPV(G1075,I1075:M1075))</f>
        <v/>
      </c>
      <c r="P1075" s="40" t="n">
        <f aca="true">RAND()</f>
        <v>0.0948614401210236</v>
      </c>
      <c r="Q1075" s="40" t="n">
        <f aca="true">RAND()</f>
        <v>0.391449260689117</v>
      </c>
      <c r="R1075" s="40" t="n">
        <f aca="true">RAND()</f>
        <v>0.192376906562144</v>
      </c>
      <c r="S1075" s="40" t="n">
        <f aca="true">RAND()</f>
        <v>0.382106353616782</v>
      </c>
      <c r="T1075" s="40" t="n">
        <f aca="true">RAND()</f>
        <v>0.147124728909762</v>
      </c>
      <c r="U1075" s="40" t="n">
        <f aca="true">RAND()</f>
        <v>0.186250038308504</v>
      </c>
    </row>
    <row r="1076" customFormat="false" ht="15" hidden="false" customHeight="false" outlineLevel="0" collapsed="false">
      <c r="A1076" s="36" t="n">
        <v>996</v>
      </c>
      <c r="B1076" s="37" t="n">
        <f aca="false">1+IF($G$6=$E$6,$F$6,IF(P1076&lt;($F$6-$E$6)/($G$6-$E$6),$E$6+SQRT(P1076*($G$6-$E$6)*($F$6-$E$6)),$G$6-SQRT((1-P1076)*($G$6-$E$6)*($G$6-$F$6))))</f>
        <v>1</v>
      </c>
      <c r="C1076" s="37" t="n">
        <f aca="false">1+IF($G$7=$E$7,$F$7,IF(Q1076&lt;($F$7-$E$7)/($G$7-$E$7),$E$7+SQRT(Q1076*($G$7-$E$7)*($F$7-$E$7)),$G$7-SQRT((1-Q1076)*($G$7-$E$7)*($G$7-$F$7))))</f>
        <v>1</v>
      </c>
      <c r="D1076" s="37" t="n">
        <f aca="false">1+IF($G$8=$E$8,$F$8,IF(R1076&lt;($F$8-$E$8)/($G$8-$E$8),$E$8+SQRT(R1076*($G$8-$E$8)*($F$8-$E$8)),$G$8-SQRT((1-R1076)*($G$8-$E$8)*($G$8-$F$8))))</f>
        <v>1</v>
      </c>
      <c r="E1076" s="37" t="n">
        <f aca="false">1+IF($G$9=$E$9,$F$9,IF(S1076&lt;($F$9-$E$9)/($G$9-$E$9),$E$9+SQRT(S1076*($G$9-$E$9)*($F$9-$E$9)),$G$9-SQRT((1-S1076)*($G$9-$E$9)*($G$9-$F$9))))</f>
        <v>1</v>
      </c>
      <c r="F1076" s="37" t="n">
        <f aca="false">1+IF($G$10=$E$10,$F$10,IF(T1076&lt;($F$10-$E$10)/($G$10-$E$10),$E$10+SQRT(T1076*($G$10-$E$10)*($F$10-$E$10)),$G$10-SQRT((1-T1076)*($G$10-$E$10)*($G$10-$F$10))))</f>
        <v>1</v>
      </c>
      <c r="G1076" s="38" t="n">
        <f aca="false">IF($G$11=$E$11,$F$11,IF(U1076&lt;($F$11-$E$11)/($G$11-$E$11),$E$11+SQRT(U1076*($G$11-$E$11)*($F$11-$E$11)),$G$11-SQRT((1-U1076)*($G$11-$E$11)*($G$11-$F$11))))</f>
        <v>0</v>
      </c>
      <c r="H1076" s="39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0</v>
      </c>
      <c r="I1076" s="39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0</v>
      </c>
      <c r="J1076" s="39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0</v>
      </c>
      <c r="K1076" s="39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0</v>
      </c>
      <c r="L1076" s="39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0</v>
      </c>
      <c r="M1076" s="39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0</v>
      </c>
      <c r="N1076" s="39" t="str">
        <f aca="false">IF(COUNT('Business Case'!B11:G11)=0,"",H1076+NPV(G1076,I1076:M1076))</f>
        <v/>
      </c>
      <c r="P1076" s="40" t="n">
        <f aca="true">RAND()</f>
        <v>0.445277194259273</v>
      </c>
      <c r="Q1076" s="40" t="n">
        <f aca="true">RAND()</f>
        <v>0.45062095080847</v>
      </c>
      <c r="R1076" s="40" t="n">
        <f aca="true">RAND()</f>
        <v>0.081878803073449</v>
      </c>
      <c r="S1076" s="40" t="n">
        <f aca="true">RAND()</f>
        <v>0.833638047124847</v>
      </c>
      <c r="T1076" s="40" t="n">
        <f aca="true">RAND()</f>
        <v>0.261953613575423</v>
      </c>
      <c r="U1076" s="40" t="n">
        <f aca="true">RAND()</f>
        <v>0.149585977992133</v>
      </c>
    </row>
    <row r="1077" customFormat="false" ht="15" hidden="false" customHeight="false" outlineLevel="0" collapsed="false">
      <c r="A1077" s="36" t="n">
        <v>997</v>
      </c>
      <c r="B1077" s="37" t="n">
        <f aca="false">1+IF($G$6=$E$6,$F$6,IF(P1077&lt;($F$6-$E$6)/($G$6-$E$6),$E$6+SQRT(P1077*($G$6-$E$6)*($F$6-$E$6)),$G$6-SQRT((1-P1077)*($G$6-$E$6)*($G$6-$F$6))))</f>
        <v>1</v>
      </c>
      <c r="C1077" s="37" t="n">
        <f aca="false">1+IF($G$7=$E$7,$F$7,IF(Q1077&lt;($F$7-$E$7)/($G$7-$E$7),$E$7+SQRT(Q1077*($G$7-$E$7)*($F$7-$E$7)),$G$7-SQRT((1-Q1077)*($G$7-$E$7)*($G$7-$F$7))))</f>
        <v>1</v>
      </c>
      <c r="D1077" s="37" t="n">
        <f aca="false">1+IF($G$8=$E$8,$F$8,IF(R1077&lt;($F$8-$E$8)/($G$8-$E$8),$E$8+SQRT(R1077*($G$8-$E$8)*($F$8-$E$8)),$G$8-SQRT((1-R1077)*($G$8-$E$8)*($G$8-$F$8))))</f>
        <v>1</v>
      </c>
      <c r="E1077" s="37" t="n">
        <f aca="false">1+IF($G$9=$E$9,$F$9,IF(S1077&lt;($F$9-$E$9)/($G$9-$E$9),$E$9+SQRT(S1077*($G$9-$E$9)*($F$9-$E$9)),$G$9-SQRT((1-S1077)*($G$9-$E$9)*($G$9-$F$9))))</f>
        <v>1</v>
      </c>
      <c r="F1077" s="37" t="n">
        <f aca="false">1+IF($G$10=$E$10,$F$10,IF(T1077&lt;($F$10-$E$10)/($G$10-$E$10),$E$10+SQRT(T1077*($G$10-$E$10)*($F$10-$E$10)),$G$10-SQRT((1-T1077)*($G$10-$E$10)*($G$10-$F$10))))</f>
        <v>1</v>
      </c>
      <c r="G1077" s="38" t="n">
        <f aca="false">IF($G$11=$E$11,$F$11,IF(U1077&lt;($F$11-$E$11)/($G$11-$E$11),$E$11+SQRT(U1077*($G$11-$E$11)*($F$11-$E$11)),$G$11-SQRT((1-U1077)*($G$11-$E$11)*($G$11-$F$11))))</f>
        <v>0</v>
      </c>
      <c r="H1077" s="39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0</v>
      </c>
      <c r="I1077" s="39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0</v>
      </c>
      <c r="J1077" s="39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0</v>
      </c>
      <c r="K1077" s="39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0</v>
      </c>
      <c r="L1077" s="39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0</v>
      </c>
      <c r="M1077" s="39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0</v>
      </c>
      <c r="N1077" s="39" t="str">
        <f aca="false">IF(COUNT('Business Case'!B11:G11)=0,"",H1077+NPV(G1077,I1077:M1077))</f>
        <v/>
      </c>
      <c r="P1077" s="40" t="n">
        <f aca="true">RAND()</f>
        <v>0.918745865695635</v>
      </c>
      <c r="Q1077" s="40" t="n">
        <f aca="true">RAND()</f>
        <v>0.933998542788641</v>
      </c>
      <c r="R1077" s="40" t="n">
        <f aca="true">RAND()</f>
        <v>0.0469510305607953</v>
      </c>
      <c r="S1077" s="40" t="n">
        <f aca="true">RAND()</f>
        <v>0.426649301790967</v>
      </c>
      <c r="T1077" s="40" t="n">
        <f aca="true">RAND()</f>
        <v>0.866607982979927</v>
      </c>
      <c r="U1077" s="40" t="n">
        <f aca="true">RAND()</f>
        <v>0.960370545468446</v>
      </c>
    </row>
    <row r="1078" customFormat="false" ht="15" hidden="false" customHeight="false" outlineLevel="0" collapsed="false">
      <c r="A1078" s="36" t="n">
        <v>998</v>
      </c>
      <c r="B1078" s="37" t="n">
        <f aca="false">1+IF($G$6=$E$6,$F$6,IF(P1078&lt;($F$6-$E$6)/($G$6-$E$6),$E$6+SQRT(P1078*($G$6-$E$6)*($F$6-$E$6)),$G$6-SQRT((1-P1078)*($G$6-$E$6)*($G$6-$F$6))))</f>
        <v>1</v>
      </c>
      <c r="C1078" s="37" t="n">
        <f aca="false">1+IF($G$7=$E$7,$F$7,IF(Q1078&lt;($F$7-$E$7)/($G$7-$E$7),$E$7+SQRT(Q1078*($G$7-$E$7)*($F$7-$E$7)),$G$7-SQRT((1-Q1078)*($G$7-$E$7)*($G$7-$F$7))))</f>
        <v>1</v>
      </c>
      <c r="D1078" s="37" t="n">
        <f aca="false">1+IF($G$8=$E$8,$F$8,IF(R1078&lt;($F$8-$E$8)/($G$8-$E$8),$E$8+SQRT(R1078*($G$8-$E$8)*($F$8-$E$8)),$G$8-SQRT((1-R1078)*($G$8-$E$8)*($G$8-$F$8))))</f>
        <v>1</v>
      </c>
      <c r="E1078" s="37" t="n">
        <f aca="false">1+IF($G$9=$E$9,$F$9,IF(S1078&lt;($F$9-$E$9)/($G$9-$E$9),$E$9+SQRT(S1078*($G$9-$E$9)*($F$9-$E$9)),$G$9-SQRT((1-S1078)*($G$9-$E$9)*($G$9-$F$9))))</f>
        <v>1</v>
      </c>
      <c r="F1078" s="37" t="n">
        <f aca="false">1+IF($G$10=$E$10,$F$10,IF(T1078&lt;($F$10-$E$10)/($G$10-$E$10),$E$10+SQRT(T1078*($G$10-$E$10)*($F$10-$E$10)),$G$10-SQRT((1-T1078)*($G$10-$E$10)*($G$10-$F$10))))</f>
        <v>1</v>
      </c>
      <c r="G1078" s="38" t="n">
        <f aca="false">IF($G$11=$E$11,$F$11,IF(U1078&lt;($F$11-$E$11)/($G$11-$E$11),$E$11+SQRT(U1078*($G$11-$E$11)*($F$11-$E$11)),$G$11-SQRT((1-U1078)*($G$11-$E$11)*($G$11-$F$11))))</f>
        <v>0</v>
      </c>
      <c r="H1078" s="39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0</v>
      </c>
      <c r="I1078" s="39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0</v>
      </c>
      <c r="J1078" s="39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0</v>
      </c>
      <c r="K1078" s="39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0</v>
      </c>
      <c r="L1078" s="39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0</v>
      </c>
      <c r="M1078" s="39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0</v>
      </c>
      <c r="N1078" s="39" t="str">
        <f aca="false">IF(COUNT('Business Case'!B11:G11)=0,"",H1078+NPV(G1078,I1078:M1078))</f>
        <v/>
      </c>
      <c r="P1078" s="40" t="n">
        <f aca="true">RAND()</f>
        <v>0.0218089146988626</v>
      </c>
      <c r="Q1078" s="40" t="n">
        <f aca="true">RAND()</f>
        <v>0.580916495872586</v>
      </c>
      <c r="R1078" s="40" t="n">
        <f aca="true">RAND()</f>
        <v>0.399742168095551</v>
      </c>
      <c r="S1078" s="40" t="n">
        <f aca="true">RAND()</f>
        <v>0.471728018510045</v>
      </c>
      <c r="T1078" s="40" t="n">
        <f aca="true">RAND()</f>
        <v>0.146753572424127</v>
      </c>
      <c r="U1078" s="40" t="n">
        <f aca="true">RAND()</f>
        <v>0.394344309035661</v>
      </c>
    </row>
    <row r="1079" customFormat="false" ht="15" hidden="false" customHeight="false" outlineLevel="0" collapsed="false">
      <c r="A1079" s="36" t="n">
        <v>999</v>
      </c>
      <c r="B1079" s="37" t="n">
        <f aca="false">1+IF($G$6=$E$6,$F$6,IF(P1079&lt;($F$6-$E$6)/($G$6-$E$6),$E$6+SQRT(P1079*($G$6-$E$6)*($F$6-$E$6)),$G$6-SQRT((1-P1079)*($G$6-$E$6)*($G$6-$F$6))))</f>
        <v>1</v>
      </c>
      <c r="C1079" s="37" t="n">
        <f aca="false">1+IF($G$7=$E$7,$F$7,IF(Q1079&lt;($F$7-$E$7)/($G$7-$E$7),$E$7+SQRT(Q1079*($G$7-$E$7)*($F$7-$E$7)),$G$7-SQRT((1-Q1079)*($G$7-$E$7)*($G$7-$F$7))))</f>
        <v>1</v>
      </c>
      <c r="D1079" s="37" t="n">
        <f aca="false">1+IF($G$8=$E$8,$F$8,IF(R1079&lt;($F$8-$E$8)/($G$8-$E$8),$E$8+SQRT(R1079*($G$8-$E$8)*($F$8-$E$8)),$G$8-SQRT((1-R1079)*($G$8-$E$8)*($G$8-$F$8))))</f>
        <v>1</v>
      </c>
      <c r="E1079" s="37" t="n">
        <f aca="false">1+IF($G$9=$E$9,$F$9,IF(S1079&lt;($F$9-$E$9)/($G$9-$E$9),$E$9+SQRT(S1079*($G$9-$E$9)*($F$9-$E$9)),$G$9-SQRT((1-S1079)*($G$9-$E$9)*($G$9-$F$9))))</f>
        <v>1</v>
      </c>
      <c r="F1079" s="37" t="n">
        <f aca="false">1+IF($G$10=$E$10,$F$10,IF(T1079&lt;($F$10-$E$10)/($G$10-$E$10),$E$10+SQRT(T1079*($G$10-$E$10)*($F$10-$E$10)),$G$10-SQRT((1-T1079)*($G$10-$E$10)*($G$10-$F$10))))</f>
        <v>1</v>
      </c>
      <c r="G1079" s="38" t="n">
        <f aca="false">IF($G$11=$E$11,$F$11,IF(U1079&lt;($F$11-$E$11)/($G$11-$E$11),$E$11+SQRT(U1079*($G$11-$E$11)*($F$11-$E$11)),$G$11-SQRT((1-U1079)*($G$11-$E$11)*($G$11-$F$11))))</f>
        <v>0</v>
      </c>
      <c r="H1079" s="39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0</v>
      </c>
      <c r="I1079" s="39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0</v>
      </c>
      <c r="J1079" s="39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0</v>
      </c>
      <c r="K1079" s="39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0</v>
      </c>
      <c r="L1079" s="39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0</v>
      </c>
      <c r="M1079" s="39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0</v>
      </c>
      <c r="N1079" s="39" t="str">
        <f aca="false">IF(COUNT('Business Case'!B11:G11)=0,"",H1079+NPV(G1079,I1079:M1079))</f>
        <v/>
      </c>
      <c r="P1079" s="40" t="n">
        <f aca="true">RAND()</f>
        <v>0.134487367211678</v>
      </c>
      <c r="Q1079" s="40" t="n">
        <f aca="true">RAND()</f>
        <v>0.361446133943867</v>
      </c>
      <c r="R1079" s="40" t="n">
        <f aca="true">RAND()</f>
        <v>0.109502377753374</v>
      </c>
      <c r="S1079" s="40" t="n">
        <f aca="true">RAND()</f>
        <v>0.275591743823956</v>
      </c>
      <c r="T1079" s="40" t="n">
        <f aca="true">RAND()</f>
        <v>0.0385603593913712</v>
      </c>
      <c r="U1079" s="40" t="n">
        <f aca="true">RAND()</f>
        <v>0.301832598515443</v>
      </c>
    </row>
    <row r="1080" customFormat="false" ht="15" hidden="false" customHeight="false" outlineLevel="0" collapsed="false">
      <c r="A1080" s="36" t="n">
        <v>1000</v>
      </c>
      <c r="B1080" s="37" t="n">
        <f aca="false">1+IF($G$6=$E$6,$F$6,IF(P1080&lt;($F$6-$E$6)/($G$6-$E$6),$E$6+SQRT(P1080*($G$6-$E$6)*($F$6-$E$6)),$G$6-SQRT((1-P1080)*($G$6-$E$6)*($G$6-$F$6))))</f>
        <v>1</v>
      </c>
      <c r="C1080" s="37" t="n">
        <f aca="false">1+IF($G$7=$E$7,$F$7,IF(Q1080&lt;($F$7-$E$7)/($G$7-$E$7),$E$7+SQRT(Q1080*($G$7-$E$7)*($F$7-$E$7)),$G$7-SQRT((1-Q1080)*($G$7-$E$7)*($G$7-$F$7))))</f>
        <v>1</v>
      </c>
      <c r="D1080" s="37" t="n">
        <f aca="false">1+IF($G$8=$E$8,$F$8,IF(R1080&lt;($F$8-$E$8)/($G$8-$E$8),$E$8+SQRT(R1080*($G$8-$E$8)*($F$8-$E$8)),$G$8-SQRT((1-R1080)*($G$8-$E$8)*($G$8-$F$8))))</f>
        <v>1</v>
      </c>
      <c r="E1080" s="37" t="n">
        <f aca="false">1+IF($G$9=$E$9,$F$9,IF(S1080&lt;($F$9-$E$9)/($G$9-$E$9),$E$9+SQRT(S1080*($G$9-$E$9)*($F$9-$E$9)),$G$9-SQRT((1-S1080)*($G$9-$E$9)*($G$9-$F$9))))</f>
        <v>1</v>
      </c>
      <c r="F1080" s="37" t="n">
        <f aca="false">1+IF($G$10=$E$10,$F$10,IF(T1080&lt;($F$10-$E$10)/($G$10-$E$10),$E$10+SQRT(T1080*($G$10-$E$10)*($F$10-$E$10)),$G$10-SQRT((1-T1080)*($G$10-$E$10)*($G$10-$F$10))))</f>
        <v>1</v>
      </c>
      <c r="G1080" s="38" t="n">
        <f aca="false">IF($G$11=$E$11,$F$11,IF(U1080&lt;($F$11-$E$11)/($G$11-$E$11),$E$11+SQRT(U1080*($G$11-$E$11)*($F$11-$E$11)),$G$11-SQRT((1-U1080)*($G$11-$E$11)*($G$11-$F$11))))</f>
        <v>0</v>
      </c>
      <c r="H1080" s="39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0</v>
      </c>
      <c r="I1080" s="39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0</v>
      </c>
      <c r="J1080" s="39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0</v>
      </c>
      <c r="K1080" s="39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0</v>
      </c>
      <c r="L1080" s="39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0</v>
      </c>
      <c r="M1080" s="39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0</v>
      </c>
      <c r="N1080" s="39" t="str">
        <f aca="false">IF(COUNT('Business Case'!B11:G11)=0,"",H1080+NPV(G1080,I1080:M1080))</f>
        <v/>
      </c>
      <c r="P1080" s="40" t="n">
        <f aca="true">RAND()</f>
        <v>0.924366108861028</v>
      </c>
      <c r="Q1080" s="40" t="n">
        <f aca="true">RAND()</f>
        <v>0.773731635181381</v>
      </c>
      <c r="R1080" s="40" t="n">
        <f aca="true">RAND()</f>
        <v>0.109925407174387</v>
      </c>
      <c r="S1080" s="40" t="n">
        <f aca="true">RAND()</f>
        <v>0.874748960084089</v>
      </c>
      <c r="T1080" s="40" t="n">
        <f aca="true">RAND()</f>
        <v>0.842956567073864</v>
      </c>
      <c r="U1080" s="40" t="n">
        <f aca="true">RAND()</f>
        <v>0.491760588028065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6" t="s">
        <v>25</v>
      </c>
    </row>
    <row r="2" customFormat="false" ht="15" hidden="false" customHeight="false" outlineLevel="0" collapsed="false">
      <c r="A2" s="3" t="s">
        <v>298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299</v>
      </c>
      <c r="B5" s="8" t="s">
        <v>300</v>
      </c>
      <c r="C5" s="8" t="s">
        <v>301</v>
      </c>
      <c r="D5" s="8" t="s">
        <v>302</v>
      </c>
      <c r="E5" s="8" t="s">
        <v>303</v>
      </c>
      <c r="F5" s="8" t="s">
        <v>304</v>
      </c>
      <c r="G5" s="8" t="s">
        <v>305</v>
      </c>
      <c r="H5" s="8" t="s">
        <v>306</v>
      </c>
      <c r="I5" s="8" t="s">
        <v>307</v>
      </c>
      <c r="J5" s="8" t="s">
        <v>308</v>
      </c>
      <c r="K5" s="8" t="s">
        <v>309</v>
      </c>
      <c r="L5" s="8" t="s">
        <v>310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41"/>
      <c r="G6" s="41"/>
      <c r="H6" s="22" t="str">
        <f aca="false">IF(AND(ISNUMBER(F6),ISNUMBER(G6),F6&lt;&gt;0,G6&lt;&gt;0),IF(E6="Lower",F6/G6,G6/F6),"")</f>
        <v/>
      </c>
      <c r="I6" s="14" t="str">
        <f aca="false">IF(H6="",IF(C6="","","No actual yet"),IF(H6&gt;=1,"On target",IF(H6&gt;=0.9,"Caution","Below plan")))</f>
        <v/>
      </c>
      <c r="J6" s="9"/>
      <c r="K6" s="9"/>
      <c r="L6" s="9"/>
    </row>
    <row r="7" customFormat="false" ht="15" hidden="false" customHeight="false" outlineLevel="0" collapsed="false">
      <c r="A7" s="9"/>
      <c r="B7" s="9"/>
      <c r="C7" s="9"/>
      <c r="D7" s="9"/>
      <c r="E7" s="9"/>
      <c r="F7" s="41"/>
      <c r="G7" s="41"/>
      <c r="H7" s="22" t="str">
        <f aca="false">IF(AND(ISNUMBER(F7),ISNUMBER(G7),F7&lt;&gt;0,G7&lt;&gt;0),IF(E7="Lower",F7/G7,G7/F7),"")</f>
        <v/>
      </c>
      <c r="I7" s="14" t="str">
        <f aca="false">IF(H7="",IF(C7="","","No actual yet"),IF(H7&gt;=1,"On target",IF(H7&gt;=0.9,"Caution","Below plan")))</f>
        <v/>
      </c>
      <c r="J7" s="9"/>
      <c r="K7" s="9"/>
      <c r="L7" s="9"/>
    </row>
    <row r="8" customFormat="false" ht="15" hidden="false" customHeight="false" outlineLevel="0" collapsed="false">
      <c r="A8" s="9"/>
      <c r="B8" s="9"/>
      <c r="C8" s="9"/>
      <c r="D8" s="9"/>
      <c r="E8" s="9"/>
      <c r="F8" s="41"/>
      <c r="G8" s="41"/>
      <c r="H8" s="22" t="str">
        <f aca="false">IF(AND(ISNUMBER(F8),ISNUMBER(G8),F8&lt;&gt;0,G8&lt;&gt;0),IF(E8="Lower",F8/G8,G8/F8),"")</f>
        <v/>
      </c>
      <c r="I8" s="14" t="str">
        <f aca="false">IF(H8="",IF(C8="","","No actual yet"),IF(H8&gt;=1,"On target",IF(H8&gt;=0.9,"Caution","Below plan")))</f>
        <v/>
      </c>
      <c r="J8" s="9"/>
      <c r="K8" s="9"/>
      <c r="L8" s="9"/>
    </row>
    <row r="9" customFormat="false" ht="15" hidden="false" customHeight="false" outlineLevel="0" collapsed="false">
      <c r="A9" s="9"/>
      <c r="B9" s="9"/>
      <c r="C9" s="9"/>
      <c r="D9" s="9"/>
      <c r="E9" s="9"/>
      <c r="F9" s="41"/>
      <c r="G9" s="41"/>
      <c r="H9" s="22" t="str">
        <f aca="false">IF(AND(ISNUMBER(F9),ISNUMBER(G9),F9&lt;&gt;0,G9&lt;&gt;0),IF(E9="Lower",F9/G9,G9/F9),"")</f>
        <v/>
      </c>
      <c r="I9" s="14" t="str">
        <f aca="false">IF(H9="",IF(C9="","","No actual yet"),IF(H9&gt;=1,"On target",IF(H9&gt;=0.9,"Caution","Below plan")))</f>
        <v/>
      </c>
      <c r="J9" s="9"/>
      <c r="K9" s="9"/>
      <c r="L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41"/>
      <c r="G10" s="41"/>
      <c r="H10" s="22" t="str">
        <f aca="false">IF(AND(ISNUMBER(F10),ISNUMBER(G10),F10&lt;&gt;0,G10&lt;&gt;0),IF(E10="Lower",F10/G10,G10/F10),"")</f>
        <v/>
      </c>
      <c r="I10" s="14" t="str">
        <f aca="false">IF(H10="",IF(C10="","","No actual yet"),IF(H10&gt;=1,"On target",IF(H10&gt;=0.9,"Caution","Below plan")))</f>
        <v/>
      </c>
      <c r="J10" s="9"/>
      <c r="K10" s="9"/>
      <c r="L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41"/>
      <c r="G11" s="41"/>
      <c r="H11" s="22" t="str">
        <f aca="false">IF(AND(ISNUMBER(F11),ISNUMBER(G11),F11&lt;&gt;0,G11&lt;&gt;0),IF(E11="Lower",F11/G11,G11/F11),"")</f>
        <v/>
      </c>
      <c r="I11" s="14" t="str">
        <f aca="false">IF(H11="",IF(C11="","","No actual yet"),IF(H11&gt;=1,"On target",IF(H11&gt;=0.9,"Caution","Below plan")))</f>
        <v/>
      </c>
      <c r="J11" s="9"/>
      <c r="K11" s="9"/>
      <c r="L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41"/>
      <c r="G12" s="41"/>
      <c r="H12" s="22" t="str">
        <f aca="false">IF(AND(ISNUMBER(F12),ISNUMBER(G12),F12&lt;&gt;0,G12&lt;&gt;0),IF(E12="Lower",F12/G12,G12/F12),"")</f>
        <v/>
      </c>
      <c r="I12" s="14" t="str">
        <f aca="false">IF(H12="",IF(C12="","","No actual yet"),IF(H12&gt;=1,"On target",IF(H12&gt;=0.9,"Caution","Below plan")))</f>
        <v/>
      </c>
      <c r="J12" s="9"/>
      <c r="K12" s="9"/>
      <c r="L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41"/>
      <c r="G13" s="41"/>
      <c r="H13" s="22" t="str">
        <f aca="false">IF(AND(ISNUMBER(F13),ISNUMBER(G13),F13&lt;&gt;0,G13&lt;&gt;0),IF(E13="Lower",F13/G13,G13/F13),"")</f>
        <v/>
      </c>
      <c r="I13" s="14" t="str">
        <f aca="false">IF(H13="",IF(C13="","","No actual yet"),IF(H13&gt;=1,"On target",IF(H13&gt;=0.9,"Caution","Below plan")))</f>
        <v/>
      </c>
      <c r="J13" s="9"/>
      <c r="K13" s="9"/>
      <c r="L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41"/>
      <c r="G14" s="41"/>
      <c r="H14" s="22" t="str">
        <f aca="false">IF(AND(ISNUMBER(F14),ISNUMBER(G14),F14&lt;&gt;0,G14&lt;&gt;0),IF(E14="Lower",F14/G14,G14/F14),"")</f>
        <v/>
      </c>
      <c r="I14" s="14" t="str">
        <f aca="false">IF(H14="",IF(C14="","","No actual yet"),IF(H14&gt;=1,"On target",IF(H14&gt;=0.9,"Caution","Below plan")))</f>
        <v/>
      </c>
      <c r="J14" s="9"/>
      <c r="K14" s="9"/>
      <c r="L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41"/>
      <c r="G15" s="41"/>
      <c r="H15" s="22" t="str">
        <f aca="false">IF(AND(ISNUMBER(F15),ISNUMBER(G15),F15&lt;&gt;0,G15&lt;&gt;0),IF(E15="Lower",F15/G15,G15/F15),"")</f>
        <v/>
      </c>
      <c r="I15" s="14" t="str">
        <f aca="false">IF(H15="",IF(C15="","","No actual yet"),IF(H15&gt;=1,"On target",IF(H15&gt;=0.9,"Caution","Below plan")))</f>
        <v/>
      </c>
      <c r="J15" s="9"/>
      <c r="K15" s="9"/>
      <c r="L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41"/>
      <c r="G16" s="41"/>
      <c r="H16" s="22" t="str">
        <f aca="false">IF(AND(ISNUMBER(F16),ISNUMBER(G16),F16&lt;&gt;0,G16&lt;&gt;0),IF(E16="Lower",F16/G16,G16/F16),"")</f>
        <v/>
      </c>
      <c r="I16" s="14" t="str">
        <f aca="false">IF(H16="",IF(C16="","","No actual yet"),IF(H16&gt;=1,"On target",IF(H16&gt;=0.9,"Caution","Below plan")))</f>
        <v/>
      </c>
      <c r="J16" s="9"/>
      <c r="K16" s="9"/>
      <c r="L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41"/>
      <c r="G17" s="41"/>
      <c r="H17" s="22" t="str">
        <f aca="false">IF(AND(ISNUMBER(F17),ISNUMBER(G17),F17&lt;&gt;0,G17&lt;&gt;0),IF(E17="Lower",F17/G17,G17/F17),"")</f>
        <v/>
      </c>
      <c r="I17" s="14" t="str">
        <f aca="false">IF(H17="",IF(C17="","","No actual yet"),IF(H17&gt;=1,"On target",IF(H17&gt;=0.9,"Caution","Below plan")))</f>
        <v/>
      </c>
      <c r="J17" s="9"/>
      <c r="K17" s="9"/>
      <c r="L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41"/>
      <c r="G18" s="41"/>
      <c r="H18" s="22" t="str">
        <f aca="false">IF(AND(ISNUMBER(F18),ISNUMBER(G18),F18&lt;&gt;0,G18&lt;&gt;0),IF(E18="Lower",F18/G18,G18/F18),"")</f>
        <v/>
      </c>
      <c r="I18" s="14" t="str">
        <f aca="false">IF(H18="",IF(C18="","","No actual yet"),IF(H18&gt;=1,"On target",IF(H18&gt;=0.9,"Caution","Below plan")))</f>
        <v/>
      </c>
      <c r="J18" s="9"/>
      <c r="K18" s="9"/>
      <c r="L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41"/>
      <c r="G19" s="41"/>
      <c r="H19" s="22" t="str">
        <f aca="false">IF(AND(ISNUMBER(F19),ISNUMBER(G19),F19&lt;&gt;0,G19&lt;&gt;0),IF(E19="Lower",F19/G19,G19/F19),"")</f>
        <v/>
      </c>
      <c r="I19" s="14" t="str">
        <f aca="false">IF(H19="",IF(C19="","","No actual yet"),IF(H19&gt;=1,"On target",IF(H19&gt;=0.9,"Caution","Below plan")))</f>
        <v/>
      </c>
      <c r="J19" s="9"/>
      <c r="K19" s="9"/>
      <c r="L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41"/>
      <c r="G20" s="41"/>
      <c r="H20" s="22" t="str">
        <f aca="false">IF(AND(ISNUMBER(F20),ISNUMBER(G20),F20&lt;&gt;0,G20&lt;&gt;0),IF(E20="Lower",F20/G20,G20/F20),"")</f>
        <v/>
      </c>
      <c r="I20" s="14" t="str">
        <f aca="false">IF(H20="",IF(C20="","","No actual yet"),IF(H20&gt;=1,"On target",IF(H20&gt;=0.9,"Caution","Below plan")))</f>
        <v/>
      </c>
      <c r="J20" s="9"/>
      <c r="K20" s="9"/>
      <c r="L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41"/>
      <c r="G21" s="41"/>
      <c r="H21" s="22" t="str">
        <f aca="false">IF(AND(ISNUMBER(F21),ISNUMBER(G21),F21&lt;&gt;0,G21&lt;&gt;0),IF(E21="Lower",F21/G21,G21/F21),"")</f>
        <v/>
      </c>
      <c r="I21" s="14" t="str">
        <f aca="false">IF(H21="",IF(C21="","","No actual yet"),IF(H21&gt;=1,"On target",IF(H21&gt;=0.9,"Caution","Below plan")))</f>
        <v/>
      </c>
      <c r="J21" s="9"/>
      <c r="K21" s="9"/>
      <c r="L21" s="9"/>
    </row>
    <row r="23" customFormat="false" ht="15" hidden="false" customHeight="false" outlineLevel="0" collapsed="false">
      <c r="A23" s="11" t="s">
        <v>311</v>
      </c>
    </row>
    <row r="24" customFormat="false" ht="23.85" hidden="false" customHeight="false" outlineLevel="0" collapsed="false">
      <c r="B24" s="5" t="s">
        <v>312</v>
      </c>
      <c r="C24" s="10" t="n">
        <f aca="false">COUNTIFS($A$6:$A$21,B24,$C$6:$C$21,"&lt;&gt;")</f>
        <v>0</v>
      </c>
      <c r="D24" s="14" t="str">
        <f aca="false">IF(C24=0,"Add a measure","OK")</f>
        <v>Add a measure</v>
      </c>
    </row>
    <row r="25" customFormat="false" ht="23.85" hidden="false" customHeight="false" outlineLevel="0" collapsed="false">
      <c r="B25" s="5" t="s">
        <v>313</v>
      </c>
      <c r="C25" s="10" t="n">
        <f aca="false">COUNTIFS($A$6:$A$21,B25,$C$6:$C$21,"&lt;&gt;")</f>
        <v>0</v>
      </c>
      <c r="D25" s="14" t="str">
        <f aca="false">IF(C25=0,"Add a measure","OK")</f>
        <v>Add a measure</v>
      </c>
    </row>
    <row r="26" customFormat="false" ht="23.85" hidden="false" customHeight="false" outlineLevel="0" collapsed="false">
      <c r="B26" s="5" t="s">
        <v>314</v>
      </c>
      <c r="C26" s="10" t="n">
        <f aca="false">COUNTIFS($A$6:$A$21,B26,$C$6:$C$21,"&lt;&gt;")</f>
        <v>0</v>
      </c>
      <c r="D26" s="14" t="str">
        <f aca="false">IF(C26=0,"Add a measure","OK")</f>
        <v>Add a measure</v>
      </c>
    </row>
    <row r="27" customFormat="false" ht="23.85" hidden="false" customHeight="false" outlineLevel="0" collapsed="false">
      <c r="B27" s="5" t="s">
        <v>315</v>
      </c>
      <c r="C27" s="10" t="n">
        <f aca="false">COUNTIFS($A$6:$A$21,B27,$C$6:$C$21,"&lt;&gt;")</f>
        <v>0</v>
      </c>
      <c r="D27" s="14" t="str">
        <f aca="false">IF(C27=0,"Add a measure","OK")</f>
        <v>Add a measure</v>
      </c>
    </row>
    <row r="29" customFormat="false" ht="15" hidden="false" customHeight="false" outlineLevel="0" collapsed="false">
      <c r="B29" s="5" t="s">
        <v>316</v>
      </c>
      <c r="C29" s="10" t="n">
        <f aca="false">COUNTA(C6:C21)</f>
        <v>0</v>
      </c>
    </row>
    <row r="30" customFormat="false" ht="15" hidden="false" customHeight="false" outlineLevel="0" collapsed="false">
      <c r="B30" s="5" t="s">
        <v>317</v>
      </c>
      <c r="C30" s="22" t="str">
        <f aca="false">IF(C29=0,"",COUNTIFS(D6:D21,"Leading",C6:C21,"&lt;&gt;")/C29)</f>
        <v/>
      </c>
      <c r="D30" s="14" t="str">
        <f aca="false">IF(C30="","",IF(C30&gt;=1/3,"OK","Add leading measures"))</f>
        <v/>
      </c>
    </row>
    <row r="31" customFormat="false" ht="15" hidden="false" customHeight="false" outlineLevel="0" collapsed="false">
      <c r="B31" s="5" t="s">
        <v>318</v>
      </c>
      <c r="C31" s="10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6" t="s">
        <v>27</v>
      </c>
    </row>
    <row r="2" customFormat="false" ht="15" hidden="false" customHeight="false" outlineLevel="0" collapsed="false">
      <c r="A2" s="3" t="s">
        <v>319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43</v>
      </c>
      <c r="B5" s="8" t="s">
        <v>299</v>
      </c>
      <c r="C5" s="8" t="s">
        <v>300</v>
      </c>
      <c r="D5" s="8" t="s">
        <v>320</v>
      </c>
      <c r="E5" s="8" t="s">
        <v>321</v>
      </c>
    </row>
    <row r="6" customFormat="false" ht="15" hidden="false" customHeight="false" outlineLevel="0" collapsed="false">
      <c r="A6" s="9"/>
      <c r="B6" s="9"/>
      <c r="C6" s="9"/>
      <c r="D6" s="9"/>
      <c r="E6" s="14" t="str">
        <f aca="false">IF(A6="","",IF(AND(B6&lt;&gt;"Financial",D6=""),"Drives nothing",IF(AND(B6&lt;&gt;"Learning and growth",COUNTIF($D$6:$D$21,"*"&amp;A6&amp;"*")=0),"Nothing drives it","OK")))</f>
        <v/>
      </c>
    </row>
    <row r="7" customFormat="false" ht="15" hidden="false" customHeight="false" outlineLevel="0" collapsed="false">
      <c r="A7" s="9"/>
      <c r="B7" s="9"/>
      <c r="C7" s="9"/>
      <c r="D7" s="9"/>
      <c r="E7" s="14" t="str">
        <f aca="false">IF(A7="","",IF(AND(B7&lt;&gt;"Financial",D7=""),"Drives nothing",IF(AND(B7&lt;&gt;"Learning and growth",COUNTIF($D$6:$D$21,"*"&amp;A7&amp;"*")=0),"Nothing drives it","OK")))</f>
        <v/>
      </c>
    </row>
    <row r="8" customFormat="false" ht="15" hidden="false" customHeight="false" outlineLevel="0" collapsed="false">
      <c r="A8" s="9"/>
      <c r="B8" s="9"/>
      <c r="C8" s="9"/>
      <c r="D8" s="9"/>
      <c r="E8" s="14" t="str">
        <f aca="false">IF(A8="","",IF(AND(B8&lt;&gt;"Financial",D8=""),"Drives nothing",IF(AND(B8&lt;&gt;"Learning and growth",COUNTIF($D$6:$D$21,"*"&amp;A8&amp;"*")=0),"Nothing drives it","OK")))</f>
        <v/>
      </c>
    </row>
    <row r="9" customFormat="false" ht="15" hidden="false" customHeight="false" outlineLevel="0" collapsed="false">
      <c r="A9" s="9"/>
      <c r="B9" s="9"/>
      <c r="C9" s="9"/>
      <c r="D9" s="9"/>
      <c r="E9" s="14" t="str">
        <f aca="false">IF(A9="","",IF(AND(B9&lt;&gt;"Financial",D9=""),"Drives nothing",IF(AND(B9&lt;&gt;"Learning and growth",COUNTIF($D$6:$D$21,"*"&amp;A9&amp;"*")=0),"Nothing drives it","OK")))</f>
        <v/>
      </c>
    </row>
    <row r="10" customFormat="false" ht="15" hidden="false" customHeight="false" outlineLevel="0" collapsed="false">
      <c r="A10" s="9"/>
      <c r="B10" s="9"/>
      <c r="C10" s="9"/>
      <c r="D10" s="9"/>
      <c r="E10" s="14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9"/>
      <c r="B11" s="9"/>
      <c r="C11" s="9"/>
      <c r="D11" s="9"/>
      <c r="E11" s="14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9"/>
      <c r="B12" s="9"/>
      <c r="C12" s="9"/>
      <c r="D12" s="9"/>
      <c r="E12" s="14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9"/>
      <c r="B13" s="9"/>
      <c r="C13" s="9"/>
      <c r="D13" s="9"/>
      <c r="E13" s="14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9"/>
      <c r="B14" s="9"/>
      <c r="C14" s="9"/>
      <c r="D14" s="9"/>
      <c r="E14" s="14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14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14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14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14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14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14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14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6" t="s">
        <v>322</v>
      </c>
    </row>
    <row r="2" customFormat="false" ht="15" hidden="false" customHeight="false" outlineLevel="0" collapsed="false">
      <c r="A2" s="3" t="s">
        <v>323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324</v>
      </c>
      <c r="B5" s="8" t="s">
        <v>325</v>
      </c>
      <c r="C5" s="8" t="s">
        <v>326</v>
      </c>
      <c r="D5" s="8" t="s">
        <v>327</v>
      </c>
      <c r="E5" s="8" t="s">
        <v>328</v>
      </c>
      <c r="F5" s="8" t="s">
        <v>329</v>
      </c>
      <c r="G5" s="8" t="s">
        <v>330</v>
      </c>
    </row>
    <row r="6" customFormat="false" ht="15" hidden="false" customHeight="false" outlineLevel="0" collapsed="false">
      <c r="A6" s="9"/>
      <c r="B6" s="9"/>
      <c r="C6" s="29"/>
      <c r="D6" s="13"/>
      <c r="E6" s="13"/>
      <c r="F6" s="42"/>
      <c r="G6" s="14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/>
      </c>
    </row>
    <row r="7" customFormat="false" ht="15" hidden="false" customHeight="false" outlineLevel="0" collapsed="false">
      <c r="A7" s="9"/>
      <c r="B7" s="9"/>
      <c r="C7" s="29"/>
      <c r="D7" s="13"/>
      <c r="E7" s="13"/>
      <c r="F7" s="42"/>
      <c r="G7" s="14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/>
      </c>
    </row>
    <row r="8" customFormat="false" ht="15" hidden="false" customHeight="false" outlineLevel="0" collapsed="false">
      <c r="A8" s="9"/>
      <c r="B8" s="9"/>
      <c r="C8" s="29"/>
      <c r="D8" s="13"/>
      <c r="E8" s="13"/>
      <c r="F8" s="42"/>
      <c r="G8" s="14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/>
      </c>
    </row>
    <row r="9" customFormat="false" ht="15" hidden="false" customHeight="false" outlineLevel="0" collapsed="false">
      <c r="A9" s="9"/>
      <c r="B9" s="9"/>
      <c r="C9" s="29"/>
      <c r="D9" s="13"/>
      <c r="E9" s="13"/>
      <c r="F9" s="42"/>
      <c r="G9" s="14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/>
      </c>
    </row>
    <row r="10" customFormat="false" ht="15" hidden="false" customHeight="false" outlineLevel="0" collapsed="false">
      <c r="A10" s="9"/>
      <c r="B10" s="9"/>
      <c r="C10" s="29"/>
      <c r="D10" s="13"/>
      <c r="E10" s="13"/>
      <c r="F10" s="42"/>
      <c r="G10" s="14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/>
      </c>
    </row>
    <row r="11" customFormat="false" ht="15" hidden="false" customHeight="false" outlineLevel="0" collapsed="false">
      <c r="A11" s="9"/>
      <c r="B11" s="9"/>
      <c r="C11" s="29"/>
      <c r="D11" s="13"/>
      <c r="E11" s="13"/>
      <c r="F11" s="42"/>
      <c r="G11" s="14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9"/>
      <c r="B12" s="9"/>
      <c r="C12" s="29"/>
      <c r="D12" s="13"/>
      <c r="E12" s="13"/>
      <c r="F12" s="42"/>
      <c r="G12" s="14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9"/>
      <c r="B13" s="9"/>
      <c r="C13" s="29"/>
      <c r="D13" s="13"/>
      <c r="E13" s="13"/>
      <c r="F13" s="42"/>
      <c r="G13" s="14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9"/>
      <c r="B14" s="9"/>
      <c r="C14" s="29"/>
      <c r="D14" s="13"/>
      <c r="E14" s="13"/>
      <c r="F14" s="42"/>
      <c r="G14" s="14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9"/>
      <c r="B15" s="9"/>
      <c r="C15" s="29"/>
      <c r="D15" s="13"/>
      <c r="E15" s="13"/>
      <c r="F15" s="42"/>
      <c r="G15" s="14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9"/>
      <c r="B16" s="9"/>
      <c r="C16" s="29"/>
      <c r="D16" s="13"/>
      <c r="E16" s="13"/>
      <c r="F16" s="42"/>
      <c r="G16" s="14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9"/>
      <c r="B17" s="9"/>
      <c r="C17" s="29"/>
      <c r="D17" s="13"/>
      <c r="E17" s="13"/>
      <c r="F17" s="42"/>
      <c r="G17" s="14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9"/>
      <c r="B18" s="9"/>
      <c r="C18" s="29"/>
      <c r="D18" s="13"/>
      <c r="E18" s="13"/>
      <c r="F18" s="42"/>
      <c r="G18" s="14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9"/>
      <c r="B19" s="9"/>
      <c r="C19" s="29"/>
      <c r="D19" s="13"/>
      <c r="E19" s="13"/>
      <c r="F19" s="42"/>
      <c r="G19" s="14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9"/>
      <c r="B20" s="9"/>
      <c r="C20" s="29"/>
      <c r="D20" s="13"/>
      <c r="E20" s="13"/>
      <c r="F20" s="42"/>
      <c r="G20" s="14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9"/>
      <c r="B21" s="9"/>
      <c r="C21" s="29"/>
      <c r="D21" s="13"/>
      <c r="E21" s="13"/>
      <c r="F21" s="42"/>
      <c r="G21" s="14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9"/>
      <c r="B22" s="9"/>
      <c r="C22" s="29"/>
      <c r="D22" s="13"/>
      <c r="E22" s="13"/>
      <c r="F22" s="42"/>
      <c r="G22" s="14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9"/>
      <c r="B23" s="9"/>
      <c r="C23" s="29"/>
      <c r="D23" s="13"/>
      <c r="E23" s="13"/>
      <c r="F23" s="42"/>
      <c r="G23" s="14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9"/>
      <c r="B24" s="9"/>
      <c r="C24" s="29"/>
      <c r="D24" s="13"/>
      <c r="E24" s="13"/>
      <c r="F24" s="42"/>
      <c r="G24" s="14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9"/>
      <c r="B25" s="9"/>
      <c r="C25" s="29"/>
      <c r="D25" s="13"/>
      <c r="E25" s="13"/>
      <c r="F25" s="42"/>
      <c r="G25" s="14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9"/>
      <c r="B26" s="9"/>
      <c r="C26" s="29"/>
      <c r="D26" s="13"/>
      <c r="E26" s="13"/>
      <c r="F26" s="42"/>
      <c r="G26" s="14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9"/>
      <c r="B27" s="9"/>
      <c r="C27" s="29"/>
      <c r="D27" s="13"/>
      <c r="E27" s="13"/>
      <c r="F27" s="42"/>
      <c r="G27" s="14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9"/>
      <c r="B28" s="9"/>
      <c r="C28" s="29"/>
      <c r="D28" s="13"/>
      <c r="E28" s="13"/>
      <c r="F28" s="42"/>
      <c r="G28" s="14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9"/>
      <c r="B29" s="9"/>
      <c r="C29" s="29"/>
      <c r="D29" s="13"/>
      <c r="E29" s="13"/>
      <c r="F29" s="42"/>
      <c r="G29" s="14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11" t="s">
        <v>331</v>
      </c>
      <c r="C31" s="11" t="s">
        <v>332</v>
      </c>
      <c r="D31" s="11" t="s">
        <v>333</v>
      </c>
    </row>
    <row r="32" customFormat="false" ht="15" hidden="false" customHeight="false" outlineLevel="0" collapsed="false">
      <c r="A32" s="5" t="s">
        <v>334</v>
      </c>
      <c r="C32" s="33" t="str">
        <f aca="false">IFERROR(SUMPRODUCT(($B$6:$B$29="Camera")*$C$6:$C$29*$E$6:$E$29)/SUMIF($B$6:$B$29,"Camera",$E$6:$E$29),"")</f>
        <v/>
      </c>
      <c r="D32" s="25" t="str">
        <f aca="false">IFERROR(SUMPRODUCT(($B$6:$B$29="Camera")*$D$6:$D$29*$E$6:$E$29)/SUMIF($B$6:$B$29,"Camera",$E$6:$E$29),"")</f>
        <v/>
      </c>
    </row>
    <row r="33" customFormat="false" ht="15" hidden="false" customHeight="false" outlineLevel="0" collapsed="false">
      <c r="A33" s="5" t="s">
        <v>335</v>
      </c>
      <c r="C33" s="33" t="str">
        <f aca="false">IFERROR(SUMPRODUCT(($B$6:$B$29="Drone")*$C$6:$C$29*$E$6:$E$29)/SUMIF($B$6:$B$29,"Drone",$E$6:$E$29),"")</f>
        <v/>
      </c>
      <c r="D33" s="25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6" t="s">
        <v>336</v>
      </c>
    </row>
    <row r="2" customFormat="false" ht="15" hidden="false" customHeight="false" outlineLevel="0" collapsed="false">
      <c r="A2" s="3" t="s">
        <v>337</v>
      </c>
    </row>
    <row r="3" customFormat="false" ht="15" hidden="false" customHeight="false" outlineLevel="0" collapsed="false">
      <c r="A3" s="7" t="s">
        <v>42</v>
      </c>
    </row>
    <row r="4" customFormat="false" ht="15" hidden="false" customHeight="false" outlineLevel="0" collapsed="false">
      <c r="A4" s="4" t="s">
        <v>338</v>
      </c>
      <c r="D4" s="17" t="n">
        <v>0.15</v>
      </c>
    </row>
    <row r="5" customFormat="false" ht="30" hidden="false" customHeight="true" outlineLevel="0" collapsed="false">
      <c r="A5" s="8" t="s">
        <v>339</v>
      </c>
      <c r="B5" s="8" t="s">
        <v>340</v>
      </c>
      <c r="C5" s="8" t="s">
        <v>341</v>
      </c>
      <c r="D5" s="8" t="s">
        <v>342</v>
      </c>
      <c r="E5" s="8" t="s">
        <v>343</v>
      </c>
      <c r="F5" s="8" t="s">
        <v>344</v>
      </c>
      <c r="G5" s="8" t="s">
        <v>345</v>
      </c>
      <c r="H5" s="8" t="s">
        <v>346</v>
      </c>
      <c r="I5" s="8" t="s">
        <v>347</v>
      </c>
      <c r="J5" s="8" t="s">
        <v>348</v>
      </c>
      <c r="K5" s="8" t="s">
        <v>349</v>
      </c>
      <c r="L5" s="8" t="s">
        <v>350</v>
      </c>
      <c r="M5" s="8" t="s">
        <v>351</v>
      </c>
      <c r="N5" s="8" t="s">
        <v>352</v>
      </c>
    </row>
    <row r="6" customFormat="false" ht="15" hidden="false" customHeight="false" outlineLevel="0" collapsed="false">
      <c r="A6" s="43" t="s">
        <v>353</v>
      </c>
      <c r="B6" s="11" t="s">
        <v>354</v>
      </c>
      <c r="C6" s="5" t="s">
        <v>355</v>
      </c>
      <c r="D6" s="5" t="s">
        <v>356</v>
      </c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43" t="s">
        <v>357</v>
      </c>
      <c r="B7" s="11"/>
      <c r="C7" s="5" t="s">
        <v>358</v>
      </c>
      <c r="D7" s="5" t="s">
        <v>356</v>
      </c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43" t="s">
        <v>359</v>
      </c>
      <c r="B8" s="11" t="s">
        <v>360</v>
      </c>
      <c r="C8" s="5" t="s">
        <v>361</v>
      </c>
      <c r="D8" s="5" t="s">
        <v>362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customFormat="false" ht="15" hidden="false" customHeight="false" outlineLevel="0" collapsed="false">
      <c r="A9" s="43" t="s">
        <v>363</v>
      </c>
      <c r="B9" s="11"/>
      <c r="C9" s="5" t="s">
        <v>364</v>
      </c>
      <c r="D9" s="5" t="s">
        <v>362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5" hidden="false" customHeight="false" outlineLevel="0" collapsed="false">
      <c r="A10" s="43" t="s">
        <v>365</v>
      </c>
      <c r="B10" s="11"/>
      <c r="C10" s="5" t="s">
        <v>366</v>
      </c>
      <c r="D10" s="5" t="s">
        <v>367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customFormat="false" ht="15" hidden="false" customHeight="false" outlineLevel="0" collapsed="false">
      <c r="A11" s="43" t="s">
        <v>368</v>
      </c>
      <c r="B11" s="11"/>
      <c r="C11" s="5" t="s">
        <v>369</v>
      </c>
      <c r="D11" s="5" t="s">
        <v>367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customFormat="false" ht="15" hidden="false" customHeight="false" outlineLevel="0" collapsed="false">
      <c r="A12" s="43" t="s">
        <v>370</v>
      </c>
      <c r="B12" s="11"/>
      <c r="C12" s="5" t="s">
        <v>371</v>
      </c>
      <c r="D12" s="5" t="s">
        <v>372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15" hidden="false" customHeight="false" outlineLevel="0" collapsed="false">
      <c r="A13" s="43" t="s">
        <v>373</v>
      </c>
      <c r="B13" s="11"/>
      <c r="C13" s="5" t="s">
        <v>374</v>
      </c>
      <c r="D13" s="5" t="s">
        <v>372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5" hidden="false" customHeight="false" outlineLevel="0" collapsed="false">
      <c r="A14" s="43" t="s">
        <v>375</v>
      </c>
      <c r="B14" s="11" t="s">
        <v>376</v>
      </c>
      <c r="C14" s="5" t="s">
        <v>377</v>
      </c>
      <c r="D14" s="5" t="s">
        <v>209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customFormat="false" ht="15" hidden="false" customHeight="false" outlineLevel="0" collapsed="false">
      <c r="A15" s="43" t="s">
        <v>378</v>
      </c>
      <c r="B15" s="11"/>
      <c r="C15" s="5" t="s">
        <v>379</v>
      </c>
      <c r="D15" s="5" t="s">
        <v>209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customFormat="false" ht="15" hidden="false" customHeight="false" outlineLevel="0" collapsed="false">
      <c r="A16" s="43" t="s">
        <v>380</v>
      </c>
      <c r="B16" s="11"/>
      <c r="C16" s="5" t="s">
        <v>381</v>
      </c>
      <c r="D16" s="5" t="s">
        <v>209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customFormat="false" ht="15" hidden="false" customHeight="false" outlineLevel="0" collapsed="false">
      <c r="A17" s="43" t="s">
        <v>382</v>
      </c>
      <c r="B17" s="11"/>
      <c r="C17" s="5" t="s">
        <v>383</v>
      </c>
      <c r="D17" s="5" t="s">
        <v>209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customFormat="false" ht="15" hidden="false" customHeight="false" outlineLevel="0" collapsed="false">
      <c r="A18" s="43" t="s">
        <v>384</v>
      </c>
      <c r="B18" s="11"/>
      <c r="C18" s="5" t="s">
        <v>385</v>
      </c>
      <c r="D18" s="5" t="s">
        <v>209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customFormat="false" ht="15" hidden="false" customHeight="false" outlineLevel="0" collapsed="false">
      <c r="A19" s="43" t="s">
        <v>386</v>
      </c>
      <c r="B19" s="11"/>
      <c r="C19" s="5" t="s">
        <v>387</v>
      </c>
      <c r="D19" s="5" t="s">
        <v>209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customFormat="false" ht="15" hidden="false" customHeight="false" outlineLevel="0" collapsed="false">
      <c r="A20" s="43" t="s">
        <v>388</v>
      </c>
      <c r="B20" s="11"/>
      <c r="C20" s="5" t="s">
        <v>389</v>
      </c>
      <c r="D20" s="5" t="s">
        <v>209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customFormat="false" ht="15" hidden="false" customHeight="false" outlineLevel="0" collapsed="false">
      <c r="A21" s="43" t="s">
        <v>390</v>
      </c>
      <c r="B21" s="11"/>
      <c r="C21" s="5" t="s">
        <v>391</v>
      </c>
      <c r="D21" s="5" t="s">
        <v>209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customFormat="false" ht="15" hidden="false" customHeight="false" outlineLevel="0" collapsed="false">
      <c r="A22" s="43" t="s">
        <v>392</v>
      </c>
      <c r="B22" s="11"/>
      <c r="C22" s="5" t="s">
        <v>393</v>
      </c>
      <c r="D22" s="5" t="s">
        <v>372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customFormat="false" ht="15" hidden="false" customHeight="false" outlineLevel="0" collapsed="false">
      <c r="A23" s="43" t="s">
        <v>394</v>
      </c>
      <c r="B23" s="11"/>
      <c r="C23" s="5" t="s">
        <v>395</v>
      </c>
      <c r="D23" s="5" t="s">
        <v>372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customFormat="false" ht="15" hidden="false" customHeight="false" outlineLevel="0" collapsed="false">
      <c r="A24" s="43" t="s">
        <v>396</v>
      </c>
      <c r="B24" s="11"/>
      <c r="C24" s="5" t="s">
        <v>397</v>
      </c>
      <c r="D24" s="5" t="s">
        <v>372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customFormat="false" ht="15" hidden="false" customHeight="false" outlineLevel="0" collapsed="false">
      <c r="A25" s="43" t="s">
        <v>398</v>
      </c>
      <c r="B25" s="11"/>
      <c r="C25" s="5" t="s">
        <v>399</v>
      </c>
      <c r="D25" s="5" t="s">
        <v>372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customFormat="false" ht="15" hidden="false" customHeight="false" outlineLevel="0" collapsed="false">
      <c r="A26" s="43" t="s">
        <v>400</v>
      </c>
      <c r="B26" s="11"/>
      <c r="C26" s="5" t="s">
        <v>401</v>
      </c>
      <c r="D26" s="5" t="s">
        <v>372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customFormat="false" ht="15" hidden="false" customHeight="false" outlineLevel="0" collapsed="false">
      <c r="A27" s="43" t="s">
        <v>402</v>
      </c>
      <c r="B27" s="11"/>
      <c r="C27" s="5" t="s">
        <v>403</v>
      </c>
      <c r="D27" s="5" t="s">
        <v>372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customFormat="false" ht="15" hidden="false" customHeight="false" outlineLevel="0" collapsed="false">
      <c r="A28" s="43" t="s">
        <v>404</v>
      </c>
      <c r="B28" s="11"/>
      <c r="C28" s="5" t="s">
        <v>405</v>
      </c>
      <c r="D28" s="5" t="s">
        <v>372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customFormat="false" ht="15" hidden="false" customHeight="false" outlineLevel="0" collapsed="false">
      <c r="A29" s="43" t="s">
        <v>406</v>
      </c>
      <c r="B29" s="11"/>
      <c r="C29" s="5" t="s">
        <v>407</v>
      </c>
      <c r="D29" s="5" t="s">
        <v>372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23.85" hidden="false" customHeight="false" outlineLevel="0" collapsed="false">
      <c r="A30" s="43" t="s">
        <v>408</v>
      </c>
      <c r="B30" s="11"/>
      <c r="C30" s="5" t="s">
        <v>409</v>
      </c>
      <c r="D30" s="5" t="s">
        <v>410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23.85" hidden="false" customHeight="false" outlineLevel="0" collapsed="false">
      <c r="A31" s="43" t="s">
        <v>411</v>
      </c>
      <c r="B31" s="11"/>
      <c r="C31" s="5" t="s">
        <v>412</v>
      </c>
      <c r="D31" s="5" t="s">
        <v>410</v>
      </c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23.85" hidden="false" customHeight="false" outlineLevel="0" collapsed="false">
      <c r="A32" s="43" t="s">
        <v>413</v>
      </c>
      <c r="B32" s="11"/>
      <c r="C32" s="5" t="s">
        <v>414</v>
      </c>
      <c r="D32" s="5" t="s">
        <v>410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23.85" hidden="false" customHeight="false" outlineLevel="0" collapsed="false">
      <c r="A33" s="43" t="s">
        <v>415</v>
      </c>
      <c r="B33" s="11"/>
      <c r="C33" s="5" t="s">
        <v>416</v>
      </c>
      <c r="D33" s="5" t="s">
        <v>410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23.85" hidden="false" customHeight="false" outlineLevel="0" collapsed="false">
      <c r="A34" s="43" t="s">
        <v>417</v>
      </c>
      <c r="B34" s="11"/>
      <c r="C34" s="5" t="s">
        <v>418</v>
      </c>
      <c r="D34" s="5" t="s">
        <v>410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23.85" hidden="false" customHeight="false" outlineLevel="0" collapsed="false">
      <c r="A35" s="43" t="s">
        <v>419</v>
      </c>
      <c r="B35" s="11"/>
      <c r="C35" s="5" t="s">
        <v>420</v>
      </c>
      <c r="D35" s="5" t="s">
        <v>410</v>
      </c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23.85" hidden="false" customHeight="false" outlineLevel="0" collapsed="false">
      <c r="A36" s="43" t="s">
        <v>421</v>
      </c>
      <c r="B36" s="11"/>
      <c r="C36" s="5" t="s">
        <v>422</v>
      </c>
      <c r="D36" s="5" t="s">
        <v>410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23.85" hidden="false" customHeight="false" outlineLevel="0" collapsed="false">
      <c r="A37" s="43" t="s">
        <v>423</v>
      </c>
      <c r="B37" s="11"/>
      <c r="C37" s="5" t="s">
        <v>424</v>
      </c>
      <c r="D37" s="5" t="s">
        <v>410</v>
      </c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false" outlineLevel="0" collapsed="false">
      <c r="A38" s="43" t="s">
        <v>425</v>
      </c>
      <c r="B38" s="11"/>
      <c r="C38" s="5" t="s">
        <v>426</v>
      </c>
      <c r="D38" s="5" t="s">
        <v>427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customFormat="false" ht="15" hidden="false" customHeight="false" outlineLevel="0" collapsed="false">
      <c r="A39" s="43" t="s">
        <v>428</v>
      </c>
      <c r="B39" s="11"/>
      <c r="C39" s="5" t="s">
        <v>429</v>
      </c>
      <c r="D39" s="5" t="s">
        <v>427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customFormat="false" ht="15" hidden="false" customHeight="false" outlineLevel="0" collapsed="false">
      <c r="A40" s="43" t="s">
        <v>430</v>
      </c>
      <c r="B40" s="11"/>
      <c r="C40" s="5" t="s">
        <v>431</v>
      </c>
      <c r="D40" s="5" t="s">
        <v>427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customFormat="false" ht="15" hidden="false" customHeight="false" outlineLevel="0" collapsed="false">
      <c r="A41" s="43" t="s">
        <v>432</v>
      </c>
      <c r="B41" s="11"/>
      <c r="C41" s="5" t="s">
        <v>433</v>
      </c>
      <c r="D41" s="5" t="s">
        <v>427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customFormat="false" ht="15" hidden="false" customHeight="false" outlineLevel="0" collapsed="false">
      <c r="A42" s="43" t="s">
        <v>434</v>
      </c>
      <c r="B42" s="11"/>
      <c r="C42" s="5" t="s">
        <v>435</v>
      </c>
      <c r="D42" s="5" t="s">
        <v>427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customFormat="false" ht="15" hidden="false" customHeight="false" outlineLevel="0" collapsed="false">
      <c r="A43" s="43" t="s">
        <v>436</v>
      </c>
      <c r="B43" s="11"/>
      <c r="C43" s="5" t="s">
        <v>437</v>
      </c>
      <c r="D43" s="5" t="s">
        <v>427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customFormat="false" ht="15" hidden="false" customHeight="false" outlineLevel="0" collapsed="false">
      <c r="A44" s="43" t="s">
        <v>438</v>
      </c>
      <c r="B44" s="11"/>
      <c r="C44" s="5" t="s">
        <v>439</v>
      </c>
      <c r="D44" s="5" t="s">
        <v>427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customFormat="false" ht="15" hidden="false" customHeight="false" outlineLevel="0" collapsed="false">
      <c r="A45" s="43" t="s">
        <v>440</v>
      </c>
      <c r="B45" s="11"/>
      <c r="C45" s="5" t="s">
        <v>441</v>
      </c>
      <c r="D45" s="5" t="s">
        <v>427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customFormat="false" ht="15" hidden="false" customHeight="false" outlineLevel="0" collapsed="false">
      <c r="A46" s="43" t="s">
        <v>442</v>
      </c>
      <c r="B46" s="11" t="s">
        <v>443</v>
      </c>
      <c r="C46" s="5" t="s">
        <v>444</v>
      </c>
      <c r="D46" s="5" t="s">
        <v>367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customFormat="false" ht="15" hidden="false" customHeight="false" outlineLevel="0" collapsed="false">
      <c r="A47" s="43" t="s">
        <v>445</v>
      </c>
      <c r="B47" s="11"/>
      <c r="C47" s="5" t="s">
        <v>446</v>
      </c>
      <c r="D47" s="5" t="s">
        <v>367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customFormat="false" ht="15" hidden="false" customHeight="false" outlineLevel="0" collapsed="false">
      <c r="A48" s="43" t="s">
        <v>447</v>
      </c>
      <c r="B48" s="11"/>
      <c r="C48" s="5" t="s">
        <v>448</v>
      </c>
      <c r="D48" s="5" t="s">
        <v>449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customFormat="false" ht="15" hidden="false" customHeight="false" outlineLevel="0" collapsed="false">
      <c r="A49" s="43" t="s">
        <v>450</v>
      </c>
      <c r="B49" s="11"/>
      <c r="C49" s="5" t="s">
        <v>451</v>
      </c>
      <c r="D49" s="5" t="s">
        <v>449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customFormat="false" ht="15" hidden="false" customHeight="false" outlineLevel="0" collapsed="false">
      <c r="A50" s="43" t="s">
        <v>452</v>
      </c>
      <c r="B50" s="11"/>
      <c r="C50" s="5" t="s">
        <v>453</v>
      </c>
      <c r="D50" s="5" t="s">
        <v>454</v>
      </c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false" outlineLevel="0" collapsed="false">
      <c r="A51" s="43" t="s">
        <v>455</v>
      </c>
      <c r="B51" s="11"/>
      <c r="C51" s="5" t="s">
        <v>456</v>
      </c>
      <c r="D51" s="5" t="s">
        <v>454</v>
      </c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false" outlineLevel="0" collapsed="false">
      <c r="A52" s="43" t="s">
        <v>457</v>
      </c>
      <c r="B52" s="11" t="s">
        <v>458</v>
      </c>
      <c r="C52" s="5" t="s">
        <v>459</v>
      </c>
      <c r="D52" s="5" t="s">
        <v>454</v>
      </c>
      <c r="E52" s="9"/>
      <c r="F52" s="9"/>
      <c r="G52" s="9"/>
      <c r="H52" s="9"/>
      <c r="I52" s="9"/>
      <c r="J52" s="9"/>
      <c r="K52" s="9"/>
      <c r="L52" s="9"/>
      <c r="M52" s="9"/>
      <c r="N52" s="9"/>
    </row>
    <row r="53" customFormat="false" ht="15" hidden="false" customHeight="false" outlineLevel="0" collapsed="false">
      <c r="A53" s="43" t="s">
        <v>460</v>
      </c>
      <c r="B53" s="11"/>
      <c r="C53" s="5" t="s">
        <v>461</v>
      </c>
      <c r="D53" s="5" t="s">
        <v>462</v>
      </c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false" outlineLevel="0" collapsed="false">
      <c r="A54" s="43" t="s">
        <v>463</v>
      </c>
      <c r="B54" s="11"/>
      <c r="C54" s="5" t="s">
        <v>464</v>
      </c>
      <c r="D54" s="5" t="s">
        <v>454</v>
      </c>
      <c r="E54" s="9"/>
      <c r="F54" s="9"/>
      <c r="G54" s="9"/>
      <c r="H54" s="9"/>
      <c r="I54" s="9"/>
      <c r="J54" s="9"/>
      <c r="K54" s="9"/>
      <c r="L54" s="9"/>
      <c r="M54" s="9"/>
      <c r="N54" s="9"/>
    </row>
    <row r="55" customFormat="false" ht="15" hidden="false" customHeight="false" outlineLevel="0" collapsed="false">
      <c r="A55" s="43" t="s">
        <v>465</v>
      </c>
      <c r="B55" s="11" t="s">
        <v>466</v>
      </c>
      <c r="C55" s="5" t="s">
        <v>467</v>
      </c>
      <c r="D55" s="5" t="s">
        <v>372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customFormat="false" ht="15" hidden="false" customHeight="false" outlineLevel="0" collapsed="false">
      <c r="A56" s="43" t="s">
        <v>468</v>
      </c>
      <c r="B56" s="11"/>
      <c r="C56" s="5" t="s">
        <v>469</v>
      </c>
      <c r="D56" s="5" t="s">
        <v>356</v>
      </c>
      <c r="E56" s="9"/>
      <c r="F56" s="9"/>
      <c r="G56" s="9"/>
      <c r="H56" s="9"/>
      <c r="I56" s="9"/>
      <c r="J56" s="9"/>
      <c r="K56" s="9"/>
      <c r="L56" s="9"/>
      <c r="M56" s="9"/>
      <c r="N56" s="9"/>
    </row>
    <row r="57" customFormat="false" ht="15" hidden="false" customHeight="false" outlineLevel="0" collapsed="false">
      <c r="A57" s="43" t="s">
        <v>470</v>
      </c>
      <c r="B57" s="11" t="s">
        <v>471</v>
      </c>
      <c r="C57" s="5" t="s">
        <v>472</v>
      </c>
      <c r="D57" s="5" t="s">
        <v>372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customFormat="false" ht="15" hidden="false" customHeight="false" outlineLevel="0" collapsed="false">
      <c r="A58" s="43" t="s">
        <v>473</v>
      </c>
      <c r="B58" s="11"/>
      <c r="C58" s="5" t="s">
        <v>474</v>
      </c>
      <c r="D58" s="5" t="s">
        <v>372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customFormat="false" ht="15" hidden="false" customHeight="false" outlineLevel="0" collapsed="false">
      <c r="A59" s="43" t="s">
        <v>475</v>
      </c>
      <c r="B59" s="11"/>
      <c r="C59" s="5" t="s">
        <v>476</v>
      </c>
      <c r="D59" s="5" t="s">
        <v>477</v>
      </c>
      <c r="E59" s="9"/>
      <c r="F59" s="9"/>
      <c r="G59" s="9"/>
      <c r="H59" s="9"/>
      <c r="I59" s="9"/>
      <c r="J59" s="9"/>
      <c r="K59" s="9"/>
      <c r="L59" s="9"/>
      <c r="M59" s="9"/>
      <c r="N59" s="9"/>
    </row>
    <row r="60" customFormat="false" ht="15" hidden="false" customHeight="false" outlineLevel="0" collapsed="false">
      <c r="A60" s="43" t="s">
        <v>478</v>
      </c>
      <c r="B60" s="11"/>
      <c r="C60" s="5" t="s">
        <v>479</v>
      </c>
      <c r="D60" s="5" t="s">
        <v>477</v>
      </c>
      <c r="E60" s="9"/>
      <c r="F60" s="9"/>
      <c r="G60" s="9"/>
      <c r="H60" s="9"/>
      <c r="I60" s="9"/>
      <c r="J60" s="9"/>
      <c r="K60" s="9"/>
      <c r="L60" s="9"/>
      <c r="M60" s="9"/>
      <c r="N60" s="9"/>
    </row>
    <row r="61" customFormat="false" ht="15" hidden="false" customHeight="false" outlineLevel="0" collapsed="false">
      <c r="A61" s="43" t="s">
        <v>480</v>
      </c>
      <c r="B61" s="11"/>
      <c r="C61" s="5" t="s">
        <v>481</v>
      </c>
      <c r="D61" s="5" t="s">
        <v>209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customFormat="false" ht="23.85" hidden="false" customHeight="false" outlineLevel="0" collapsed="false">
      <c r="A62" s="43" t="s">
        <v>482</v>
      </c>
      <c r="B62" s="11" t="s">
        <v>483</v>
      </c>
      <c r="C62" s="5" t="s">
        <v>484</v>
      </c>
      <c r="D62" s="5" t="s">
        <v>209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customFormat="false" ht="15" hidden="false" customHeight="false" outlineLevel="0" collapsed="false">
      <c r="A63" s="43" t="s">
        <v>485</v>
      </c>
      <c r="B63" s="11"/>
      <c r="C63" s="5" t="s">
        <v>486</v>
      </c>
      <c r="D63" s="5" t="s">
        <v>449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customFormat="false" ht="15" hidden="false" customHeight="false" outlineLevel="0" collapsed="false">
      <c r="A64" s="43" t="s">
        <v>487</v>
      </c>
      <c r="B64" s="11"/>
      <c r="C64" s="5" t="s">
        <v>488</v>
      </c>
      <c r="D64" s="5" t="s">
        <v>209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customFormat="false" ht="15" hidden="false" customHeight="false" outlineLevel="0" collapsed="false">
      <c r="A65" s="43" t="s">
        <v>489</v>
      </c>
      <c r="B65" s="11"/>
      <c r="C65" s="5" t="s">
        <v>490</v>
      </c>
      <c r="D65" s="5" t="s">
        <v>356</v>
      </c>
      <c r="E65" s="9"/>
      <c r="F65" s="9"/>
      <c r="G65" s="9"/>
      <c r="H65" s="9"/>
      <c r="I65" s="9"/>
      <c r="J65" s="9"/>
      <c r="K65" s="9"/>
      <c r="L65" s="9"/>
      <c r="M65" s="9"/>
      <c r="N65" s="9"/>
    </row>
    <row r="66" customFormat="false" ht="15" hidden="false" customHeight="false" outlineLevel="0" collapsed="false">
      <c r="A66" s="43" t="s">
        <v>491</v>
      </c>
      <c r="B66" s="11"/>
      <c r="C66" s="5" t="s">
        <v>492</v>
      </c>
      <c r="D66" s="5" t="s">
        <v>493</v>
      </c>
      <c r="E66" s="9"/>
      <c r="F66" s="9"/>
      <c r="G66" s="9"/>
      <c r="H66" s="9"/>
      <c r="I66" s="9"/>
      <c r="J66" s="9"/>
      <c r="K66" s="9"/>
      <c r="L66" s="9"/>
      <c r="M66" s="9"/>
      <c r="N66" s="9"/>
    </row>
    <row r="68" customFormat="false" ht="35.05" hidden="false" customHeight="false" outlineLevel="0" collapsed="false">
      <c r="B68" s="11" t="s">
        <v>494</v>
      </c>
    </row>
    <row r="69" customFormat="false" ht="15" hidden="false" customHeight="false" outlineLevel="0" collapsed="false">
      <c r="A69" s="8" t="s">
        <v>495</v>
      </c>
      <c r="B69" s="8" t="s">
        <v>340</v>
      </c>
      <c r="C69" s="8" t="s">
        <v>341</v>
      </c>
      <c r="D69" s="8" t="s">
        <v>342</v>
      </c>
      <c r="E69" s="8" t="s">
        <v>343</v>
      </c>
      <c r="F69" s="8" t="s">
        <v>344</v>
      </c>
      <c r="G69" s="8" t="s">
        <v>345</v>
      </c>
      <c r="H69" s="8" t="s">
        <v>346</v>
      </c>
      <c r="I69" s="8" t="s">
        <v>347</v>
      </c>
      <c r="J69" s="8" t="s">
        <v>348</v>
      </c>
      <c r="K69" s="8" t="s">
        <v>349</v>
      </c>
      <c r="L69" s="8" t="s">
        <v>350</v>
      </c>
      <c r="M69" s="8" t="s">
        <v>351</v>
      </c>
      <c r="N69" s="8" t="s">
        <v>352</v>
      </c>
    </row>
    <row r="70" customFormat="false" ht="15" hidden="false" customHeight="false" outlineLevel="0" collapsed="false">
      <c r="A70" s="43" t="s">
        <v>353</v>
      </c>
      <c r="C70" s="5" t="s">
        <v>355</v>
      </c>
      <c r="F70" s="22" t="str">
        <f aca="false">IF(AND(ISNUMBER(F6),ISNUMBER(E6),E6&lt;&gt;0),F6/E6-1,"")</f>
        <v/>
      </c>
      <c r="G70" s="22" t="str">
        <f aca="false">IF(AND(ISNUMBER(G6),ISNUMBER(F6),F6&lt;&gt;0),G6/F6-1,"")</f>
        <v/>
      </c>
      <c r="H70" s="22" t="str">
        <f aca="false">IF(AND(ISNUMBER(H6),ISNUMBER(G6),G6&lt;&gt;0),H6/G6-1,"")</f>
        <v/>
      </c>
      <c r="I70" s="22" t="str">
        <f aca="false">IF(AND(ISNUMBER(I6),ISNUMBER(H6),H6&lt;&gt;0),I6/H6-1,"")</f>
        <v/>
      </c>
      <c r="J70" s="22" t="str">
        <f aca="false">IF(AND(ISNUMBER(J6),ISNUMBER(I6),I6&lt;&gt;0),J6/I6-1,"")</f>
        <v/>
      </c>
      <c r="K70" s="22" t="str">
        <f aca="false">IF(AND(ISNUMBER(K6),ISNUMBER(J6),J6&lt;&gt;0),K6/J6-1,"")</f>
        <v/>
      </c>
      <c r="L70" s="22" t="str">
        <f aca="false">IF(AND(ISNUMBER(L6),ISNUMBER(K6),K6&lt;&gt;0),L6/K6-1,"")</f>
        <v/>
      </c>
      <c r="M70" s="22" t="str">
        <f aca="false">IF(AND(ISNUMBER(M6),ISNUMBER(L6),L6&lt;&gt;0),M6/L6-1,"")</f>
        <v/>
      </c>
      <c r="N70" s="22" t="str">
        <f aca="false">IF(AND(ISNUMBER(N6),ISNUMBER(M6),M6&lt;&gt;0),N6/M6-1,"")</f>
        <v/>
      </c>
    </row>
    <row r="71" customFormat="false" ht="15" hidden="false" customHeight="false" outlineLevel="0" collapsed="false">
      <c r="A71" s="43" t="s">
        <v>357</v>
      </c>
      <c r="C71" s="5" t="s">
        <v>358</v>
      </c>
      <c r="F71" s="22" t="str">
        <f aca="false">IF(AND(ISNUMBER(F7),ISNUMBER(E7),E7&lt;&gt;0),F7/E7-1,"")</f>
        <v/>
      </c>
      <c r="G71" s="22" t="str">
        <f aca="false">IF(AND(ISNUMBER(G7),ISNUMBER(F7),F7&lt;&gt;0),G7/F7-1,"")</f>
        <v/>
      </c>
      <c r="H71" s="22" t="str">
        <f aca="false">IF(AND(ISNUMBER(H7),ISNUMBER(G7),G7&lt;&gt;0),H7/G7-1,"")</f>
        <v/>
      </c>
      <c r="I71" s="22" t="str">
        <f aca="false">IF(AND(ISNUMBER(I7),ISNUMBER(H7),H7&lt;&gt;0),I7/H7-1,"")</f>
        <v/>
      </c>
      <c r="J71" s="22" t="str">
        <f aca="false">IF(AND(ISNUMBER(J7),ISNUMBER(I7),I7&lt;&gt;0),J7/I7-1,"")</f>
        <v/>
      </c>
      <c r="K71" s="22" t="str">
        <f aca="false">IF(AND(ISNUMBER(K7),ISNUMBER(J7),J7&lt;&gt;0),K7/J7-1,"")</f>
        <v/>
      </c>
      <c r="L71" s="22" t="str">
        <f aca="false">IF(AND(ISNUMBER(L7),ISNUMBER(K7),K7&lt;&gt;0),L7/K7-1,"")</f>
        <v/>
      </c>
      <c r="M71" s="22" t="str">
        <f aca="false">IF(AND(ISNUMBER(M7),ISNUMBER(L7),L7&lt;&gt;0),M7/L7-1,"")</f>
        <v/>
      </c>
      <c r="N71" s="22" t="str">
        <f aca="false">IF(AND(ISNUMBER(N7),ISNUMBER(M7),M7&lt;&gt;0),N7/M7-1,"")</f>
        <v/>
      </c>
    </row>
    <row r="72" customFormat="false" ht="15" hidden="false" customHeight="false" outlineLevel="0" collapsed="false">
      <c r="A72" s="43" t="s">
        <v>359</v>
      </c>
      <c r="C72" s="5" t="s">
        <v>361</v>
      </c>
      <c r="F72" s="22" t="str">
        <f aca="false">IF(AND(ISNUMBER(F8),ISNUMBER(E8),E8&lt;&gt;0),F8/E8-1,"")</f>
        <v/>
      </c>
      <c r="G72" s="22" t="str">
        <f aca="false">IF(AND(ISNUMBER(G8),ISNUMBER(F8),F8&lt;&gt;0),G8/F8-1,"")</f>
        <v/>
      </c>
      <c r="H72" s="22" t="str">
        <f aca="false">IF(AND(ISNUMBER(H8),ISNUMBER(G8),G8&lt;&gt;0),H8/G8-1,"")</f>
        <v/>
      </c>
      <c r="I72" s="22" t="str">
        <f aca="false">IF(AND(ISNUMBER(I8),ISNUMBER(H8),H8&lt;&gt;0),I8/H8-1,"")</f>
        <v/>
      </c>
      <c r="J72" s="22" t="str">
        <f aca="false">IF(AND(ISNUMBER(J8),ISNUMBER(I8),I8&lt;&gt;0),J8/I8-1,"")</f>
        <v/>
      </c>
      <c r="K72" s="22" t="str">
        <f aca="false">IF(AND(ISNUMBER(K8),ISNUMBER(J8),J8&lt;&gt;0),K8/J8-1,"")</f>
        <v/>
      </c>
      <c r="L72" s="22" t="str">
        <f aca="false">IF(AND(ISNUMBER(L8),ISNUMBER(K8),K8&lt;&gt;0),L8/K8-1,"")</f>
        <v/>
      </c>
      <c r="M72" s="22" t="str">
        <f aca="false">IF(AND(ISNUMBER(M8),ISNUMBER(L8),L8&lt;&gt;0),M8/L8-1,"")</f>
        <v/>
      </c>
      <c r="N72" s="22" t="str">
        <f aca="false">IF(AND(ISNUMBER(N8),ISNUMBER(M8),M8&lt;&gt;0),N8/M8-1,"")</f>
        <v/>
      </c>
    </row>
    <row r="73" customFormat="false" ht="15" hidden="false" customHeight="false" outlineLevel="0" collapsed="false">
      <c r="A73" s="43" t="s">
        <v>363</v>
      </c>
      <c r="C73" s="5" t="s">
        <v>364</v>
      </c>
      <c r="F73" s="22" t="str">
        <f aca="false">IF(AND(ISNUMBER(F9),ISNUMBER(E9),E9&lt;&gt;0),F9/E9-1,"")</f>
        <v/>
      </c>
      <c r="G73" s="22" t="str">
        <f aca="false">IF(AND(ISNUMBER(G9),ISNUMBER(F9),F9&lt;&gt;0),G9/F9-1,"")</f>
        <v/>
      </c>
      <c r="H73" s="22" t="str">
        <f aca="false">IF(AND(ISNUMBER(H9),ISNUMBER(G9),G9&lt;&gt;0),H9/G9-1,"")</f>
        <v/>
      </c>
      <c r="I73" s="22" t="str">
        <f aca="false">IF(AND(ISNUMBER(I9),ISNUMBER(H9),H9&lt;&gt;0),I9/H9-1,"")</f>
        <v/>
      </c>
      <c r="J73" s="22" t="str">
        <f aca="false">IF(AND(ISNUMBER(J9),ISNUMBER(I9),I9&lt;&gt;0),J9/I9-1,"")</f>
        <v/>
      </c>
      <c r="K73" s="22" t="str">
        <f aca="false">IF(AND(ISNUMBER(K9),ISNUMBER(J9),J9&lt;&gt;0),K9/J9-1,"")</f>
        <v/>
      </c>
      <c r="L73" s="22" t="str">
        <f aca="false">IF(AND(ISNUMBER(L9),ISNUMBER(K9),K9&lt;&gt;0),L9/K9-1,"")</f>
        <v/>
      </c>
      <c r="M73" s="22" t="str">
        <f aca="false">IF(AND(ISNUMBER(M9),ISNUMBER(L9),L9&lt;&gt;0),M9/L9-1,"")</f>
        <v/>
      </c>
      <c r="N73" s="22" t="str">
        <f aca="false">IF(AND(ISNUMBER(N9),ISNUMBER(M9),M9&lt;&gt;0),N9/M9-1,"")</f>
        <v/>
      </c>
    </row>
    <row r="74" customFormat="false" ht="15" hidden="false" customHeight="false" outlineLevel="0" collapsed="false">
      <c r="A74" s="43" t="s">
        <v>365</v>
      </c>
      <c r="C74" s="5" t="s">
        <v>366</v>
      </c>
      <c r="F74" s="22" t="str">
        <f aca="false">IF(AND(ISNUMBER(F10),ISNUMBER(E10),E10&lt;&gt;0),F10/E10-1,"")</f>
        <v/>
      </c>
      <c r="G74" s="22" t="str">
        <f aca="false">IF(AND(ISNUMBER(G10),ISNUMBER(F10),F10&lt;&gt;0),G10/F10-1,"")</f>
        <v/>
      </c>
      <c r="H74" s="22" t="str">
        <f aca="false">IF(AND(ISNUMBER(H10),ISNUMBER(G10),G10&lt;&gt;0),H10/G10-1,"")</f>
        <v/>
      </c>
      <c r="I74" s="22" t="str">
        <f aca="false">IF(AND(ISNUMBER(I10),ISNUMBER(H10),H10&lt;&gt;0),I10/H10-1,"")</f>
        <v/>
      </c>
      <c r="J74" s="22" t="str">
        <f aca="false">IF(AND(ISNUMBER(J10),ISNUMBER(I10),I10&lt;&gt;0),J10/I10-1,"")</f>
        <v/>
      </c>
      <c r="K74" s="22" t="str">
        <f aca="false">IF(AND(ISNUMBER(K10),ISNUMBER(J10),J10&lt;&gt;0),K10/J10-1,"")</f>
        <v/>
      </c>
      <c r="L74" s="22" t="str">
        <f aca="false">IF(AND(ISNUMBER(L10),ISNUMBER(K10),K10&lt;&gt;0),L10/K10-1,"")</f>
        <v/>
      </c>
      <c r="M74" s="22" t="str">
        <f aca="false">IF(AND(ISNUMBER(M10),ISNUMBER(L10),L10&lt;&gt;0),M10/L10-1,"")</f>
        <v/>
      </c>
      <c r="N74" s="22" t="str">
        <f aca="false">IF(AND(ISNUMBER(N10),ISNUMBER(M10),M10&lt;&gt;0),N10/M10-1,"")</f>
        <v/>
      </c>
    </row>
    <row r="75" customFormat="false" ht="15" hidden="false" customHeight="false" outlineLevel="0" collapsed="false">
      <c r="A75" s="43" t="s">
        <v>368</v>
      </c>
      <c r="C75" s="5" t="s">
        <v>369</v>
      </c>
      <c r="F75" s="22" t="str">
        <f aca="false">IF(AND(ISNUMBER(F11),ISNUMBER(E11),E11&lt;&gt;0),F11/E11-1,"")</f>
        <v/>
      </c>
      <c r="G75" s="22" t="str">
        <f aca="false">IF(AND(ISNUMBER(G11),ISNUMBER(F11),F11&lt;&gt;0),G11/F11-1,"")</f>
        <v/>
      </c>
      <c r="H75" s="22" t="str">
        <f aca="false">IF(AND(ISNUMBER(H11),ISNUMBER(G11),G11&lt;&gt;0),H11/G11-1,"")</f>
        <v/>
      </c>
      <c r="I75" s="22" t="str">
        <f aca="false">IF(AND(ISNUMBER(I11),ISNUMBER(H11),H11&lt;&gt;0),I11/H11-1,"")</f>
        <v/>
      </c>
      <c r="J75" s="22" t="str">
        <f aca="false">IF(AND(ISNUMBER(J11),ISNUMBER(I11),I11&lt;&gt;0),J11/I11-1,"")</f>
        <v/>
      </c>
      <c r="K75" s="22" t="str">
        <f aca="false">IF(AND(ISNUMBER(K11),ISNUMBER(J11),J11&lt;&gt;0),K11/J11-1,"")</f>
        <v/>
      </c>
      <c r="L75" s="22" t="str">
        <f aca="false">IF(AND(ISNUMBER(L11),ISNUMBER(K11),K11&lt;&gt;0),L11/K11-1,"")</f>
        <v/>
      </c>
      <c r="M75" s="22" t="str">
        <f aca="false">IF(AND(ISNUMBER(M11),ISNUMBER(L11),L11&lt;&gt;0),M11/L11-1,"")</f>
        <v/>
      </c>
      <c r="N75" s="22" t="str">
        <f aca="false">IF(AND(ISNUMBER(N11),ISNUMBER(M11),M11&lt;&gt;0),N11/M11-1,"")</f>
        <v/>
      </c>
    </row>
    <row r="76" customFormat="false" ht="15" hidden="false" customHeight="false" outlineLevel="0" collapsed="false">
      <c r="A76" s="43" t="s">
        <v>370</v>
      </c>
      <c r="C76" s="5" t="s">
        <v>371</v>
      </c>
      <c r="F76" s="22" t="str">
        <f aca="false">IF(AND(ISNUMBER(F12),ISNUMBER(E12),E12&lt;&gt;0),F12/E12-1,"")</f>
        <v/>
      </c>
      <c r="G76" s="22" t="str">
        <f aca="false">IF(AND(ISNUMBER(G12),ISNUMBER(F12),F12&lt;&gt;0),G12/F12-1,"")</f>
        <v/>
      </c>
      <c r="H76" s="22" t="str">
        <f aca="false">IF(AND(ISNUMBER(H12),ISNUMBER(G12),G12&lt;&gt;0),H12/G12-1,"")</f>
        <v/>
      </c>
      <c r="I76" s="22" t="str">
        <f aca="false">IF(AND(ISNUMBER(I12),ISNUMBER(H12),H12&lt;&gt;0),I12/H12-1,"")</f>
        <v/>
      </c>
      <c r="J76" s="22" t="str">
        <f aca="false">IF(AND(ISNUMBER(J12),ISNUMBER(I12),I12&lt;&gt;0),J12/I12-1,"")</f>
        <v/>
      </c>
      <c r="K76" s="22" t="str">
        <f aca="false">IF(AND(ISNUMBER(K12),ISNUMBER(J12),J12&lt;&gt;0),K12/J12-1,"")</f>
        <v/>
      </c>
      <c r="L76" s="22" t="str">
        <f aca="false">IF(AND(ISNUMBER(L12),ISNUMBER(K12),K12&lt;&gt;0),L12/K12-1,"")</f>
        <v/>
      </c>
      <c r="M76" s="22" t="str">
        <f aca="false">IF(AND(ISNUMBER(M12),ISNUMBER(L12),L12&lt;&gt;0),M12/L12-1,"")</f>
        <v/>
      </c>
      <c r="N76" s="22" t="str">
        <f aca="false">IF(AND(ISNUMBER(N12),ISNUMBER(M12),M12&lt;&gt;0),N12/M12-1,"")</f>
        <v/>
      </c>
    </row>
    <row r="77" customFormat="false" ht="15" hidden="false" customHeight="false" outlineLevel="0" collapsed="false">
      <c r="A77" s="43" t="s">
        <v>373</v>
      </c>
      <c r="C77" s="5" t="s">
        <v>374</v>
      </c>
      <c r="F77" s="22" t="str">
        <f aca="false">IF(AND(ISNUMBER(F13),ISNUMBER(E13),E13&lt;&gt;0),F13/E13-1,"")</f>
        <v/>
      </c>
      <c r="G77" s="22" t="str">
        <f aca="false">IF(AND(ISNUMBER(G13),ISNUMBER(F13),F13&lt;&gt;0),G13/F13-1,"")</f>
        <v/>
      </c>
      <c r="H77" s="22" t="str">
        <f aca="false">IF(AND(ISNUMBER(H13),ISNUMBER(G13),G13&lt;&gt;0),H13/G13-1,"")</f>
        <v/>
      </c>
      <c r="I77" s="22" t="str">
        <f aca="false">IF(AND(ISNUMBER(I13),ISNUMBER(H13),H13&lt;&gt;0),I13/H13-1,"")</f>
        <v/>
      </c>
      <c r="J77" s="22" t="str">
        <f aca="false">IF(AND(ISNUMBER(J13),ISNUMBER(I13),I13&lt;&gt;0),J13/I13-1,"")</f>
        <v/>
      </c>
      <c r="K77" s="22" t="str">
        <f aca="false">IF(AND(ISNUMBER(K13),ISNUMBER(J13),J13&lt;&gt;0),K13/J13-1,"")</f>
        <v/>
      </c>
      <c r="L77" s="22" t="str">
        <f aca="false">IF(AND(ISNUMBER(L13),ISNUMBER(K13),K13&lt;&gt;0),L13/K13-1,"")</f>
        <v/>
      </c>
      <c r="M77" s="22" t="str">
        <f aca="false">IF(AND(ISNUMBER(M13),ISNUMBER(L13),L13&lt;&gt;0),M13/L13-1,"")</f>
        <v/>
      </c>
      <c r="N77" s="22" t="str">
        <f aca="false">IF(AND(ISNUMBER(N13),ISNUMBER(M13),M13&lt;&gt;0),N13/M13-1,"")</f>
        <v/>
      </c>
    </row>
    <row r="78" customFormat="false" ht="15" hidden="false" customHeight="false" outlineLevel="0" collapsed="false">
      <c r="A78" s="43" t="s">
        <v>375</v>
      </c>
      <c r="C78" s="5" t="s">
        <v>377</v>
      </c>
      <c r="F78" s="22" t="str">
        <f aca="false">IF(AND(ISNUMBER(F14),ISNUMBER(E14),E14&lt;&gt;0),F14/E14-1,"")</f>
        <v/>
      </c>
      <c r="G78" s="22" t="str">
        <f aca="false">IF(AND(ISNUMBER(G14),ISNUMBER(F14),F14&lt;&gt;0),G14/F14-1,"")</f>
        <v/>
      </c>
      <c r="H78" s="22" t="str">
        <f aca="false">IF(AND(ISNUMBER(H14),ISNUMBER(G14),G14&lt;&gt;0),H14/G14-1,"")</f>
        <v/>
      </c>
      <c r="I78" s="22" t="str">
        <f aca="false">IF(AND(ISNUMBER(I14),ISNUMBER(H14),H14&lt;&gt;0),I14/H14-1,"")</f>
        <v/>
      </c>
      <c r="J78" s="22" t="str">
        <f aca="false">IF(AND(ISNUMBER(J14),ISNUMBER(I14),I14&lt;&gt;0),J14/I14-1,"")</f>
        <v/>
      </c>
      <c r="K78" s="22" t="str">
        <f aca="false">IF(AND(ISNUMBER(K14),ISNUMBER(J14),J14&lt;&gt;0),K14/J14-1,"")</f>
        <v/>
      </c>
      <c r="L78" s="22" t="str">
        <f aca="false">IF(AND(ISNUMBER(L14),ISNUMBER(K14),K14&lt;&gt;0),L14/K14-1,"")</f>
        <v/>
      </c>
      <c r="M78" s="22" t="str">
        <f aca="false">IF(AND(ISNUMBER(M14),ISNUMBER(L14),L14&lt;&gt;0),M14/L14-1,"")</f>
        <v/>
      </c>
      <c r="N78" s="22" t="str">
        <f aca="false">IF(AND(ISNUMBER(N14),ISNUMBER(M14),M14&lt;&gt;0),N14/M14-1,"")</f>
        <v/>
      </c>
    </row>
    <row r="79" customFormat="false" ht="15" hidden="false" customHeight="false" outlineLevel="0" collapsed="false">
      <c r="A79" s="43" t="s">
        <v>378</v>
      </c>
      <c r="C79" s="5" t="s">
        <v>379</v>
      </c>
      <c r="F79" s="22" t="str">
        <f aca="false">IF(AND(ISNUMBER(F15),ISNUMBER(E15),E15&lt;&gt;0),F15/E15-1,"")</f>
        <v/>
      </c>
      <c r="G79" s="22" t="str">
        <f aca="false">IF(AND(ISNUMBER(G15),ISNUMBER(F15),F15&lt;&gt;0),G15/F15-1,"")</f>
        <v/>
      </c>
      <c r="H79" s="22" t="str">
        <f aca="false">IF(AND(ISNUMBER(H15),ISNUMBER(G15),G15&lt;&gt;0),H15/G15-1,"")</f>
        <v/>
      </c>
      <c r="I79" s="22" t="str">
        <f aca="false">IF(AND(ISNUMBER(I15),ISNUMBER(H15),H15&lt;&gt;0),I15/H15-1,"")</f>
        <v/>
      </c>
      <c r="J79" s="22" t="str">
        <f aca="false">IF(AND(ISNUMBER(J15),ISNUMBER(I15),I15&lt;&gt;0),J15/I15-1,"")</f>
        <v/>
      </c>
      <c r="K79" s="22" t="str">
        <f aca="false">IF(AND(ISNUMBER(K15),ISNUMBER(J15),J15&lt;&gt;0),K15/J15-1,"")</f>
        <v/>
      </c>
      <c r="L79" s="22" t="str">
        <f aca="false">IF(AND(ISNUMBER(L15),ISNUMBER(K15),K15&lt;&gt;0),L15/K15-1,"")</f>
        <v/>
      </c>
      <c r="M79" s="22" t="str">
        <f aca="false">IF(AND(ISNUMBER(M15),ISNUMBER(L15),L15&lt;&gt;0),M15/L15-1,"")</f>
        <v/>
      </c>
      <c r="N79" s="22" t="str">
        <f aca="false">IF(AND(ISNUMBER(N15),ISNUMBER(M15),M15&lt;&gt;0),N15/M15-1,"")</f>
        <v/>
      </c>
    </row>
    <row r="80" customFormat="false" ht="15" hidden="false" customHeight="false" outlineLevel="0" collapsed="false">
      <c r="A80" s="43" t="s">
        <v>380</v>
      </c>
      <c r="C80" s="5" t="s">
        <v>381</v>
      </c>
      <c r="F80" s="22" t="str">
        <f aca="false">IF(AND(ISNUMBER(F16),ISNUMBER(E16),E16&lt;&gt;0),F16/E16-1,"")</f>
        <v/>
      </c>
      <c r="G80" s="22" t="str">
        <f aca="false">IF(AND(ISNUMBER(G16),ISNUMBER(F16),F16&lt;&gt;0),G16/F16-1,"")</f>
        <v/>
      </c>
      <c r="H80" s="22" t="str">
        <f aca="false">IF(AND(ISNUMBER(H16),ISNUMBER(G16),G16&lt;&gt;0),H16/G16-1,"")</f>
        <v/>
      </c>
      <c r="I80" s="22" t="str">
        <f aca="false">IF(AND(ISNUMBER(I16),ISNUMBER(H16),H16&lt;&gt;0),I16/H16-1,"")</f>
        <v/>
      </c>
      <c r="J80" s="22" t="str">
        <f aca="false">IF(AND(ISNUMBER(J16),ISNUMBER(I16),I16&lt;&gt;0),J16/I16-1,"")</f>
        <v/>
      </c>
      <c r="K80" s="22" t="str">
        <f aca="false">IF(AND(ISNUMBER(K16),ISNUMBER(J16),J16&lt;&gt;0),K16/J16-1,"")</f>
        <v/>
      </c>
      <c r="L80" s="22" t="str">
        <f aca="false">IF(AND(ISNUMBER(L16),ISNUMBER(K16),K16&lt;&gt;0),L16/K16-1,"")</f>
        <v/>
      </c>
      <c r="M80" s="22" t="str">
        <f aca="false">IF(AND(ISNUMBER(M16),ISNUMBER(L16),L16&lt;&gt;0),M16/L16-1,"")</f>
        <v/>
      </c>
      <c r="N80" s="22" t="str">
        <f aca="false">IF(AND(ISNUMBER(N16),ISNUMBER(M16),M16&lt;&gt;0),N16/M16-1,"")</f>
        <v/>
      </c>
    </row>
    <row r="81" customFormat="false" ht="15" hidden="false" customHeight="false" outlineLevel="0" collapsed="false">
      <c r="A81" s="43" t="s">
        <v>382</v>
      </c>
      <c r="C81" s="5" t="s">
        <v>383</v>
      </c>
      <c r="F81" s="22" t="str">
        <f aca="false">IF(AND(ISNUMBER(F17),ISNUMBER(E17),E17&lt;&gt;0),F17/E17-1,"")</f>
        <v/>
      </c>
      <c r="G81" s="22" t="str">
        <f aca="false">IF(AND(ISNUMBER(G17),ISNUMBER(F17),F17&lt;&gt;0),G17/F17-1,"")</f>
        <v/>
      </c>
      <c r="H81" s="22" t="str">
        <f aca="false">IF(AND(ISNUMBER(H17),ISNUMBER(G17),G17&lt;&gt;0),H17/G17-1,"")</f>
        <v/>
      </c>
      <c r="I81" s="22" t="str">
        <f aca="false">IF(AND(ISNUMBER(I17),ISNUMBER(H17),H17&lt;&gt;0),I17/H17-1,"")</f>
        <v/>
      </c>
      <c r="J81" s="22" t="str">
        <f aca="false">IF(AND(ISNUMBER(J17),ISNUMBER(I17),I17&lt;&gt;0),J17/I17-1,"")</f>
        <v/>
      </c>
      <c r="K81" s="22" t="str">
        <f aca="false">IF(AND(ISNUMBER(K17),ISNUMBER(J17),J17&lt;&gt;0),K17/J17-1,"")</f>
        <v/>
      </c>
      <c r="L81" s="22" t="str">
        <f aca="false">IF(AND(ISNUMBER(L17),ISNUMBER(K17),K17&lt;&gt;0),L17/K17-1,"")</f>
        <v/>
      </c>
      <c r="M81" s="22" t="str">
        <f aca="false">IF(AND(ISNUMBER(M17),ISNUMBER(L17),L17&lt;&gt;0),M17/L17-1,"")</f>
        <v/>
      </c>
      <c r="N81" s="22" t="str">
        <f aca="false">IF(AND(ISNUMBER(N17),ISNUMBER(M17),M17&lt;&gt;0),N17/M17-1,"")</f>
        <v/>
      </c>
    </row>
    <row r="82" customFormat="false" ht="15" hidden="false" customHeight="false" outlineLevel="0" collapsed="false">
      <c r="A82" s="43" t="s">
        <v>384</v>
      </c>
      <c r="C82" s="5" t="s">
        <v>385</v>
      </c>
      <c r="F82" s="22" t="str">
        <f aca="false">IF(AND(ISNUMBER(F18),ISNUMBER(E18),E18&lt;&gt;0),F18/E18-1,"")</f>
        <v/>
      </c>
      <c r="G82" s="22" t="str">
        <f aca="false">IF(AND(ISNUMBER(G18),ISNUMBER(F18),F18&lt;&gt;0),G18/F18-1,"")</f>
        <v/>
      </c>
      <c r="H82" s="22" t="str">
        <f aca="false">IF(AND(ISNUMBER(H18),ISNUMBER(G18),G18&lt;&gt;0),H18/G18-1,"")</f>
        <v/>
      </c>
      <c r="I82" s="22" t="str">
        <f aca="false">IF(AND(ISNUMBER(I18),ISNUMBER(H18),H18&lt;&gt;0),I18/H18-1,"")</f>
        <v/>
      </c>
      <c r="J82" s="22" t="str">
        <f aca="false">IF(AND(ISNUMBER(J18),ISNUMBER(I18),I18&lt;&gt;0),J18/I18-1,"")</f>
        <v/>
      </c>
      <c r="K82" s="22" t="str">
        <f aca="false">IF(AND(ISNUMBER(K18),ISNUMBER(J18),J18&lt;&gt;0),K18/J18-1,"")</f>
        <v/>
      </c>
      <c r="L82" s="22" t="str">
        <f aca="false">IF(AND(ISNUMBER(L18),ISNUMBER(K18),K18&lt;&gt;0),L18/K18-1,"")</f>
        <v/>
      </c>
      <c r="M82" s="22" t="str">
        <f aca="false">IF(AND(ISNUMBER(M18),ISNUMBER(L18),L18&lt;&gt;0),M18/L18-1,"")</f>
        <v/>
      </c>
      <c r="N82" s="22" t="str">
        <f aca="false">IF(AND(ISNUMBER(N18),ISNUMBER(M18),M18&lt;&gt;0),N18/M18-1,"")</f>
        <v/>
      </c>
    </row>
    <row r="83" customFormat="false" ht="15" hidden="false" customHeight="false" outlineLevel="0" collapsed="false">
      <c r="A83" s="43" t="s">
        <v>386</v>
      </c>
      <c r="C83" s="5" t="s">
        <v>387</v>
      </c>
      <c r="F83" s="22" t="str">
        <f aca="false">IF(AND(ISNUMBER(F19),ISNUMBER(E19),E19&lt;&gt;0),F19/E19-1,"")</f>
        <v/>
      </c>
      <c r="G83" s="22" t="str">
        <f aca="false">IF(AND(ISNUMBER(G19),ISNUMBER(F19),F19&lt;&gt;0),G19/F19-1,"")</f>
        <v/>
      </c>
      <c r="H83" s="22" t="str">
        <f aca="false">IF(AND(ISNUMBER(H19),ISNUMBER(G19),G19&lt;&gt;0),H19/G19-1,"")</f>
        <v/>
      </c>
      <c r="I83" s="22" t="str">
        <f aca="false">IF(AND(ISNUMBER(I19),ISNUMBER(H19),H19&lt;&gt;0),I19/H19-1,"")</f>
        <v/>
      </c>
      <c r="J83" s="22" t="str">
        <f aca="false">IF(AND(ISNUMBER(J19),ISNUMBER(I19),I19&lt;&gt;0),J19/I19-1,"")</f>
        <v/>
      </c>
      <c r="K83" s="22" t="str">
        <f aca="false">IF(AND(ISNUMBER(K19),ISNUMBER(J19),J19&lt;&gt;0),K19/J19-1,"")</f>
        <v/>
      </c>
      <c r="L83" s="22" t="str">
        <f aca="false">IF(AND(ISNUMBER(L19),ISNUMBER(K19),K19&lt;&gt;0),L19/K19-1,"")</f>
        <v/>
      </c>
      <c r="M83" s="22" t="str">
        <f aca="false">IF(AND(ISNUMBER(M19),ISNUMBER(L19),L19&lt;&gt;0),M19/L19-1,"")</f>
        <v/>
      </c>
      <c r="N83" s="22" t="str">
        <f aca="false">IF(AND(ISNUMBER(N19),ISNUMBER(M19),M19&lt;&gt;0),N19/M19-1,"")</f>
        <v/>
      </c>
    </row>
    <row r="84" customFormat="false" ht="15" hidden="false" customHeight="false" outlineLevel="0" collapsed="false">
      <c r="A84" s="43" t="s">
        <v>388</v>
      </c>
      <c r="C84" s="5" t="s">
        <v>389</v>
      </c>
      <c r="F84" s="22" t="str">
        <f aca="false">IF(AND(ISNUMBER(F20),ISNUMBER(E20),E20&lt;&gt;0),F20/E20-1,"")</f>
        <v/>
      </c>
      <c r="G84" s="22" t="str">
        <f aca="false">IF(AND(ISNUMBER(G20),ISNUMBER(F20),F20&lt;&gt;0),G20/F20-1,"")</f>
        <v/>
      </c>
      <c r="H84" s="22" t="str">
        <f aca="false">IF(AND(ISNUMBER(H20),ISNUMBER(G20),G20&lt;&gt;0),H20/G20-1,"")</f>
        <v/>
      </c>
      <c r="I84" s="22" t="str">
        <f aca="false">IF(AND(ISNUMBER(I20),ISNUMBER(H20),H20&lt;&gt;0),I20/H20-1,"")</f>
        <v/>
      </c>
      <c r="J84" s="22" t="str">
        <f aca="false">IF(AND(ISNUMBER(J20),ISNUMBER(I20),I20&lt;&gt;0),J20/I20-1,"")</f>
        <v/>
      </c>
      <c r="K84" s="22" t="str">
        <f aca="false">IF(AND(ISNUMBER(K20),ISNUMBER(J20),J20&lt;&gt;0),K20/J20-1,"")</f>
        <v/>
      </c>
      <c r="L84" s="22" t="str">
        <f aca="false">IF(AND(ISNUMBER(L20),ISNUMBER(K20),K20&lt;&gt;0),L20/K20-1,"")</f>
        <v/>
      </c>
      <c r="M84" s="22" t="str">
        <f aca="false">IF(AND(ISNUMBER(M20),ISNUMBER(L20),L20&lt;&gt;0),M20/L20-1,"")</f>
        <v/>
      </c>
      <c r="N84" s="22" t="str">
        <f aca="false">IF(AND(ISNUMBER(N20),ISNUMBER(M20),M20&lt;&gt;0),N20/M20-1,"")</f>
        <v/>
      </c>
    </row>
    <row r="85" customFormat="false" ht="15" hidden="false" customHeight="false" outlineLevel="0" collapsed="false">
      <c r="A85" s="43" t="s">
        <v>390</v>
      </c>
      <c r="C85" s="5" t="s">
        <v>391</v>
      </c>
      <c r="F85" s="22" t="str">
        <f aca="false">IF(AND(ISNUMBER(F21),ISNUMBER(E21),E21&lt;&gt;0),F21/E21-1,"")</f>
        <v/>
      </c>
      <c r="G85" s="22" t="str">
        <f aca="false">IF(AND(ISNUMBER(G21),ISNUMBER(F21),F21&lt;&gt;0),G21/F21-1,"")</f>
        <v/>
      </c>
      <c r="H85" s="22" t="str">
        <f aca="false">IF(AND(ISNUMBER(H21),ISNUMBER(G21),G21&lt;&gt;0),H21/G21-1,"")</f>
        <v/>
      </c>
      <c r="I85" s="22" t="str">
        <f aca="false">IF(AND(ISNUMBER(I21),ISNUMBER(H21),H21&lt;&gt;0),I21/H21-1,"")</f>
        <v/>
      </c>
      <c r="J85" s="22" t="str">
        <f aca="false">IF(AND(ISNUMBER(J21),ISNUMBER(I21),I21&lt;&gt;0),J21/I21-1,"")</f>
        <v/>
      </c>
      <c r="K85" s="22" t="str">
        <f aca="false">IF(AND(ISNUMBER(K21),ISNUMBER(J21),J21&lt;&gt;0),K21/J21-1,"")</f>
        <v/>
      </c>
      <c r="L85" s="22" t="str">
        <f aca="false">IF(AND(ISNUMBER(L21),ISNUMBER(K21),K21&lt;&gt;0),L21/K21-1,"")</f>
        <v/>
      </c>
      <c r="M85" s="22" t="str">
        <f aca="false">IF(AND(ISNUMBER(M21),ISNUMBER(L21),L21&lt;&gt;0),M21/L21-1,"")</f>
        <v/>
      </c>
      <c r="N85" s="22" t="str">
        <f aca="false">IF(AND(ISNUMBER(N21),ISNUMBER(M21),M21&lt;&gt;0),N21/M21-1,"")</f>
        <v/>
      </c>
    </row>
    <row r="86" customFormat="false" ht="15" hidden="false" customHeight="false" outlineLevel="0" collapsed="false">
      <c r="A86" s="43" t="s">
        <v>392</v>
      </c>
      <c r="C86" s="5" t="s">
        <v>393</v>
      </c>
      <c r="F86" s="22" t="str">
        <f aca="false">IF(AND(ISNUMBER(F22),ISNUMBER(E22),E22&lt;&gt;0),F22/E22-1,"")</f>
        <v/>
      </c>
      <c r="G86" s="22" t="str">
        <f aca="false">IF(AND(ISNUMBER(G22),ISNUMBER(F22),F22&lt;&gt;0),G22/F22-1,"")</f>
        <v/>
      </c>
      <c r="H86" s="22" t="str">
        <f aca="false">IF(AND(ISNUMBER(H22),ISNUMBER(G22),G22&lt;&gt;0),H22/G22-1,"")</f>
        <v/>
      </c>
      <c r="I86" s="22" t="str">
        <f aca="false">IF(AND(ISNUMBER(I22),ISNUMBER(H22),H22&lt;&gt;0),I22/H22-1,"")</f>
        <v/>
      </c>
      <c r="J86" s="22" t="str">
        <f aca="false">IF(AND(ISNUMBER(J22),ISNUMBER(I22),I22&lt;&gt;0),J22/I22-1,"")</f>
        <v/>
      </c>
      <c r="K86" s="22" t="str">
        <f aca="false">IF(AND(ISNUMBER(K22),ISNUMBER(J22),J22&lt;&gt;0),K22/J22-1,"")</f>
        <v/>
      </c>
      <c r="L86" s="22" t="str">
        <f aca="false">IF(AND(ISNUMBER(L22),ISNUMBER(K22),K22&lt;&gt;0),L22/K22-1,"")</f>
        <v/>
      </c>
      <c r="M86" s="22" t="str">
        <f aca="false">IF(AND(ISNUMBER(M22),ISNUMBER(L22),L22&lt;&gt;0),M22/L22-1,"")</f>
        <v/>
      </c>
      <c r="N86" s="22" t="str">
        <f aca="false">IF(AND(ISNUMBER(N22),ISNUMBER(M22),M22&lt;&gt;0),N22/M22-1,"")</f>
        <v/>
      </c>
    </row>
    <row r="87" customFormat="false" ht="15" hidden="false" customHeight="false" outlineLevel="0" collapsed="false">
      <c r="A87" s="43" t="s">
        <v>394</v>
      </c>
      <c r="C87" s="5" t="s">
        <v>395</v>
      </c>
      <c r="F87" s="22" t="str">
        <f aca="false">IF(AND(ISNUMBER(F23),ISNUMBER(E23),E23&lt;&gt;0),F23/E23-1,"")</f>
        <v/>
      </c>
      <c r="G87" s="22" t="str">
        <f aca="false">IF(AND(ISNUMBER(G23),ISNUMBER(F23),F23&lt;&gt;0),G23/F23-1,"")</f>
        <v/>
      </c>
      <c r="H87" s="22" t="str">
        <f aca="false">IF(AND(ISNUMBER(H23),ISNUMBER(G23),G23&lt;&gt;0),H23/G23-1,"")</f>
        <v/>
      </c>
      <c r="I87" s="22" t="str">
        <f aca="false">IF(AND(ISNUMBER(I23),ISNUMBER(H23),H23&lt;&gt;0),I23/H23-1,"")</f>
        <v/>
      </c>
      <c r="J87" s="22" t="str">
        <f aca="false">IF(AND(ISNUMBER(J23),ISNUMBER(I23),I23&lt;&gt;0),J23/I23-1,"")</f>
        <v/>
      </c>
      <c r="K87" s="22" t="str">
        <f aca="false">IF(AND(ISNUMBER(K23),ISNUMBER(J23),J23&lt;&gt;0),K23/J23-1,"")</f>
        <v/>
      </c>
      <c r="L87" s="22" t="str">
        <f aca="false">IF(AND(ISNUMBER(L23),ISNUMBER(K23),K23&lt;&gt;0),L23/K23-1,"")</f>
        <v/>
      </c>
      <c r="M87" s="22" t="str">
        <f aca="false">IF(AND(ISNUMBER(M23),ISNUMBER(L23),L23&lt;&gt;0),M23/L23-1,"")</f>
        <v/>
      </c>
      <c r="N87" s="22" t="str">
        <f aca="false">IF(AND(ISNUMBER(N23),ISNUMBER(M23),M23&lt;&gt;0),N23/M23-1,"")</f>
        <v/>
      </c>
    </row>
    <row r="88" customFormat="false" ht="15" hidden="false" customHeight="false" outlineLevel="0" collapsed="false">
      <c r="A88" s="43" t="s">
        <v>396</v>
      </c>
      <c r="C88" s="5" t="s">
        <v>397</v>
      </c>
      <c r="F88" s="22" t="str">
        <f aca="false">IF(AND(ISNUMBER(F24),ISNUMBER(E24),E24&lt;&gt;0),F24/E24-1,"")</f>
        <v/>
      </c>
      <c r="G88" s="22" t="str">
        <f aca="false">IF(AND(ISNUMBER(G24),ISNUMBER(F24),F24&lt;&gt;0),G24/F24-1,"")</f>
        <v/>
      </c>
      <c r="H88" s="22" t="str">
        <f aca="false">IF(AND(ISNUMBER(H24),ISNUMBER(G24),G24&lt;&gt;0),H24/G24-1,"")</f>
        <v/>
      </c>
      <c r="I88" s="22" t="str">
        <f aca="false">IF(AND(ISNUMBER(I24),ISNUMBER(H24),H24&lt;&gt;0),I24/H24-1,"")</f>
        <v/>
      </c>
      <c r="J88" s="22" t="str">
        <f aca="false">IF(AND(ISNUMBER(J24),ISNUMBER(I24),I24&lt;&gt;0),J24/I24-1,"")</f>
        <v/>
      </c>
      <c r="K88" s="22" t="str">
        <f aca="false">IF(AND(ISNUMBER(K24),ISNUMBER(J24),J24&lt;&gt;0),K24/J24-1,"")</f>
        <v/>
      </c>
      <c r="L88" s="22" t="str">
        <f aca="false">IF(AND(ISNUMBER(L24),ISNUMBER(K24),K24&lt;&gt;0),L24/K24-1,"")</f>
        <v/>
      </c>
      <c r="M88" s="22" t="str">
        <f aca="false">IF(AND(ISNUMBER(M24),ISNUMBER(L24),L24&lt;&gt;0),M24/L24-1,"")</f>
        <v/>
      </c>
      <c r="N88" s="22" t="str">
        <f aca="false">IF(AND(ISNUMBER(N24),ISNUMBER(M24),M24&lt;&gt;0),N24/M24-1,"")</f>
        <v/>
      </c>
    </row>
    <row r="89" customFormat="false" ht="15" hidden="false" customHeight="false" outlineLevel="0" collapsed="false">
      <c r="A89" s="43" t="s">
        <v>398</v>
      </c>
      <c r="C89" s="5" t="s">
        <v>399</v>
      </c>
      <c r="F89" s="22" t="str">
        <f aca="false">IF(AND(ISNUMBER(F25),ISNUMBER(E25),E25&lt;&gt;0),F25/E25-1,"")</f>
        <v/>
      </c>
      <c r="G89" s="22" t="str">
        <f aca="false">IF(AND(ISNUMBER(G25),ISNUMBER(F25),F25&lt;&gt;0),G25/F25-1,"")</f>
        <v/>
      </c>
      <c r="H89" s="22" t="str">
        <f aca="false">IF(AND(ISNUMBER(H25),ISNUMBER(G25),G25&lt;&gt;0),H25/G25-1,"")</f>
        <v/>
      </c>
      <c r="I89" s="22" t="str">
        <f aca="false">IF(AND(ISNUMBER(I25),ISNUMBER(H25),H25&lt;&gt;0),I25/H25-1,"")</f>
        <v/>
      </c>
      <c r="J89" s="22" t="str">
        <f aca="false">IF(AND(ISNUMBER(J25),ISNUMBER(I25),I25&lt;&gt;0),J25/I25-1,"")</f>
        <v/>
      </c>
      <c r="K89" s="22" t="str">
        <f aca="false">IF(AND(ISNUMBER(K25),ISNUMBER(J25),J25&lt;&gt;0),K25/J25-1,"")</f>
        <v/>
      </c>
      <c r="L89" s="22" t="str">
        <f aca="false">IF(AND(ISNUMBER(L25),ISNUMBER(K25),K25&lt;&gt;0),L25/K25-1,"")</f>
        <v/>
      </c>
      <c r="M89" s="22" t="str">
        <f aca="false">IF(AND(ISNUMBER(M25),ISNUMBER(L25),L25&lt;&gt;0),M25/L25-1,"")</f>
        <v/>
      </c>
      <c r="N89" s="22" t="str">
        <f aca="false">IF(AND(ISNUMBER(N25),ISNUMBER(M25),M25&lt;&gt;0),N25/M25-1,"")</f>
        <v/>
      </c>
    </row>
    <row r="90" customFormat="false" ht="15" hidden="false" customHeight="false" outlineLevel="0" collapsed="false">
      <c r="A90" s="43" t="s">
        <v>400</v>
      </c>
      <c r="C90" s="5" t="s">
        <v>401</v>
      </c>
      <c r="F90" s="22" t="str">
        <f aca="false">IF(AND(ISNUMBER(F26),ISNUMBER(E26),E26&lt;&gt;0),F26/E26-1,"")</f>
        <v/>
      </c>
      <c r="G90" s="22" t="str">
        <f aca="false">IF(AND(ISNUMBER(G26),ISNUMBER(F26),F26&lt;&gt;0),G26/F26-1,"")</f>
        <v/>
      </c>
      <c r="H90" s="22" t="str">
        <f aca="false">IF(AND(ISNUMBER(H26),ISNUMBER(G26),G26&lt;&gt;0),H26/G26-1,"")</f>
        <v/>
      </c>
      <c r="I90" s="22" t="str">
        <f aca="false">IF(AND(ISNUMBER(I26),ISNUMBER(H26),H26&lt;&gt;0),I26/H26-1,"")</f>
        <v/>
      </c>
      <c r="J90" s="22" t="str">
        <f aca="false">IF(AND(ISNUMBER(J26),ISNUMBER(I26),I26&lt;&gt;0),J26/I26-1,"")</f>
        <v/>
      </c>
      <c r="K90" s="22" t="str">
        <f aca="false">IF(AND(ISNUMBER(K26),ISNUMBER(J26),J26&lt;&gt;0),K26/J26-1,"")</f>
        <v/>
      </c>
      <c r="L90" s="22" t="str">
        <f aca="false">IF(AND(ISNUMBER(L26),ISNUMBER(K26),K26&lt;&gt;0),L26/K26-1,"")</f>
        <v/>
      </c>
      <c r="M90" s="22" t="str">
        <f aca="false">IF(AND(ISNUMBER(M26),ISNUMBER(L26),L26&lt;&gt;0),M26/L26-1,"")</f>
        <v/>
      </c>
      <c r="N90" s="22" t="str">
        <f aca="false">IF(AND(ISNUMBER(N26),ISNUMBER(M26),M26&lt;&gt;0),N26/M26-1,"")</f>
        <v/>
      </c>
    </row>
    <row r="91" customFormat="false" ht="15" hidden="false" customHeight="false" outlineLevel="0" collapsed="false">
      <c r="A91" s="43" t="s">
        <v>402</v>
      </c>
      <c r="C91" s="5" t="s">
        <v>403</v>
      </c>
      <c r="F91" s="22" t="str">
        <f aca="false">IF(AND(ISNUMBER(F27),ISNUMBER(E27),E27&lt;&gt;0),F27/E27-1,"")</f>
        <v/>
      </c>
      <c r="G91" s="22" t="str">
        <f aca="false">IF(AND(ISNUMBER(G27),ISNUMBER(F27),F27&lt;&gt;0),G27/F27-1,"")</f>
        <v/>
      </c>
      <c r="H91" s="22" t="str">
        <f aca="false">IF(AND(ISNUMBER(H27),ISNUMBER(G27),G27&lt;&gt;0),H27/G27-1,"")</f>
        <v/>
      </c>
      <c r="I91" s="22" t="str">
        <f aca="false">IF(AND(ISNUMBER(I27),ISNUMBER(H27),H27&lt;&gt;0),I27/H27-1,"")</f>
        <v/>
      </c>
      <c r="J91" s="22" t="str">
        <f aca="false">IF(AND(ISNUMBER(J27),ISNUMBER(I27),I27&lt;&gt;0),J27/I27-1,"")</f>
        <v/>
      </c>
      <c r="K91" s="22" t="str">
        <f aca="false">IF(AND(ISNUMBER(K27),ISNUMBER(J27),J27&lt;&gt;0),K27/J27-1,"")</f>
        <v/>
      </c>
      <c r="L91" s="22" t="str">
        <f aca="false">IF(AND(ISNUMBER(L27),ISNUMBER(K27),K27&lt;&gt;0),L27/K27-1,"")</f>
        <v/>
      </c>
      <c r="M91" s="22" t="str">
        <f aca="false">IF(AND(ISNUMBER(M27),ISNUMBER(L27),L27&lt;&gt;0),M27/L27-1,"")</f>
        <v/>
      </c>
      <c r="N91" s="22" t="str">
        <f aca="false">IF(AND(ISNUMBER(N27),ISNUMBER(M27),M27&lt;&gt;0),N27/M27-1,"")</f>
        <v/>
      </c>
    </row>
    <row r="92" customFormat="false" ht="15" hidden="false" customHeight="false" outlineLevel="0" collapsed="false">
      <c r="A92" s="43" t="s">
        <v>404</v>
      </c>
      <c r="C92" s="5" t="s">
        <v>405</v>
      </c>
      <c r="F92" s="22" t="str">
        <f aca="false">IF(AND(ISNUMBER(F28),ISNUMBER(E28),E28&lt;&gt;0),F28/E28-1,"")</f>
        <v/>
      </c>
      <c r="G92" s="22" t="str">
        <f aca="false">IF(AND(ISNUMBER(G28),ISNUMBER(F28),F28&lt;&gt;0),G28/F28-1,"")</f>
        <v/>
      </c>
      <c r="H92" s="22" t="str">
        <f aca="false">IF(AND(ISNUMBER(H28),ISNUMBER(G28),G28&lt;&gt;0),H28/G28-1,"")</f>
        <v/>
      </c>
      <c r="I92" s="22" t="str">
        <f aca="false">IF(AND(ISNUMBER(I28),ISNUMBER(H28),H28&lt;&gt;0),I28/H28-1,"")</f>
        <v/>
      </c>
      <c r="J92" s="22" t="str">
        <f aca="false">IF(AND(ISNUMBER(J28),ISNUMBER(I28),I28&lt;&gt;0),J28/I28-1,"")</f>
        <v/>
      </c>
      <c r="K92" s="22" t="str">
        <f aca="false">IF(AND(ISNUMBER(K28),ISNUMBER(J28),J28&lt;&gt;0),K28/J28-1,"")</f>
        <v/>
      </c>
      <c r="L92" s="22" t="str">
        <f aca="false">IF(AND(ISNUMBER(L28),ISNUMBER(K28),K28&lt;&gt;0),L28/K28-1,"")</f>
        <v/>
      </c>
      <c r="M92" s="22" t="str">
        <f aca="false">IF(AND(ISNUMBER(M28),ISNUMBER(L28),L28&lt;&gt;0),M28/L28-1,"")</f>
        <v/>
      </c>
      <c r="N92" s="22" t="str">
        <f aca="false">IF(AND(ISNUMBER(N28),ISNUMBER(M28),M28&lt;&gt;0),N28/M28-1,"")</f>
        <v/>
      </c>
    </row>
    <row r="93" customFormat="false" ht="15" hidden="false" customHeight="false" outlineLevel="0" collapsed="false">
      <c r="A93" s="43" t="s">
        <v>406</v>
      </c>
      <c r="C93" s="5" t="s">
        <v>407</v>
      </c>
      <c r="F93" s="22" t="str">
        <f aca="false">IF(AND(ISNUMBER(F29),ISNUMBER(E29),E29&lt;&gt;0),F29/E29-1,"")</f>
        <v/>
      </c>
      <c r="G93" s="22" t="str">
        <f aca="false">IF(AND(ISNUMBER(G29),ISNUMBER(F29),F29&lt;&gt;0),G29/F29-1,"")</f>
        <v/>
      </c>
      <c r="H93" s="22" t="str">
        <f aca="false">IF(AND(ISNUMBER(H29),ISNUMBER(G29),G29&lt;&gt;0),H29/G29-1,"")</f>
        <v/>
      </c>
      <c r="I93" s="22" t="str">
        <f aca="false">IF(AND(ISNUMBER(I29),ISNUMBER(H29),H29&lt;&gt;0),I29/H29-1,"")</f>
        <v/>
      </c>
      <c r="J93" s="22" t="str">
        <f aca="false">IF(AND(ISNUMBER(J29),ISNUMBER(I29),I29&lt;&gt;0),J29/I29-1,"")</f>
        <v/>
      </c>
      <c r="K93" s="22" t="str">
        <f aca="false">IF(AND(ISNUMBER(K29),ISNUMBER(J29),J29&lt;&gt;0),K29/J29-1,"")</f>
        <v/>
      </c>
      <c r="L93" s="22" t="str">
        <f aca="false">IF(AND(ISNUMBER(L29),ISNUMBER(K29),K29&lt;&gt;0),L29/K29-1,"")</f>
        <v/>
      </c>
      <c r="M93" s="22" t="str">
        <f aca="false">IF(AND(ISNUMBER(M29),ISNUMBER(L29),L29&lt;&gt;0),M29/L29-1,"")</f>
        <v/>
      </c>
      <c r="N93" s="22" t="str">
        <f aca="false">IF(AND(ISNUMBER(N29),ISNUMBER(M29),M29&lt;&gt;0),N29/M29-1,"")</f>
        <v/>
      </c>
    </row>
    <row r="94" customFormat="false" ht="23.85" hidden="false" customHeight="false" outlineLevel="0" collapsed="false">
      <c r="A94" s="43" t="s">
        <v>408</v>
      </c>
      <c r="C94" s="5" t="s">
        <v>409</v>
      </c>
      <c r="F94" s="22" t="str">
        <f aca="false">IF(AND(ISNUMBER(F30),ISNUMBER(E30),E30&lt;&gt;0),F30/E30-1,"")</f>
        <v/>
      </c>
      <c r="G94" s="22" t="str">
        <f aca="false">IF(AND(ISNUMBER(G30),ISNUMBER(F30),F30&lt;&gt;0),G30/F30-1,"")</f>
        <v/>
      </c>
      <c r="H94" s="22" t="str">
        <f aca="false">IF(AND(ISNUMBER(H30),ISNUMBER(G30),G30&lt;&gt;0),H30/G30-1,"")</f>
        <v/>
      </c>
      <c r="I94" s="22" t="str">
        <f aca="false">IF(AND(ISNUMBER(I30),ISNUMBER(H30),H30&lt;&gt;0),I30/H30-1,"")</f>
        <v/>
      </c>
      <c r="J94" s="22" t="str">
        <f aca="false">IF(AND(ISNUMBER(J30),ISNUMBER(I30),I30&lt;&gt;0),J30/I30-1,"")</f>
        <v/>
      </c>
      <c r="K94" s="22" t="str">
        <f aca="false">IF(AND(ISNUMBER(K30),ISNUMBER(J30),J30&lt;&gt;0),K30/J30-1,"")</f>
        <v/>
      </c>
      <c r="L94" s="22" t="str">
        <f aca="false">IF(AND(ISNUMBER(L30),ISNUMBER(K30),K30&lt;&gt;0),L30/K30-1,"")</f>
        <v/>
      </c>
      <c r="M94" s="22" t="str">
        <f aca="false">IF(AND(ISNUMBER(M30),ISNUMBER(L30),L30&lt;&gt;0),M30/L30-1,"")</f>
        <v/>
      </c>
      <c r="N94" s="22" t="str">
        <f aca="false">IF(AND(ISNUMBER(N30),ISNUMBER(M30),M30&lt;&gt;0),N30/M30-1,"")</f>
        <v/>
      </c>
    </row>
    <row r="95" customFormat="false" ht="23.85" hidden="false" customHeight="false" outlineLevel="0" collapsed="false">
      <c r="A95" s="43" t="s">
        <v>411</v>
      </c>
      <c r="C95" s="5" t="s">
        <v>412</v>
      </c>
      <c r="F95" s="22" t="str">
        <f aca="false">IF(AND(ISNUMBER(F31),ISNUMBER(E31),E31&lt;&gt;0),F31/E31-1,"")</f>
        <v/>
      </c>
      <c r="G95" s="22" t="str">
        <f aca="false">IF(AND(ISNUMBER(G31),ISNUMBER(F31),F31&lt;&gt;0),G31/F31-1,"")</f>
        <v/>
      </c>
      <c r="H95" s="22" t="str">
        <f aca="false">IF(AND(ISNUMBER(H31),ISNUMBER(G31),G31&lt;&gt;0),H31/G31-1,"")</f>
        <v/>
      </c>
      <c r="I95" s="22" t="str">
        <f aca="false">IF(AND(ISNUMBER(I31),ISNUMBER(H31),H31&lt;&gt;0),I31/H31-1,"")</f>
        <v/>
      </c>
      <c r="J95" s="22" t="str">
        <f aca="false">IF(AND(ISNUMBER(J31),ISNUMBER(I31),I31&lt;&gt;0),J31/I31-1,"")</f>
        <v/>
      </c>
      <c r="K95" s="22" t="str">
        <f aca="false">IF(AND(ISNUMBER(K31),ISNUMBER(J31),J31&lt;&gt;0),K31/J31-1,"")</f>
        <v/>
      </c>
      <c r="L95" s="22" t="str">
        <f aca="false">IF(AND(ISNUMBER(L31),ISNUMBER(K31),K31&lt;&gt;0),L31/K31-1,"")</f>
        <v/>
      </c>
      <c r="M95" s="22" t="str">
        <f aca="false">IF(AND(ISNUMBER(M31),ISNUMBER(L31),L31&lt;&gt;0),M31/L31-1,"")</f>
        <v/>
      </c>
      <c r="N95" s="22" t="str">
        <f aca="false">IF(AND(ISNUMBER(N31),ISNUMBER(M31),M31&lt;&gt;0),N31/M31-1,"")</f>
        <v/>
      </c>
    </row>
    <row r="96" customFormat="false" ht="23.85" hidden="false" customHeight="false" outlineLevel="0" collapsed="false">
      <c r="A96" s="43" t="s">
        <v>413</v>
      </c>
      <c r="C96" s="5" t="s">
        <v>414</v>
      </c>
      <c r="F96" s="22" t="str">
        <f aca="false">IF(AND(ISNUMBER(F32),ISNUMBER(E32),E32&lt;&gt;0),F32/E32-1,"")</f>
        <v/>
      </c>
      <c r="G96" s="22" t="str">
        <f aca="false">IF(AND(ISNUMBER(G32),ISNUMBER(F32),F32&lt;&gt;0),G32/F32-1,"")</f>
        <v/>
      </c>
      <c r="H96" s="22" t="str">
        <f aca="false">IF(AND(ISNUMBER(H32),ISNUMBER(G32),G32&lt;&gt;0),H32/G32-1,"")</f>
        <v/>
      </c>
      <c r="I96" s="22" t="str">
        <f aca="false">IF(AND(ISNUMBER(I32),ISNUMBER(H32),H32&lt;&gt;0),I32/H32-1,"")</f>
        <v/>
      </c>
      <c r="J96" s="22" t="str">
        <f aca="false">IF(AND(ISNUMBER(J32),ISNUMBER(I32),I32&lt;&gt;0),J32/I32-1,"")</f>
        <v/>
      </c>
      <c r="K96" s="22" t="str">
        <f aca="false">IF(AND(ISNUMBER(K32),ISNUMBER(J32),J32&lt;&gt;0),K32/J32-1,"")</f>
        <v/>
      </c>
      <c r="L96" s="22" t="str">
        <f aca="false">IF(AND(ISNUMBER(L32),ISNUMBER(K32),K32&lt;&gt;0),L32/K32-1,"")</f>
        <v/>
      </c>
      <c r="M96" s="22" t="str">
        <f aca="false">IF(AND(ISNUMBER(M32),ISNUMBER(L32),L32&lt;&gt;0),M32/L32-1,"")</f>
        <v/>
      </c>
      <c r="N96" s="22" t="str">
        <f aca="false">IF(AND(ISNUMBER(N32),ISNUMBER(M32),M32&lt;&gt;0),N32/M32-1,"")</f>
        <v/>
      </c>
    </row>
    <row r="97" customFormat="false" ht="23.85" hidden="false" customHeight="false" outlineLevel="0" collapsed="false">
      <c r="A97" s="43" t="s">
        <v>415</v>
      </c>
      <c r="C97" s="5" t="s">
        <v>416</v>
      </c>
      <c r="F97" s="22" t="str">
        <f aca="false">IF(AND(ISNUMBER(F33),ISNUMBER(E33),E33&lt;&gt;0),F33/E33-1,"")</f>
        <v/>
      </c>
      <c r="G97" s="22" t="str">
        <f aca="false">IF(AND(ISNUMBER(G33),ISNUMBER(F33),F33&lt;&gt;0),G33/F33-1,"")</f>
        <v/>
      </c>
      <c r="H97" s="22" t="str">
        <f aca="false">IF(AND(ISNUMBER(H33),ISNUMBER(G33),G33&lt;&gt;0),H33/G33-1,"")</f>
        <v/>
      </c>
      <c r="I97" s="22" t="str">
        <f aca="false">IF(AND(ISNUMBER(I33),ISNUMBER(H33),H33&lt;&gt;0),I33/H33-1,"")</f>
        <v/>
      </c>
      <c r="J97" s="22" t="str">
        <f aca="false">IF(AND(ISNUMBER(J33),ISNUMBER(I33),I33&lt;&gt;0),J33/I33-1,"")</f>
        <v/>
      </c>
      <c r="K97" s="22" t="str">
        <f aca="false">IF(AND(ISNUMBER(K33),ISNUMBER(J33),J33&lt;&gt;0),K33/J33-1,"")</f>
        <v/>
      </c>
      <c r="L97" s="22" t="str">
        <f aca="false">IF(AND(ISNUMBER(L33),ISNUMBER(K33),K33&lt;&gt;0),L33/K33-1,"")</f>
        <v/>
      </c>
      <c r="M97" s="22" t="str">
        <f aca="false">IF(AND(ISNUMBER(M33),ISNUMBER(L33),L33&lt;&gt;0),M33/L33-1,"")</f>
        <v/>
      </c>
      <c r="N97" s="22" t="str">
        <f aca="false">IF(AND(ISNUMBER(N33),ISNUMBER(M33),M33&lt;&gt;0),N33/M33-1,"")</f>
        <v/>
      </c>
    </row>
    <row r="98" customFormat="false" ht="23.85" hidden="false" customHeight="false" outlineLevel="0" collapsed="false">
      <c r="A98" s="43" t="s">
        <v>417</v>
      </c>
      <c r="C98" s="5" t="s">
        <v>418</v>
      </c>
      <c r="F98" s="22" t="str">
        <f aca="false">IF(AND(ISNUMBER(F34),ISNUMBER(E34),E34&lt;&gt;0),F34/E34-1,"")</f>
        <v/>
      </c>
      <c r="G98" s="22" t="str">
        <f aca="false">IF(AND(ISNUMBER(G34),ISNUMBER(F34),F34&lt;&gt;0),G34/F34-1,"")</f>
        <v/>
      </c>
      <c r="H98" s="22" t="str">
        <f aca="false">IF(AND(ISNUMBER(H34),ISNUMBER(G34),G34&lt;&gt;0),H34/G34-1,"")</f>
        <v/>
      </c>
      <c r="I98" s="22" t="str">
        <f aca="false">IF(AND(ISNUMBER(I34),ISNUMBER(H34),H34&lt;&gt;0),I34/H34-1,"")</f>
        <v/>
      </c>
      <c r="J98" s="22" t="str">
        <f aca="false">IF(AND(ISNUMBER(J34),ISNUMBER(I34),I34&lt;&gt;0),J34/I34-1,"")</f>
        <v/>
      </c>
      <c r="K98" s="22" t="str">
        <f aca="false">IF(AND(ISNUMBER(K34),ISNUMBER(J34),J34&lt;&gt;0),K34/J34-1,"")</f>
        <v/>
      </c>
      <c r="L98" s="22" t="str">
        <f aca="false">IF(AND(ISNUMBER(L34),ISNUMBER(K34),K34&lt;&gt;0),L34/K34-1,"")</f>
        <v/>
      </c>
      <c r="M98" s="22" t="str">
        <f aca="false">IF(AND(ISNUMBER(M34),ISNUMBER(L34),L34&lt;&gt;0),M34/L34-1,"")</f>
        <v/>
      </c>
      <c r="N98" s="22" t="str">
        <f aca="false">IF(AND(ISNUMBER(N34),ISNUMBER(M34),M34&lt;&gt;0),N34/M34-1,"")</f>
        <v/>
      </c>
    </row>
    <row r="99" customFormat="false" ht="23.85" hidden="false" customHeight="false" outlineLevel="0" collapsed="false">
      <c r="A99" s="43" t="s">
        <v>419</v>
      </c>
      <c r="C99" s="5" t="s">
        <v>420</v>
      </c>
      <c r="F99" s="22" t="str">
        <f aca="false">IF(AND(ISNUMBER(F35),ISNUMBER(E35),E35&lt;&gt;0),F35/E35-1,"")</f>
        <v/>
      </c>
      <c r="G99" s="22" t="str">
        <f aca="false">IF(AND(ISNUMBER(G35),ISNUMBER(F35),F35&lt;&gt;0),G35/F35-1,"")</f>
        <v/>
      </c>
      <c r="H99" s="22" t="str">
        <f aca="false">IF(AND(ISNUMBER(H35),ISNUMBER(G35),G35&lt;&gt;0),H35/G35-1,"")</f>
        <v/>
      </c>
      <c r="I99" s="22" t="str">
        <f aca="false">IF(AND(ISNUMBER(I35),ISNUMBER(H35),H35&lt;&gt;0),I35/H35-1,"")</f>
        <v/>
      </c>
      <c r="J99" s="22" t="str">
        <f aca="false">IF(AND(ISNUMBER(J35),ISNUMBER(I35),I35&lt;&gt;0),J35/I35-1,"")</f>
        <v/>
      </c>
      <c r="K99" s="22" t="str">
        <f aca="false">IF(AND(ISNUMBER(K35),ISNUMBER(J35),J35&lt;&gt;0),K35/J35-1,"")</f>
        <v/>
      </c>
      <c r="L99" s="22" t="str">
        <f aca="false">IF(AND(ISNUMBER(L35),ISNUMBER(K35),K35&lt;&gt;0),L35/K35-1,"")</f>
        <v/>
      </c>
      <c r="M99" s="22" t="str">
        <f aca="false">IF(AND(ISNUMBER(M35),ISNUMBER(L35),L35&lt;&gt;0),M35/L35-1,"")</f>
        <v/>
      </c>
      <c r="N99" s="22" t="str">
        <f aca="false">IF(AND(ISNUMBER(N35),ISNUMBER(M35),M35&lt;&gt;0),N35/M35-1,"")</f>
        <v/>
      </c>
    </row>
    <row r="100" customFormat="false" ht="23.85" hidden="false" customHeight="false" outlineLevel="0" collapsed="false">
      <c r="A100" s="43" t="s">
        <v>421</v>
      </c>
      <c r="C100" s="5" t="s">
        <v>422</v>
      </c>
      <c r="F100" s="22" t="str">
        <f aca="false">IF(AND(ISNUMBER(F36),ISNUMBER(E36),E36&lt;&gt;0),F36/E36-1,"")</f>
        <v/>
      </c>
      <c r="G100" s="22" t="str">
        <f aca="false">IF(AND(ISNUMBER(G36),ISNUMBER(F36),F36&lt;&gt;0),G36/F36-1,"")</f>
        <v/>
      </c>
      <c r="H100" s="22" t="str">
        <f aca="false">IF(AND(ISNUMBER(H36),ISNUMBER(G36),G36&lt;&gt;0),H36/G36-1,"")</f>
        <v/>
      </c>
      <c r="I100" s="22" t="str">
        <f aca="false">IF(AND(ISNUMBER(I36),ISNUMBER(H36),H36&lt;&gt;0),I36/H36-1,"")</f>
        <v/>
      </c>
      <c r="J100" s="22" t="str">
        <f aca="false">IF(AND(ISNUMBER(J36),ISNUMBER(I36),I36&lt;&gt;0),J36/I36-1,"")</f>
        <v/>
      </c>
      <c r="K100" s="22" t="str">
        <f aca="false">IF(AND(ISNUMBER(K36),ISNUMBER(J36),J36&lt;&gt;0),K36/J36-1,"")</f>
        <v/>
      </c>
      <c r="L100" s="22" t="str">
        <f aca="false">IF(AND(ISNUMBER(L36),ISNUMBER(K36),K36&lt;&gt;0),L36/K36-1,"")</f>
        <v/>
      </c>
      <c r="M100" s="22" t="str">
        <f aca="false">IF(AND(ISNUMBER(M36),ISNUMBER(L36),L36&lt;&gt;0),M36/L36-1,"")</f>
        <v/>
      </c>
      <c r="N100" s="22" t="str">
        <f aca="false">IF(AND(ISNUMBER(N36),ISNUMBER(M36),M36&lt;&gt;0),N36/M36-1,"")</f>
        <v/>
      </c>
    </row>
    <row r="101" customFormat="false" ht="23.85" hidden="false" customHeight="false" outlineLevel="0" collapsed="false">
      <c r="A101" s="43" t="s">
        <v>423</v>
      </c>
      <c r="C101" s="5" t="s">
        <v>424</v>
      </c>
      <c r="F101" s="22" t="str">
        <f aca="false">IF(AND(ISNUMBER(F37),ISNUMBER(E37),E37&lt;&gt;0),F37/E37-1,"")</f>
        <v/>
      </c>
      <c r="G101" s="22" t="str">
        <f aca="false">IF(AND(ISNUMBER(G37),ISNUMBER(F37),F37&lt;&gt;0),G37/F37-1,"")</f>
        <v/>
      </c>
      <c r="H101" s="22" t="str">
        <f aca="false">IF(AND(ISNUMBER(H37),ISNUMBER(G37),G37&lt;&gt;0),H37/G37-1,"")</f>
        <v/>
      </c>
      <c r="I101" s="22" t="str">
        <f aca="false">IF(AND(ISNUMBER(I37),ISNUMBER(H37),H37&lt;&gt;0),I37/H37-1,"")</f>
        <v/>
      </c>
      <c r="J101" s="22" t="str">
        <f aca="false">IF(AND(ISNUMBER(J37),ISNUMBER(I37),I37&lt;&gt;0),J37/I37-1,"")</f>
        <v/>
      </c>
      <c r="K101" s="22" t="str">
        <f aca="false">IF(AND(ISNUMBER(K37),ISNUMBER(J37),J37&lt;&gt;0),K37/J37-1,"")</f>
        <v/>
      </c>
      <c r="L101" s="22" t="str">
        <f aca="false">IF(AND(ISNUMBER(L37),ISNUMBER(K37),K37&lt;&gt;0),L37/K37-1,"")</f>
        <v/>
      </c>
      <c r="M101" s="22" t="str">
        <f aca="false">IF(AND(ISNUMBER(M37),ISNUMBER(L37),L37&lt;&gt;0),M37/L37-1,"")</f>
        <v/>
      </c>
      <c r="N101" s="22" t="str">
        <f aca="false">IF(AND(ISNUMBER(N37),ISNUMBER(M37),M37&lt;&gt;0),N37/M37-1,"")</f>
        <v/>
      </c>
    </row>
    <row r="102" customFormat="false" ht="15" hidden="false" customHeight="false" outlineLevel="0" collapsed="false">
      <c r="A102" s="43" t="s">
        <v>425</v>
      </c>
      <c r="C102" s="5" t="s">
        <v>426</v>
      </c>
      <c r="F102" s="22" t="str">
        <f aca="false">IF(AND(ISNUMBER(F38),ISNUMBER(E38),E38&lt;&gt;0),F38/E38-1,"")</f>
        <v/>
      </c>
      <c r="G102" s="22" t="str">
        <f aca="false">IF(AND(ISNUMBER(G38),ISNUMBER(F38),F38&lt;&gt;0),G38/F38-1,"")</f>
        <v/>
      </c>
      <c r="H102" s="22" t="str">
        <f aca="false">IF(AND(ISNUMBER(H38),ISNUMBER(G38),G38&lt;&gt;0),H38/G38-1,"")</f>
        <v/>
      </c>
      <c r="I102" s="22" t="str">
        <f aca="false">IF(AND(ISNUMBER(I38),ISNUMBER(H38),H38&lt;&gt;0),I38/H38-1,"")</f>
        <v/>
      </c>
      <c r="J102" s="22" t="str">
        <f aca="false">IF(AND(ISNUMBER(J38),ISNUMBER(I38),I38&lt;&gt;0),J38/I38-1,"")</f>
        <v/>
      </c>
      <c r="K102" s="22" t="str">
        <f aca="false">IF(AND(ISNUMBER(K38),ISNUMBER(J38),J38&lt;&gt;0),K38/J38-1,"")</f>
        <v/>
      </c>
      <c r="L102" s="22" t="str">
        <f aca="false">IF(AND(ISNUMBER(L38),ISNUMBER(K38),K38&lt;&gt;0),L38/K38-1,"")</f>
        <v/>
      </c>
      <c r="M102" s="22" t="str">
        <f aca="false">IF(AND(ISNUMBER(M38),ISNUMBER(L38),L38&lt;&gt;0),M38/L38-1,"")</f>
        <v/>
      </c>
      <c r="N102" s="22" t="str">
        <f aca="false">IF(AND(ISNUMBER(N38),ISNUMBER(M38),M38&lt;&gt;0),N38/M38-1,"")</f>
        <v/>
      </c>
    </row>
    <row r="103" customFormat="false" ht="15" hidden="false" customHeight="false" outlineLevel="0" collapsed="false">
      <c r="A103" s="43" t="s">
        <v>428</v>
      </c>
      <c r="C103" s="5" t="s">
        <v>429</v>
      </c>
      <c r="F103" s="22" t="str">
        <f aca="false">IF(AND(ISNUMBER(F39),ISNUMBER(E39),E39&lt;&gt;0),F39/E39-1,"")</f>
        <v/>
      </c>
      <c r="G103" s="22" t="str">
        <f aca="false">IF(AND(ISNUMBER(G39),ISNUMBER(F39),F39&lt;&gt;0),G39/F39-1,"")</f>
        <v/>
      </c>
      <c r="H103" s="22" t="str">
        <f aca="false">IF(AND(ISNUMBER(H39),ISNUMBER(G39),G39&lt;&gt;0),H39/G39-1,"")</f>
        <v/>
      </c>
      <c r="I103" s="22" t="str">
        <f aca="false">IF(AND(ISNUMBER(I39),ISNUMBER(H39),H39&lt;&gt;0),I39/H39-1,"")</f>
        <v/>
      </c>
      <c r="J103" s="22" t="str">
        <f aca="false">IF(AND(ISNUMBER(J39),ISNUMBER(I39),I39&lt;&gt;0),J39/I39-1,"")</f>
        <v/>
      </c>
      <c r="K103" s="22" t="str">
        <f aca="false">IF(AND(ISNUMBER(K39),ISNUMBER(J39),J39&lt;&gt;0),K39/J39-1,"")</f>
        <v/>
      </c>
      <c r="L103" s="22" t="str">
        <f aca="false">IF(AND(ISNUMBER(L39),ISNUMBER(K39),K39&lt;&gt;0),L39/K39-1,"")</f>
        <v/>
      </c>
      <c r="M103" s="22" t="str">
        <f aca="false">IF(AND(ISNUMBER(M39),ISNUMBER(L39),L39&lt;&gt;0),M39/L39-1,"")</f>
        <v/>
      </c>
      <c r="N103" s="22" t="str">
        <f aca="false">IF(AND(ISNUMBER(N39),ISNUMBER(M39),M39&lt;&gt;0),N39/M39-1,"")</f>
        <v/>
      </c>
    </row>
    <row r="104" customFormat="false" ht="15" hidden="false" customHeight="false" outlineLevel="0" collapsed="false">
      <c r="A104" s="43" t="s">
        <v>430</v>
      </c>
      <c r="C104" s="5" t="s">
        <v>431</v>
      </c>
      <c r="F104" s="22" t="str">
        <f aca="false">IF(AND(ISNUMBER(F40),ISNUMBER(E40),E40&lt;&gt;0),F40/E40-1,"")</f>
        <v/>
      </c>
      <c r="G104" s="22" t="str">
        <f aca="false">IF(AND(ISNUMBER(G40),ISNUMBER(F40),F40&lt;&gt;0),G40/F40-1,"")</f>
        <v/>
      </c>
      <c r="H104" s="22" t="str">
        <f aca="false">IF(AND(ISNUMBER(H40),ISNUMBER(G40),G40&lt;&gt;0),H40/G40-1,"")</f>
        <v/>
      </c>
      <c r="I104" s="22" t="str">
        <f aca="false">IF(AND(ISNUMBER(I40),ISNUMBER(H40),H40&lt;&gt;0),I40/H40-1,"")</f>
        <v/>
      </c>
      <c r="J104" s="22" t="str">
        <f aca="false">IF(AND(ISNUMBER(J40),ISNUMBER(I40),I40&lt;&gt;0),J40/I40-1,"")</f>
        <v/>
      </c>
      <c r="K104" s="22" t="str">
        <f aca="false">IF(AND(ISNUMBER(K40),ISNUMBER(J40),J40&lt;&gt;0),K40/J40-1,"")</f>
        <v/>
      </c>
      <c r="L104" s="22" t="str">
        <f aca="false">IF(AND(ISNUMBER(L40),ISNUMBER(K40),K40&lt;&gt;0),L40/K40-1,"")</f>
        <v/>
      </c>
      <c r="M104" s="22" t="str">
        <f aca="false">IF(AND(ISNUMBER(M40),ISNUMBER(L40),L40&lt;&gt;0),M40/L40-1,"")</f>
        <v/>
      </c>
      <c r="N104" s="22" t="str">
        <f aca="false">IF(AND(ISNUMBER(N40),ISNUMBER(M40),M40&lt;&gt;0),N40/M40-1,"")</f>
        <v/>
      </c>
    </row>
    <row r="105" customFormat="false" ht="15" hidden="false" customHeight="false" outlineLevel="0" collapsed="false">
      <c r="A105" s="43" t="s">
        <v>432</v>
      </c>
      <c r="C105" s="5" t="s">
        <v>433</v>
      </c>
      <c r="F105" s="22" t="str">
        <f aca="false">IF(AND(ISNUMBER(F41),ISNUMBER(E41),E41&lt;&gt;0),F41/E41-1,"")</f>
        <v/>
      </c>
      <c r="G105" s="22" t="str">
        <f aca="false">IF(AND(ISNUMBER(G41),ISNUMBER(F41),F41&lt;&gt;0),G41/F41-1,"")</f>
        <v/>
      </c>
      <c r="H105" s="22" t="str">
        <f aca="false">IF(AND(ISNUMBER(H41),ISNUMBER(G41),G41&lt;&gt;0),H41/G41-1,"")</f>
        <v/>
      </c>
      <c r="I105" s="22" t="str">
        <f aca="false">IF(AND(ISNUMBER(I41),ISNUMBER(H41),H41&lt;&gt;0),I41/H41-1,"")</f>
        <v/>
      </c>
      <c r="J105" s="22" t="str">
        <f aca="false">IF(AND(ISNUMBER(J41),ISNUMBER(I41),I41&lt;&gt;0),J41/I41-1,"")</f>
        <v/>
      </c>
      <c r="K105" s="22" t="str">
        <f aca="false">IF(AND(ISNUMBER(K41),ISNUMBER(J41),J41&lt;&gt;0),K41/J41-1,"")</f>
        <v/>
      </c>
      <c r="L105" s="22" t="str">
        <f aca="false">IF(AND(ISNUMBER(L41),ISNUMBER(K41),K41&lt;&gt;0),L41/K41-1,"")</f>
        <v/>
      </c>
      <c r="M105" s="22" t="str">
        <f aca="false">IF(AND(ISNUMBER(M41),ISNUMBER(L41),L41&lt;&gt;0),M41/L41-1,"")</f>
        <v/>
      </c>
      <c r="N105" s="22" t="str">
        <f aca="false">IF(AND(ISNUMBER(N41),ISNUMBER(M41),M41&lt;&gt;0),N41/M41-1,"")</f>
        <v/>
      </c>
    </row>
    <row r="106" customFormat="false" ht="15" hidden="false" customHeight="false" outlineLevel="0" collapsed="false">
      <c r="A106" s="43" t="s">
        <v>434</v>
      </c>
      <c r="C106" s="5" t="s">
        <v>435</v>
      </c>
      <c r="F106" s="22" t="str">
        <f aca="false">IF(AND(ISNUMBER(F42),ISNUMBER(E42),E42&lt;&gt;0),F42/E42-1,"")</f>
        <v/>
      </c>
      <c r="G106" s="22" t="str">
        <f aca="false">IF(AND(ISNUMBER(G42),ISNUMBER(F42),F42&lt;&gt;0),G42/F42-1,"")</f>
        <v/>
      </c>
      <c r="H106" s="22" t="str">
        <f aca="false">IF(AND(ISNUMBER(H42),ISNUMBER(G42),G42&lt;&gt;0),H42/G42-1,"")</f>
        <v/>
      </c>
      <c r="I106" s="22" t="str">
        <f aca="false">IF(AND(ISNUMBER(I42),ISNUMBER(H42),H42&lt;&gt;0),I42/H42-1,"")</f>
        <v/>
      </c>
      <c r="J106" s="22" t="str">
        <f aca="false">IF(AND(ISNUMBER(J42),ISNUMBER(I42),I42&lt;&gt;0),J42/I42-1,"")</f>
        <v/>
      </c>
      <c r="K106" s="22" t="str">
        <f aca="false">IF(AND(ISNUMBER(K42),ISNUMBER(J42),J42&lt;&gt;0),K42/J42-1,"")</f>
        <v/>
      </c>
      <c r="L106" s="22" t="str">
        <f aca="false">IF(AND(ISNUMBER(L42),ISNUMBER(K42),K42&lt;&gt;0),L42/K42-1,"")</f>
        <v/>
      </c>
      <c r="M106" s="22" t="str">
        <f aca="false">IF(AND(ISNUMBER(M42),ISNUMBER(L42),L42&lt;&gt;0),M42/L42-1,"")</f>
        <v/>
      </c>
      <c r="N106" s="22" t="str">
        <f aca="false">IF(AND(ISNUMBER(N42),ISNUMBER(M42),M42&lt;&gt;0),N42/M42-1,"")</f>
        <v/>
      </c>
    </row>
    <row r="107" customFormat="false" ht="15" hidden="false" customHeight="false" outlineLevel="0" collapsed="false">
      <c r="A107" s="43" t="s">
        <v>436</v>
      </c>
      <c r="C107" s="5" t="s">
        <v>437</v>
      </c>
      <c r="F107" s="22" t="str">
        <f aca="false">IF(AND(ISNUMBER(F43),ISNUMBER(E43),E43&lt;&gt;0),F43/E43-1,"")</f>
        <v/>
      </c>
      <c r="G107" s="22" t="str">
        <f aca="false">IF(AND(ISNUMBER(G43),ISNUMBER(F43),F43&lt;&gt;0),G43/F43-1,"")</f>
        <v/>
      </c>
      <c r="H107" s="22" t="str">
        <f aca="false">IF(AND(ISNUMBER(H43),ISNUMBER(G43),G43&lt;&gt;0),H43/G43-1,"")</f>
        <v/>
      </c>
      <c r="I107" s="22" t="str">
        <f aca="false">IF(AND(ISNUMBER(I43),ISNUMBER(H43),H43&lt;&gt;0),I43/H43-1,"")</f>
        <v/>
      </c>
      <c r="J107" s="22" t="str">
        <f aca="false">IF(AND(ISNUMBER(J43),ISNUMBER(I43),I43&lt;&gt;0),J43/I43-1,"")</f>
        <v/>
      </c>
      <c r="K107" s="22" t="str">
        <f aca="false">IF(AND(ISNUMBER(K43),ISNUMBER(J43),J43&lt;&gt;0),K43/J43-1,"")</f>
        <v/>
      </c>
      <c r="L107" s="22" t="str">
        <f aca="false">IF(AND(ISNUMBER(L43),ISNUMBER(K43),K43&lt;&gt;0),L43/K43-1,"")</f>
        <v/>
      </c>
      <c r="M107" s="22" t="str">
        <f aca="false">IF(AND(ISNUMBER(M43),ISNUMBER(L43),L43&lt;&gt;0),M43/L43-1,"")</f>
        <v/>
      </c>
      <c r="N107" s="22" t="str">
        <f aca="false">IF(AND(ISNUMBER(N43),ISNUMBER(M43),M43&lt;&gt;0),N43/M43-1,"")</f>
        <v/>
      </c>
    </row>
    <row r="108" customFormat="false" ht="15" hidden="false" customHeight="false" outlineLevel="0" collapsed="false">
      <c r="A108" s="43" t="s">
        <v>438</v>
      </c>
      <c r="C108" s="5" t="s">
        <v>439</v>
      </c>
      <c r="F108" s="22" t="str">
        <f aca="false">IF(AND(ISNUMBER(F44),ISNUMBER(E44),E44&lt;&gt;0),F44/E44-1,"")</f>
        <v/>
      </c>
      <c r="G108" s="22" t="str">
        <f aca="false">IF(AND(ISNUMBER(G44),ISNUMBER(F44),F44&lt;&gt;0),G44/F44-1,"")</f>
        <v/>
      </c>
      <c r="H108" s="22" t="str">
        <f aca="false">IF(AND(ISNUMBER(H44),ISNUMBER(G44),G44&lt;&gt;0),H44/G44-1,"")</f>
        <v/>
      </c>
      <c r="I108" s="22" t="str">
        <f aca="false">IF(AND(ISNUMBER(I44),ISNUMBER(H44),H44&lt;&gt;0),I44/H44-1,"")</f>
        <v/>
      </c>
      <c r="J108" s="22" t="str">
        <f aca="false">IF(AND(ISNUMBER(J44),ISNUMBER(I44),I44&lt;&gt;0),J44/I44-1,"")</f>
        <v/>
      </c>
      <c r="K108" s="22" t="str">
        <f aca="false">IF(AND(ISNUMBER(K44),ISNUMBER(J44),J44&lt;&gt;0),K44/J44-1,"")</f>
        <v/>
      </c>
      <c r="L108" s="22" t="str">
        <f aca="false">IF(AND(ISNUMBER(L44),ISNUMBER(K44),K44&lt;&gt;0),L44/K44-1,"")</f>
        <v/>
      </c>
      <c r="M108" s="22" t="str">
        <f aca="false">IF(AND(ISNUMBER(M44),ISNUMBER(L44),L44&lt;&gt;0),M44/L44-1,"")</f>
        <v/>
      </c>
      <c r="N108" s="22" t="str">
        <f aca="false">IF(AND(ISNUMBER(N44),ISNUMBER(M44),M44&lt;&gt;0),N44/M44-1,"")</f>
        <v/>
      </c>
    </row>
    <row r="109" customFormat="false" ht="15" hidden="false" customHeight="false" outlineLevel="0" collapsed="false">
      <c r="A109" s="43" t="s">
        <v>440</v>
      </c>
      <c r="C109" s="5" t="s">
        <v>441</v>
      </c>
      <c r="F109" s="22" t="str">
        <f aca="false">IF(AND(ISNUMBER(F45),ISNUMBER(E45),E45&lt;&gt;0),F45/E45-1,"")</f>
        <v/>
      </c>
      <c r="G109" s="22" t="str">
        <f aca="false">IF(AND(ISNUMBER(G45),ISNUMBER(F45),F45&lt;&gt;0),G45/F45-1,"")</f>
        <v/>
      </c>
      <c r="H109" s="22" t="str">
        <f aca="false">IF(AND(ISNUMBER(H45),ISNUMBER(G45),G45&lt;&gt;0),H45/G45-1,"")</f>
        <v/>
      </c>
      <c r="I109" s="22" t="str">
        <f aca="false">IF(AND(ISNUMBER(I45),ISNUMBER(H45),H45&lt;&gt;0),I45/H45-1,"")</f>
        <v/>
      </c>
      <c r="J109" s="22" t="str">
        <f aca="false">IF(AND(ISNUMBER(J45),ISNUMBER(I45),I45&lt;&gt;0),J45/I45-1,"")</f>
        <v/>
      </c>
      <c r="K109" s="22" t="str">
        <f aca="false">IF(AND(ISNUMBER(K45),ISNUMBER(J45),J45&lt;&gt;0),K45/J45-1,"")</f>
        <v/>
      </c>
      <c r="L109" s="22" t="str">
        <f aca="false">IF(AND(ISNUMBER(L45),ISNUMBER(K45),K45&lt;&gt;0),L45/K45-1,"")</f>
        <v/>
      </c>
      <c r="M109" s="22" t="str">
        <f aca="false">IF(AND(ISNUMBER(M45),ISNUMBER(L45),L45&lt;&gt;0),M45/L45-1,"")</f>
        <v/>
      </c>
      <c r="N109" s="22" t="str">
        <f aca="false">IF(AND(ISNUMBER(N45),ISNUMBER(M45),M45&lt;&gt;0),N45/M45-1,"")</f>
        <v/>
      </c>
    </row>
    <row r="110" customFormat="false" ht="15" hidden="false" customHeight="false" outlineLevel="0" collapsed="false">
      <c r="A110" s="43" t="s">
        <v>442</v>
      </c>
      <c r="C110" s="5" t="s">
        <v>444</v>
      </c>
      <c r="F110" s="22" t="str">
        <f aca="false">IF(AND(ISNUMBER(F46),ISNUMBER(E46),E46&lt;&gt;0),F46/E46-1,"")</f>
        <v/>
      </c>
      <c r="G110" s="22" t="str">
        <f aca="false">IF(AND(ISNUMBER(G46),ISNUMBER(F46),F46&lt;&gt;0),G46/F46-1,"")</f>
        <v/>
      </c>
      <c r="H110" s="22" t="str">
        <f aca="false">IF(AND(ISNUMBER(H46),ISNUMBER(G46),G46&lt;&gt;0),H46/G46-1,"")</f>
        <v/>
      </c>
      <c r="I110" s="22" t="str">
        <f aca="false">IF(AND(ISNUMBER(I46),ISNUMBER(H46),H46&lt;&gt;0),I46/H46-1,"")</f>
        <v/>
      </c>
      <c r="J110" s="22" t="str">
        <f aca="false">IF(AND(ISNUMBER(J46),ISNUMBER(I46),I46&lt;&gt;0),J46/I46-1,"")</f>
        <v/>
      </c>
      <c r="K110" s="22" t="str">
        <f aca="false">IF(AND(ISNUMBER(K46),ISNUMBER(J46),J46&lt;&gt;0),K46/J46-1,"")</f>
        <v/>
      </c>
      <c r="L110" s="22" t="str">
        <f aca="false">IF(AND(ISNUMBER(L46),ISNUMBER(K46),K46&lt;&gt;0),L46/K46-1,"")</f>
        <v/>
      </c>
      <c r="M110" s="22" t="str">
        <f aca="false">IF(AND(ISNUMBER(M46),ISNUMBER(L46),L46&lt;&gt;0),M46/L46-1,"")</f>
        <v/>
      </c>
      <c r="N110" s="22" t="str">
        <f aca="false">IF(AND(ISNUMBER(N46),ISNUMBER(M46),M46&lt;&gt;0),N46/M46-1,"")</f>
        <v/>
      </c>
    </row>
    <row r="111" customFormat="false" ht="15" hidden="false" customHeight="false" outlineLevel="0" collapsed="false">
      <c r="A111" s="43" t="s">
        <v>445</v>
      </c>
      <c r="C111" s="5" t="s">
        <v>446</v>
      </c>
      <c r="F111" s="22" t="str">
        <f aca="false">IF(AND(ISNUMBER(F47),ISNUMBER(E47),E47&lt;&gt;0),F47/E47-1,"")</f>
        <v/>
      </c>
      <c r="G111" s="22" t="str">
        <f aca="false">IF(AND(ISNUMBER(G47),ISNUMBER(F47),F47&lt;&gt;0),G47/F47-1,"")</f>
        <v/>
      </c>
      <c r="H111" s="22" t="str">
        <f aca="false">IF(AND(ISNUMBER(H47),ISNUMBER(G47),G47&lt;&gt;0),H47/G47-1,"")</f>
        <v/>
      </c>
      <c r="I111" s="22" t="str">
        <f aca="false">IF(AND(ISNUMBER(I47),ISNUMBER(H47),H47&lt;&gt;0),I47/H47-1,"")</f>
        <v/>
      </c>
      <c r="J111" s="22" t="str">
        <f aca="false">IF(AND(ISNUMBER(J47),ISNUMBER(I47),I47&lt;&gt;0),J47/I47-1,"")</f>
        <v/>
      </c>
      <c r="K111" s="22" t="str">
        <f aca="false">IF(AND(ISNUMBER(K47),ISNUMBER(J47),J47&lt;&gt;0),K47/J47-1,"")</f>
        <v/>
      </c>
      <c r="L111" s="22" t="str">
        <f aca="false">IF(AND(ISNUMBER(L47),ISNUMBER(K47),K47&lt;&gt;0),L47/K47-1,"")</f>
        <v/>
      </c>
      <c r="M111" s="22" t="str">
        <f aca="false">IF(AND(ISNUMBER(M47),ISNUMBER(L47),L47&lt;&gt;0),M47/L47-1,"")</f>
        <v/>
      </c>
      <c r="N111" s="22" t="str">
        <f aca="false">IF(AND(ISNUMBER(N47),ISNUMBER(M47),M47&lt;&gt;0),N47/M47-1,"")</f>
        <v/>
      </c>
    </row>
    <row r="112" customFormat="false" ht="15" hidden="false" customHeight="false" outlineLevel="0" collapsed="false">
      <c r="A112" s="43" t="s">
        <v>447</v>
      </c>
      <c r="C112" s="5" t="s">
        <v>448</v>
      </c>
      <c r="F112" s="22" t="str">
        <f aca="false">IF(AND(ISNUMBER(F48),ISNUMBER(E48),E48&lt;&gt;0),F48/E48-1,"")</f>
        <v/>
      </c>
      <c r="G112" s="22" t="str">
        <f aca="false">IF(AND(ISNUMBER(G48),ISNUMBER(F48),F48&lt;&gt;0),G48/F48-1,"")</f>
        <v/>
      </c>
      <c r="H112" s="22" t="str">
        <f aca="false">IF(AND(ISNUMBER(H48),ISNUMBER(G48),G48&lt;&gt;0),H48/G48-1,"")</f>
        <v/>
      </c>
      <c r="I112" s="22" t="str">
        <f aca="false">IF(AND(ISNUMBER(I48),ISNUMBER(H48),H48&lt;&gt;0),I48/H48-1,"")</f>
        <v/>
      </c>
      <c r="J112" s="22" t="str">
        <f aca="false">IF(AND(ISNUMBER(J48),ISNUMBER(I48),I48&lt;&gt;0),J48/I48-1,"")</f>
        <v/>
      </c>
      <c r="K112" s="22" t="str">
        <f aca="false">IF(AND(ISNUMBER(K48),ISNUMBER(J48),J48&lt;&gt;0),K48/J48-1,"")</f>
        <v/>
      </c>
      <c r="L112" s="22" t="str">
        <f aca="false">IF(AND(ISNUMBER(L48),ISNUMBER(K48),K48&lt;&gt;0),L48/K48-1,"")</f>
        <v/>
      </c>
      <c r="M112" s="22" t="str">
        <f aca="false">IF(AND(ISNUMBER(M48),ISNUMBER(L48),L48&lt;&gt;0),M48/L48-1,"")</f>
        <v/>
      </c>
      <c r="N112" s="22" t="str">
        <f aca="false">IF(AND(ISNUMBER(N48),ISNUMBER(M48),M48&lt;&gt;0),N48/M48-1,"")</f>
        <v/>
      </c>
    </row>
    <row r="113" customFormat="false" ht="15" hidden="false" customHeight="false" outlineLevel="0" collapsed="false">
      <c r="A113" s="43" t="s">
        <v>450</v>
      </c>
      <c r="C113" s="5" t="s">
        <v>451</v>
      </c>
      <c r="F113" s="22" t="str">
        <f aca="false">IF(AND(ISNUMBER(F49),ISNUMBER(E49),E49&lt;&gt;0),F49/E49-1,"")</f>
        <v/>
      </c>
      <c r="G113" s="22" t="str">
        <f aca="false">IF(AND(ISNUMBER(G49),ISNUMBER(F49),F49&lt;&gt;0),G49/F49-1,"")</f>
        <v/>
      </c>
      <c r="H113" s="22" t="str">
        <f aca="false">IF(AND(ISNUMBER(H49),ISNUMBER(G49),G49&lt;&gt;0),H49/G49-1,"")</f>
        <v/>
      </c>
      <c r="I113" s="22" t="str">
        <f aca="false">IF(AND(ISNUMBER(I49),ISNUMBER(H49),H49&lt;&gt;0),I49/H49-1,"")</f>
        <v/>
      </c>
      <c r="J113" s="22" t="str">
        <f aca="false">IF(AND(ISNUMBER(J49),ISNUMBER(I49),I49&lt;&gt;0),J49/I49-1,"")</f>
        <v/>
      </c>
      <c r="K113" s="22" t="str">
        <f aca="false">IF(AND(ISNUMBER(K49),ISNUMBER(J49),J49&lt;&gt;0),K49/J49-1,"")</f>
        <v/>
      </c>
      <c r="L113" s="22" t="str">
        <f aca="false">IF(AND(ISNUMBER(L49),ISNUMBER(K49),K49&lt;&gt;0),L49/K49-1,"")</f>
        <v/>
      </c>
      <c r="M113" s="22" t="str">
        <f aca="false">IF(AND(ISNUMBER(M49),ISNUMBER(L49),L49&lt;&gt;0),M49/L49-1,"")</f>
        <v/>
      </c>
      <c r="N113" s="22" t="str">
        <f aca="false">IF(AND(ISNUMBER(N49),ISNUMBER(M49),M49&lt;&gt;0),N49/M49-1,"")</f>
        <v/>
      </c>
    </row>
    <row r="114" customFormat="false" ht="15" hidden="false" customHeight="false" outlineLevel="0" collapsed="false">
      <c r="A114" s="43" t="s">
        <v>452</v>
      </c>
      <c r="C114" s="5" t="s">
        <v>453</v>
      </c>
      <c r="F114" s="22" t="str">
        <f aca="false">IF(AND(ISNUMBER(F50),ISNUMBER(E50),E50&lt;&gt;0),F50/E50-1,"")</f>
        <v/>
      </c>
      <c r="G114" s="22" t="str">
        <f aca="false">IF(AND(ISNUMBER(G50),ISNUMBER(F50),F50&lt;&gt;0),G50/F50-1,"")</f>
        <v/>
      </c>
      <c r="H114" s="22" t="str">
        <f aca="false">IF(AND(ISNUMBER(H50),ISNUMBER(G50),G50&lt;&gt;0),H50/G50-1,"")</f>
        <v/>
      </c>
      <c r="I114" s="22" t="str">
        <f aca="false">IF(AND(ISNUMBER(I50),ISNUMBER(H50),H50&lt;&gt;0),I50/H50-1,"")</f>
        <v/>
      </c>
      <c r="J114" s="22" t="str">
        <f aca="false">IF(AND(ISNUMBER(J50),ISNUMBER(I50),I50&lt;&gt;0),J50/I50-1,"")</f>
        <v/>
      </c>
      <c r="K114" s="22" t="str">
        <f aca="false">IF(AND(ISNUMBER(K50),ISNUMBER(J50),J50&lt;&gt;0),K50/J50-1,"")</f>
        <v/>
      </c>
      <c r="L114" s="22" t="str">
        <f aca="false">IF(AND(ISNUMBER(L50),ISNUMBER(K50),K50&lt;&gt;0),L50/K50-1,"")</f>
        <v/>
      </c>
      <c r="M114" s="22" t="str">
        <f aca="false">IF(AND(ISNUMBER(M50),ISNUMBER(L50),L50&lt;&gt;0),M50/L50-1,"")</f>
        <v/>
      </c>
      <c r="N114" s="22" t="str">
        <f aca="false">IF(AND(ISNUMBER(N50),ISNUMBER(M50),M50&lt;&gt;0),N50/M50-1,"")</f>
        <v/>
      </c>
    </row>
    <row r="115" customFormat="false" ht="15" hidden="false" customHeight="false" outlineLevel="0" collapsed="false">
      <c r="A115" s="43" t="s">
        <v>455</v>
      </c>
      <c r="C115" s="5" t="s">
        <v>456</v>
      </c>
      <c r="F115" s="22" t="str">
        <f aca="false">IF(AND(ISNUMBER(F51),ISNUMBER(E51),E51&lt;&gt;0),F51/E51-1,"")</f>
        <v/>
      </c>
      <c r="G115" s="22" t="str">
        <f aca="false">IF(AND(ISNUMBER(G51),ISNUMBER(F51),F51&lt;&gt;0),G51/F51-1,"")</f>
        <v/>
      </c>
      <c r="H115" s="22" t="str">
        <f aca="false">IF(AND(ISNUMBER(H51),ISNUMBER(G51),G51&lt;&gt;0),H51/G51-1,"")</f>
        <v/>
      </c>
      <c r="I115" s="22" t="str">
        <f aca="false">IF(AND(ISNUMBER(I51),ISNUMBER(H51),H51&lt;&gt;0),I51/H51-1,"")</f>
        <v/>
      </c>
      <c r="J115" s="22" t="str">
        <f aca="false">IF(AND(ISNUMBER(J51),ISNUMBER(I51),I51&lt;&gt;0),J51/I51-1,"")</f>
        <v/>
      </c>
      <c r="K115" s="22" t="str">
        <f aca="false">IF(AND(ISNUMBER(K51),ISNUMBER(J51),J51&lt;&gt;0),K51/J51-1,"")</f>
        <v/>
      </c>
      <c r="L115" s="22" t="str">
        <f aca="false">IF(AND(ISNUMBER(L51),ISNUMBER(K51),K51&lt;&gt;0),L51/K51-1,"")</f>
        <v/>
      </c>
      <c r="M115" s="22" t="str">
        <f aca="false">IF(AND(ISNUMBER(M51),ISNUMBER(L51),L51&lt;&gt;0),M51/L51-1,"")</f>
        <v/>
      </c>
      <c r="N115" s="22" t="str">
        <f aca="false">IF(AND(ISNUMBER(N51),ISNUMBER(M51),M51&lt;&gt;0),N51/M51-1,"")</f>
        <v/>
      </c>
    </row>
    <row r="116" customFormat="false" ht="15" hidden="false" customHeight="false" outlineLevel="0" collapsed="false">
      <c r="A116" s="43" t="s">
        <v>457</v>
      </c>
      <c r="C116" s="5" t="s">
        <v>459</v>
      </c>
      <c r="F116" s="22" t="str">
        <f aca="false">IF(AND(ISNUMBER(F52),ISNUMBER(E52),E52&lt;&gt;0),F52/E52-1,"")</f>
        <v/>
      </c>
      <c r="G116" s="22" t="str">
        <f aca="false">IF(AND(ISNUMBER(G52),ISNUMBER(F52),F52&lt;&gt;0),G52/F52-1,"")</f>
        <v/>
      </c>
      <c r="H116" s="22" t="str">
        <f aca="false">IF(AND(ISNUMBER(H52),ISNUMBER(G52),G52&lt;&gt;0),H52/G52-1,"")</f>
        <v/>
      </c>
      <c r="I116" s="22" t="str">
        <f aca="false">IF(AND(ISNUMBER(I52),ISNUMBER(H52),H52&lt;&gt;0),I52/H52-1,"")</f>
        <v/>
      </c>
      <c r="J116" s="22" t="str">
        <f aca="false">IF(AND(ISNUMBER(J52),ISNUMBER(I52),I52&lt;&gt;0),J52/I52-1,"")</f>
        <v/>
      </c>
      <c r="K116" s="22" t="str">
        <f aca="false">IF(AND(ISNUMBER(K52),ISNUMBER(J52),J52&lt;&gt;0),K52/J52-1,"")</f>
        <v/>
      </c>
      <c r="L116" s="22" t="str">
        <f aca="false">IF(AND(ISNUMBER(L52),ISNUMBER(K52),K52&lt;&gt;0),L52/K52-1,"")</f>
        <v/>
      </c>
      <c r="M116" s="22" t="str">
        <f aca="false">IF(AND(ISNUMBER(M52),ISNUMBER(L52),L52&lt;&gt;0),M52/L52-1,"")</f>
        <v/>
      </c>
      <c r="N116" s="22" t="str">
        <f aca="false">IF(AND(ISNUMBER(N52),ISNUMBER(M52),M52&lt;&gt;0),N52/M52-1,"")</f>
        <v/>
      </c>
    </row>
    <row r="117" customFormat="false" ht="15" hidden="false" customHeight="false" outlineLevel="0" collapsed="false">
      <c r="A117" s="43" t="s">
        <v>460</v>
      </c>
      <c r="C117" s="5" t="s">
        <v>461</v>
      </c>
      <c r="F117" s="22" t="str">
        <f aca="false">IF(AND(ISNUMBER(F53),ISNUMBER(E53),E53&lt;&gt;0),F53/E53-1,"")</f>
        <v/>
      </c>
      <c r="G117" s="22" t="str">
        <f aca="false">IF(AND(ISNUMBER(G53),ISNUMBER(F53),F53&lt;&gt;0),G53/F53-1,"")</f>
        <v/>
      </c>
      <c r="H117" s="22" t="str">
        <f aca="false">IF(AND(ISNUMBER(H53),ISNUMBER(G53),G53&lt;&gt;0),H53/G53-1,"")</f>
        <v/>
      </c>
      <c r="I117" s="22" t="str">
        <f aca="false">IF(AND(ISNUMBER(I53),ISNUMBER(H53),H53&lt;&gt;0),I53/H53-1,"")</f>
        <v/>
      </c>
      <c r="J117" s="22" t="str">
        <f aca="false">IF(AND(ISNUMBER(J53),ISNUMBER(I53),I53&lt;&gt;0),J53/I53-1,"")</f>
        <v/>
      </c>
      <c r="K117" s="22" t="str">
        <f aca="false">IF(AND(ISNUMBER(K53),ISNUMBER(J53),J53&lt;&gt;0),K53/J53-1,"")</f>
        <v/>
      </c>
      <c r="L117" s="22" t="str">
        <f aca="false">IF(AND(ISNUMBER(L53),ISNUMBER(K53),K53&lt;&gt;0),L53/K53-1,"")</f>
        <v/>
      </c>
      <c r="M117" s="22" t="str">
        <f aca="false">IF(AND(ISNUMBER(M53),ISNUMBER(L53),L53&lt;&gt;0),M53/L53-1,"")</f>
        <v/>
      </c>
      <c r="N117" s="22" t="str">
        <f aca="false">IF(AND(ISNUMBER(N53),ISNUMBER(M53),M53&lt;&gt;0),N53/M53-1,"")</f>
        <v/>
      </c>
    </row>
    <row r="118" customFormat="false" ht="15" hidden="false" customHeight="false" outlineLevel="0" collapsed="false">
      <c r="A118" s="43" t="s">
        <v>463</v>
      </c>
      <c r="C118" s="5" t="s">
        <v>464</v>
      </c>
      <c r="F118" s="22" t="str">
        <f aca="false">IF(AND(ISNUMBER(F54),ISNUMBER(E54),E54&lt;&gt;0),F54/E54-1,"")</f>
        <v/>
      </c>
      <c r="G118" s="22" t="str">
        <f aca="false">IF(AND(ISNUMBER(G54),ISNUMBER(F54),F54&lt;&gt;0),G54/F54-1,"")</f>
        <v/>
      </c>
      <c r="H118" s="22" t="str">
        <f aca="false">IF(AND(ISNUMBER(H54),ISNUMBER(G54),G54&lt;&gt;0),H54/G54-1,"")</f>
        <v/>
      </c>
      <c r="I118" s="22" t="str">
        <f aca="false">IF(AND(ISNUMBER(I54),ISNUMBER(H54),H54&lt;&gt;0),I54/H54-1,"")</f>
        <v/>
      </c>
      <c r="J118" s="22" t="str">
        <f aca="false">IF(AND(ISNUMBER(J54),ISNUMBER(I54),I54&lt;&gt;0),J54/I54-1,"")</f>
        <v/>
      </c>
      <c r="K118" s="22" t="str">
        <f aca="false">IF(AND(ISNUMBER(K54),ISNUMBER(J54),J54&lt;&gt;0),K54/J54-1,"")</f>
        <v/>
      </c>
      <c r="L118" s="22" t="str">
        <f aca="false">IF(AND(ISNUMBER(L54),ISNUMBER(K54),K54&lt;&gt;0),L54/K54-1,"")</f>
        <v/>
      </c>
      <c r="M118" s="22" t="str">
        <f aca="false">IF(AND(ISNUMBER(M54),ISNUMBER(L54),L54&lt;&gt;0),M54/L54-1,"")</f>
        <v/>
      </c>
      <c r="N118" s="22" t="str">
        <f aca="false">IF(AND(ISNUMBER(N54),ISNUMBER(M54),M54&lt;&gt;0),N54/M54-1,"")</f>
        <v/>
      </c>
    </row>
    <row r="119" customFormat="false" ht="15" hidden="false" customHeight="false" outlineLevel="0" collapsed="false">
      <c r="A119" s="43" t="s">
        <v>465</v>
      </c>
      <c r="C119" s="5" t="s">
        <v>467</v>
      </c>
      <c r="F119" s="22" t="str">
        <f aca="false">IF(AND(ISNUMBER(F55),ISNUMBER(E55),E55&lt;&gt;0),F55/E55-1,"")</f>
        <v/>
      </c>
      <c r="G119" s="22" t="str">
        <f aca="false">IF(AND(ISNUMBER(G55),ISNUMBER(F55),F55&lt;&gt;0),G55/F55-1,"")</f>
        <v/>
      </c>
      <c r="H119" s="22" t="str">
        <f aca="false">IF(AND(ISNUMBER(H55),ISNUMBER(G55),G55&lt;&gt;0),H55/G55-1,"")</f>
        <v/>
      </c>
      <c r="I119" s="22" t="str">
        <f aca="false">IF(AND(ISNUMBER(I55),ISNUMBER(H55),H55&lt;&gt;0),I55/H55-1,"")</f>
        <v/>
      </c>
      <c r="J119" s="22" t="str">
        <f aca="false">IF(AND(ISNUMBER(J55),ISNUMBER(I55),I55&lt;&gt;0),J55/I55-1,"")</f>
        <v/>
      </c>
      <c r="K119" s="22" t="str">
        <f aca="false">IF(AND(ISNUMBER(K55),ISNUMBER(J55),J55&lt;&gt;0),K55/J55-1,"")</f>
        <v/>
      </c>
      <c r="L119" s="22" t="str">
        <f aca="false">IF(AND(ISNUMBER(L55),ISNUMBER(K55),K55&lt;&gt;0),L55/K55-1,"")</f>
        <v/>
      </c>
      <c r="M119" s="22" t="str">
        <f aca="false">IF(AND(ISNUMBER(M55),ISNUMBER(L55),L55&lt;&gt;0),M55/L55-1,"")</f>
        <v/>
      </c>
      <c r="N119" s="22" t="str">
        <f aca="false">IF(AND(ISNUMBER(N55),ISNUMBER(M55),M55&lt;&gt;0),N55/M55-1,"")</f>
        <v/>
      </c>
    </row>
    <row r="120" customFormat="false" ht="15" hidden="false" customHeight="false" outlineLevel="0" collapsed="false">
      <c r="A120" s="43" t="s">
        <v>468</v>
      </c>
      <c r="C120" s="5" t="s">
        <v>469</v>
      </c>
      <c r="F120" s="22" t="str">
        <f aca="false">IF(AND(ISNUMBER(F56),ISNUMBER(E56),E56&lt;&gt;0),F56/E56-1,"")</f>
        <v/>
      </c>
      <c r="G120" s="22" t="str">
        <f aca="false">IF(AND(ISNUMBER(G56),ISNUMBER(F56),F56&lt;&gt;0),G56/F56-1,"")</f>
        <v/>
      </c>
      <c r="H120" s="22" t="str">
        <f aca="false">IF(AND(ISNUMBER(H56),ISNUMBER(G56),G56&lt;&gt;0),H56/G56-1,"")</f>
        <v/>
      </c>
      <c r="I120" s="22" t="str">
        <f aca="false">IF(AND(ISNUMBER(I56),ISNUMBER(H56),H56&lt;&gt;0),I56/H56-1,"")</f>
        <v/>
      </c>
      <c r="J120" s="22" t="str">
        <f aca="false">IF(AND(ISNUMBER(J56),ISNUMBER(I56),I56&lt;&gt;0),J56/I56-1,"")</f>
        <v/>
      </c>
      <c r="K120" s="22" t="str">
        <f aca="false">IF(AND(ISNUMBER(K56),ISNUMBER(J56),J56&lt;&gt;0),K56/J56-1,"")</f>
        <v/>
      </c>
      <c r="L120" s="22" t="str">
        <f aca="false">IF(AND(ISNUMBER(L56),ISNUMBER(K56),K56&lt;&gt;0),L56/K56-1,"")</f>
        <v/>
      </c>
      <c r="M120" s="22" t="str">
        <f aca="false">IF(AND(ISNUMBER(M56),ISNUMBER(L56),L56&lt;&gt;0),M56/L56-1,"")</f>
        <v/>
      </c>
      <c r="N120" s="22" t="str">
        <f aca="false">IF(AND(ISNUMBER(N56),ISNUMBER(M56),M56&lt;&gt;0),N56/M56-1,"")</f>
        <v/>
      </c>
    </row>
    <row r="121" customFormat="false" ht="15" hidden="false" customHeight="false" outlineLevel="0" collapsed="false">
      <c r="A121" s="43" t="s">
        <v>470</v>
      </c>
      <c r="C121" s="5" t="s">
        <v>472</v>
      </c>
      <c r="F121" s="22" t="str">
        <f aca="false">IF(AND(ISNUMBER(F57),ISNUMBER(E57),E57&lt;&gt;0),F57/E57-1,"")</f>
        <v/>
      </c>
      <c r="G121" s="22" t="str">
        <f aca="false">IF(AND(ISNUMBER(G57),ISNUMBER(F57),F57&lt;&gt;0),G57/F57-1,"")</f>
        <v/>
      </c>
      <c r="H121" s="22" t="str">
        <f aca="false">IF(AND(ISNUMBER(H57),ISNUMBER(G57),G57&lt;&gt;0),H57/G57-1,"")</f>
        <v/>
      </c>
      <c r="I121" s="22" t="str">
        <f aca="false">IF(AND(ISNUMBER(I57),ISNUMBER(H57),H57&lt;&gt;0),I57/H57-1,"")</f>
        <v/>
      </c>
      <c r="J121" s="22" t="str">
        <f aca="false">IF(AND(ISNUMBER(J57),ISNUMBER(I57),I57&lt;&gt;0),J57/I57-1,"")</f>
        <v/>
      </c>
      <c r="K121" s="22" t="str">
        <f aca="false">IF(AND(ISNUMBER(K57),ISNUMBER(J57),J57&lt;&gt;0),K57/J57-1,"")</f>
        <v/>
      </c>
      <c r="L121" s="22" t="str">
        <f aca="false">IF(AND(ISNUMBER(L57),ISNUMBER(K57),K57&lt;&gt;0),L57/K57-1,"")</f>
        <v/>
      </c>
      <c r="M121" s="22" t="str">
        <f aca="false">IF(AND(ISNUMBER(M57),ISNUMBER(L57),L57&lt;&gt;0),M57/L57-1,"")</f>
        <v/>
      </c>
      <c r="N121" s="22" t="str">
        <f aca="false">IF(AND(ISNUMBER(N57),ISNUMBER(M57),M57&lt;&gt;0),N57/M57-1,"")</f>
        <v/>
      </c>
    </row>
    <row r="122" customFormat="false" ht="15" hidden="false" customHeight="false" outlineLevel="0" collapsed="false">
      <c r="A122" s="43" t="s">
        <v>473</v>
      </c>
      <c r="C122" s="5" t="s">
        <v>474</v>
      </c>
      <c r="F122" s="22" t="str">
        <f aca="false">IF(AND(ISNUMBER(F58),ISNUMBER(E58),E58&lt;&gt;0),F58/E58-1,"")</f>
        <v/>
      </c>
      <c r="G122" s="22" t="str">
        <f aca="false">IF(AND(ISNUMBER(G58),ISNUMBER(F58),F58&lt;&gt;0),G58/F58-1,"")</f>
        <v/>
      </c>
      <c r="H122" s="22" t="str">
        <f aca="false">IF(AND(ISNUMBER(H58),ISNUMBER(G58),G58&lt;&gt;0),H58/G58-1,"")</f>
        <v/>
      </c>
      <c r="I122" s="22" t="str">
        <f aca="false">IF(AND(ISNUMBER(I58),ISNUMBER(H58),H58&lt;&gt;0),I58/H58-1,"")</f>
        <v/>
      </c>
      <c r="J122" s="22" t="str">
        <f aca="false">IF(AND(ISNUMBER(J58),ISNUMBER(I58),I58&lt;&gt;0),J58/I58-1,"")</f>
        <v/>
      </c>
      <c r="K122" s="22" t="str">
        <f aca="false">IF(AND(ISNUMBER(K58),ISNUMBER(J58),J58&lt;&gt;0),K58/J58-1,"")</f>
        <v/>
      </c>
      <c r="L122" s="22" t="str">
        <f aca="false">IF(AND(ISNUMBER(L58),ISNUMBER(K58),K58&lt;&gt;0),L58/K58-1,"")</f>
        <v/>
      </c>
      <c r="M122" s="22" t="str">
        <f aca="false">IF(AND(ISNUMBER(M58),ISNUMBER(L58),L58&lt;&gt;0),M58/L58-1,"")</f>
        <v/>
      </c>
      <c r="N122" s="22" t="str">
        <f aca="false">IF(AND(ISNUMBER(N58),ISNUMBER(M58),M58&lt;&gt;0),N58/M58-1,"")</f>
        <v/>
      </c>
    </row>
    <row r="123" customFormat="false" ht="15" hidden="false" customHeight="false" outlineLevel="0" collapsed="false">
      <c r="A123" s="43" t="s">
        <v>475</v>
      </c>
      <c r="C123" s="5" t="s">
        <v>476</v>
      </c>
      <c r="F123" s="22" t="str">
        <f aca="false">IF(AND(ISNUMBER(F59),ISNUMBER(E59),E59&lt;&gt;0),F59/E59-1,"")</f>
        <v/>
      </c>
      <c r="G123" s="22" t="str">
        <f aca="false">IF(AND(ISNUMBER(G59),ISNUMBER(F59),F59&lt;&gt;0),G59/F59-1,"")</f>
        <v/>
      </c>
      <c r="H123" s="22" t="str">
        <f aca="false">IF(AND(ISNUMBER(H59),ISNUMBER(G59),G59&lt;&gt;0),H59/G59-1,"")</f>
        <v/>
      </c>
      <c r="I123" s="22" t="str">
        <f aca="false">IF(AND(ISNUMBER(I59),ISNUMBER(H59),H59&lt;&gt;0),I59/H59-1,"")</f>
        <v/>
      </c>
      <c r="J123" s="22" t="str">
        <f aca="false">IF(AND(ISNUMBER(J59),ISNUMBER(I59),I59&lt;&gt;0),J59/I59-1,"")</f>
        <v/>
      </c>
      <c r="K123" s="22" t="str">
        <f aca="false">IF(AND(ISNUMBER(K59),ISNUMBER(J59),J59&lt;&gt;0),K59/J59-1,"")</f>
        <v/>
      </c>
      <c r="L123" s="22" t="str">
        <f aca="false">IF(AND(ISNUMBER(L59),ISNUMBER(K59),K59&lt;&gt;0),L59/K59-1,"")</f>
        <v/>
      </c>
      <c r="M123" s="22" t="str">
        <f aca="false">IF(AND(ISNUMBER(M59),ISNUMBER(L59),L59&lt;&gt;0),M59/L59-1,"")</f>
        <v/>
      </c>
      <c r="N123" s="22" t="str">
        <f aca="false">IF(AND(ISNUMBER(N59),ISNUMBER(M59),M59&lt;&gt;0),N59/M59-1,"")</f>
        <v/>
      </c>
    </row>
    <row r="124" customFormat="false" ht="15" hidden="false" customHeight="false" outlineLevel="0" collapsed="false">
      <c r="A124" s="43" t="s">
        <v>478</v>
      </c>
      <c r="C124" s="5" t="s">
        <v>479</v>
      </c>
      <c r="F124" s="22" t="str">
        <f aca="false">IF(AND(ISNUMBER(F60),ISNUMBER(E60),E60&lt;&gt;0),F60/E60-1,"")</f>
        <v/>
      </c>
      <c r="G124" s="22" t="str">
        <f aca="false">IF(AND(ISNUMBER(G60),ISNUMBER(F60),F60&lt;&gt;0),G60/F60-1,"")</f>
        <v/>
      </c>
      <c r="H124" s="22" t="str">
        <f aca="false">IF(AND(ISNUMBER(H60),ISNUMBER(G60),G60&lt;&gt;0),H60/G60-1,"")</f>
        <v/>
      </c>
      <c r="I124" s="22" t="str">
        <f aca="false">IF(AND(ISNUMBER(I60),ISNUMBER(H60),H60&lt;&gt;0),I60/H60-1,"")</f>
        <v/>
      </c>
      <c r="J124" s="22" t="str">
        <f aca="false">IF(AND(ISNUMBER(J60),ISNUMBER(I60),I60&lt;&gt;0),J60/I60-1,"")</f>
        <v/>
      </c>
      <c r="K124" s="22" t="str">
        <f aca="false">IF(AND(ISNUMBER(K60),ISNUMBER(J60),J60&lt;&gt;0),K60/J60-1,"")</f>
        <v/>
      </c>
      <c r="L124" s="22" t="str">
        <f aca="false">IF(AND(ISNUMBER(L60),ISNUMBER(K60),K60&lt;&gt;0),L60/K60-1,"")</f>
        <v/>
      </c>
      <c r="M124" s="22" t="str">
        <f aca="false">IF(AND(ISNUMBER(M60),ISNUMBER(L60),L60&lt;&gt;0),M60/L60-1,"")</f>
        <v/>
      </c>
      <c r="N124" s="22" t="str">
        <f aca="false">IF(AND(ISNUMBER(N60),ISNUMBER(M60),M60&lt;&gt;0),N60/M60-1,"")</f>
        <v/>
      </c>
    </row>
    <row r="125" customFormat="false" ht="15" hidden="false" customHeight="false" outlineLevel="0" collapsed="false">
      <c r="A125" s="43" t="s">
        <v>480</v>
      </c>
      <c r="C125" s="5" t="s">
        <v>481</v>
      </c>
      <c r="F125" s="22" t="str">
        <f aca="false">IF(AND(ISNUMBER(F61),ISNUMBER(E61),E61&lt;&gt;0),F61/E61-1,"")</f>
        <v/>
      </c>
      <c r="G125" s="22" t="str">
        <f aca="false">IF(AND(ISNUMBER(G61),ISNUMBER(F61),F61&lt;&gt;0),G61/F61-1,"")</f>
        <v/>
      </c>
      <c r="H125" s="22" t="str">
        <f aca="false">IF(AND(ISNUMBER(H61),ISNUMBER(G61),G61&lt;&gt;0),H61/G61-1,"")</f>
        <v/>
      </c>
      <c r="I125" s="22" t="str">
        <f aca="false">IF(AND(ISNUMBER(I61),ISNUMBER(H61),H61&lt;&gt;0),I61/H61-1,"")</f>
        <v/>
      </c>
      <c r="J125" s="22" t="str">
        <f aca="false">IF(AND(ISNUMBER(J61),ISNUMBER(I61),I61&lt;&gt;0),J61/I61-1,"")</f>
        <v/>
      </c>
      <c r="K125" s="22" t="str">
        <f aca="false">IF(AND(ISNUMBER(K61),ISNUMBER(J61),J61&lt;&gt;0),K61/J61-1,"")</f>
        <v/>
      </c>
      <c r="L125" s="22" t="str">
        <f aca="false">IF(AND(ISNUMBER(L61),ISNUMBER(K61),K61&lt;&gt;0),L61/K61-1,"")</f>
        <v/>
      </c>
      <c r="M125" s="22" t="str">
        <f aca="false">IF(AND(ISNUMBER(M61),ISNUMBER(L61),L61&lt;&gt;0),M61/L61-1,"")</f>
        <v/>
      </c>
      <c r="N125" s="22" t="str">
        <f aca="false">IF(AND(ISNUMBER(N61),ISNUMBER(M61),M61&lt;&gt;0),N61/M61-1,"")</f>
        <v/>
      </c>
    </row>
    <row r="126" customFormat="false" ht="15" hidden="false" customHeight="false" outlineLevel="0" collapsed="false">
      <c r="A126" s="43" t="s">
        <v>482</v>
      </c>
      <c r="C126" s="5" t="s">
        <v>484</v>
      </c>
      <c r="F126" s="22" t="str">
        <f aca="false">IF(AND(ISNUMBER(F62),ISNUMBER(E62),E62&lt;&gt;0),F62/E62-1,"")</f>
        <v/>
      </c>
      <c r="G126" s="22" t="str">
        <f aca="false">IF(AND(ISNUMBER(G62),ISNUMBER(F62),F62&lt;&gt;0),G62/F62-1,"")</f>
        <v/>
      </c>
      <c r="H126" s="22" t="str">
        <f aca="false">IF(AND(ISNUMBER(H62),ISNUMBER(G62),G62&lt;&gt;0),H62/G62-1,"")</f>
        <v/>
      </c>
      <c r="I126" s="22" t="str">
        <f aca="false">IF(AND(ISNUMBER(I62),ISNUMBER(H62),H62&lt;&gt;0),I62/H62-1,"")</f>
        <v/>
      </c>
      <c r="J126" s="22" t="str">
        <f aca="false">IF(AND(ISNUMBER(J62),ISNUMBER(I62),I62&lt;&gt;0),J62/I62-1,"")</f>
        <v/>
      </c>
      <c r="K126" s="22" t="str">
        <f aca="false">IF(AND(ISNUMBER(K62),ISNUMBER(J62),J62&lt;&gt;0),K62/J62-1,"")</f>
        <v/>
      </c>
      <c r="L126" s="22" t="str">
        <f aca="false">IF(AND(ISNUMBER(L62),ISNUMBER(K62),K62&lt;&gt;0),L62/K62-1,"")</f>
        <v/>
      </c>
      <c r="M126" s="22" t="str">
        <f aca="false">IF(AND(ISNUMBER(M62),ISNUMBER(L62),L62&lt;&gt;0),M62/L62-1,"")</f>
        <v/>
      </c>
      <c r="N126" s="22" t="str">
        <f aca="false">IF(AND(ISNUMBER(N62),ISNUMBER(M62),M62&lt;&gt;0),N62/M62-1,"")</f>
        <v/>
      </c>
    </row>
    <row r="127" customFormat="false" ht="15" hidden="false" customHeight="false" outlineLevel="0" collapsed="false">
      <c r="A127" s="43" t="s">
        <v>485</v>
      </c>
      <c r="C127" s="5" t="s">
        <v>486</v>
      </c>
      <c r="F127" s="22" t="str">
        <f aca="false">IF(AND(ISNUMBER(F63),ISNUMBER(E63),E63&lt;&gt;0),F63/E63-1,"")</f>
        <v/>
      </c>
      <c r="G127" s="22" t="str">
        <f aca="false">IF(AND(ISNUMBER(G63),ISNUMBER(F63),F63&lt;&gt;0),G63/F63-1,"")</f>
        <v/>
      </c>
      <c r="H127" s="22" t="str">
        <f aca="false">IF(AND(ISNUMBER(H63),ISNUMBER(G63),G63&lt;&gt;0),H63/G63-1,"")</f>
        <v/>
      </c>
      <c r="I127" s="22" t="str">
        <f aca="false">IF(AND(ISNUMBER(I63),ISNUMBER(H63),H63&lt;&gt;0),I63/H63-1,"")</f>
        <v/>
      </c>
      <c r="J127" s="22" t="str">
        <f aca="false">IF(AND(ISNUMBER(J63),ISNUMBER(I63),I63&lt;&gt;0),J63/I63-1,"")</f>
        <v/>
      </c>
      <c r="K127" s="22" t="str">
        <f aca="false">IF(AND(ISNUMBER(K63),ISNUMBER(J63),J63&lt;&gt;0),K63/J63-1,"")</f>
        <v/>
      </c>
      <c r="L127" s="22" t="str">
        <f aca="false">IF(AND(ISNUMBER(L63),ISNUMBER(K63),K63&lt;&gt;0),L63/K63-1,"")</f>
        <v/>
      </c>
      <c r="M127" s="22" t="str">
        <f aca="false">IF(AND(ISNUMBER(M63),ISNUMBER(L63),L63&lt;&gt;0),M63/L63-1,"")</f>
        <v/>
      </c>
      <c r="N127" s="22" t="str">
        <f aca="false">IF(AND(ISNUMBER(N63),ISNUMBER(M63),M63&lt;&gt;0),N63/M63-1,"")</f>
        <v/>
      </c>
    </row>
    <row r="128" customFormat="false" ht="15" hidden="false" customHeight="false" outlineLevel="0" collapsed="false">
      <c r="A128" s="43" t="s">
        <v>487</v>
      </c>
      <c r="C128" s="5" t="s">
        <v>488</v>
      </c>
      <c r="F128" s="22" t="str">
        <f aca="false">IF(AND(ISNUMBER(F64),ISNUMBER(E64),E64&lt;&gt;0),F64/E64-1,"")</f>
        <v/>
      </c>
      <c r="G128" s="22" t="str">
        <f aca="false">IF(AND(ISNUMBER(G64),ISNUMBER(F64),F64&lt;&gt;0),G64/F64-1,"")</f>
        <v/>
      </c>
      <c r="H128" s="22" t="str">
        <f aca="false">IF(AND(ISNUMBER(H64),ISNUMBER(G64),G64&lt;&gt;0),H64/G64-1,"")</f>
        <v/>
      </c>
      <c r="I128" s="22" t="str">
        <f aca="false">IF(AND(ISNUMBER(I64),ISNUMBER(H64),H64&lt;&gt;0),I64/H64-1,"")</f>
        <v/>
      </c>
      <c r="J128" s="22" t="str">
        <f aca="false">IF(AND(ISNUMBER(J64),ISNUMBER(I64),I64&lt;&gt;0),J64/I64-1,"")</f>
        <v/>
      </c>
      <c r="K128" s="22" t="str">
        <f aca="false">IF(AND(ISNUMBER(K64),ISNUMBER(J64),J64&lt;&gt;0),K64/J64-1,"")</f>
        <v/>
      </c>
      <c r="L128" s="22" t="str">
        <f aca="false">IF(AND(ISNUMBER(L64),ISNUMBER(K64),K64&lt;&gt;0),L64/K64-1,"")</f>
        <v/>
      </c>
      <c r="M128" s="22" t="str">
        <f aca="false">IF(AND(ISNUMBER(M64),ISNUMBER(L64),L64&lt;&gt;0),M64/L64-1,"")</f>
        <v/>
      </c>
      <c r="N128" s="22" t="str">
        <f aca="false">IF(AND(ISNUMBER(N64),ISNUMBER(M64),M64&lt;&gt;0),N64/M64-1,"")</f>
        <v/>
      </c>
    </row>
    <row r="129" customFormat="false" ht="15" hidden="false" customHeight="false" outlineLevel="0" collapsed="false">
      <c r="A129" s="43" t="s">
        <v>489</v>
      </c>
      <c r="C129" s="5" t="s">
        <v>490</v>
      </c>
      <c r="F129" s="22" t="str">
        <f aca="false">IF(AND(ISNUMBER(F65),ISNUMBER(E65),E65&lt;&gt;0),F65/E65-1,"")</f>
        <v/>
      </c>
      <c r="G129" s="22" t="str">
        <f aca="false">IF(AND(ISNUMBER(G65),ISNUMBER(F65),F65&lt;&gt;0),G65/F65-1,"")</f>
        <v/>
      </c>
      <c r="H129" s="22" t="str">
        <f aca="false">IF(AND(ISNUMBER(H65),ISNUMBER(G65),G65&lt;&gt;0),H65/G65-1,"")</f>
        <v/>
      </c>
      <c r="I129" s="22" t="str">
        <f aca="false">IF(AND(ISNUMBER(I65),ISNUMBER(H65),H65&lt;&gt;0),I65/H65-1,"")</f>
        <v/>
      </c>
      <c r="J129" s="22" t="str">
        <f aca="false">IF(AND(ISNUMBER(J65),ISNUMBER(I65),I65&lt;&gt;0),J65/I65-1,"")</f>
        <v/>
      </c>
      <c r="K129" s="22" t="str">
        <f aca="false">IF(AND(ISNUMBER(K65),ISNUMBER(J65),J65&lt;&gt;0),K65/J65-1,"")</f>
        <v/>
      </c>
      <c r="L129" s="22" t="str">
        <f aca="false">IF(AND(ISNUMBER(L65),ISNUMBER(K65),K65&lt;&gt;0),L65/K65-1,"")</f>
        <v/>
      </c>
      <c r="M129" s="22" t="str">
        <f aca="false">IF(AND(ISNUMBER(M65),ISNUMBER(L65),L65&lt;&gt;0),M65/L65-1,"")</f>
        <v/>
      </c>
      <c r="N129" s="22" t="str">
        <f aca="false">IF(AND(ISNUMBER(N65),ISNUMBER(M65),M65&lt;&gt;0),N65/M65-1,"")</f>
        <v/>
      </c>
    </row>
    <row r="130" customFormat="false" ht="15" hidden="false" customHeight="false" outlineLevel="0" collapsed="false">
      <c r="A130" s="43" t="s">
        <v>491</v>
      </c>
      <c r="C130" s="5" t="s">
        <v>492</v>
      </c>
      <c r="F130" s="22" t="str">
        <f aca="false">IF(AND(ISNUMBER(F66),ISNUMBER(E66),E66&lt;&gt;0),F66/E66-1,"")</f>
        <v/>
      </c>
      <c r="G130" s="22" t="str">
        <f aca="false">IF(AND(ISNUMBER(G66),ISNUMBER(F66),F66&lt;&gt;0),G66/F66-1,"")</f>
        <v/>
      </c>
      <c r="H130" s="22" t="str">
        <f aca="false">IF(AND(ISNUMBER(H66),ISNUMBER(G66),G66&lt;&gt;0),H66/G66-1,"")</f>
        <v/>
      </c>
      <c r="I130" s="22" t="str">
        <f aca="false">IF(AND(ISNUMBER(I66),ISNUMBER(H66),H66&lt;&gt;0),I66/H66-1,"")</f>
        <v/>
      </c>
      <c r="J130" s="22" t="str">
        <f aca="false">IF(AND(ISNUMBER(J66),ISNUMBER(I66),I66&lt;&gt;0),J66/I66-1,"")</f>
        <v/>
      </c>
      <c r="K130" s="22" t="str">
        <f aca="false">IF(AND(ISNUMBER(K66),ISNUMBER(J66),J66&lt;&gt;0),K66/J66-1,"")</f>
        <v/>
      </c>
      <c r="L130" s="22" t="str">
        <f aca="false">IF(AND(ISNUMBER(L66),ISNUMBER(K66),K66&lt;&gt;0),L66/K66-1,"")</f>
        <v/>
      </c>
      <c r="M130" s="22" t="str">
        <f aca="false">IF(AND(ISNUMBER(M66),ISNUMBER(L66),L66&lt;&gt;0),M66/L66-1,"")</f>
        <v/>
      </c>
      <c r="N130" s="22" t="str">
        <f aca="false">IF(AND(ISNUMBER(N66),ISNUMBER(M66),M66&lt;&gt;0),N66/M66-1,"")</f>
        <v/>
      </c>
    </row>
    <row r="132" customFormat="false" ht="46.25" hidden="false" customHeight="false" outlineLevel="0" collapsed="false">
      <c r="B132" s="11" t="s">
        <v>496</v>
      </c>
    </row>
    <row r="133" customFormat="false" ht="15" hidden="false" customHeight="false" outlineLevel="0" collapsed="false">
      <c r="A133" s="8"/>
      <c r="B133" s="8" t="s">
        <v>497</v>
      </c>
      <c r="C133" s="8"/>
      <c r="D133" s="8"/>
      <c r="E133" s="8" t="s">
        <v>343</v>
      </c>
      <c r="F133" s="8" t="s">
        <v>344</v>
      </c>
      <c r="G133" s="8" t="s">
        <v>345</v>
      </c>
      <c r="H133" s="8" t="s">
        <v>346</v>
      </c>
      <c r="I133" s="8" t="s">
        <v>347</v>
      </c>
      <c r="J133" s="8" t="s">
        <v>348</v>
      </c>
      <c r="K133" s="8" t="s">
        <v>349</v>
      </c>
      <c r="L133" s="8" t="s">
        <v>350</v>
      </c>
      <c r="M133" s="8" t="s">
        <v>351</v>
      </c>
      <c r="N133" s="8" t="s">
        <v>352</v>
      </c>
    </row>
    <row r="134" customFormat="false" ht="15" hidden="false" customHeight="false" outlineLevel="0" collapsed="false">
      <c r="B134" s="5" t="s">
        <v>498</v>
      </c>
      <c r="F134" s="14" t="str">
        <f aca="false">IF(AND(ISNUMBER(F78),ISNUMBER(F86)),IF(AND(F78&lt;0,F86&lt;0),"Both cut",""),"")</f>
        <v/>
      </c>
      <c r="G134" s="14" t="str">
        <f aca="false">IF(AND(ISNUMBER(G78),ISNUMBER(G86)),IF(AND(G78&lt;0,G86&lt;0),"Both cut",""),"")</f>
        <v/>
      </c>
      <c r="H134" s="14" t="str">
        <f aca="false">IF(AND(ISNUMBER(H78),ISNUMBER(H86)),IF(AND(H78&lt;0,H86&lt;0),"Both cut",""),"")</f>
        <v/>
      </c>
      <c r="I134" s="14" t="str">
        <f aca="false">IF(AND(ISNUMBER(I78),ISNUMBER(I86)),IF(AND(I78&lt;0,I86&lt;0),"Both cut",""),"")</f>
        <v/>
      </c>
      <c r="J134" s="14" t="str">
        <f aca="false">IF(AND(ISNUMBER(J78),ISNUMBER(J86)),IF(AND(J78&lt;0,J86&lt;0),"Both cut",""),"")</f>
        <v/>
      </c>
      <c r="K134" s="14" t="str">
        <f aca="false">IF(AND(ISNUMBER(K78),ISNUMBER(K86)),IF(AND(K78&lt;0,K86&lt;0),"Both cut",""),"")</f>
        <v/>
      </c>
      <c r="L134" s="14" t="str">
        <f aca="false">IF(AND(ISNUMBER(L78),ISNUMBER(L86)),IF(AND(L78&lt;0,L86&lt;0),"Both cut",""),"")</f>
        <v/>
      </c>
      <c r="M134" s="14" t="str">
        <f aca="false">IF(AND(ISNUMBER(M78),ISNUMBER(M86)),IF(AND(M78&lt;0,M86&lt;0),"Both cut",""),"")</f>
        <v/>
      </c>
      <c r="N134" s="14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499</v>
      </c>
      <c r="F135" s="14" t="str">
        <f aca="false">IF(AND(ISNUMBER(F79),ISNUMBER(F87)),IF(AND(F79&lt;0,F87&lt;0),"Both cut",""),"")</f>
        <v/>
      </c>
      <c r="G135" s="14" t="str">
        <f aca="false">IF(AND(ISNUMBER(G79),ISNUMBER(G87)),IF(AND(G79&lt;0,G87&lt;0),"Both cut",""),"")</f>
        <v/>
      </c>
      <c r="H135" s="14" t="str">
        <f aca="false">IF(AND(ISNUMBER(H79),ISNUMBER(H87)),IF(AND(H79&lt;0,H87&lt;0),"Both cut",""),"")</f>
        <v/>
      </c>
      <c r="I135" s="14" t="str">
        <f aca="false">IF(AND(ISNUMBER(I79),ISNUMBER(I87)),IF(AND(I79&lt;0,I87&lt;0),"Both cut",""),"")</f>
        <v/>
      </c>
      <c r="J135" s="14" t="str">
        <f aca="false">IF(AND(ISNUMBER(J79),ISNUMBER(J87)),IF(AND(J79&lt;0,J87&lt;0),"Both cut",""),"")</f>
        <v/>
      </c>
      <c r="K135" s="14" t="str">
        <f aca="false">IF(AND(ISNUMBER(K79),ISNUMBER(K87)),IF(AND(K79&lt;0,K87&lt;0),"Both cut",""),"")</f>
        <v/>
      </c>
      <c r="L135" s="14" t="str">
        <f aca="false">IF(AND(ISNUMBER(L79),ISNUMBER(L87)),IF(AND(L79&lt;0,L87&lt;0),"Both cut",""),"")</f>
        <v/>
      </c>
      <c r="M135" s="14" t="str">
        <f aca="false">IF(AND(ISNUMBER(M79),ISNUMBER(M87)),IF(AND(M79&lt;0,M87&lt;0),"Both cut",""),"")</f>
        <v/>
      </c>
      <c r="N135" s="14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500</v>
      </c>
      <c r="F136" s="14" t="str">
        <f aca="false">IF(AND(ISNUMBER(F80),ISNUMBER(F88)),IF(AND(F80&lt;0,F88&lt;0),"Both cut",""),"")</f>
        <v/>
      </c>
      <c r="G136" s="14" t="str">
        <f aca="false">IF(AND(ISNUMBER(G80),ISNUMBER(G88)),IF(AND(G80&lt;0,G88&lt;0),"Both cut",""),"")</f>
        <v/>
      </c>
      <c r="H136" s="14" t="str">
        <f aca="false">IF(AND(ISNUMBER(H80),ISNUMBER(H88)),IF(AND(H80&lt;0,H88&lt;0),"Both cut",""),"")</f>
        <v/>
      </c>
      <c r="I136" s="14" t="str">
        <f aca="false">IF(AND(ISNUMBER(I80),ISNUMBER(I88)),IF(AND(I80&lt;0,I88&lt;0),"Both cut",""),"")</f>
        <v/>
      </c>
      <c r="J136" s="14" t="str">
        <f aca="false">IF(AND(ISNUMBER(J80),ISNUMBER(J88)),IF(AND(J80&lt;0,J88&lt;0),"Both cut",""),"")</f>
        <v/>
      </c>
      <c r="K136" s="14" t="str">
        <f aca="false">IF(AND(ISNUMBER(K80),ISNUMBER(K88)),IF(AND(K80&lt;0,K88&lt;0),"Both cut",""),"")</f>
        <v/>
      </c>
      <c r="L136" s="14" t="str">
        <f aca="false">IF(AND(ISNUMBER(L80),ISNUMBER(L88)),IF(AND(L80&lt;0,L88&lt;0),"Both cut",""),"")</f>
        <v/>
      </c>
      <c r="M136" s="14" t="str">
        <f aca="false">IF(AND(ISNUMBER(M80),ISNUMBER(M88)),IF(AND(M80&lt;0,M88&lt;0),"Both cut",""),"")</f>
        <v/>
      </c>
      <c r="N136" s="14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501</v>
      </c>
      <c r="F137" s="14" t="str">
        <f aca="false">IF(AND(ISNUMBER(F81),ISNUMBER(F89)),IF(AND(F81&lt;0,F89&lt;0),"Both cut",""),"")</f>
        <v/>
      </c>
      <c r="G137" s="14" t="str">
        <f aca="false">IF(AND(ISNUMBER(G81),ISNUMBER(G89)),IF(AND(G81&lt;0,G89&lt;0),"Both cut",""),"")</f>
        <v/>
      </c>
      <c r="H137" s="14" t="str">
        <f aca="false">IF(AND(ISNUMBER(H81),ISNUMBER(H89)),IF(AND(H81&lt;0,H89&lt;0),"Both cut",""),"")</f>
        <v/>
      </c>
      <c r="I137" s="14" t="str">
        <f aca="false">IF(AND(ISNUMBER(I81),ISNUMBER(I89)),IF(AND(I81&lt;0,I89&lt;0),"Both cut",""),"")</f>
        <v/>
      </c>
      <c r="J137" s="14" t="str">
        <f aca="false">IF(AND(ISNUMBER(J81),ISNUMBER(J89)),IF(AND(J81&lt;0,J89&lt;0),"Both cut",""),"")</f>
        <v/>
      </c>
      <c r="K137" s="14" t="str">
        <f aca="false">IF(AND(ISNUMBER(K81),ISNUMBER(K89)),IF(AND(K81&lt;0,K89&lt;0),"Both cut",""),"")</f>
        <v/>
      </c>
      <c r="L137" s="14" t="str">
        <f aca="false">IF(AND(ISNUMBER(L81),ISNUMBER(L89)),IF(AND(L81&lt;0,L89&lt;0),"Both cut",""),"")</f>
        <v/>
      </c>
      <c r="M137" s="14" t="str">
        <f aca="false">IF(AND(ISNUMBER(M81),ISNUMBER(M89)),IF(AND(M81&lt;0,M89&lt;0),"Both cut",""),"")</f>
        <v/>
      </c>
      <c r="N137" s="14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502</v>
      </c>
      <c r="F138" s="14" t="str">
        <f aca="false">IF(AND(ISNUMBER(F82),ISNUMBER(F90)),IF(AND(F82&lt;0,F90&lt;0),"Both cut",""),"")</f>
        <v/>
      </c>
      <c r="G138" s="14" t="str">
        <f aca="false">IF(AND(ISNUMBER(G82),ISNUMBER(G90)),IF(AND(G82&lt;0,G90&lt;0),"Both cut",""),"")</f>
        <v/>
      </c>
      <c r="H138" s="14" t="str">
        <f aca="false">IF(AND(ISNUMBER(H82),ISNUMBER(H90)),IF(AND(H82&lt;0,H90&lt;0),"Both cut",""),"")</f>
        <v/>
      </c>
      <c r="I138" s="14" t="str">
        <f aca="false">IF(AND(ISNUMBER(I82),ISNUMBER(I90)),IF(AND(I82&lt;0,I90&lt;0),"Both cut",""),"")</f>
        <v/>
      </c>
      <c r="J138" s="14" t="str">
        <f aca="false">IF(AND(ISNUMBER(J82),ISNUMBER(J90)),IF(AND(J82&lt;0,J90&lt;0),"Both cut",""),"")</f>
        <v/>
      </c>
      <c r="K138" s="14" t="str">
        <f aca="false">IF(AND(ISNUMBER(K82),ISNUMBER(K90)),IF(AND(K82&lt;0,K90&lt;0),"Both cut",""),"")</f>
        <v/>
      </c>
      <c r="L138" s="14" t="str">
        <f aca="false">IF(AND(ISNUMBER(L82),ISNUMBER(L90)),IF(AND(L82&lt;0,L90&lt;0),"Both cut",""),"")</f>
        <v/>
      </c>
      <c r="M138" s="14" t="str">
        <f aca="false">IF(AND(ISNUMBER(M82),ISNUMBER(M90)),IF(AND(M82&lt;0,M90&lt;0),"Both cut",""),"")</f>
        <v/>
      </c>
      <c r="N138" s="14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503</v>
      </c>
      <c r="F139" s="14" t="str">
        <f aca="false">IF(AND(ISNUMBER(F83),ISNUMBER(F91)),IF(AND(F83&lt;0,F91&lt;0),"Both cut",""),"")</f>
        <v/>
      </c>
      <c r="G139" s="14" t="str">
        <f aca="false">IF(AND(ISNUMBER(G83),ISNUMBER(G91)),IF(AND(G83&lt;0,G91&lt;0),"Both cut",""),"")</f>
        <v/>
      </c>
      <c r="H139" s="14" t="str">
        <f aca="false">IF(AND(ISNUMBER(H83),ISNUMBER(H91)),IF(AND(H83&lt;0,H91&lt;0),"Both cut",""),"")</f>
        <v/>
      </c>
      <c r="I139" s="14" t="str">
        <f aca="false">IF(AND(ISNUMBER(I83),ISNUMBER(I91)),IF(AND(I83&lt;0,I91&lt;0),"Both cut",""),"")</f>
        <v/>
      </c>
      <c r="J139" s="14" t="str">
        <f aca="false">IF(AND(ISNUMBER(J83),ISNUMBER(J91)),IF(AND(J83&lt;0,J91&lt;0),"Both cut",""),"")</f>
        <v/>
      </c>
      <c r="K139" s="14" t="str">
        <f aca="false">IF(AND(ISNUMBER(K83),ISNUMBER(K91)),IF(AND(K83&lt;0,K91&lt;0),"Both cut",""),"")</f>
        <v/>
      </c>
      <c r="L139" s="14" t="str">
        <f aca="false">IF(AND(ISNUMBER(L83),ISNUMBER(L91)),IF(AND(L83&lt;0,L91&lt;0),"Both cut",""),"")</f>
        <v/>
      </c>
      <c r="M139" s="14" t="str">
        <f aca="false">IF(AND(ISNUMBER(M83),ISNUMBER(M91)),IF(AND(M83&lt;0,M91&lt;0),"Both cut",""),"")</f>
        <v/>
      </c>
      <c r="N139" s="14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504</v>
      </c>
      <c r="F140" s="14" t="str">
        <f aca="false">IF(AND(ISNUMBER(F84),ISNUMBER(F92)),IF(AND(F84&lt;0,F92&lt;0),"Both cut",""),"")</f>
        <v/>
      </c>
      <c r="G140" s="14" t="str">
        <f aca="false">IF(AND(ISNUMBER(G84),ISNUMBER(G92)),IF(AND(G84&lt;0,G92&lt;0),"Both cut",""),"")</f>
        <v/>
      </c>
      <c r="H140" s="14" t="str">
        <f aca="false">IF(AND(ISNUMBER(H84),ISNUMBER(H92)),IF(AND(H84&lt;0,H92&lt;0),"Both cut",""),"")</f>
        <v/>
      </c>
      <c r="I140" s="14" t="str">
        <f aca="false">IF(AND(ISNUMBER(I84),ISNUMBER(I92)),IF(AND(I84&lt;0,I92&lt;0),"Both cut",""),"")</f>
        <v/>
      </c>
      <c r="J140" s="14" t="str">
        <f aca="false">IF(AND(ISNUMBER(J84),ISNUMBER(J92)),IF(AND(J84&lt;0,J92&lt;0),"Both cut",""),"")</f>
        <v/>
      </c>
      <c r="K140" s="14" t="str">
        <f aca="false">IF(AND(ISNUMBER(K84),ISNUMBER(K92)),IF(AND(K84&lt;0,K92&lt;0),"Both cut",""),"")</f>
        <v/>
      </c>
      <c r="L140" s="14" t="str">
        <f aca="false">IF(AND(ISNUMBER(L84),ISNUMBER(L92)),IF(AND(L84&lt;0,L92&lt;0),"Both cut",""),"")</f>
        <v/>
      </c>
      <c r="M140" s="14" t="str">
        <f aca="false">IF(AND(ISNUMBER(M84),ISNUMBER(M92)),IF(AND(M84&lt;0,M92&lt;0),"Both cut",""),"")</f>
        <v/>
      </c>
      <c r="N140" s="14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505</v>
      </c>
      <c r="F141" s="14" t="str">
        <f aca="false">IF(AND(ISNUMBER(F85),ISNUMBER(F93)),IF(AND(F85&lt;0,F93&lt;0),"Both cut",""),"")</f>
        <v/>
      </c>
      <c r="G141" s="14" t="str">
        <f aca="false">IF(AND(ISNUMBER(G85),ISNUMBER(G93)),IF(AND(G85&lt;0,G93&lt;0),"Both cut",""),"")</f>
        <v/>
      </c>
      <c r="H141" s="14" t="str">
        <f aca="false">IF(AND(ISNUMBER(H85),ISNUMBER(H93)),IF(AND(H85&lt;0,H93&lt;0),"Both cut",""),"")</f>
        <v/>
      </c>
      <c r="I141" s="14" t="str">
        <f aca="false">IF(AND(ISNUMBER(I85),ISNUMBER(I93)),IF(AND(I85&lt;0,I93&lt;0),"Both cut",""),"")</f>
        <v/>
      </c>
      <c r="J141" s="14" t="str">
        <f aca="false">IF(AND(ISNUMBER(J85),ISNUMBER(J93)),IF(AND(J85&lt;0,J93&lt;0),"Both cut",""),"")</f>
        <v/>
      </c>
      <c r="K141" s="14" t="str">
        <f aca="false">IF(AND(ISNUMBER(K85),ISNUMBER(K93)),IF(AND(K85&lt;0,K93&lt;0),"Both cut",""),"")</f>
        <v/>
      </c>
      <c r="L141" s="14" t="str">
        <f aca="false">IF(AND(ISNUMBER(L85),ISNUMBER(L93)),IF(AND(L85&lt;0,L93&lt;0),"Both cut",""),"")</f>
        <v/>
      </c>
      <c r="M141" s="14" t="str">
        <f aca="false">IF(AND(ISNUMBER(M85),ISNUMBER(M93)),IF(AND(M85&lt;0,M93&lt;0),"Both cut",""),"")</f>
        <v/>
      </c>
      <c r="N141" s="14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45" t="s">
        <v>506</v>
      </c>
    </row>
    <row r="144" customFormat="false" ht="15" hidden="false" customHeight="false" outlineLevel="0" collapsed="false">
      <c r="B144" s="45" t="s">
        <v>507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1" topLeftCell="A3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6" t="s">
        <v>508</v>
      </c>
    </row>
    <row r="2" customFormat="false" ht="15" hidden="false" customHeight="false" outlineLevel="0" collapsed="false">
      <c r="A2" s="3" t="s">
        <v>509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510</v>
      </c>
      <c r="B5" s="8" t="s">
        <v>305</v>
      </c>
      <c r="C5" s="8" t="s">
        <v>511</v>
      </c>
      <c r="D5" s="8" t="s">
        <v>512</v>
      </c>
      <c r="E5" s="8" t="s">
        <v>513</v>
      </c>
    </row>
    <row r="6" customFormat="false" ht="15" hidden="false" customHeight="false" outlineLevel="0" collapsed="false">
      <c r="A6" s="5" t="s">
        <v>514</v>
      </c>
      <c r="B6" s="46"/>
      <c r="C6" s="46"/>
      <c r="D6" s="47" t="str">
        <f aca="false">IF(AND(ISNUMBER(B6),ISNUMBER(C6)),B6-C6,"")</f>
        <v/>
      </c>
      <c r="E6" s="14" t="str">
        <f aca="false">IF(D6="","",IF(D6&gt;=0,"Yes","No"))</f>
        <v/>
      </c>
    </row>
    <row r="7" customFormat="false" ht="15" hidden="false" customHeight="false" outlineLevel="0" collapsed="false">
      <c r="A7" s="5" t="s">
        <v>515</v>
      </c>
      <c r="B7" s="27"/>
      <c r="C7" s="27"/>
      <c r="D7" s="23" t="str">
        <f aca="false">IF(AND(ISNUMBER(B7),ISNUMBER(C7)),B7-C7,"")</f>
        <v/>
      </c>
      <c r="E7" s="14" t="str">
        <f aca="false">IF(D7="","",IF(D7&gt;=0,"Yes","No"))</f>
        <v/>
      </c>
    </row>
    <row r="8" customFormat="false" ht="15" hidden="false" customHeight="false" outlineLevel="0" collapsed="false">
      <c r="A8" s="5" t="s">
        <v>516</v>
      </c>
      <c r="B8" s="46"/>
      <c r="C8" s="46"/>
      <c r="D8" s="47" t="str">
        <f aca="false">IF(AND(ISNUMBER(B8),ISNUMBER(C8)),B8-C8,"")</f>
        <v/>
      </c>
      <c r="E8" s="14" t="str">
        <f aca="false">IF(D8="","",IF(D8&gt;=0,"Yes","No"))</f>
        <v/>
      </c>
    </row>
    <row r="9" customFormat="false" ht="15" hidden="false" customHeight="false" outlineLevel="0" collapsed="false">
      <c r="A9" s="5" t="s">
        <v>517</v>
      </c>
      <c r="B9" s="9"/>
      <c r="C9" s="9"/>
      <c r="D9" s="48" t="str">
        <f aca="false">IF(OR(B9="",C9=""),"",IFERROR(MATCH(C9,CreditScale,0)-MATCH(B9,CreditScale,0),""))</f>
        <v/>
      </c>
      <c r="E9" s="14" t="str">
        <f aca="false">IF(D9="","",IF(D9&gt;=0,"Yes","No"))</f>
        <v/>
      </c>
    </row>
    <row r="10" customFormat="false" ht="15" hidden="false" customHeight="false" outlineLevel="0" collapsed="false">
      <c r="A10" s="5" t="s">
        <v>518</v>
      </c>
      <c r="B10" s="42"/>
      <c r="C10" s="42"/>
      <c r="D10" s="10" t="str">
        <f aca="false">IF(AND(ISNUMBER(B10),ISNUMBER(C10)),B10-C10,"")</f>
        <v/>
      </c>
      <c r="E10" s="14" t="str">
        <f aca="false">IF(D10="","",IF(D10&gt;=0,"Yes","No"))</f>
        <v/>
      </c>
    </row>
    <row r="12" customFormat="false" ht="30" hidden="false" customHeight="true" outlineLevel="0" collapsed="false">
      <c r="A12" s="8" t="s">
        <v>519</v>
      </c>
      <c r="B12" s="8" t="s">
        <v>520</v>
      </c>
    </row>
    <row r="13" customFormat="false" ht="15" hidden="false" customHeight="false" outlineLevel="0" collapsed="false">
      <c r="A13" s="5" t="s">
        <v>521</v>
      </c>
      <c r="B13" s="42"/>
    </row>
    <row r="14" customFormat="false" ht="15" hidden="false" customHeight="false" outlineLevel="0" collapsed="false">
      <c r="A14" s="5" t="s">
        <v>522</v>
      </c>
      <c r="B14" s="42"/>
    </row>
    <row r="15" customFormat="false" ht="15" hidden="false" customHeight="false" outlineLevel="0" collapsed="false">
      <c r="A15" s="5" t="s">
        <v>523</v>
      </c>
      <c r="B15" s="28"/>
    </row>
    <row r="16" customFormat="false" ht="15" hidden="false" customHeight="false" outlineLevel="0" collapsed="false">
      <c r="A16" s="5" t="s">
        <v>524</v>
      </c>
      <c r="B16" s="28"/>
    </row>
    <row r="17" customFormat="false" ht="15" hidden="false" customHeight="false" outlineLevel="0" collapsed="false">
      <c r="A17" s="5" t="s">
        <v>525</v>
      </c>
      <c r="B17" s="28"/>
    </row>
    <row r="19" customFormat="false" ht="30" hidden="false" customHeight="true" outlineLevel="0" collapsed="false">
      <c r="A19" s="8" t="s">
        <v>526</v>
      </c>
      <c r="B19" s="8" t="s">
        <v>527</v>
      </c>
      <c r="C19" s="8" t="s">
        <v>528</v>
      </c>
    </row>
    <row r="20" customFormat="false" ht="15" hidden="false" customHeight="false" outlineLevel="0" collapsed="false">
      <c r="A20" s="5" t="s">
        <v>529</v>
      </c>
      <c r="B20" s="28"/>
      <c r="C20" s="28"/>
    </row>
    <row r="21" customFormat="false" ht="15" hidden="false" customHeight="false" outlineLevel="0" collapsed="false">
      <c r="A21" s="5" t="s">
        <v>530</v>
      </c>
      <c r="B21" s="29"/>
      <c r="C21" s="29"/>
    </row>
    <row r="22" customFormat="false" ht="15" hidden="false" customHeight="false" outlineLevel="0" collapsed="false">
      <c r="A22" s="5" t="s">
        <v>531</v>
      </c>
      <c r="B22" s="13"/>
      <c r="C22" s="13"/>
    </row>
    <row r="23" customFormat="false" ht="15" hidden="false" customHeight="false" outlineLevel="0" collapsed="false">
      <c r="A23" s="5" t="s">
        <v>532</v>
      </c>
      <c r="B23" s="29"/>
      <c r="C23" s="29"/>
    </row>
    <row r="24" customFormat="false" ht="15" hidden="false" customHeight="false" outlineLevel="0" collapsed="false">
      <c r="A24" s="5" t="s">
        <v>533</v>
      </c>
      <c r="B24" s="27"/>
      <c r="C24" s="27"/>
    </row>
    <row r="25" customFormat="false" ht="15" hidden="false" customHeight="false" outlineLevel="0" collapsed="false">
      <c r="A25" s="5" t="s">
        <v>534</v>
      </c>
      <c r="B25" s="29"/>
      <c r="C25" s="29"/>
    </row>
    <row r="26" customFormat="false" ht="15" hidden="false" customHeight="false" outlineLevel="0" collapsed="false">
      <c r="A26" s="5" t="s">
        <v>535</v>
      </c>
      <c r="B26" s="13"/>
      <c r="C26" s="13"/>
    </row>
    <row r="27" customFormat="false" ht="15" hidden="false" customHeight="false" outlineLevel="0" collapsed="false">
      <c r="A27" s="5" t="s">
        <v>536</v>
      </c>
      <c r="B27" s="29"/>
      <c r="C27" s="29"/>
    </row>
    <row r="28" customFormat="false" ht="15" hidden="false" customHeight="false" outlineLevel="0" collapsed="false">
      <c r="A28" s="11" t="s">
        <v>537</v>
      </c>
      <c r="B28" s="49" t="str">
        <f aca="false">IF(AND(ISNUMBER(B21),ISNUMBER(B25)),B21/B25-1,"")</f>
        <v/>
      </c>
      <c r="C28" s="49" t="str">
        <f aca="false">IF(AND(ISNUMBER(C21),ISNUMBER(C25)),C21/C25-1,"")</f>
        <v/>
      </c>
    </row>
    <row r="29" customFormat="false" ht="15" hidden="false" customHeight="false" outlineLevel="0" collapsed="false">
      <c r="A29" s="11" t="s">
        <v>538</v>
      </c>
      <c r="B29" s="49" t="str">
        <f aca="false">IF(AND(ISNUMBER(B23),ISNUMBER(B27)),B23/B27-1,"")</f>
        <v/>
      </c>
      <c r="C29" s="49" t="str">
        <f aca="false">IF(AND(ISNUMBER(C23),ISNUMBER(C27)),C23/C27-1,"")</f>
        <v/>
      </c>
    </row>
    <row r="31" customFormat="false" ht="30" hidden="false" customHeight="true" outlineLevel="0" collapsed="false">
      <c r="A31" s="8" t="s">
        <v>539</v>
      </c>
      <c r="B31" s="8" t="s">
        <v>527</v>
      </c>
      <c r="C31" s="8" t="s">
        <v>528</v>
      </c>
    </row>
    <row r="32" customFormat="false" ht="15" hidden="false" customHeight="false" outlineLevel="0" collapsed="false">
      <c r="A32" s="5" t="s">
        <v>540</v>
      </c>
      <c r="B32" s="13"/>
      <c r="C32" s="13"/>
    </row>
    <row r="33" customFormat="false" ht="15" hidden="false" customHeight="false" outlineLevel="0" collapsed="false">
      <c r="A33" s="5" t="s">
        <v>541</v>
      </c>
      <c r="B33" s="13"/>
      <c r="C33" s="13"/>
    </row>
    <row r="34" customFormat="false" ht="15" hidden="false" customHeight="false" outlineLevel="0" collapsed="false">
      <c r="A34" s="5" t="s">
        <v>542</v>
      </c>
      <c r="B34" s="13"/>
      <c r="C34" s="13"/>
    </row>
    <row r="35" customFormat="false" ht="15" hidden="false" customHeight="false" outlineLevel="0" collapsed="false">
      <c r="A35" s="5" t="s">
        <v>543</v>
      </c>
      <c r="B35" s="13"/>
      <c r="C35" s="13"/>
    </row>
    <row r="36" customFormat="false" ht="15" hidden="false" customHeight="false" outlineLevel="0" collapsed="false">
      <c r="A36" s="11" t="s">
        <v>544</v>
      </c>
      <c r="B36" s="12" t="str">
        <f aca="false">IF(COUNT(B32:B35)=0,"",AVERAGE(B32:B35))</f>
        <v/>
      </c>
      <c r="C36" s="12" t="str">
        <f aca="false">IF(COUNT(C32:C35)=0,"",AVERAGE(C32:C35))</f>
        <v/>
      </c>
    </row>
  </sheetData>
  <conditionalFormatting sqref="E6:E10">
    <cfRule type="expression" priority="2" aboveAverage="0" equalAverage="0" bottom="0" percent="0" rank="0" text="" dxfId="0">
      <formula>E6="Yes"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E6="No"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true" outlineLevel="0" max="10" min="10" style="0" width="13"/>
  </cols>
  <sheetData>
    <row r="1" customFormat="false" ht="19.7" hidden="false" customHeight="false" outlineLevel="0" collapsed="false">
      <c r="A1" s="6" t="s">
        <v>545</v>
      </c>
    </row>
    <row r="2" customFormat="false" ht="15" hidden="false" customHeight="false" outlineLevel="0" collapsed="false">
      <c r="A2" s="3" t="s">
        <v>546</v>
      </c>
    </row>
    <row r="3" customFormat="false" ht="15" hidden="false" customHeight="false" outlineLevel="0" collapsed="false">
      <c r="A3" s="7" t="s">
        <v>42</v>
      </c>
    </row>
    <row r="5" customFormat="false" ht="30" hidden="false" customHeight="true" outlineLevel="0" collapsed="false">
      <c r="A5" s="8" t="s">
        <v>301</v>
      </c>
      <c r="B5" s="8" t="s">
        <v>343</v>
      </c>
    </row>
    <row r="6" customFormat="false" ht="15" hidden="false" customHeight="false" outlineLevel="0" collapsed="false">
      <c r="A6" s="11" t="s">
        <v>547</v>
      </c>
      <c r="B6" s="47" t="str">
        <f aca="false">IF('Y6 Results'!B6="","",'Y6 Results'!B6)</f>
        <v/>
      </c>
      <c r="J6" s="50" t="s">
        <v>548</v>
      </c>
    </row>
    <row r="7" customFormat="false" ht="15" hidden="false" customHeight="false" outlineLevel="0" collapsed="false">
      <c r="A7" s="5" t="s">
        <v>549</v>
      </c>
      <c r="B7" s="47" t="str">
        <f aca="false">IF('Y6 Results'!C6="","",'Y6 Results'!C6)</f>
        <v/>
      </c>
      <c r="J7" s="50" t="s">
        <v>550</v>
      </c>
    </row>
    <row r="8" customFormat="false" ht="15" hidden="false" customHeight="false" outlineLevel="0" collapsed="false">
      <c r="A8" s="11" t="s">
        <v>551</v>
      </c>
      <c r="B8" s="23" t="str">
        <f aca="false">IF('Y6 Results'!B7="","",'Y6 Results'!B7)</f>
        <v/>
      </c>
      <c r="J8" s="50" t="s">
        <v>552</v>
      </c>
    </row>
    <row r="9" customFormat="false" ht="15" hidden="false" customHeight="false" outlineLevel="0" collapsed="false">
      <c r="A9" s="5" t="s">
        <v>553</v>
      </c>
      <c r="B9" s="23" t="str">
        <f aca="false">IF('Y6 Results'!C7="","",'Y6 Results'!C7)</f>
        <v/>
      </c>
      <c r="J9" s="50" t="s">
        <v>554</v>
      </c>
    </row>
    <row r="10" customFormat="false" ht="15" hidden="false" customHeight="false" outlineLevel="0" collapsed="false">
      <c r="A10" s="11" t="s">
        <v>516</v>
      </c>
      <c r="B10" s="47" t="str">
        <f aca="false">IF('Y6 Results'!B8="","",'Y6 Results'!B8)</f>
        <v/>
      </c>
      <c r="J10" s="50" t="s">
        <v>555</v>
      </c>
    </row>
    <row r="11" customFormat="false" ht="15" hidden="false" customHeight="false" outlineLevel="0" collapsed="false">
      <c r="A11" s="5" t="s">
        <v>556</v>
      </c>
      <c r="B11" s="47" t="str">
        <f aca="false">IF('Y6 Results'!C8="","",'Y6 Results'!C8)</f>
        <v/>
      </c>
      <c r="J11" s="50" t="s">
        <v>557</v>
      </c>
    </row>
    <row r="12" customFormat="false" ht="15" hidden="false" customHeight="false" outlineLevel="0" collapsed="false">
      <c r="A12" s="11" t="s">
        <v>517</v>
      </c>
      <c r="B12" s="14" t="str">
        <f aca="false">IF('Y6 Results'!B9="","",'Y6 Results'!B9)</f>
        <v/>
      </c>
      <c r="J12" s="50" t="s">
        <v>558</v>
      </c>
    </row>
    <row r="13" customFormat="false" ht="15" hidden="false" customHeight="false" outlineLevel="0" collapsed="false">
      <c r="A13" s="11" t="s">
        <v>559</v>
      </c>
      <c r="B13" s="10" t="str">
        <f aca="false">IF(B12="","",IFERROR(22-MATCH(B12,CreditScale,0),""))</f>
        <v/>
      </c>
      <c r="J13" s="50" t="s">
        <v>560</v>
      </c>
    </row>
    <row r="14" customFormat="false" ht="15" hidden="false" customHeight="false" outlineLevel="0" collapsed="false">
      <c r="A14" s="11" t="s">
        <v>518</v>
      </c>
      <c r="B14" s="10" t="str">
        <f aca="false">IF('Y6 Results'!B10="","",'Y6 Results'!B10)</f>
        <v/>
      </c>
      <c r="J14" s="50" t="s">
        <v>561</v>
      </c>
    </row>
    <row r="15" customFormat="false" ht="15" hidden="false" customHeight="false" outlineLevel="0" collapsed="false">
      <c r="A15" s="5" t="s">
        <v>562</v>
      </c>
      <c r="B15" s="10" t="str">
        <f aca="false">IF('Y6 Results'!C10="","",'Y6 Results'!C10)</f>
        <v/>
      </c>
      <c r="J15" s="50" t="s">
        <v>563</v>
      </c>
    </row>
    <row r="16" customFormat="false" ht="15" hidden="false" customHeight="false" outlineLevel="0" collapsed="false">
      <c r="A16" s="11" t="s">
        <v>564</v>
      </c>
      <c r="B16" s="10" t="str">
        <f aca="false">IF('Y6 Results'!B13="","",'Y6 Results'!B13)</f>
        <v/>
      </c>
      <c r="J16" s="50" t="s">
        <v>565</v>
      </c>
    </row>
    <row r="17" customFormat="false" ht="15" hidden="false" customHeight="false" outlineLevel="0" collapsed="false">
      <c r="A17" s="11" t="s">
        <v>106</v>
      </c>
      <c r="B17" s="10" t="str">
        <f aca="false">IF('Y6 Results'!B14="","",'Y6 Results'!B14)</f>
        <v/>
      </c>
      <c r="J17" s="50" t="s">
        <v>566</v>
      </c>
    </row>
    <row r="18" customFormat="false" ht="15" hidden="false" customHeight="false" outlineLevel="0" collapsed="false">
      <c r="A18" s="11" t="s">
        <v>523</v>
      </c>
      <c r="B18" s="51" t="str">
        <f aca="false">IF('Y6 Results'!B15="","",'Y6 Results'!B15)</f>
        <v/>
      </c>
      <c r="J18" s="50" t="s">
        <v>567</v>
      </c>
    </row>
    <row r="19" customFormat="false" ht="15" hidden="false" customHeight="false" outlineLevel="0" collapsed="false">
      <c r="A19" s="11" t="s">
        <v>524</v>
      </c>
      <c r="B19" s="51" t="str">
        <f aca="false">IF('Y6 Results'!B16="","",'Y6 Results'!B16)</f>
        <v/>
      </c>
      <c r="J19" s="50" t="s">
        <v>568</v>
      </c>
    </row>
    <row r="20" customFormat="false" ht="15" hidden="false" customHeight="false" outlineLevel="0" collapsed="false">
      <c r="A20" s="11" t="s">
        <v>525</v>
      </c>
      <c r="B20" s="51" t="str">
        <f aca="false">IF('Y6 Results'!B17="","",'Y6 Results'!B17)</f>
        <v/>
      </c>
      <c r="J20" s="50" t="s">
        <v>569</v>
      </c>
    </row>
    <row r="21" customFormat="false" ht="15" hidden="false" customHeight="false" outlineLevel="0" collapsed="false">
      <c r="A21" s="11" t="s">
        <v>570</v>
      </c>
      <c r="B21" s="12" t="str">
        <f aca="false">IF('Y6 Results'!B36="","",'Y6 Results'!B36)</f>
        <v/>
      </c>
      <c r="J21" s="50" t="s">
        <v>571</v>
      </c>
    </row>
    <row r="22" customFormat="false" ht="15" hidden="false" customHeight="false" outlineLevel="0" collapsed="false">
      <c r="A22" s="11" t="s">
        <v>572</v>
      </c>
      <c r="B22" s="12" t="str">
        <f aca="false">IF('Y6 Results'!C36="","",'Y6 Results'!C36)</f>
        <v/>
      </c>
      <c r="J22" s="50" t="s">
        <v>573</v>
      </c>
    </row>
    <row r="23" customFormat="false" ht="15" hidden="false" customHeight="false" outlineLevel="0" collapsed="false">
      <c r="A23" s="11" t="s">
        <v>574</v>
      </c>
      <c r="B23" s="33" t="str">
        <f aca="false">IF('Y6 Results'!B23="","",'Y6 Results'!B23)</f>
        <v/>
      </c>
      <c r="J23" s="50" t="s">
        <v>575</v>
      </c>
    </row>
    <row r="24" customFormat="false" ht="15" hidden="false" customHeight="false" outlineLevel="0" collapsed="false">
      <c r="A24" s="5" t="s">
        <v>576</v>
      </c>
      <c r="B24" s="33" t="str">
        <f aca="false">IF('Y6 Results'!B27="","",'Y6 Results'!B27)</f>
        <v/>
      </c>
      <c r="J24" s="50" t="s">
        <v>577</v>
      </c>
    </row>
    <row r="25" customFormat="false" ht="15" hidden="false" customHeight="false" outlineLevel="0" collapsed="false">
      <c r="A25" s="11" t="s">
        <v>578</v>
      </c>
      <c r="B25" s="33" t="str">
        <f aca="false">IF('Y6 Results'!C23="","",'Y6 Results'!C23)</f>
        <v/>
      </c>
      <c r="J25" s="50" t="s">
        <v>579</v>
      </c>
    </row>
    <row r="26" customFormat="false" ht="15" hidden="false" customHeight="false" outlineLevel="0" collapsed="false">
      <c r="A26" s="5" t="s">
        <v>580</v>
      </c>
      <c r="B26" s="33" t="str">
        <f aca="false">IF('Y6 Results'!C27="","",'Y6 Results'!C27)</f>
        <v/>
      </c>
      <c r="J26" s="50" t="s">
        <v>581</v>
      </c>
    </row>
    <row r="27" customFormat="false" ht="15" hidden="false" customHeight="false" outlineLevel="0" collapsed="false">
      <c r="A27" s="11" t="s">
        <v>582</v>
      </c>
      <c r="B27" s="33" t="str">
        <f aca="false">IF('Y6 Results'!B21="","",'Y6 Results'!B21)</f>
        <v/>
      </c>
    </row>
    <row r="28" customFormat="false" ht="15" hidden="false" customHeight="false" outlineLevel="0" collapsed="false">
      <c r="A28" s="11" t="s">
        <v>583</v>
      </c>
      <c r="B28" s="33" t="str">
        <f aca="false">IF('Y6 Results'!C21="","",'Y6 Results'!C21)</f>
        <v/>
      </c>
    </row>
    <row r="29" customFormat="false" ht="15" hidden="false" customHeight="false" outlineLevel="0" collapsed="false">
      <c r="A29" s="11" t="s">
        <v>584</v>
      </c>
      <c r="B29" s="12" t="str">
        <f aca="false">IF('Y6 Results'!B22="","",'Y6 Results'!B22)</f>
        <v/>
      </c>
    </row>
    <row r="30" customFormat="false" ht="15" hidden="false" customHeight="false" outlineLevel="0" collapsed="false">
      <c r="A30" s="11" t="s">
        <v>585</v>
      </c>
      <c r="B30" s="12" t="str">
        <f aca="false">IF('Y6 Results'!C22="","",'Y6 Results'!C22)</f>
        <v/>
      </c>
    </row>
    <row r="31" customFormat="false" ht="15" hidden="false" customHeight="false" outlineLevel="0" collapsed="false">
      <c r="A31" s="11" t="s">
        <v>586</v>
      </c>
      <c r="B31" s="23" t="str">
        <f aca="false">IF('Y6 Results'!B24="","",'Y6 Results'!B24)</f>
        <v/>
      </c>
    </row>
    <row r="32" customFormat="false" ht="15" hidden="false" customHeight="false" outlineLevel="0" collapsed="false">
      <c r="A32" s="11" t="s">
        <v>587</v>
      </c>
      <c r="B32" s="23" t="str">
        <f aca="false">IF('Y6 Results'!C24="","",'Y6 Results'!C24)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2026-10-07T19:57:31Z</dcterms:created>
  <dc:creator>openpyxl</dc:creator>
  <dc:description/>
  <dc:language>en-US</dc:language>
  <cp:lastModifiedBy/>
  <dcterms:modified xsi:type="dcterms:W3CDTF">2026-10-07T15:57:35Z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