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media/image1.png" ContentType="image/p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17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PESTEL" sheetId="2" state="visible" r:id="rId4"/>
    <sheet name="Five Forces" sheetId="3" state="visible" r:id="rId5"/>
    <sheet name="KSF Scorecard" sheetId="4" state="visible" r:id="rId6"/>
    <sheet name="VRIO" sheetId="5" state="visible" r:id="rId7"/>
    <sheet name="SWOT-TOWS" sheetId="6" state="visible" r:id="rId8"/>
    <sheet name="Decision Matrix" sheetId="7" state="visible" r:id="rId9"/>
    <sheet name="Expected Value" sheetId="8" state="visible" r:id="rId10"/>
    <sheet name="Business Case" sheetId="9" state="visible" r:id="rId11"/>
    <sheet name="Risk Analysis" sheetId="10" state="visible" r:id="rId12"/>
    <sheet name="Balanced Scorecard" sheetId="11" state="visible" r:id="rId13"/>
    <sheet name="Strategy Map" sheetId="12" state="visible" r:id="rId14"/>
    <sheet name="GLO-BUS CIR" sheetId="13" state="visible" r:id="rId15"/>
    <sheet name="GLO-BUS Planner" sheetId="14" state="visible" r:id="rId16"/>
    <sheet name="Y6 Results" sheetId="15" state="visible" r:id="rId17"/>
    <sheet name="Y7 Results" sheetId="16" state="visible" r:id="rId18"/>
    <sheet name="Y8 Results" sheetId="17" state="visible" r:id="rId19"/>
    <sheet name="Tracking" sheetId="18" state="visible" r:id="rId20"/>
  </sheets>
  <definedNames>
    <definedName function="false" hidden="false" name="CreditScale" vbProcedure="false">Tracking!$L$6:$L$26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Example values from the StratOS Business Case template (illustrative).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sharedStrings.xml><?xml version="1.0" encoding="utf-8"?>
<sst xmlns="http://schemas.openxmlformats.org/spreadsheetml/2006/main" count="1047" uniqueCount="643">
  <si>
    <t xml:space="preserve">StratOS Workbook</t>
  </si>
  <si>
    <t xml:space="preserve">Strategy analysis worksheets</t>
  </si>
  <si>
    <t xml:space="preserve">Template with one example row per sheet. Replace the examples with your own work.</t>
  </si>
  <si>
    <t xml:space="preserve">How to use</t>
  </si>
  <si>
    <t xml:space="preserve">Each sheet is one StratOS framework. Type only in the cream cells (blue text). Grey cells are formulas: they score, rank and flag automatically. Every finding should name its evidence in the Source column, the same rule StratOS follows.</t>
  </si>
  <si>
    <t xml:space="preserve">Colour key</t>
  </si>
  <si>
    <t xml:space="preserve">Blue on cream = input · black on grey = formula · green / amber / red = status.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</si>
  <si>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</si>
  <si>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</si>
  <si>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</si>
  <si>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</si>
  <si>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KSF Scorecard</t>
  </si>
  <si>
    <t xml:space="preserve">Weighted KSFs, every competitor scored, totals and rank; weights must sum to 100%.</t>
  </si>
  <si>
    <t xml:space="preserve">VRIO</t>
  </si>
  <si>
    <t xml:space="preserve">Yes / No / ? for each test; the verdict and the KSF reality check are calculated.</t>
  </si>
  <si>
    <t xml:space="preserve">SWOT-TOWS</t>
  </si>
  <si>
    <t xml:space="preserve">Four traced lists and the TOWS options that pair them.</t>
  </si>
  <si>
    <t xml:space="preserve">Decision Matrix</t>
  </si>
  <si>
    <t xml:space="preserve">Criteria weights × option scores, with a weighted total and rank; do nothing included.</t>
  </si>
  <si>
    <t xml:space="preserve">Expected Value</t>
  </si>
  <si>
    <t xml:space="preserve">Scenario probabilities × NPVs, expected NPV, worst case, maximin, value of information, and a Bayes' rule pilot check (EVSI).</t>
  </si>
  <si>
    <t xml:space="preserve">Business Case</t>
  </si>
  <si>
    <t xml:space="preserve">Driver-based cash flows, NPV, IRR and cumulative cash.</t>
  </si>
  <si>
    <t xml:space="preserve">Risk Analysis</t>
  </si>
  <si>
    <t xml:space="preserve">Exhibit Q-3: a tornado chart (which driver moves NPV most) and a 1,000-run Monte Carlo simulation (median, P10-P90, chance NPV is below zero) over your low / likely / high ranges.</t>
  </si>
  <si>
    <t xml:space="preserve">Balanced Scorecard</t>
  </si>
  <si>
    <t xml:space="preserve">Objectives and measures in four perspectives, leading vs lagging, status vs target, balance check.</t>
  </si>
  <si>
    <t xml:space="preserve">Strategy Map</t>
  </si>
  <si>
    <t xml:space="preserve">Objectives by perspective and their cause-and-effect links; picture included when built from a ledger.</t>
  </si>
  <si>
    <t xml:space="preserve">GLO-BUS CIR</t>
  </si>
  <si>
    <t xml:space="preserve">Paste the CIR figures; each company is placed in a strategic group automatically.</t>
  </si>
  <si>
    <t xml:space="preserve">Y# Results</t>
  </si>
  <si>
    <t xml:space="preserve">One tab per GLO-BUS year: the five scored KPIs against investor expectations, company and product results, market share by region, the decisions entered and the CIR.</t>
  </si>
  <si>
    <t xml:space="preserve">Tracking</t>
  </si>
  <si>
    <t xml:space="preserve">Trends across the years, pulled from the Year tabs, with charts: EPS, ROE, stock price, image and credit rating, market share, cost per unit, revenue and profit, margins.</t>
  </si>
  <si>
    <t xml:space="preserve">GLO-BUS Planner</t>
  </si>
  <si>
    <t xml:space="preserve">Plan every decision for each year in one place, in screen order; flags changes bigger than your threshold and years where price and advertising are both cut. You enter the decisions in GLO-BUS yourself; the capture skill can then check them against this plan.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</si>
  <si>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</si>
  <si>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</si>
  <si>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</si>
  <si>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PESTEL Analysis</t>
  </si>
  <si>
    <t xml:space="preserve">Macro findings, each tied to a P&amp;L line. Priority = impact × certainty (1-25).</t>
  </si>
  <si>
    <t xml:space="preserve">Blue text on cream = your inputs.  Black on grey = formulas (do not type over them).  Delete the example row before you start.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</si>
  <si>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</si>
  <si>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</si>
  <si>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</si>
  <si>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</si>
  <si>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</si>
  <si>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</si>
  <si>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</si>
  <si>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P&amp;L line</t>
  </si>
  <si>
    <t xml:space="preserve">Source / evidence</t>
  </si>
  <si>
    <t xml:space="preserve">P1</t>
  </si>
  <si>
    <t xml:space="preserve">Economic</t>
  </si>
  <si>
    <t xml:space="preserve">Battery cell prices keep falling as LFP capacity grows</t>
  </si>
  <si>
    <t xml:space="preserve">+</t>
  </si>
  <si>
    <t xml:space="preserve">cogs.inputs</t>
  </si>
  <si>
    <t xml:space="preserve">Example: industry price survey, 2026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</si>
  <si>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</si>
  <si>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</si>
  <si>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</si>
  <si>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</si>
  <si>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</si>
  <si>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</si>
  <si>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</si>
  <si>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</si>
  <si>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</si>
  <si>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</si>
  <si>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</si>
  <si>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</si>
  <si>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</si>
  <si>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</si>
  <si>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</si>
  <si>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</si>
  <si>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Example: top three cell makers hold most global capacity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</si>
  <si>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</si>
  <si>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</si>
  <si>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</si>
  <si>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</si>
  <si>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</si>
  <si>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</si>
  <si>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</si>
  <si>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</si>
  <si>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</si>
  <si>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</si>
  <si>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</si>
  <si>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</si>
  <si>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</si>
  <si>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</si>
  <si>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</si>
  <si>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</si>
  <si>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</si>
  <si>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</si>
  <si>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</si>
  <si>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</si>
  <si>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</si>
  <si>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</si>
  <si>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</si>
  <si>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</si>
  <si>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</si>
  <si>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</si>
  <si>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</si>
  <si>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</si>
  <si>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</si>
  <si>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</si>
  <si>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BYD</t>
  </si>
  <si>
    <t xml:space="preserve">Stellantis</t>
  </si>
  <si>
    <t xml:space="preserve">Xiaomi</t>
  </si>
  <si>
    <t xml:space="preserve">Competitor 4</t>
  </si>
  <si>
    <t xml:space="preserve">Competitor 5</t>
  </si>
  <si>
    <t xml:space="preserve">Competitor 6</t>
  </si>
  <si>
    <t xml:space="preserve">K1</t>
  </si>
  <si>
    <t xml:space="preserve">Battery cost per kWh</t>
  </si>
  <si>
    <t xml:space="preserve">suppliers, D2</t>
  </si>
  <si>
    <t xml:space="preserve">Weight check (must be 100%)</t>
  </si>
  <si>
    <t xml:space="preserve">Weighted score (out of 5)</t>
  </si>
  <si>
    <t xml:space="preserve">Rank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</si>
  <si>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</si>
  <si>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</si>
  <si>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</si>
  <si>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Type</t>
  </si>
  <si>
    <t xml:space="preserve">Valuable?</t>
  </si>
  <si>
    <t xml:space="preserve">Rare?</t>
  </si>
  <si>
    <t xml:space="preserve">Inimitable?</t>
  </si>
  <si>
    <t xml:space="preserve">Organized?</t>
  </si>
  <si>
    <t xml:space="preserve">Verdict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</si>
  <si>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</si>
  <si>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</si>
  <si>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</si>
  <si>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</si>
  <si>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Blade-cell battery know-how</t>
  </si>
  <si>
    <t xml:space="preserve">capability</t>
  </si>
  <si>
    <t xml:space="preserve">Yes</t>
  </si>
  <si>
    <t xml:space="preserve">Example: patents and cost lead in filings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</si>
  <si>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</si>
  <si>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</si>
  <si>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</si>
  <si>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</si>
  <si>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</si>
  <si>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</si>
  <si>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battery cost in the peer set</t>
  </si>
  <si>
    <t xml:space="preserve">VRIO: C1</t>
  </si>
  <si>
    <t xml:space="preserve">W1</t>
  </si>
  <si>
    <t xml:space="preserve">No dealer network in Europe</t>
  </si>
  <si>
    <t xml:space="preserve">Value chain: A6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</si>
  <si>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</si>
  <si>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</si>
  <si>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</si>
  <si>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</si>
  <si>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</si>
  <si>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</si>
  <si>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</si>
  <si>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</si>
  <si>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</si>
  <si>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</si>
  <si>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</si>
  <si>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</si>
  <si>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</si>
  <si>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EU fleet electrification mandates</t>
  </si>
  <si>
    <t xml:space="preserve">PESTEL: P7</t>
  </si>
  <si>
    <t xml:space="preserve">T1</t>
  </si>
  <si>
    <t xml:space="preserve">EU tariffs on imported EVs</t>
  </si>
  <si>
    <t xml:space="preserve">PESTEL: P2</t>
  </si>
  <si>
    <t xml:space="preserve">O2</t>
  </si>
  <si>
    <t xml:space="preserve">T2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</si>
  <si>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</si>
  <si>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</si>
  <si>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</si>
  <si>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</si>
  <si>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</si>
  <si>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</si>
  <si>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</si>
  <si>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</si>
  <si>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Cell</t>
  </si>
  <si>
    <t xml:space="preserve">TOWS strategic option</t>
  </si>
  <si>
    <t xml:space="preserve">Pairs (e.g. S1 × O1)</t>
  </si>
  <si>
    <t xml:space="preserve">SO</t>
  </si>
  <si>
    <t xml:space="preserve">Use the battery cost lead to price fleet vans below diesel TCO</t>
  </si>
  <si>
    <t xml:space="preserve">S1 × O1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</si>
  <si>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</si>
  <si>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</si>
  <si>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</si>
  <si>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</si>
  <si>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A. Build in-house</t>
  </si>
  <si>
    <t xml:space="preserve">B. Partner for cells</t>
  </si>
  <si>
    <t xml:space="preserve">C. Reposition</t>
  </si>
  <si>
    <t xml:space="preserve">0. Do nothing</t>
  </si>
  <si>
    <t xml:space="preserve">Option 5</t>
  </si>
  <si>
    <t xml:space="preserve">Fits the 2029 profit goal</t>
  </si>
  <si>
    <t xml:space="preserve">Exhibit B, goal 1</t>
  </si>
  <si>
    <t xml:space="preserve">The matrix ranks; it does not choose. The recommendation is yours.</t>
  </si>
  <si>
    <t xml:space="preserve">Probabilities as percentages that sum to 100% per option; NPV in $M. Follows the course handout 'Choosing Among Strategic Alternatives'.</t>
  </si>
  <si>
    <t xml:space="preserve">Option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</si>
  <si>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</si>
  <si>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</si>
  <si>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</si>
  <si>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</si>
  <si>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</si>
  <si>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</si>
  <si>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</si>
  <si>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</si>
  <si>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</si>
  <si>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</si>
  <si>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A. Move upmarket</t>
  </si>
  <si>
    <t xml:space="preserve">B. Cut costs</t>
  </si>
  <si>
    <t xml:space="preserve">C. Do nothing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</si>
  <si>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</si>
  <si>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</si>
  <si>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</si>
  <si>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</si>
  <si>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</si>
  <si>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</si>
  <si>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</si>
  <si>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</si>
  <si>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</si>
  <si>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</si>
  <si>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</si>
  <si>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</si>
  <si>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</si>
  <si>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</si>
  <si>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</si>
  <si>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</si>
  <si>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</si>
  <si>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</si>
  <si>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</si>
  <si>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</si>
  <si>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</si>
  <si>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</si>
  <si>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</si>
  <si>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</si>
  <si>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</si>
  <si>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</si>
  <si>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</si>
  <si>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</si>
  <si>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One option. Year 0 is the investment year. Working capital is released in the final year. Money in $.</t>
  </si>
  <si>
    <t xml:space="preserve">Assumptions</t>
  </si>
  <si>
    <t xml:space="preserve">Discount rate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</si>
  <si>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</si>
  <si>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</si>
  <si>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</si>
  <si>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</si>
  <si>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</si>
  <si>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</si>
  <si>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</si>
  <si>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</si>
  <si>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</si>
  <si>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</si>
  <si>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Price per unit</t>
  </si>
  <si>
    <t xml:space="preserve">Variable cost per unit</t>
  </si>
  <si>
    <t xml:space="preserve">Fixed costs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</si>
  <si>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</si>
  <si>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</si>
  <si>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</si>
  <si>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</si>
  <si>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</si>
  <si>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</si>
  <si>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</si>
  <si>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</si>
  <si>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</si>
  <si>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</si>
  <si>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</si>
  <si>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</si>
  <si>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</si>
  <si>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</si>
  <si>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</si>
  <si>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Driver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</si>
  <si>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</si>
  <si>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</si>
  <si>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</si>
  <si>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</si>
  <si>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</si>
  <si>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</si>
  <si>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</si>
  <si>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</si>
  <si>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</si>
  <si>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</si>
  <si>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</si>
  <si>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</si>
  <si>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</si>
  <si>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</si>
  <si>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</si>
  <si>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</si>
  <si>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</si>
  <si>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</si>
  <si>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</si>
  <si>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</si>
  <si>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</si>
  <si>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Plan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</si>
  <si>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</si>
  <si>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</si>
  <si>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</si>
  <si>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</si>
  <si>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</si>
  <si>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</si>
  <si>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</si>
  <si>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</si>
  <si>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</si>
  <si>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</si>
  <si>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</si>
  <si>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</si>
  <si>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</si>
  <si>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</si>
  <si>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</si>
  <si>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</si>
  <si>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</si>
  <si>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</si>
  <si>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</si>
  <si>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</si>
  <si>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</si>
  <si>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</si>
  <si>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</si>
  <si>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</si>
  <si>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</si>
  <si>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</si>
  <si>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</si>
  <si>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</si>
  <si>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</si>
  <si>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</si>
  <si>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</si>
  <si>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</si>
  <si>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</si>
  <si>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</si>
  <si>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</si>
  <si>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</si>
  <si>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</si>
  <si>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</si>
  <si>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</si>
  <si>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</si>
  <si>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</si>
  <si>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</si>
  <si>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</si>
  <si>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</si>
  <si>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</si>
  <si>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</si>
  <si>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Target</t>
  </si>
  <si>
    <t xml:space="preserve">Actual</t>
  </si>
  <si>
    <t xml:space="preserve">% of target</t>
  </si>
  <si>
    <t xml:space="preserve">Status</t>
  </si>
  <si>
    <t xml:space="preserve">Owner</t>
  </si>
  <si>
    <t xml:space="preserve">Initiative</t>
  </si>
  <si>
    <t xml:space="preserve">Traces to</t>
  </si>
  <si>
    <t xml:space="preserve">Financial</t>
  </si>
  <si>
    <t xml:space="preserve">Grow operating profit to full potential</t>
  </si>
  <si>
    <t xml:space="preserve">Contribution per car ($)</t>
  </si>
  <si>
    <t xml:space="preserve">Lagging</t>
  </si>
  <si>
    <t xml:space="preserve">Higher</t>
  </si>
  <si>
    <t xml:space="preserve">CFO</t>
  </si>
  <si>
    <t xml:space="preserve">I2 Close variable-cost gap</t>
  </si>
  <si>
    <t xml:space="preserve">Unit Economics</t>
  </si>
  <si>
    <t xml:space="preserve">Internal process</t>
  </si>
  <si>
    <t xml:space="preserve">Secure a second qualified cell supplier</t>
  </si>
  <si>
    <t xml:space="preserve">Supplier qualification pass rate</t>
  </si>
  <si>
    <t xml:space="preserve">Leading</t>
  </si>
  <si>
    <t xml:space="preserve">VP Quality</t>
  </si>
  <si>
    <t xml:space="preserve">I1 Second cell supplier</t>
  </si>
  <si>
    <t xml:space="preserve">Growth Barriers: supply</t>
  </si>
  <si>
    <t xml:space="preserve">Balance check</t>
  </si>
  <si>
    <t xml:space="preserve">Customer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</si>
  <si>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</si>
  <si>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</si>
  <si>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</si>
  <si>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</si>
  <si>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</si>
  <si>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</si>
  <si>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</si>
  <si>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</si>
  <si>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C1</t>
  </si>
  <si>
    <t xml:space="preserve">Win the beachhead: urban fleets</t>
  </si>
  <si>
    <t xml:space="preserve">I1</t>
  </si>
  <si>
    <t xml:space="preserve">L1</t>
  </si>
  <si>
    <t xml:space="preserve">Supplier-quality engineering capability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</si>
  <si>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</si>
  <si>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</si>
  <si>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Company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</si>
  <si>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</si>
  <si>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</si>
  <si>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</si>
  <si>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</si>
  <si>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</si>
  <si>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</si>
  <si>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A</t>
  </si>
  <si>
    <t xml:space="preserve">Camera</t>
  </si>
  <si>
    <t xml:space="preserve">B</t>
  </si>
  <si>
    <t xml:space="preserve">C</t>
  </si>
  <si>
    <t xml:space="preserve">D</t>
  </si>
  <si>
    <t xml:space="preserve">E</t>
  </si>
  <si>
    <t xml:space="preserve">Industry averages (share-weighted)</t>
  </si>
  <si>
    <t xml:space="preserve">Price</t>
  </si>
  <si>
    <t xml:space="preserve">P/Q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</si>
  <si>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</si>
  <si>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</si>
  <si>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</si>
  <si>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</si>
  <si>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</si>
  <si>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</si>
  <si>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Decision</t>
  </si>
  <si>
    <t xml:space="preserve">Unit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</si>
  <si>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</si>
  <si>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</si>
  <si>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</si>
  <si>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</si>
  <si>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</si>
  <si>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</si>
  <si>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</si>
  <si>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</si>
  <si>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</si>
  <si>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</si>
  <si>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</si>
  <si>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</si>
  <si>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</si>
  <si>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</si>
  <si>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</si>
  <si>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</si>
  <si>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</si>
  <si>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</si>
  <si>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</si>
  <si>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</si>
  <si>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</si>
  <si>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</si>
  <si>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</si>
  <si>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</si>
  <si>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</si>
  <si>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</si>
  <si>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</si>
  <si>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</si>
  <si>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</si>
  <si>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</si>
  <si>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</si>
  <si>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</si>
  <si>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</si>
  <si>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</si>
  <si>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</si>
  <si>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</si>
  <si>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</si>
  <si>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</si>
  <si>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</si>
  <si>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</si>
  <si>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</si>
  <si>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</si>
  <si>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</si>
  <si>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</si>
  <si>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</si>
  <si>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</si>
  <si>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</si>
  <si>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</si>
  <si>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</si>
  <si>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</si>
  <si>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</si>
  <si>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</si>
  <si>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</si>
  <si>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</si>
  <si>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</si>
  <si>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</si>
  <si>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</si>
  <si>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</si>
  <si>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</si>
  <si>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</si>
  <si>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</si>
  <si>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</si>
  <si>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</si>
  <si>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</si>
  <si>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</si>
  <si>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</si>
  <si>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</si>
  <si>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</si>
  <si>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</si>
  <si>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</si>
  <si>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</si>
  <si>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</si>
  <si>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</si>
  <si>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</si>
  <si>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</si>
  <si>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</si>
  <si>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</si>
  <si>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</si>
  <si>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</si>
  <si>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</si>
  <si>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</si>
  <si>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</si>
  <si>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</si>
  <si>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</si>
  <si>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</si>
  <si>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</si>
  <si>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</si>
  <si>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</si>
  <si>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</si>
  <si>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</si>
  <si>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</si>
  <si>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</si>
  <si>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</si>
  <si>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</si>
  <si>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</si>
  <si>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</si>
  <si>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</si>
  <si>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</si>
  <si>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</si>
  <si>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</si>
  <si>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</si>
  <si>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</si>
  <si>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</si>
  <si>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</si>
  <si>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</si>
  <si>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</si>
  <si>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</si>
  <si>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</si>
  <si>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</si>
  <si>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</si>
  <si>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</si>
  <si>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</si>
  <si>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</si>
  <si>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</si>
  <si>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</si>
  <si>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</si>
  <si>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</si>
  <si>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</si>
  <si>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</si>
  <si>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</si>
  <si>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</si>
  <si>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</si>
  <si>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</si>
  <si>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</si>
  <si>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</si>
  <si>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</si>
  <si>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</si>
  <si>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</si>
  <si>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</si>
  <si>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</si>
  <si>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</si>
  <si>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</si>
  <si>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</si>
  <si>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</si>
  <si>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</si>
  <si>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</si>
  <si>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</si>
  <si>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</si>
  <si>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</si>
  <si>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</si>
  <si>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</si>
  <si>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</si>
  <si>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</si>
  <si>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</si>
  <si>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</si>
  <si>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</si>
  <si>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</si>
  <si>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</si>
  <si>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</si>
  <si>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</si>
  <si>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</si>
  <si>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</si>
  <si>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</si>
  <si>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</si>
  <si>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</si>
  <si>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</si>
  <si>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</si>
  <si>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</si>
  <si>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</si>
  <si>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</si>
  <si>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</si>
  <si>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</si>
  <si>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</si>
  <si>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</si>
  <si>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</si>
  <si>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</si>
  <si>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</si>
  <si>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Year 6 results</t>
  </si>
  <si>
    <t xml:space="preserve">Example values (illustrative). Figures in the units shown; edit the cream cells.</t>
  </si>
  <si>
    <t xml:space="preserve">Scored KPI</t>
  </si>
  <si>
    <t xml:space="preserve">Investor expectation</t>
  </si>
  <si>
    <t xml:space="preserve">Gap</t>
  </si>
  <si>
    <t xml:space="preserve">Met?</t>
  </si>
  <si>
    <t xml:space="preserve">Earnings per share (EPS)</t>
  </si>
  <si>
    <t xml:space="preserve">Return on equity (ROE)</t>
  </si>
  <si>
    <t xml:space="preserve">Stock price</t>
  </si>
  <si>
    <t xml:space="preserve">Credit rating</t>
  </si>
  <si>
    <t xml:space="preserve">B+</t>
  </si>
  <si>
    <t xml:space="preserve">BB</t>
  </si>
  <si>
    <t xml:space="preserve">Image rating</t>
  </si>
  <si>
    <t xml:space="preserve">Company result</t>
  </si>
  <si>
    <t xml:space="preserve">Value</t>
  </si>
  <si>
    <t xml:space="preserve">Overall score (points)</t>
  </si>
  <si>
    <t xml:space="preserve">Rank in the industry (rank)</t>
  </si>
  <si>
    <t xml:space="preserve">Net revenues ($000s)</t>
  </si>
  <si>
    <t xml:space="preserve">Net profit ($000s)</t>
  </si>
  <si>
    <t xml:space="preserve">Ending cash ($000s)</t>
  </si>
  <si>
    <t xml:space="preserve">Product result</t>
  </si>
  <si>
    <t xml:space="preserve">Cameras</t>
  </si>
  <si>
    <t xml:space="preserve">Drones</t>
  </si>
  <si>
    <t xml:space="preserve">Units sold (000s)</t>
  </si>
  <si>
    <t xml:space="preserve">Average price ($)</t>
  </si>
  <si>
    <t xml:space="preserve">P/Q rating (stars)</t>
  </si>
  <si>
    <t xml:space="preserve">Cost per unit ($)</t>
  </si>
  <si>
    <t xml:space="preserve">Operating margin (%)</t>
  </si>
  <si>
    <t xml:space="preserve">Industry average price ($)</t>
  </si>
  <si>
    <t xml:space="preserve">Industry average P/Q (stars)</t>
  </si>
  <si>
    <t xml:space="preserve">Industry average cost per unit ($)</t>
  </si>
  <si>
    <t xml:space="preserve">Price vs industry average</t>
  </si>
  <si>
    <t xml:space="preserve">Cost per unit vs industry average</t>
  </si>
  <si>
    <t xml:space="preserve">Market share (%)</t>
  </si>
  <si>
    <t xml:space="preserve">North America</t>
  </si>
  <si>
    <t xml:space="preserve">Europe-Africa</t>
  </si>
  <si>
    <t xml:space="preserve">Asia-Pacific</t>
  </si>
  <si>
    <t xml:space="preserve">Latin America</t>
  </si>
  <si>
    <t xml:space="preserve">Average across regions</t>
  </si>
  <si>
    <t xml:space="preserve">GLO-BUS Year 7 results</t>
  </si>
  <si>
    <t xml:space="preserve">BB-</t>
  </si>
  <si>
    <t xml:space="preserve">GLO-BUS Year 8 results</t>
  </si>
  <si>
    <t xml:space="preserve">GLO-BUS trends</t>
  </si>
  <si>
    <t xml:space="preserve">Pulled by formula from the Year tabs. Rebuild the workbook after each round to add the new year. Charts update when a Year tab changes.</t>
  </si>
  <si>
    <t xml:space="preserve">EPS</t>
  </si>
  <si>
    <t xml:space="preserve">AAA</t>
  </si>
  <si>
    <t xml:space="preserve">EPS expectation</t>
  </si>
  <si>
    <t xml:space="preserve">AA+</t>
  </si>
  <si>
    <t xml:space="preserve">ROE</t>
  </si>
  <si>
    <t xml:space="preserve">AA</t>
  </si>
  <si>
    <t xml:space="preserve">ROE expectation</t>
  </si>
  <si>
    <t xml:space="preserve">AA-</t>
  </si>
  <si>
    <t xml:space="preserve">A+</t>
  </si>
  <si>
    <t xml:space="preserve">Stock price expectation</t>
  </si>
  <si>
    <t xml:space="preserve">A-</t>
  </si>
  <si>
    <t xml:space="preserve">Credit rating score (AAA = 21)</t>
  </si>
  <si>
    <t xml:space="preserve">BBB+</t>
  </si>
  <si>
    <t xml:space="preserve">BBB</t>
  </si>
  <si>
    <t xml:space="preserve">Image rating expectation</t>
  </si>
  <si>
    <t xml:space="preserve">BBB-</t>
  </si>
  <si>
    <t xml:space="preserve">Overall score</t>
  </si>
  <si>
    <t xml:space="preserve">BB+</t>
  </si>
  <si>
    <t xml:space="preserve">Cameras: market share (avg %)</t>
  </si>
  <si>
    <t xml:space="preserve">B-</t>
  </si>
  <si>
    <t xml:space="preserve">Drones: market share (avg %)</t>
  </si>
  <si>
    <t xml:space="preserve">CCC+</t>
  </si>
  <si>
    <t xml:space="preserve">Cameras: cost per unit ($)</t>
  </si>
  <si>
    <t xml:space="preserve">CCC</t>
  </si>
  <si>
    <t xml:space="preserve">Cameras: industry cost per unit ($)</t>
  </si>
  <si>
    <t xml:space="preserve">CCC-</t>
  </si>
  <si>
    <t xml:space="preserve">Drones: cost per unit ($)</t>
  </si>
  <si>
    <t xml:space="preserve">CC</t>
  </si>
  <si>
    <t xml:space="preserve">Drones: industry cost per unit ($)</t>
  </si>
  <si>
    <t xml:space="preserve">Cameras: price ($)</t>
  </si>
  <si>
    <t xml:space="preserve">Drones: price ($)</t>
  </si>
  <si>
    <t xml:space="preserve">Cameras: P/Q</t>
  </si>
  <si>
    <t xml:space="preserve">Drones: P/Q</t>
  </si>
  <si>
    <t xml:space="preserve">Cameras: operating margin</t>
  </si>
  <si>
    <t xml:space="preserve">Drones: operating margin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</si>
</sst>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"/>
    <numFmt numFmtId="166" formatCode="0.0"/>
    <numFmt numFmtId="167" formatCode="0%"/>
    <numFmt numFmtId="168" formatCode="0.00"/>
    <numFmt numFmtId="169" formatCode="0.0%"/>
    <numFmt numFmtId="170" formatCode="#,##0"/>
    <numFmt numFmtId="171" formatCode="\$#,##0"/>
    <numFmt numFmtId="172" formatCode="\$#,##0;&quot;($&quot;#,##0\);\-"/>
    <numFmt numFmtId="173" formatCode="\$#,##0,,\M"/>
    <numFmt numFmtId="174" formatCode="General"/>
    <numFmt numFmtId="175" formatCode="#,##0.00"/>
    <numFmt numFmtId="176" formatCode="\$#,##0.00"/>
    <numFmt numFmtId="177" formatCode="\$0.00"/>
    <numFmt numFmtId="178" formatCode="\+0;\-0;0"/>
    <numFmt numFmtId="179" formatCode="\+0.0%;\-0.0%;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BBBBB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9DB"/>
        <bgColor rgb="FFFFF0C2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888888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8F0DF"/>
      <rgbColor rgb="FFFFF0C2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D3557"/>
      <rgbColor rgb="FF2D936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Analysis'!$E$32:$E$37</c:f>
              <c:numCache>
                <c:formatCode>\$#,##0;"($"#,##0\);\-</c:formatCode>
                <c:ptCount val="6"/>
                <c:pt idx="0">
                  <c:v>-834245036.019646</c:v>
                </c:pt>
                <c:pt idx="1">
                  <c:v>-747122088.978025</c:v>
                </c:pt>
                <c:pt idx="2">
                  <c:v>234520205.152405</c:v>
                </c:pt>
                <c:pt idx="3">
                  <c:v>113815809.898728</c:v>
                </c:pt>
                <c:pt idx="4">
                  <c:v>141203349.272976</c:v>
                </c:pt>
                <c:pt idx="5">
                  <c:v>53904987.8609884</c:v>
                </c:pt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Analysis'!$F$32:$F$37</c:f>
              <c:numCache>
                <c:formatCode>\$#,##0;"($"#,##0\);\-</c:formatCode>
                <c:ptCount val="6"/>
                <c:pt idx="0">
                  <c:v>417122518.009823</c:v>
                </c:pt>
                <c:pt idx="1">
                  <c:v>373561044.489013</c:v>
                </c:pt>
                <c:pt idx="2">
                  <c:v>-469040410.30481</c:v>
                </c:pt>
                <c:pt idx="3">
                  <c:v>-569079049.493639</c:v>
                </c:pt>
                <c:pt idx="4">
                  <c:v>-188918183.002911</c:v>
                </c:pt>
                <c:pt idx="5">
                  <c:v>-80857481.791482</c:v>
                </c:pt>
              </c:numCache>
            </c:numRef>
          </c:val>
        </c:ser>
        <c:gapWidth val="150"/>
        <c:overlap val="100"/>
        <c:axId val="84279483"/>
        <c:axId val="65356701"/>
      </c:barChart>
      <c:catAx>
        <c:axId val="8427948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56701"/>
        <c:crosses val="autoZero"/>
        <c:auto val="1"/>
        <c:lblAlgn val="ctr"/>
        <c:lblOffset val="100"/>
        <c:noMultiLvlLbl val="0"/>
      </c:catAx>
      <c:valAx>
        <c:axId val="65356701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794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-$1,545M</c:v>
                </c:pt>
                <c:pt idx="1">
                  <c:v>-$1,442M</c:v>
                </c:pt>
                <c:pt idx="2">
                  <c:v>-$1,339M</c:v>
                </c:pt>
                <c:pt idx="3">
                  <c:v>-$1,236M</c:v>
                </c:pt>
                <c:pt idx="4">
                  <c:v>-$1,133M</c:v>
                </c:pt>
                <c:pt idx="5">
                  <c:v>-$1,030M</c:v>
                </c:pt>
                <c:pt idx="6">
                  <c:v>-$927M</c:v>
                </c:pt>
                <c:pt idx="7">
                  <c:v>-$824M</c:v>
                </c:pt>
                <c:pt idx="8">
                  <c:v>-$721M</c:v>
                </c:pt>
                <c:pt idx="9">
                  <c:v>-$618M</c:v>
                </c:pt>
                <c:pt idx="10">
                  <c:v>-$515M</c:v>
                </c:pt>
                <c:pt idx="11">
                  <c:v>-$412M</c:v>
                </c:pt>
                <c:pt idx="12">
                  <c:v>-$309M</c:v>
                </c:pt>
                <c:pt idx="13">
                  <c:v>-$206M</c:v>
                </c:pt>
                <c:pt idx="14">
                  <c:v>-$103M</c:v>
                </c:pt>
                <c:pt idx="15">
                  <c:v>$0M</c:v>
                </c:pt>
                <c:pt idx="16">
                  <c:v>$103M</c:v>
                </c:pt>
                <c:pt idx="17">
                  <c:v>$206M</c:v>
                </c:pt>
                <c:pt idx="18">
                  <c:v>$309M</c:v>
                </c:pt>
                <c:pt idx="19">
                  <c:v>$412M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3</c:v>
                </c:pt>
                <c:pt idx="1">
                  <c:v>10</c:v>
                </c:pt>
                <c:pt idx="2">
                  <c:v>4</c:v>
                </c:pt>
                <c:pt idx="3">
                  <c:v>24</c:v>
                </c:pt>
                <c:pt idx="4">
                  <c:v>20</c:v>
                </c:pt>
                <c:pt idx="5">
                  <c:v>41</c:v>
                </c:pt>
                <c:pt idx="6">
                  <c:v>58</c:v>
                </c:pt>
                <c:pt idx="7">
                  <c:v>71</c:v>
                </c:pt>
                <c:pt idx="8">
                  <c:v>85</c:v>
                </c:pt>
                <c:pt idx="9">
                  <c:v>94</c:v>
                </c:pt>
                <c:pt idx="10">
                  <c:v>104</c:v>
                </c:pt>
                <c:pt idx="11">
                  <c:v>75</c:v>
                </c:pt>
                <c:pt idx="12">
                  <c:v>105</c:v>
                </c:pt>
                <c:pt idx="13">
                  <c:v>100</c:v>
                </c:pt>
                <c:pt idx="14">
                  <c:v>91</c:v>
                </c:pt>
                <c:pt idx="15">
                  <c:v>46</c:v>
                </c:pt>
                <c:pt idx="16">
                  <c:v>30</c:v>
                </c:pt>
                <c:pt idx="17">
                  <c:v>19</c:v>
                </c:pt>
                <c:pt idx="18">
                  <c:v>14</c:v>
                </c:pt>
                <c:pt idx="19">
                  <c:v>6</c:v>
                </c:pt>
              </c:numCache>
            </c:numRef>
          </c:val>
        </c:ser>
        <c:gapWidth val="10"/>
        <c:overlap val="0"/>
        <c:axId val="260887"/>
        <c:axId val="10279302"/>
      </c:barChart>
      <c:catAx>
        <c:axId val="260887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79302"/>
        <c:crosses val="autoZero"/>
        <c:auto val="1"/>
        <c:lblAlgn val="ctr"/>
        <c:lblOffset val="100"/>
        <c:noMultiLvlLbl val="0"/>
      </c:catAx>
      <c:valAx>
        <c:axId val="10279302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Tracking!A6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Tracking!$B$6:$D$6</c:f>
              <c:numCache>
                <c:formatCode>\$0.00</c:formatCode>
                <c:ptCount val="3"/>
                <c:pt idx="0">
                  <c:v>1.85</c:v>
                </c:pt>
                <c:pt idx="1">
                  <c:v>2.1</c:v>
                </c:pt>
                <c:pt idx="2">
                  <c:v>2.32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Tracking!A7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Tracking!$B$7:$D$7</c:f>
              <c:numCache>
                <c:formatCode>\$0.00</c:formatCode>
                <c:ptCount val="3"/>
                <c:pt idx="0">
                  <c:v>2</c:v>
                </c:pt>
                <c:pt idx="1">
                  <c:v>2.15</c:v>
                </c:pt>
                <c:pt idx="2">
                  <c:v>2.3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583666"/>
        <c:axId val="37362961"/>
      </c:lineChart>
      <c:catAx>
        <c:axId val="675836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62961"/>
        <c:crosses val="autoZero"/>
        <c:auto val="1"/>
        <c:lblAlgn val="ctr"/>
        <c:lblOffset val="100"/>
        <c:noMultiLvlLbl val="0"/>
      </c:catAx>
      <c:valAx>
        <c:axId val="37362961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836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Tracking!$B$8:$D$8</c:f>
              <c:numCache>
                <c:formatCode>0.0%</c:formatCode>
                <c:ptCount val="3"/>
                <c:pt idx="0">
                  <c:v>0.142</c:v>
                </c:pt>
                <c:pt idx="1">
                  <c:v>0.155</c:v>
                </c:pt>
                <c:pt idx="2">
                  <c:v>0.168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Tracking!A9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Tracking!$B$9:$D$9</c:f>
              <c:numCache>
                <c:formatCode>0.0%</c:formatCode>
                <c:ptCount val="3"/>
                <c:pt idx="0">
                  <c:v>0.15</c:v>
                </c:pt>
                <c:pt idx="1">
                  <c:v>0.155</c:v>
                </c:pt>
                <c:pt idx="2">
                  <c:v>0.16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377153"/>
        <c:axId val="34735172"/>
      </c:lineChart>
      <c:catAx>
        <c:axId val="153771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35172"/>
        <c:crosses val="autoZero"/>
        <c:auto val="1"/>
        <c:lblAlgn val="ctr"/>
        <c:lblOffset val="100"/>
        <c:noMultiLvlLbl val="0"/>
      </c:catAx>
      <c:valAx>
        <c:axId val="3473517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771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Tracking!A10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Tracking!$B$10:$D$10</c:f>
              <c:numCache>
                <c:formatCode>\$0.00</c:formatCode>
                <c:ptCount val="3"/>
                <c:pt idx="0">
                  <c:v>22.4</c:v>
                </c:pt>
                <c:pt idx="1">
                  <c:v>26.1</c:v>
                </c:pt>
                <c:pt idx="2">
                  <c:v>29.5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Tracking!A11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Tracking!$B$11:$D$11</c:f>
              <c:numCache>
                <c:formatCode>\$0.00</c:formatCode>
                <c:ptCount val="3"/>
                <c:pt idx="0">
                  <c:v>25</c:v>
                </c:pt>
                <c:pt idx="1">
                  <c:v>27</c:v>
                </c:pt>
                <c:pt idx="2">
                  <c:v>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255471"/>
        <c:axId val="31151297"/>
      </c:lineChart>
      <c:catAx>
        <c:axId val="85255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51297"/>
        <c:crosses val="autoZero"/>
        <c:auto val="1"/>
        <c:lblAlgn val="ctr"/>
        <c:lblOffset val="100"/>
        <c:noMultiLvlLbl val="0"/>
      </c:catAx>
      <c:valAx>
        <c:axId val="31151297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2554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and credit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Tracking!A14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Tracking!$B$14:$D$14</c:f>
              <c:numCache>
                <c:formatCode>0</c:formatCode>
                <c:ptCount val="3"/>
                <c:pt idx="0">
                  <c:v>68</c:v>
                </c:pt>
                <c:pt idx="1">
                  <c:v>71</c:v>
                </c:pt>
                <c:pt idx="2">
                  <c:v>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Tracking!A15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Tracking!$B$15:$D$15</c:f>
              <c:numCache>
                <c:formatCode>0</c:formatCode>
                <c:ptCount val="3"/>
                <c:pt idx="0">
                  <c:v>70</c:v>
                </c:pt>
                <c:pt idx="1">
                  <c:v>72</c:v>
                </c:pt>
                <c:pt idx="2">
                  <c:v>74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Tracking!A13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Tracking!$B$13:$D$13</c:f>
              <c:numCache>
                <c:formatCode>0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336514"/>
        <c:axId val="69554599"/>
      </c:lineChart>
      <c:catAx>
        <c:axId val="573365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54599"/>
        <c:crosses val="autoZero"/>
        <c:auto val="1"/>
        <c:lblAlgn val="ctr"/>
        <c:lblOffset val="100"/>
        <c:noMultiLvlLbl val="0"/>
      </c:catAx>
      <c:valAx>
        <c:axId val="69554599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365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Tracking!A21</c:f>
              <c:strCache>
                <c:ptCount val="1"/>
                <c:pt idx="0">
                  <c:v>Cameras: market share (avg %)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Tracking!$B$21:$D$21</c:f>
              <c:numCache>
                <c:formatCode>0.0</c:formatCode>
                <c:ptCount val="3"/>
                <c:pt idx="0">
                  <c:v>12.225</c:v>
                </c:pt>
                <c:pt idx="1">
                  <c:v>12.975</c:v>
                </c:pt>
                <c:pt idx="2">
                  <c:v>13.575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Tracking!A22</c:f>
              <c:strCache>
                <c:ptCount val="1"/>
                <c:pt idx="0">
                  <c:v>Drones: market share (avg %)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Tracking!$B$22:$D$22</c:f>
              <c:numCache>
                <c:formatCode>0.0</c:formatCode>
                <c:ptCount val="3"/>
                <c:pt idx="0">
                  <c:v>11.975</c:v>
                </c:pt>
                <c:pt idx="1">
                  <c:v>12.55</c:v>
                </c:pt>
                <c:pt idx="2">
                  <c:v>13.125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733344"/>
        <c:axId val="88301460"/>
      </c:lineChart>
      <c:catAx>
        <c:axId val="9373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01460"/>
        <c:crosses val="autoZero"/>
        <c:auto val="1"/>
        <c:lblAlgn val="ctr"/>
        <c:lblOffset val="100"/>
        <c:noMultiLvlLbl val="0"/>
      </c:catAx>
      <c:valAx>
        <c:axId val="8830146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333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Tracking!A23</c:f>
              <c:strCache>
                <c:ptCount val="1"/>
                <c:pt idx="0">
                  <c:v>Cameras: cost per unit ($)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Tracking!$B$23:$D$23</c:f>
              <c:numCache>
                <c:formatCode>\$#,##0</c:formatCode>
                <c:ptCount val="3"/>
                <c:pt idx="0">
                  <c:v>182</c:v>
                </c:pt>
                <c:pt idx="1">
                  <c:v>176</c:v>
                </c:pt>
                <c:pt idx="2">
                  <c:v>171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Tracking!A24</c:f>
              <c:strCache>
                <c:ptCount val="1"/>
                <c:pt idx="0">
                  <c:v>Cameras: industry cost per unit ($)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Tracking!$B$24:$D$24</c:f>
              <c:numCache>
                <c:formatCode>\$#,##0</c:formatCode>
                <c:ptCount val="3"/>
                <c:pt idx="0">
                  <c:v>186</c:v>
                </c:pt>
                <c:pt idx="1">
                  <c:v>184</c:v>
                </c:pt>
                <c:pt idx="2">
                  <c:v>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Tracking!A25</c:f>
              <c:strCache>
                <c:ptCount val="1"/>
                <c:pt idx="0">
                  <c:v>Drones: cost per unit ($)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Tracking!$B$25:$D$25</c:f>
              <c:numCache>
                <c:formatCode>\$#,##0</c:formatCode>
                <c:ptCount val="3"/>
                <c:pt idx="0">
                  <c:v>905</c:v>
                </c:pt>
                <c:pt idx="1">
                  <c:v>884</c:v>
                </c:pt>
                <c:pt idx="2">
                  <c:v>870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Tracking!A26</c:f>
              <c:strCache>
                <c:ptCount val="1"/>
                <c:pt idx="0">
                  <c:v>Drones: industry cost per unit ($)</c:v>
                </c:pt>
              </c:strCache>
            </c:strRef>
          </c:tx>
          <c:spPr>
            <a:solidFill>
              <a:srgbClr val="c44536"/>
            </a:solidFill>
            <a:ln w="2808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Tracking!$B$26:$D$26</c:f>
              <c:numCache>
                <c:formatCode>\$#,##0</c:formatCode>
                <c:ptCount val="3"/>
                <c:pt idx="0">
                  <c:v>890</c:v>
                </c:pt>
                <c:pt idx="1">
                  <c:v>879</c:v>
                </c:pt>
                <c:pt idx="2">
                  <c:v>871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234478"/>
        <c:axId val="84559419"/>
      </c:lineChart>
      <c:catAx>
        <c:axId val="752344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59419"/>
        <c:crosses val="autoZero"/>
        <c:auto val="1"/>
        <c:lblAlgn val="ctr"/>
        <c:lblOffset val="100"/>
        <c:noMultiLvlLbl val="0"/>
      </c:catAx>
      <c:valAx>
        <c:axId val="84559419"/>
        <c:scaling>
          <c:orientation val="minMax"/>
        </c:scaling>
        <c:delete val="0"/>
        <c:axPos val="l"/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344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Tracking!A18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Tracking!$B$18:$D$18</c:f>
              <c:numCache>
                <c:formatCode>#,##0</c:formatCode>
                <c:ptCount val="3"/>
                <c:pt idx="0">
                  <c:v>412000</c:v>
                </c:pt>
                <c:pt idx="1">
                  <c:v>455000</c:v>
                </c:pt>
                <c:pt idx="2">
                  <c:v>498000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Tracking!A19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Tracking!$B$19:$D$19</c:f>
              <c:numCache>
                <c:formatCode>#,##0</c:formatCode>
                <c:ptCount val="3"/>
                <c:pt idx="0">
                  <c:v>18500</c:v>
                </c:pt>
                <c:pt idx="1">
                  <c:v>21900</c:v>
                </c:pt>
                <c:pt idx="2">
                  <c:v>24800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585713"/>
        <c:axId val="1033265"/>
      </c:lineChart>
      <c:catAx>
        <c:axId val="445857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3265"/>
        <c:crosses val="autoZero"/>
        <c:auto val="1"/>
        <c:lblAlgn val="ctr"/>
        <c:lblOffset val="100"/>
        <c:noMultiLvlLbl val="0"/>
      </c:catAx>
      <c:valAx>
        <c:axId val="103326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857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Tracking!A31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Tracking!$B$31:$D$31</c:f>
              <c:numCache>
                <c:formatCode>0.0%</c:formatCode>
                <c:ptCount val="3"/>
                <c:pt idx="0">
                  <c:v>0.11</c:v>
                </c:pt>
                <c:pt idx="1">
                  <c:v>0.125</c:v>
                </c:pt>
                <c:pt idx="2">
                  <c:v>0.135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Tracking!A32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Tracking!$B$32:$D$32</c:f>
              <c:numCache>
                <c:formatCode>0.0%</c:formatCode>
                <c:ptCount val="3"/>
                <c:pt idx="0">
                  <c:v>0.09</c:v>
                </c:pt>
                <c:pt idx="1">
                  <c:v>0.105</c:v>
                </c:pt>
                <c:pt idx="2">
                  <c:v>0.112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165746"/>
        <c:axId val="6737883"/>
      </c:lineChart>
      <c:catAx>
        <c:axId val="961657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7883"/>
        <c:crosses val="autoZero"/>
        <c:auto val="1"/>
        <c:lblAlgn val="ctr"/>
        <c:lblOffset val="100"/>
        <c:noMultiLvlLbl val="0"/>
      </c:catAx>
      <c:valAx>
        <c:axId val="673788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657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36</xdr:row>
      <xdr:rowOff>186840</xdr:rowOff>
    </xdr:to>
    <xdr:graphicFrame>
      <xdr:nvGraphicFramePr>
        <xdr:cNvPr id="0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48</xdr:row>
      <xdr:rowOff>129600</xdr:rowOff>
    </xdr:from>
    <xdr:to>
      <xdr:col>9</xdr:col>
      <xdr:colOff>747360</xdr:colOff>
      <xdr:row>57</xdr:row>
      <xdr:rowOff>249840</xdr:rowOff>
    </xdr:to>
    <xdr:graphicFrame>
      <xdr:nvGraphicFramePr>
        <xdr:cNvPr id="1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131040</xdr:rowOff>
    </xdr:from>
    <xdr:to>
      <xdr:col>3</xdr:col>
      <xdr:colOff>630360</xdr:colOff>
      <xdr:row>47</xdr:row>
      <xdr:rowOff>55440</xdr:rowOff>
    </xdr:to>
    <xdr:graphicFrame>
      <xdr:nvGraphicFramePr>
        <xdr:cNvPr id="3" name="Chart 1"/>
        <xdr:cNvGraphicFramePr/>
      </xdr:nvGraphicFramePr>
      <xdr:xfrm>
        <a:off x="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15</xdr:col>
      <xdr:colOff>579240</xdr:colOff>
      <xdr:row>47</xdr:row>
      <xdr:rowOff>55440</xdr:rowOff>
    </xdr:to>
    <xdr:graphicFrame>
      <xdr:nvGraphicFramePr>
        <xdr:cNvPr id="4" name="Chart 2"/>
        <xdr:cNvGraphicFramePr/>
      </xdr:nvGraphicFramePr>
      <xdr:xfrm>
        <a:off x="690948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131040</xdr:rowOff>
    </xdr:from>
    <xdr:to>
      <xdr:col>3</xdr:col>
      <xdr:colOff>630360</xdr:colOff>
      <xdr:row>63</xdr:row>
      <xdr:rowOff>55800</xdr:rowOff>
    </xdr:to>
    <xdr:graphicFrame>
      <xdr:nvGraphicFramePr>
        <xdr:cNvPr id="5" name="Chart 3"/>
        <xdr:cNvGraphicFramePr/>
      </xdr:nvGraphicFramePr>
      <xdr:xfrm>
        <a:off x="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49</xdr:row>
      <xdr:rowOff>131040</xdr:rowOff>
    </xdr:from>
    <xdr:to>
      <xdr:col>15</xdr:col>
      <xdr:colOff>579240</xdr:colOff>
      <xdr:row>63</xdr:row>
      <xdr:rowOff>55800</xdr:rowOff>
    </xdr:to>
    <xdr:graphicFrame>
      <xdr:nvGraphicFramePr>
        <xdr:cNvPr id="6" name="Chart 4"/>
        <xdr:cNvGraphicFramePr/>
      </xdr:nvGraphicFramePr>
      <xdr:xfrm>
        <a:off x="690948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65</xdr:row>
      <xdr:rowOff>130680</xdr:rowOff>
    </xdr:from>
    <xdr:to>
      <xdr:col>3</xdr:col>
      <xdr:colOff>630360</xdr:colOff>
      <xdr:row>79</xdr:row>
      <xdr:rowOff>55440</xdr:rowOff>
    </xdr:to>
    <xdr:graphicFrame>
      <xdr:nvGraphicFramePr>
        <xdr:cNvPr id="7" name="Chart 5"/>
        <xdr:cNvGraphicFramePr/>
      </xdr:nvGraphicFramePr>
      <xdr:xfrm>
        <a:off x="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65</xdr:row>
      <xdr:rowOff>130680</xdr:rowOff>
    </xdr:from>
    <xdr:to>
      <xdr:col>15</xdr:col>
      <xdr:colOff>579240</xdr:colOff>
      <xdr:row>79</xdr:row>
      <xdr:rowOff>55440</xdr:rowOff>
    </xdr:to>
    <xdr:graphicFrame>
      <xdr:nvGraphicFramePr>
        <xdr:cNvPr id="8" name="Chart 6"/>
        <xdr:cNvGraphicFramePr/>
      </xdr:nvGraphicFramePr>
      <xdr:xfrm>
        <a:off x="690948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81</xdr:row>
      <xdr:rowOff>131040</xdr:rowOff>
    </xdr:from>
    <xdr:to>
      <xdr:col>3</xdr:col>
      <xdr:colOff>630360</xdr:colOff>
      <xdr:row>95</xdr:row>
      <xdr:rowOff>55440</xdr:rowOff>
    </xdr:to>
    <xdr:graphicFrame>
      <xdr:nvGraphicFramePr>
        <xdr:cNvPr id="9" name="Chart 7"/>
        <xdr:cNvGraphicFramePr/>
      </xdr:nvGraphicFramePr>
      <xdr:xfrm>
        <a:off x="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81</xdr:row>
      <xdr:rowOff>131040</xdr:rowOff>
    </xdr:from>
    <xdr:to>
      <xdr:col>15</xdr:col>
      <xdr:colOff>579240</xdr:colOff>
      <xdr:row>95</xdr:row>
      <xdr:rowOff>55440</xdr:rowOff>
    </xdr:to>
    <xdr:graphicFrame>
      <xdr:nvGraphicFramePr>
        <xdr:cNvPr id="10" name="Chart 8"/>
        <xdr:cNvGraphicFramePr/>
      </xdr:nvGraphicFramePr>
      <xdr:xfrm>
        <a:off x="690948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3" customFormat="false" ht="15" hidden="false" customHeight="false" outlineLevel="0" collapsed="false">
      <c r="B13" s="4" t="s">
        <v>17</v>
      </c>
      <c r="C13" s="5" t="s">
        <v>18</v>
      </c>
    </row>
    <row r="14" customFormat="false" ht="23.85" hidden="false" customHeight="false" outlineLevel="0" collapsed="false">
      <c r="B14" s="4" t="s">
        <v>19</v>
      </c>
      <c r="C14" s="5" t="s">
        <v>20</v>
      </c>
    </row>
    <row r="15" customFormat="false" ht="15" hidden="false" customHeight="false" outlineLevel="0" collapsed="false">
      <c r="B15" s="4" t="s">
        <v>21</v>
      </c>
      <c r="C15" s="5" t="s">
        <v>22</v>
      </c>
    </row>
    <row r="16" customFormat="false" ht="23.85" hidden="false" customHeight="false" outlineLevel="0" collapsed="false">
      <c r="B16" s="4" t="s">
        <v>23</v>
      </c>
      <c r="C16" s="5" t="s">
        <v>24</v>
      </c>
    </row>
    <row r="17" customFormat="false" ht="15" hidden="false" customHeight="false" outlineLevel="0" collapsed="false">
      <c r="B17" s="4" t="s">
        <v>25</v>
      </c>
      <c r="C17" s="5" t="s">
        <v>26</v>
      </c>
    </row>
    <row r="18" customFormat="false" ht="15" hidden="false" customHeight="fals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4" t="s">
        <v>29</v>
      </c>
      <c r="C19" s="5" t="s">
        <v>30</v>
      </c>
    </row>
    <row r="20" customFormat="false" ht="23.85" hidden="false" customHeight="false" outlineLevel="0" collapsed="false">
      <c r="B20" s="4" t="s">
        <v>31</v>
      </c>
      <c r="C20" s="5" t="s">
        <v>32</v>
      </c>
    </row>
    <row r="21" customFormat="false" ht="23.85" hidden="false" customHeight="false" outlineLevel="0" collapsed="false">
      <c r="B21" s="4" t="s">
        <v>33</v>
      </c>
      <c r="C21" s="5" t="s">
        <v>34</v>
      </c>
    </row>
    <row r="22" customFormat="false" ht="35.05" hidden="false" customHeight="false" outlineLevel="0" collapsed="false">
      <c r="B22" s="4" t="s">
        <v>35</v>
      </c>
      <c r="C22" s="5" t="s">
        <v>36</v>
      </c>
    </row>
    <row r="23" customFormat="false" ht="23.85" hidden="false" customHeight="false" outlineLevel="0" collapsed="false">
      <c r="B23" s="4" t="s">
        <v>37</v>
      </c>
      <c r="C23" s="5" t="s">
        <v>38</v>
      </c>
    </row>
    <row r="25" customFormat="false" ht="15" hidden="false" customHeight="false" outlineLevel="0" collapsed="false">
      <c r="B25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6" t="s">
        <v>40</v>
      </c>
    </row>
    <row r="2" customFormat="false" ht="15" hidden="false" customHeight="false" outlineLevel="0" collapsed="false">
      <c r="A2" s="3" t="s">
        <v>41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43</v>
      </c>
      <c r="B5" s="8" t="s">
        <v>44</v>
      </c>
      <c r="C5" s="8" t="s">
        <v>45</v>
      </c>
      <c r="D5" s="8" t="s">
        <v>46</v>
      </c>
      <c r="E5" s="8" t="s">
        <v>47</v>
      </c>
      <c r="F5" s="8" t="s">
        <v>48</v>
      </c>
      <c r="G5" s="8" t="s">
        <v>49</v>
      </c>
      <c r="H5" s="8" t="s">
        <v>50</v>
      </c>
      <c r="I5" s="8" t="s">
        <v>51</v>
      </c>
    </row>
    <row r="6" customFormat="false" ht="15" hidden="false" customHeight="false" outlineLevel="0" collapsed="false">
      <c r="A6" s="9" t="s">
        <v>52</v>
      </c>
      <c r="B6" s="9" t="s">
        <v>53</v>
      </c>
      <c r="C6" s="9" t="s">
        <v>54</v>
      </c>
      <c r="D6" s="9" t="s">
        <v>55</v>
      </c>
      <c r="E6" s="9" t="n">
        <v>4</v>
      </c>
      <c r="F6" s="9" t="n">
        <v>4</v>
      </c>
      <c r="G6" s="10" t="n">
        <f aca="false">IF(AND(ISNUMBER(E6),ISNUMBER(F6)),E6*F6,"")</f>
        <v>16</v>
      </c>
      <c r="H6" s="9" t="s">
        <v>56</v>
      </c>
      <c r="I6" s="9" t="s">
        <v>57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0" t="str">
        <f aca="false">IF(AND(ISNUMBER(E7),ISNUMBER(F7)),E7*F7,"")</f>
        <v/>
      </c>
      <c r="H7" s="9"/>
      <c r="I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0" t="str">
        <f aca="false">IF(AND(ISNUMBER(E8),ISNUMBER(F8)),E8*F8,"")</f>
        <v/>
      </c>
      <c r="H8" s="9"/>
      <c r="I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0" t="str">
        <f aca="false">IF(AND(ISNUMBER(E9),ISNUMBER(F9)),E9*F9,"")</f>
        <v/>
      </c>
      <c r="H9" s="9"/>
      <c r="I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0" t="str">
        <f aca="false">IF(AND(ISNUMBER(E10),ISNUMBER(F10)),E10*F10,"")</f>
        <v/>
      </c>
      <c r="H10" s="9"/>
      <c r="I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0" t="str">
        <f aca="false">IF(AND(ISNUMBER(E11),ISNUMBER(F11)),E11*F11,"")</f>
        <v/>
      </c>
      <c r="H11" s="9"/>
      <c r="I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0" t="str">
        <f aca="false">IF(AND(ISNUMBER(E12),ISNUMBER(F12)),E12*F12,"")</f>
        <v/>
      </c>
      <c r="H12" s="9"/>
      <c r="I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0" t="str">
        <f aca="false">IF(AND(ISNUMBER(E13),ISNUMBER(F13)),E13*F13,"")</f>
        <v/>
      </c>
      <c r="H13" s="9"/>
      <c r="I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0" t="str">
        <f aca="false">IF(AND(ISNUMBER(E14),ISNUMBER(F14)),E14*F14,"")</f>
        <v/>
      </c>
      <c r="H14" s="9"/>
      <c r="I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0" t="str">
        <f aca="false">IF(AND(ISNUMBER(E15),ISNUMBER(F15)),E15*F15,"")</f>
        <v/>
      </c>
      <c r="H15" s="9"/>
      <c r="I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0" t="str">
        <f aca="false">IF(AND(ISNUMBER(E16),ISNUMBER(F16)),E16*F16,"")</f>
        <v/>
      </c>
      <c r="H16" s="9"/>
      <c r="I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0" t="str">
        <f aca="false">IF(AND(ISNUMBER(E17),ISNUMBER(F17)),E17*F17,"")</f>
        <v/>
      </c>
      <c r="H17" s="9"/>
      <c r="I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0" t="str">
        <f aca="false">IF(AND(ISNUMBER(E18),ISNUMBER(F18)),E18*F18,"")</f>
        <v/>
      </c>
      <c r="H18" s="9"/>
      <c r="I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0" t="str">
        <f aca="false">IF(AND(ISNUMBER(E19),ISNUMBER(F19)),E19*F19,"")</f>
        <v/>
      </c>
      <c r="H19" s="9"/>
      <c r="I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IF(AND(ISNUMBER(E20),ISNUMBER(F20)),E20*F20,"")</f>
        <v/>
      </c>
      <c r="H20" s="9"/>
      <c r="I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IF(AND(ISNUMBER(E21),ISNUMBER(F21)),E21*F21,"")</f>
        <v/>
      </c>
      <c r="H21" s="9"/>
      <c r="I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IF(AND(ISNUMBER(E22),ISNUMBER(F22)),E22*F22,"")</f>
        <v/>
      </c>
      <c r="H22" s="9"/>
      <c r="I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IF(AND(ISNUMBER(E23),ISNUMBER(F23)),E23*F23,"")</f>
        <v/>
      </c>
      <c r="H23" s="9"/>
      <c r="I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IF(AND(ISNUMBER(E24),ISNUMBER(F24)),E24*F24,"")</f>
        <v/>
      </c>
      <c r="H24" s="9"/>
      <c r="I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IF(AND(ISNUMBER(E25),ISNUMBER(F25)),E25*F25,"")</f>
        <v/>
      </c>
      <c r="H25" s="9"/>
      <c r="I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IF(AND(ISNUMBER(E26),ISNUMBER(F26)),E26*F26,"")</f>
        <v/>
      </c>
      <c r="H26" s="9"/>
      <c r="I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IF(AND(ISNUMBER(E27),ISNUMBER(F27)),E27*F27,"")</f>
        <v/>
      </c>
      <c r="H27" s="9"/>
      <c r="I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IF(AND(ISNUMBER(E28),ISNUMBER(F28)),E28*F28,"")</f>
        <v/>
      </c>
      <c r="H28" s="9"/>
      <c r="I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IF(AND(ISNUMBER(E29),ISNUMBER(F29)),E29*F29,"")</f>
        <v/>
      </c>
      <c r="H29" s="9"/>
      <c r="I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IF(AND(ISNUMBER(E30),ISNUMBER(F30)),E30*F30,"")</f>
        <v/>
      </c>
      <c r="H30" s="9"/>
      <c r="I30" s="9"/>
    </row>
    <row r="32" customFormat="false" ht="15" hidden="false" customHeight="false" outlineLevel="0" collapsed="false">
      <c r="B32" s="11" t="s">
        <v>58</v>
      </c>
      <c r="C32" s="10" t="n">
        <f aca="false">COUNTA(C6:C30)</f>
        <v>1</v>
      </c>
    </row>
    <row r="33" customFormat="false" ht="23.85" hidden="false" customHeight="false" outlineLevel="0" collapsed="false">
      <c r="B33" s="11" t="s">
        <v>59</v>
      </c>
      <c r="C33" s="10" t="n">
        <f aca="false">COUNTIF(G6:G30,"&gt;=16")</f>
        <v>1</v>
      </c>
    </row>
    <row r="34" customFormat="false" ht="23.85" hidden="false" customHeight="false" outlineLevel="0" collapsed="false">
      <c r="B34" s="11" t="s">
        <v>60</v>
      </c>
      <c r="C34" s="10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6" t="s">
        <v>61</v>
      </c>
    </row>
    <row r="2" customFormat="false" ht="15" hidden="false" customHeight="false" outlineLevel="0" collapsed="false">
      <c r="A2" s="3" t="s">
        <v>62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63</v>
      </c>
      <c r="B5" s="8" t="s">
        <v>64</v>
      </c>
      <c r="C5" s="8" t="s">
        <v>65</v>
      </c>
      <c r="D5" s="8" t="s">
        <v>66</v>
      </c>
    </row>
    <row r="6" customFormat="false" ht="15" hidden="false" customHeight="false" outlineLevel="0" collapsed="false">
      <c r="A6" s="5" t="s">
        <v>67</v>
      </c>
      <c r="B6" s="5" t="s">
        <v>68</v>
      </c>
      <c r="C6" s="9"/>
      <c r="D6" s="9"/>
    </row>
    <row r="7" customFormat="false" ht="15" hidden="false" customHeight="false" outlineLevel="0" collapsed="false">
      <c r="A7" s="5" t="s">
        <v>67</v>
      </c>
      <c r="B7" s="5" t="s">
        <v>69</v>
      </c>
      <c r="C7" s="9"/>
      <c r="D7" s="9"/>
    </row>
    <row r="8" customFormat="false" ht="15" hidden="false" customHeight="false" outlineLevel="0" collapsed="false">
      <c r="A8" s="5" t="s">
        <v>67</v>
      </c>
      <c r="B8" s="5" t="s">
        <v>70</v>
      </c>
      <c r="C8" s="9"/>
      <c r="D8" s="9"/>
    </row>
    <row r="9" customFormat="false" ht="15" hidden="false" customHeight="false" outlineLevel="0" collapsed="false">
      <c r="A9" s="5" t="s">
        <v>67</v>
      </c>
      <c r="B9" s="5" t="s">
        <v>71</v>
      </c>
      <c r="C9" s="9"/>
      <c r="D9" s="9"/>
    </row>
    <row r="10" customFormat="false" ht="15" hidden="false" customHeight="false" outlineLevel="0" collapsed="false">
      <c r="A10" s="5" t="s">
        <v>72</v>
      </c>
      <c r="B10" s="5" t="s">
        <v>73</v>
      </c>
      <c r="C10" s="9" t="n">
        <v>4</v>
      </c>
      <c r="D10" s="9" t="s">
        <v>74</v>
      </c>
    </row>
    <row r="11" customFormat="false" ht="15" hidden="false" customHeight="false" outlineLevel="0" collapsed="false">
      <c r="A11" s="5" t="s">
        <v>72</v>
      </c>
      <c r="B11" s="5" t="s">
        <v>75</v>
      </c>
      <c r="C11" s="9"/>
      <c r="D11" s="9"/>
    </row>
    <row r="12" customFormat="false" ht="15" hidden="false" customHeight="false" outlineLevel="0" collapsed="false">
      <c r="A12" s="5" t="s">
        <v>72</v>
      </c>
      <c r="B12" s="5" t="s">
        <v>76</v>
      </c>
      <c r="C12" s="9"/>
      <c r="D12" s="9"/>
    </row>
    <row r="13" customFormat="false" ht="15" hidden="false" customHeight="false" outlineLevel="0" collapsed="false">
      <c r="A13" s="5" t="s">
        <v>72</v>
      </c>
      <c r="B13" s="5" t="s">
        <v>77</v>
      </c>
      <c r="C13" s="9"/>
      <c r="D13" s="9"/>
    </row>
    <row r="14" customFormat="false" ht="15" hidden="false" customHeight="false" outlineLevel="0" collapsed="false">
      <c r="A14" s="5" t="s">
        <v>78</v>
      </c>
      <c r="B14" s="5" t="s">
        <v>79</v>
      </c>
      <c r="C14" s="9"/>
      <c r="D14" s="9"/>
    </row>
    <row r="15" customFormat="false" ht="15" hidden="false" customHeight="false" outlineLevel="0" collapsed="false">
      <c r="A15" s="5" t="s">
        <v>78</v>
      </c>
      <c r="B15" s="5" t="s">
        <v>80</v>
      </c>
      <c r="C15" s="9"/>
      <c r="D15" s="9"/>
    </row>
    <row r="16" customFormat="false" ht="15" hidden="false" customHeight="false" outlineLevel="0" collapsed="false">
      <c r="A16" s="5" t="s">
        <v>78</v>
      </c>
      <c r="B16" s="5" t="s">
        <v>75</v>
      </c>
      <c r="C16" s="9"/>
      <c r="D16" s="9"/>
    </row>
    <row r="17" customFormat="false" ht="15" hidden="false" customHeight="false" outlineLevel="0" collapsed="false">
      <c r="A17" s="5" t="s">
        <v>78</v>
      </c>
      <c r="B17" s="5" t="s">
        <v>81</v>
      </c>
      <c r="C17" s="9"/>
      <c r="D17" s="9"/>
    </row>
    <row r="18" customFormat="false" ht="15" hidden="false" customHeight="false" outlineLevel="0" collapsed="false">
      <c r="A18" s="5" t="s">
        <v>82</v>
      </c>
      <c r="B18" s="5" t="s">
        <v>83</v>
      </c>
      <c r="C18" s="9"/>
      <c r="D18" s="9"/>
    </row>
    <row r="19" customFormat="false" ht="15" hidden="false" customHeight="false" outlineLevel="0" collapsed="false">
      <c r="A19" s="5" t="s">
        <v>82</v>
      </c>
      <c r="B19" s="5" t="s">
        <v>84</v>
      </c>
      <c r="C19" s="9"/>
      <c r="D19" s="9"/>
    </row>
    <row r="20" customFormat="false" ht="15" hidden="false" customHeight="false" outlineLevel="0" collapsed="false">
      <c r="A20" s="5" t="s">
        <v>82</v>
      </c>
      <c r="B20" s="5" t="s">
        <v>85</v>
      </c>
      <c r="C20" s="9"/>
      <c r="D20" s="9"/>
    </row>
    <row r="21" customFormat="false" ht="15" hidden="false" customHeight="false" outlineLevel="0" collapsed="false">
      <c r="A21" s="5" t="s">
        <v>82</v>
      </c>
      <c r="B21" s="5" t="s">
        <v>86</v>
      </c>
      <c r="C21" s="9"/>
      <c r="D21" s="9"/>
    </row>
    <row r="22" customFormat="false" ht="15" hidden="false" customHeight="false" outlineLevel="0" collapsed="false">
      <c r="A22" s="5" t="s">
        <v>87</v>
      </c>
      <c r="B22" s="5" t="s">
        <v>88</v>
      </c>
      <c r="C22" s="9"/>
      <c r="D22" s="9"/>
    </row>
    <row r="23" customFormat="false" ht="15" hidden="false" customHeight="false" outlineLevel="0" collapsed="false">
      <c r="A23" s="5" t="s">
        <v>87</v>
      </c>
      <c r="B23" s="5" t="s">
        <v>75</v>
      </c>
      <c r="C23" s="9"/>
      <c r="D23" s="9"/>
    </row>
    <row r="24" customFormat="false" ht="15" hidden="false" customHeight="false" outlineLevel="0" collapsed="false">
      <c r="A24" s="5" t="s">
        <v>87</v>
      </c>
      <c r="B24" s="5" t="s">
        <v>89</v>
      </c>
      <c r="C24" s="9"/>
      <c r="D24" s="9"/>
    </row>
    <row r="25" customFormat="false" ht="15" hidden="false" customHeight="false" outlineLevel="0" collapsed="false">
      <c r="A25" s="5" t="s">
        <v>87</v>
      </c>
      <c r="B25" s="5" t="s">
        <v>90</v>
      </c>
      <c r="C25" s="9"/>
      <c r="D25" s="9"/>
    </row>
    <row r="27" customFormat="false" ht="35.05" hidden="false" customHeight="false" outlineLevel="0" collapsed="false">
      <c r="A27" s="8" t="s">
        <v>63</v>
      </c>
      <c r="B27" s="8" t="s">
        <v>91</v>
      </c>
      <c r="C27" s="8" t="s">
        <v>92</v>
      </c>
      <c r="D27" s="8" t="s">
        <v>93</v>
      </c>
      <c r="E27" s="8" t="s">
        <v>94</v>
      </c>
      <c r="F27" s="8" t="s">
        <v>95</v>
      </c>
    </row>
    <row r="28" customFormat="false" ht="15" hidden="false" customHeight="false" outlineLevel="0" collapsed="false">
      <c r="A28" s="11" t="s">
        <v>67</v>
      </c>
      <c r="B28" s="12" t="str">
        <f aca="false">IFERROR(AVERAGEIF($A$6:$A$25,A28,$C$6:$C$25),"")</f>
        <v/>
      </c>
      <c r="C28" s="13"/>
      <c r="D28" s="12" t="str">
        <f aca="false">IF(ISNUMBER(C28),C28,B28)</f>
        <v/>
      </c>
      <c r="E28" s="14" t="str">
        <f aca="false">IF(D28="","",IF(D28&gt;=4,"Strong",IF(D28&gt;=2.5,"Moderate","Weak")))</f>
        <v/>
      </c>
      <c r="F28" s="13"/>
    </row>
    <row r="29" customFormat="false" ht="15" hidden="false" customHeight="false" outlineLevel="0" collapsed="false">
      <c r="A29" s="11" t="s">
        <v>72</v>
      </c>
      <c r="B29" s="12" t="n">
        <f aca="false">IFERROR(AVERAGEIF($A$6:$A$25,A29,$C$6:$C$25),"")</f>
        <v>4</v>
      </c>
      <c r="C29" s="13"/>
      <c r="D29" s="12" t="n">
        <f aca="false">IF(ISNUMBER(C29),C29,B29)</f>
        <v>4</v>
      </c>
      <c r="E29" s="14" t="str">
        <f aca="false">IF(D29="","",IF(D29&gt;=4,"Strong",IF(D29&gt;=2.5,"Moderate","Weak")))</f>
        <v>Strong</v>
      </c>
      <c r="F29" s="13"/>
    </row>
    <row r="30" customFormat="false" ht="15" hidden="false" customHeight="false" outlineLevel="0" collapsed="false">
      <c r="A30" s="11" t="s">
        <v>78</v>
      </c>
      <c r="B30" s="12" t="str">
        <f aca="false">IFERROR(AVERAGEIF($A$6:$A$25,A30,$C$6:$C$25),"")</f>
        <v/>
      </c>
      <c r="C30" s="13"/>
      <c r="D30" s="12" t="str">
        <f aca="false">IF(ISNUMBER(C30),C30,B30)</f>
        <v/>
      </c>
      <c r="E30" s="14" t="str">
        <f aca="false">IF(D30="","",IF(D30&gt;=4,"Strong",IF(D30&gt;=2.5,"Moderate","Weak")))</f>
        <v/>
      </c>
      <c r="F30" s="13"/>
    </row>
    <row r="31" customFormat="false" ht="15" hidden="false" customHeight="false" outlineLevel="0" collapsed="false">
      <c r="A31" s="11" t="s">
        <v>82</v>
      </c>
      <c r="B31" s="12" t="str">
        <f aca="false">IFERROR(AVERAGEIF($A$6:$A$25,A31,$C$6:$C$25),"")</f>
        <v/>
      </c>
      <c r="C31" s="13"/>
      <c r="D31" s="12" t="str">
        <f aca="false">IF(ISNUMBER(C31),C31,B31)</f>
        <v/>
      </c>
      <c r="E31" s="14" t="str">
        <f aca="false">IF(D31="","",IF(D31&gt;=4,"Strong",IF(D31&gt;=2.5,"Moderate","Weak")))</f>
        <v/>
      </c>
      <c r="F31" s="13"/>
    </row>
    <row r="32" customFormat="false" ht="15" hidden="false" customHeight="false" outlineLevel="0" collapsed="false">
      <c r="A32" s="11" t="s">
        <v>87</v>
      </c>
      <c r="B32" s="12" t="str">
        <f aca="false">IFERROR(AVERAGEIF($A$6:$A$25,A32,$C$6:$C$25),"")</f>
        <v/>
      </c>
      <c r="C32" s="13"/>
      <c r="D32" s="12" t="str">
        <f aca="false">IF(ISNUMBER(C32),C32,B32)</f>
        <v/>
      </c>
      <c r="E32" s="14" t="str">
        <f aca="false">IF(D32="","",IF(D32&gt;=4,"Strong",IF(D32&gt;=2.5,"Moderate","Weak")))</f>
        <v/>
      </c>
      <c r="F32" s="13"/>
    </row>
    <row r="34" customFormat="false" ht="15" hidden="false" customHeight="false" outlineLevel="0" collapsed="false">
      <c r="A34" s="11" t="s">
        <v>96</v>
      </c>
      <c r="B34" s="15" t="n">
        <f aca="false">IFERROR(6-AVERAGE(D28:D32),"")</f>
        <v>2</v>
      </c>
    </row>
    <row r="35" customFormat="false" ht="15" hidden="false" customHeight="false" outlineLevel="0" collapsed="false">
      <c r="A35" s="11" t="s">
        <v>97</v>
      </c>
      <c r="B35" s="12" t="str">
        <f aca="false">IF(COUNT(F28:F32)=5,6-AVERAGE(F28:F32),"")</f>
        <v/>
      </c>
    </row>
    <row r="37" customFormat="false" ht="15" hidden="false" customHeight="false" outlineLevel="0" collapsed="false">
      <c r="A37" s="3" t="s">
        <v>98</v>
      </c>
    </row>
    <row r="38" customFormat="false" ht="15" hidden="false" customHeight="false" outlineLevel="0" collapsed="false">
      <c r="A38" s="3" t="s">
        <v>99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6" t="s">
        <v>100</v>
      </c>
    </row>
    <row r="2" customFormat="false" ht="15" hidden="false" customHeight="false" outlineLevel="0" collapsed="false">
      <c r="A2" s="3" t="s">
        <v>101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43</v>
      </c>
      <c r="B5" s="8" t="s">
        <v>102</v>
      </c>
      <c r="C5" s="8" t="s">
        <v>103</v>
      </c>
      <c r="D5" s="8" t="s">
        <v>104</v>
      </c>
      <c r="E5" s="16" t="s">
        <v>105</v>
      </c>
      <c r="F5" s="16" t="s">
        <v>106</v>
      </c>
      <c r="G5" s="16" t="s">
        <v>107</v>
      </c>
      <c r="H5" s="16" t="s">
        <v>108</v>
      </c>
      <c r="I5" s="16" t="s">
        <v>109</v>
      </c>
      <c r="J5" s="16" t="s">
        <v>110</v>
      </c>
    </row>
    <row r="6" customFormat="false" ht="15" hidden="false" customHeight="false" outlineLevel="0" collapsed="false">
      <c r="A6" s="9" t="s">
        <v>111</v>
      </c>
      <c r="B6" s="9" t="s">
        <v>112</v>
      </c>
      <c r="C6" s="17" t="n">
        <v>0.25</v>
      </c>
      <c r="D6" s="9" t="s">
        <v>113</v>
      </c>
      <c r="E6" s="9" t="n">
        <v>5</v>
      </c>
      <c r="F6" s="9" t="n">
        <v>2</v>
      </c>
      <c r="G6" s="9" t="n">
        <v>3</v>
      </c>
      <c r="H6" s="9"/>
      <c r="I6" s="9"/>
      <c r="J6" s="9"/>
    </row>
    <row r="7" customFormat="false" ht="15" hidden="false" customHeight="false" outlineLevel="0" collapsed="false">
      <c r="A7" s="9"/>
      <c r="B7" s="9"/>
      <c r="C7" s="17"/>
      <c r="D7" s="9"/>
      <c r="E7" s="9"/>
      <c r="F7" s="9"/>
      <c r="G7" s="9"/>
      <c r="H7" s="9"/>
      <c r="I7" s="9"/>
      <c r="J7" s="9"/>
    </row>
    <row r="8" customFormat="false" ht="15" hidden="false" customHeight="false" outlineLevel="0" collapsed="false">
      <c r="A8" s="9"/>
      <c r="B8" s="9"/>
      <c r="C8" s="17"/>
      <c r="D8" s="9"/>
      <c r="E8" s="9"/>
      <c r="F8" s="9"/>
      <c r="G8" s="9"/>
      <c r="H8" s="9"/>
      <c r="I8" s="9"/>
      <c r="J8" s="9"/>
    </row>
    <row r="9" customFormat="false" ht="15" hidden="false" customHeight="false" outlineLevel="0" collapsed="false">
      <c r="A9" s="9"/>
      <c r="B9" s="9"/>
      <c r="C9" s="17"/>
      <c r="D9" s="9"/>
      <c r="E9" s="9"/>
      <c r="F9" s="9"/>
      <c r="G9" s="9"/>
      <c r="H9" s="9"/>
      <c r="I9" s="9"/>
      <c r="J9" s="9"/>
    </row>
    <row r="10" customFormat="false" ht="15" hidden="false" customHeight="false" outlineLevel="0" collapsed="false">
      <c r="A10" s="9"/>
      <c r="B10" s="9"/>
      <c r="C10" s="17"/>
      <c r="D10" s="9"/>
      <c r="E10" s="9"/>
      <c r="F10" s="9"/>
      <c r="G10" s="9"/>
      <c r="H10" s="9"/>
      <c r="I10" s="9"/>
      <c r="J10" s="9"/>
    </row>
    <row r="11" customFormat="false" ht="15" hidden="false" customHeight="false" outlineLevel="0" collapsed="false">
      <c r="A11" s="9"/>
      <c r="B11" s="9"/>
      <c r="C11" s="17"/>
      <c r="D11" s="9"/>
      <c r="E11" s="9"/>
      <c r="F11" s="9"/>
      <c r="G11" s="9"/>
      <c r="H11" s="9"/>
      <c r="I11" s="9"/>
      <c r="J11" s="9"/>
    </row>
    <row r="12" customFormat="false" ht="15" hidden="false" customHeight="false" outlineLevel="0" collapsed="false">
      <c r="A12" s="9"/>
      <c r="B12" s="9"/>
      <c r="C12" s="17"/>
      <c r="D12" s="9"/>
      <c r="E12" s="9"/>
      <c r="F12" s="9"/>
      <c r="G12" s="9"/>
      <c r="H12" s="9"/>
      <c r="I12" s="9"/>
      <c r="J12" s="9"/>
    </row>
    <row r="13" customFormat="false" ht="15" hidden="false" customHeight="false" outlineLevel="0" collapsed="false">
      <c r="A13" s="9"/>
      <c r="B13" s="9"/>
      <c r="C13" s="17"/>
      <c r="D13" s="9"/>
      <c r="E13" s="9"/>
      <c r="F13" s="9"/>
      <c r="G13" s="9"/>
      <c r="H13" s="9"/>
      <c r="I13" s="9"/>
      <c r="J13" s="9"/>
    </row>
    <row r="14" customFormat="false" ht="15" hidden="false" customHeight="false" outlineLevel="0" collapsed="false">
      <c r="A14" s="9"/>
      <c r="B14" s="9"/>
      <c r="C14" s="17"/>
      <c r="D14" s="9"/>
      <c r="E14" s="9"/>
      <c r="F14" s="9"/>
      <c r="G14" s="9"/>
      <c r="H14" s="9"/>
      <c r="I14" s="9"/>
      <c r="J14" s="9"/>
    </row>
    <row r="15" customFormat="false" ht="15" hidden="false" customHeight="false" outlineLevel="0" collapsed="false">
      <c r="A15" s="9"/>
      <c r="B15" s="9"/>
      <c r="C15" s="17"/>
      <c r="D15" s="9"/>
      <c r="E15" s="9"/>
      <c r="F15" s="9"/>
      <c r="G15" s="9"/>
      <c r="H15" s="9"/>
      <c r="I15" s="9"/>
      <c r="J15" s="9"/>
    </row>
    <row r="16" customFormat="false" ht="23.85" hidden="false" customHeight="false" outlineLevel="0" collapsed="false">
      <c r="B16" s="11" t="s">
        <v>114</v>
      </c>
      <c r="C16" s="18" t="n">
        <f aca="false">SUM(C6:C15)</f>
        <v>0.25</v>
      </c>
      <c r="D16" s="14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11" t="s">
        <v>115</v>
      </c>
      <c r="E17" s="19" t="n">
        <f aca="false">IF(COUNT(E6:E15)=0,"",SUMPRODUCT($C$6:$C$15,E6:E15))</f>
        <v>1.25</v>
      </c>
      <c r="F17" s="19" t="n">
        <f aca="false">IF(COUNT(F6:F15)=0,"",SUMPRODUCT($C$6:$C$15,F6:F15))</f>
        <v>0.5</v>
      </c>
      <c r="G17" s="19" t="n">
        <f aca="false">IF(COUNT(G6:G15)=0,"",SUMPRODUCT($C$6:$C$15,G6:G15))</f>
        <v>0.75</v>
      </c>
      <c r="H17" s="19" t="str">
        <f aca="false">IF(COUNT(H6:H15)=0,"",SUMPRODUCT($C$6:$C$15,H6:H15))</f>
        <v/>
      </c>
      <c r="I17" s="19" t="str">
        <f aca="false">IF(COUNT(I6:I15)=0,"",SUMPRODUCT($C$6:$C$15,I6:I15))</f>
        <v/>
      </c>
      <c r="J17" s="19" t="str">
        <f aca="false">IF(COUNT(J6:J15)=0,"",SUMPRODUCT($C$6:$C$15,J6:J15))</f>
        <v/>
      </c>
    </row>
    <row r="18" customFormat="false" ht="15" hidden="false" customHeight="false" outlineLevel="0" collapsed="false">
      <c r="B18" s="11" t="s">
        <v>116</v>
      </c>
      <c r="E18" s="10" t="n">
        <f aca="false">IF(E17="","",RANK(E17,$E$17:$J$17))</f>
        <v>1</v>
      </c>
      <c r="F18" s="10" t="n">
        <f aca="false">IF(F17="","",RANK(F17,$E$17:$J$17))</f>
        <v>3</v>
      </c>
      <c r="G18" s="10" t="n">
        <f aca="false">IF(G17="","",RANK(G17,$E$17:$J$17))</f>
        <v>2</v>
      </c>
      <c r="H18" s="10" t="str">
        <f aca="false">IF(H17="","",RANK(H17,$E$17:$J$17))</f>
        <v/>
      </c>
      <c r="I18" s="10" t="str">
        <f aca="false">IF(I17="","",RANK(I17,$E$17:$J$17))</f>
        <v/>
      </c>
      <c r="J18" s="10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6" t="s">
        <v>117</v>
      </c>
    </row>
    <row r="2" customFormat="false" ht="15" hidden="false" customHeight="false" outlineLevel="0" collapsed="false">
      <c r="A2" s="3" t="s">
        <v>118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119</v>
      </c>
      <c r="B5" s="8" t="s">
        <v>120</v>
      </c>
      <c r="C5" s="8" t="s">
        <v>121</v>
      </c>
      <c r="D5" s="8" t="s">
        <v>122</v>
      </c>
      <c r="E5" s="8" t="s">
        <v>123</v>
      </c>
      <c r="F5" s="8" t="s">
        <v>124</v>
      </c>
      <c r="G5" s="8" t="s">
        <v>125</v>
      </c>
      <c r="H5" s="8" t="s">
        <v>126</v>
      </c>
      <c r="I5" s="8" t="s">
        <v>127</v>
      </c>
      <c r="J5" s="8" t="s">
        <v>128</v>
      </c>
      <c r="K5" s="8" t="s">
        <v>129</v>
      </c>
    </row>
    <row r="6" customFormat="false" ht="15" hidden="false" customHeight="false" outlineLevel="0" collapsed="false">
      <c r="A6" s="9" t="s">
        <v>130</v>
      </c>
      <c r="B6" s="9" t="s">
        <v>131</v>
      </c>
      <c r="C6" s="9" t="s">
        <v>132</v>
      </c>
      <c r="D6" s="9" t="s">
        <v>132</v>
      </c>
      <c r="E6" s="9" t="s">
        <v>132</v>
      </c>
      <c r="F6" s="9" t="s">
        <v>132</v>
      </c>
      <c r="G6" s="14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9" t="s">
        <v>111</v>
      </c>
      <c r="I6" s="17" t="n">
        <v>0.25</v>
      </c>
      <c r="J6" s="14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9" t="s">
        <v>133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4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9"/>
      <c r="I7" s="17"/>
      <c r="J7" s="14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4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9"/>
      <c r="I8" s="17"/>
      <c r="J8" s="14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4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9"/>
      <c r="I9" s="17"/>
      <c r="J9" s="14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4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9"/>
      <c r="I10" s="17"/>
      <c r="J10" s="14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4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9"/>
      <c r="I11" s="17"/>
      <c r="J11" s="14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4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9"/>
      <c r="I12" s="17"/>
      <c r="J12" s="14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4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9"/>
      <c r="I13" s="17"/>
      <c r="J13" s="14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4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9"/>
      <c r="I14" s="17"/>
      <c r="J14" s="14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4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9"/>
      <c r="I15" s="17"/>
      <c r="J15" s="14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4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9"/>
      <c r="I16" s="17"/>
      <c r="J16" s="14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4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9"/>
      <c r="I17" s="17"/>
      <c r="J17" s="14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4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9"/>
      <c r="I18" s="17"/>
      <c r="J18" s="14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4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9"/>
      <c r="I19" s="17"/>
      <c r="J19" s="14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4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9"/>
      <c r="I20" s="17"/>
      <c r="J20" s="14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9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6" t="s">
        <v>134</v>
      </c>
    </row>
    <row r="2" customFormat="false" ht="15" hidden="false" customHeight="false" outlineLevel="0" collapsed="false">
      <c r="A2" s="3" t="s">
        <v>135</v>
      </c>
    </row>
    <row r="3" customFormat="false" ht="15" hidden="false" customHeight="false" outlineLevel="0" collapsed="false">
      <c r="A3" s="7" t="s">
        <v>42</v>
      </c>
    </row>
    <row r="5" customFormat="false" ht="15" hidden="false" customHeight="false" outlineLevel="0" collapsed="false">
      <c r="A5" s="8" t="s">
        <v>43</v>
      </c>
      <c r="B5" s="8" t="s">
        <v>136</v>
      </c>
      <c r="C5" s="8" t="s">
        <v>137</v>
      </c>
      <c r="E5" s="8" t="s">
        <v>43</v>
      </c>
      <c r="F5" s="8" t="s">
        <v>138</v>
      </c>
      <c r="G5" s="8" t="s">
        <v>137</v>
      </c>
    </row>
    <row r="6" customFormat="false" ht="15" hidden="false" customHeight="false" outlineLevel="0" collapsed="false">
      <c r="A6" s="11" t="s">
        <v>139</v>
      </c>
      <c r="B6" s="9" t="s">
        <v>140</v>
      </c>
      <c r="C6" s="9" t="s">
        <v>141</v>
      </c>
      <c r="E6" s="11" t="s">
        <v>142</v>
      </c>
      <c r="F6" s="9" t="s">
        <v>143</v>
      </c>
      <c r="G6" s="9" t="s">
        <v>144</v>
      </c>
    </row>
    <row r="7" customFormat="false" ht="15" hidden="false" customHeight="false" outlineLevel="0" collapsed="false">
      <c r="A7" s="11" t="s">
        <v>145</v>
      </c>
      <c r="B7" s="9"/>
      <c r="C7" s="9"/>
      <c r="E7" s="11" t="s">
        <v>146</v>
      </c>
      <c r="F7" s="9"/>
      <c r="G7" s="9"/>
    </row>
    <row r="8" customFormat="false" ht="15" hidden="false" customHeight="false" outlineLevel="0" collapsed="false">
      <c r="A8" s="11" t="s">
        <v>147</v>
      </c>
      <c r="B8" s="9"/>
      <c r="C8" s="9"/>
      <c r="E8" s="11" t="s">
        <v>148</v>
      </c>
      <c r="F8" s="9"/>
      <c r="G8" s="9"/>
    </row>
    <row r="9" customFormat="false" ht="15" hidden="false" customHeight="false" outlineLevel="0" collapsed="false">
      <c r="A9" s="11" t="s">
        <v>149</v>
      </c>
      <c r="B9" s="9"/>
      <c r="C9" s="9"/>
      <c r="E9" s="11" t="s">
        <v>150</v>
      </c>
      <c r="F9" s="9"/>
      <c r="G9" s="9"/>
    </row>
    <row r="10" customFormat="false" ht="15" hidden="false" customHeight="false" outlineLevel="0" collapsed="false">
      <c r="A10" s="11" t="s">
        <v>151</v>
      </c>
      <c r="B10" s="9"/>
      <c r="C10" s="9"/>
      <c r="E10" s="11" t="s">
        <v>152</v>
      </c>
      <c r="F10" s="9"/>
      <c r="G10" s="9"/>
    </row>
    <row r="11" customFormat="false" ht="15" hidden="false" customHeight="false" outlineLevel="0" collapsed="false">
      <c r="A11" s="11" t="s">
        <v>153</v>
      </c>
      <c r="B11" s="9"/>
      <c r="C11" s="9"/>
      <c r="E11" s="11" t="s">
        <v>154</v>
      </c>
      <c r="F11" s="9"/>
      <c r="G11" s="9"/>
    </row>
    <row r="14" customFormat="false" ht="15" hidden="false" customHeight="false" outlineLevel="0" collapsed="false">
      <c r="A14" s="8" t="s">
        <v>43</v>
      </c>
      <c r="B14" s="8" t="s">
        <v>155</v>
      </c>
      <c r="C14" s="8" t="s">
        <v>137</v>
      </c>
      <c r="E14" s="8" t="s">
        <v>43</v>
      </c>
      <c r="F14" s="8" t="s">
        <v>156</v>
      </c>
      <c r="G14" s="8" t="s">
        <v>137</v>
      </c>
    </row>
    <row r="15" customFormat="false" ht="15" hidden="false" customHeight="false" outlineLevel="0" collapsed="false">
      <c r="A15" s="11" t="s">
        <v>157</v>
      </c>
      <c r="B15" s="9" t="s">
        <v>158</v>
      </c>
      <c r="C15" s="9" t="s">
        <v>159</v>
      </c>
      <c r="E15" s="11" t="s">
        <v>160</v>
      </c>
      <c r="F15" s="9" t="s">
        <v>161</v>
      </c>
      <c r="G15" s="9" t="s">
        <v>162</v>
      </c>
    </row>
    <row r="16" customFormat="false" ht="15" hidden="false" customHeight="false" outlineLevel="0" collapsed="false">
      <c r="A16" s="11" t="s">
        <v>163</v>
      </c>
      <c r="B16" s="9"/>
      <c r="C16" s="9"/>
      <c r="E16" s="11" t="s">
        <v>164</v>
      </c>
      <c r="F16" s="9"/>
      <c r="G16" s="9"/>
    </row>
    <row r="17" customFormat="false" ht="15" hidden="false" customHeight="false" outlineLevel="0" collapsed="false">
      <c r="A17" s="11" t="s">
        <v>165</v>
      </c>
      <c r="B17" s="9"/>
      <c r="C17" s="9"/>
      <c r="E17" s="11" t="s">
        <v>166</v>
      </c>
      <c r="F17" s="9"/>
      <c r="G17" s="9"/>
    </row>
    <row r="18" customFormat="false" ht="15" hidden="false" customHeight="false" outlineLevel="0" collapsed="false">
      <c r="A18" s="11" t="s">
        <v>167</v>
      </c>
      <c r="B18" s="9"/>
      <c r="C18" s="9"/>
      <c r="E18" s="11" t="s">
        <v>168</v>
      </c>
      <c r="F18" s="9"/>
      <c r="G18" s="9"/>
    </row>
    <row r="19" customFormat="false" ht="15" hidden="false" customHeight="false" outlineLevel="0" collapsed="false">
      <c r="A19" s="11" t="s">
        <v>169</v>
      </c>
      <c r="B19" s="9"/>
      <c r="C19" s="9"/>
      <c r="E19" s="11" t="s">
        <v>170</v>
      </c>
      <c r="F19" s="9"/>
      <c r="G19" s="9"/>
    </row>
    <row r="20" customFormat="false" ht="15" hidden="false" customHeight="false" outlineLevel="0" collapsed="false">
      <c r="A20" s="11" t="s">
        <v>171</v>
      </c>
      <c r="B20" s="9"/>
      <c r="C20" s="9"/>
      <c r="E20" s="11" t="s">
        <v>172</v>
      </c>
      <c r="F20" s="9"/>
      <c r="G20" s="9"/>
    </row>
    <row r="23" customFormat="false" ht="15" hidden="false" customHeight="false" outlineLevel="0" collapsed="false">
      <c r="A23" s="8" t="s">
        <v>173</v>
      </c>
      <c r="B23" s="8" t="s">
        <v>174</v>
      </c>
      <c r="C23" s="8" t="s">
        <v>175</v>
      </c>
    </row>
    <row r="24" customFormat="false" ht="15" hidden="false" customHeight="false" outlineLevel="0" collapsed="false">
      <c r="A24" s="9" t="s">
        <v>176</v>
      </c>
      <c r="B24" s="9" t="s">
        <v>177</v>
      </c>
      <c r="C24" s="9" t="s">
        <v>178</v>
      </c>
    </row>
    <row r="25" customFormat="false" ht="15" hidden="false" customHeight="false" outlineLevel="0" collapsed="false">
      <c r="A25" s="9"/>
      <c r="B25" s="9"/>
      <c r="C25" s="9"/>
    </row>
    <row r="26" customFormat="false" ht="15" hidden="false" customHeight="false" outlineLevel="0" collapsed="false">
      <c r="A26" s="9"/>
      <c r="B26" s="9"/>
      <c r="C26" s="9"/>
    </row>
    <row r="27" customFormat="false" ht="15" hidden="false" customHeight="false" outlineLevel="0" collapsed="false">
      <c r="A27" s="9"/>
      <c r="B27" s="9"/>
      <c r="C27" s="9"/>
    </row>
    <row r="28" customFormat="false" ht="15" hidden="false" customHeight="false" outlineLevel="0" collapsed="false">
      <c r="A28" s="9"/>
      <c r="B28" s="9"/>
      <c r="C28" s="9"/>
    </row>
    <row r="29" customFormat="false" ht="15" hidden="false" customHeight="false" outlineLevel="0" collapsed="false">
      <c r="A29" s="9"/>
      <c r="B29" s="9"/>
      <c r="C29" s="9"/>
    </row>
    <row r="30" customFormat="false" ht="15" hidden="false" customHeight="false" outlineLevel="0" collapsed="false">
      <c r="A30" s="9"/>
      <c r="B30" s="9"/>
      <c r="C30" s="9"/>
    </row>
    <row r="31" customFormat="false" ht="15" hidden="false" customHeight="false" outlineLevel="0" collapsed="false">
      <c r="A31" s="9"/>
      <c r="B31" s="9"/>
      <c r="C31" s="9"/>
    </row>
    <row r="32" customFormat="false" ht="15" hidden="false" customHeight="false" outlineLevel="0" collapsed="false">
      <c r="A32" s="9"/>
      <c r="B32" s="9"/>
      <c r="C32" s="9"/>
    </row>
    <row r="33" customFormat="false" ht="15" hidden="false" customHeight="false" outlineLevel="0" collapsed="false">
      <c r="A33" s="9"/>
      <c r="B33" s="9"/>
      <c r="C33" s="9"/>
    </row>
    <row r="34" customFormat="false" ht="15" hidden="false" customHeight="false" outlineLevel="0" collapsed="false">
      <c r="A34" s="9"/>
      <c r="B34" s="9"/>
      <c r="C34" s="9"/>
    </row>
    <row r="35" customFormat="false" ht="15" hidden="false" customHeight="false" outlineLevel="0" collapsed="false">
      <c r="A35" s="9"/>
      <c r="B35" s="9"/>
      <c r="C35" s="9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6" t="s">
        <v>17</v>
      </c>
    </row>
    <row r="2" customFormat="false" ht="15" hidden="false" customHeight="false" outlineLevel="0" collapsed="false">
      <c r="A2" s="3" t="s">
        <v>179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180</v>
      </c>
      <c r="B5" s="8" t="s">
        <v>181</v>
      </c>
      <c r="C5" s="8" t="s">
        <v>182</v>
      </c>
      <c r="D5" s="16" t="s">
        <v>183</v>
      </c>
      <c r="E5" s="16" t="s">
        <v>184</v>
      </c>
      <c r="F5" s="16" t="s">
        <v>185</v>
      </c>
      <c r="G5" s="16" t="s">
        <v>186</v>
      </c>
      <c r="H5" s="16" t="s">
        <v>187</v>
      </c>
    </row>
    <row r="6" customFormat="false" ht="15" hidden="false" customHeight="false" outlineLevel="0" collapsed="false">
      <c r="A6" s="9" t="s">
        <v>188</v>
      </c>
      <c r="B6" s="9" t="n">
        <v>5</v>
      </c>
      <c r="C6" s="9" t="s">
        <v>189</v>
      </c>
      <c r="D6" s="9" t="n">
        <v>3</v>
      </c>
      <c r="E6" s="9" t="n">
        <v>4</v>
      </c>
      <c r="F6" s="9" t="n">
        <v>3</v>
      </c>
      <c r="G6" s="9" t="n">
        <v>1</v>
      </c>
      <c r="H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</row>
    <row r="14" customFormat="false" ht="15" hidden="false" customHeight="false" outlineLevel="0" collapsed="false">
      <c r="A14" s="11" t="s">
        <v>115</v>
      </c>
      <c r="D14" s="19" t="n">
        <f aca="false">IF(COUNT(D6:D13)=0,"",SUMPRODUCT($B$6:$B$13,D6:D13)/SUMPRODUCT($B$6:$B$13*(D6:D13&lt;&gt;"")))</f>
        <v>3</v>
      </c>
      <c r="E14" s="19" t="n">
        <f aca="false">IF(COUNT(E6:E13)=0,"",SUMPRODUCT($B$6:$B$13,E6:E13)/SUMPRODUCT($B$6:$B$13*(E6:E13&lt;&gt;"")))</f>
        <v>4</v>
      </c>
      <c r="F14" s="19" t="n">
        <f aca="false">IF(COUNT(F6:F13)=0,"",SUMPRODUCT($B$6:$B$13,F6:F13)/SUMPRODUCT($B$6:$B$13*(F6:F13&lt;&gt;"")))</f>
        <v>3</v>
      </c>
      <c r="G14" s="19" t="n">
        <f aca="false">IF(COUNT(G6:G13)=0,"",SUMPRODUCT($B$6:$B$13,G6:G13)/SUMPRODUCT($B$6:$B$13*(G6:G13&lt;&gt;"")))</f>
        <v>1</v>
      </c>
      <c r="H14" s="19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11" t="s">
        <v>116</v>
      </c>
      <c r="D15" s="10" t="n">
        <f aca="false">IF(D14="","",RANK(D14,$D$14:$H$14))</f>
        <v>2</v>
      </c>
      <c r="E15" s="10" t="n">
        <f aca="false">IF(E14="","",RANK(E14,$D$14:$H$14))</f>
        <v>1</v>
      </c>
      <c r="F15" s="10" t="n">
        <f aca="false">IF(F14="","",RANK(F14,$D$14:$H$14))</f>
        <v>2</v>
      </c>
      <c r="G15" s="10" t="n">
        <f aca="false">IF(G14="","",RANK(G14,$D$14:$H$14))</f>
        <v>4</v>
      </c>
      <c r="H15" s="10" t="str">
        <f aca="false">IF(H14="","",RANK(H14,$D$14:$H$14))</f>
        <v/>
      </c>
    </row>
    <row r="17" customFormat="false" ht="23.85" hidden="false" customHeight="false" outlineLevel="0" collapsed="false">
      <c r="A17" s="5" t="s">
        <v>190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6" t="s">
        <v>19</v>
      </c>
    </row>
    <row r="2" customFormat="false" ht="15" hidden="false" customHeight="false" outlineLevel="0" collapsed="false">
      <c r="A2" s="3" t="s">
        <v>191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192</v>
      </c>
      <c r="B5" s="8" t="s">
        <v>193</v>
      </c>
      <c r="C5" s="8" t="s">
        <v>194</v>
      </c>
      <c r="D5" s="8" t="s">
        <v>195</v>
      </c>
      <c r="E5" s="8" t="s">
        <v>196</v>
      </c>
      <c r="F5" s="8" t="s">
        <v>197</v>
      </c>
      <c r="G5" s="8" t="s">
        <v>198</v>
      </c>
      <c r="H5" s="8" t="s">
        <v>199</v>
      </c>
      <c r="I5" s="8" t="s">
        <v>200</v>
      </c>
      <c r="J5" s="8" t="s">
        <v>201</v>
      </c>
      <c r="K5" s="8" t="s">
        <v>202</v>
      </c>
    </row>
    <row r="6" customFormat="false" ht="15" hidden="false" customHeight="false" outlineLevel="0" collapsed="false">
      <c r="A6" s="9" t="s">
        <v>203</v>
      </c>
      <c r="B6" s="17" t="n">
        <v>0.3</v>
      </c>
      <c r="C6" s="13" t="n">
        <v>12</v>
      </c>
      <c r="D6" s="17" t="n">
        <v>0.5</v>
      </c>
      <c r="E6" s="13" t="n">
        <v>4</v>
      </c>
      <c r="F6" s="17" t="n">
        <v>0.2</v>
      </c>
      <c r="G6" s="13" t="n">
        <v>-6</v>
      </c>
      <c r="H6" s="14" t="str">
        <f aca="false">IF(A6="","",IF(ABS(B6+D6+F6-1)&lt;0.001,"OK","Must sum to 100%"))</f>
        <v>OK</v>
      </c>
      <c r="I6" s="19" t="n">
        <f aca="false">IF(A6="","",B6*C6+D6*E6+F6*G6)</f>
        <v>4.4</v>
      </c>
      <c r="J6" s="12" t="n">
        <f aca="false">IF(A6="","",MIN(C6,E6,G6))</f>
        <v>-6</v>
      </c>
      <c r="K6" s="12" t="n">
        <f aca="false">IF(A6="","",MAX(C6,E6,G6))</f>
        <v>12</v>
      </c>
    </row>
    <row r="7" customFormat="false" ht="15" hidden="false" customHeight="false" outlineLevel="0" collapsed="false">
      <c r="A7" s="9" t="s">
        <v>204</v>
      </c>
      <c r="B7" s="17" t="n">
        <v>0.3</v>
      </c>
      <c r="C7" s="13" t="n">
        <v>6</v>
      </c>
      <c r="D7" s="17" t="n">
        <v>0.5</v>
      </c>
      <c r="E7" s="13" t="n">
        <v>4</v>
      </c>
      <c r="F7" s="17" t="n">
        <v>0.2</v>
      </c>
      <c r="G7" s="13" t="n">
        <v>1</v>
      </c>
      <c r="H7" s="14" t="str">
        <f aca="false">IF(A7="","",IF(ABS(B7+D7+F7-1)&lt;0.001,"OK","Must sum to 100%"))</f>
        <v>OK</v>
      </c>
      <c r="I7" s="19" t="n">
        <f aca="false">IF(A7="","",B7*C7+D7*E7+F7*G7)</f>
        <v>4</v>
      </c>
      <c r="J7" s="12" t="n">
        <f aca="false">IF(A7="","",MIN(C7,E7,G7))</f>
        <v>1</v>
      </c>
      <c r="K7" s="12" t="n">
        <f aca="false">IF(A7="","",MAX(C7,E7,G7))</f>
        <v>6</v>
      </c>
    </row>
    <row r="8" customFormat="false" ht="15" hidden="false" customHeight="false" outlineLevel="0" collapsed="false">
      <c r="A8" s="9" t="s">
        <v>205</v>
      </c>
      <c r="B8" s="17" t="n">
        <v>0.3</v>
      </c>
      <c r="C8" s="13" t="n">
        <v>0</v>
      </c>
      <c r="D8" s="17" t="n">
        <v>0.5</v>
      </c>
      <c r="E8" s="13" t="n">
        <v>0</v>
      </c>
      <c r="F8" s="17" t="n">
        <v>0.2</v>
      </c>
      <c r="G8" s="13" t="n">
        <v>0</v>
      </c>
      <c r="H8" s="14" t="str">
        <f aca="false">IF(A8="","",IF(ABS(B8+D8+F8-1)&lt;0.001,"OK","Must sum to 100%"))</f>
        <v>OK</v>
      </c>
      <c r="I8" s="19" t="n">
        <f aca="false">IF(A8="","",B8*C8+D8*E8+F8*G8)</f>
        <v>0</v>
      </c>
      <c r="J8" s="12" t="n">
        <f aca="false">IF(A8="","",MIN(C8,E8,G8))</f>
        <v>0</v>
      </c>
      <c r="K8" s="12" t="n">
        <f aca="false">IF(A8="","",MAX(C8,E8,G8))</f>
        <v>0</v>
      </c>
    </row>
    <row r="9" customFormat="false" ht="15" hidden="false" customHeight="false" outlineLevel="0" collapsed="false">
      <c r="A9" s="9"/>
      <c r="B9" s="17"/>
      <c r="C9" s="13"/>
      <c r="D9" s="17"/>
      <c r="E9" s="13"/>
      <c r="F9" s="17"/>
      <c r="G9" s="13"/>
      <c r="H9" s="14" t="str">
        <f aca="false">IF(A9="","",IF(ABS(B9+D9+F9-1)&lt;0.001,"OK","Must sum to 100%"))</f>
        <v/>
      </c>
      <c r="I9" s="19" t="str">
        <f aca="false">IF(A9="","",B9*C9+D9*E9+F9*G9)</f>
        <v/>
      </c>
      <c r="J9" s="12" t="str">
        <f aca="false">IF(A9="","",MIN(C9,E9,G9))</f>
        <v/>
      </c>
      <c r="K9" s="12" t="str">
        <f aca="false">IF(A9="","",MAX(C9,E9,G9))</f>
        <v/>
      </c>
    </row>
    <row r="10" customFormat="false" ht="15" hidden="false" customHeight="false" outlineLevel="0" collapsed="false">
      <c r="A10" s="9"/>
      <c r="B10" s="17"/>
      <c r="C10" s="13"/>
      <c r="D10" s="17"/>
      <c r="E10" s="13"/>
      <c r="F10" s="17"/>
      <c r="G10" s="13"/>
      <c r="H10" s="14" t="str">
        <f aca="false">IF(A10="","",IF(ABS(B10+D10+F10-1)&lt;0.001,"OK","Must sum to 100%"))</f>
        <v/>
      </c>
      <c r="I10" s="19" t="str">
        <f aca="false">IF(A10="","",B10*C10+D10*E10+F10*G10)</f>
        <v/>
      </c>
      <c r="J10" s="12" t="str">
        <f aca="false">IF(A10="","",MIN(C10,E10,G10))</f>
        <v/>
      </c>
      <c r="K10" s="12" t="str">
        <f aca="false">IF(A10="","",MAX(C10,E10,G10))</f>
        <v/>
      </c>
    </row>
    <row r="11" customFormat="false" ht="15" hidden="false" customHeight="false" outlineLevel="0" collapsed="false">
      <c r="A11" s="9"/>
      <c r="B11" s="17"/>
      <c r="C11" s="13"/>
      <c r="D11" s="17"/>
      <c r="E11" s="13"/>
      <c r="F11" s="17"/>
      <c r="G11" s="13"/>
      <c r="H11" s="14" t="str">
        <f aca="false">IF(A11="","",IF(ABS(B11+D11+F11-1)&lt;0.001,"OK","Must sum to 100%"))</f>
        <v/>
      </c>
      <c r="I11" s="19" t="str">
        <f aca="false">IF(A11="","",B11*C11+D11*E11+F11*G11)</f>
        <v/>
      </c>
      <c r="J11" s="12" t="str">
        <f aca="false">IF(A11="","",MIN(C11,E11,G11))</f>
        <v/>
      </c>
      <c r="K11" s="12" t="str">
        <f aca="false">IF(A11="","",MAX(C11,E11,G11))</f>
        <v/>
      </c>
    </row>
    <row r="13" customFormat="false" ht="23.85" hidden="false" customHeight="false" outlineLevel="0" collapsed="false">
      <c r="A13" s="11" t="s">
        <v>206</v>
      </c>
      <c r="B13" s="20" t="str">
        <f aca="false">IFERROR(INDEX(A6:A11,MATCH(MAX(I6:I11),I6:I11,0)),"")</f>
        <v>A. Move upmarket</v>
      </c>
    </row>
    <row r="14" customFormat="false" ht="23.85" hidden="false" customHeight="false" outlineLevel="0" collapsed="false">
      <c r="A14" s="11" t="s">
        <v>207</v>
      </c>
      <c r="B14" s="20" t="str">
        <f aca="false">IFERROR(INDEX(A6:A11,MATCH(MAX(J6:J11),J6:J11,0)),"")</f>
        <v>B. Cut costs</v>
      </c>
    </row>
    <row r="15" customFormat="false" ht="23.85" hidden="false" customHeight="true" outlineLevel="0" collapsed="false">
      <c r="A15" s="11" t="s">
        <v>208</v>
      </c>
      <c r="B15" s="19" t="n">
        <f aca="false">IFERROR(INDEX(B6:B11,MATCH(MAX(I6:I11),I6:I11,0))*MAX(C6:C11)+INDEX(D6:D11,MATCH(MAX(I6:I11),I6:I11,0))*MAX(E6:E11)+INDEX(F6:F11,MATCH(MAX(I6:I11),I6:I11,0))*MAX(G6:G11)-MAX(I6:I11),"")</f>
        <v>1.4</v>
      </c>
      <c r="C15" s="21" t="s">
        <v>209</v>
      </c>
      <c r="D15" s="21"/>
      <c r="E15" s="21"/>
      <c r="F15" s="21"/>
      <c r="G15" s="21"/>
      <c r="H15" s="21"/>
      <c r="I15" s="21"/>
      <c r="J15" s="21"/>
      <c r="K15" s="21"/>
    </row>
    <row r="18" customFormat="false" ht="23.85" hidden="false" customHeight="true" outlineLevel="0" collapsed="false">
      <c r="A18" s="11" t="s">
        <v>210</v>
      </c>
      <c r="B18" s="21" t="s">
        <v>211</v>
      </c>
      <c r="C18" s="21"/>
      <c r="D18" s="21"/>
      <c r="E18" s="21"/>
      <c r="F18" s="21"/>
      <c r="G18" s="21"/>
      <c r="H18" s="21"/>
      <c r="I18" s="21"/>
      <c r="J18" s="21"/>
      <c r="K18" s="21"/>
    </row>
    <row r="19" customFormat="false" ht="30" hidden="false" customHeight="true" outlineLevel="0" collapsed="false">
      <c r="A19" s="8" t="s">
        <v>212</v>
      </c>
      <c r="B19" s="8" t="s">
        <v>213</v>
      </c>
      <c r="C19" s="8" t="s">
        <v>214</v>
      </c>
      <c r="D19" s="8" t="s">
        <v>215</v>
      </c>
      <c r="E19" s="8" t="s">
        <v>216</v>
      </c>
      <c r="F19" s="8" t="s">
        <v>217</v>
      </c>
      <c r="G19" s="8" t="s">
        <v>218</v>
      </c>
    </row>
    <row r="20" customFormat="false" ht="15" hidden="false" customHeight="false" outlineLevel="0" collapsed="false">
      <c r="A20" s="5" t="s">
        <v>219</v>
      </c>
      <c r="B20" s="22" t="n">
        <f aca="false">IF(B6="","",B6)</f>
        <v>0.3</v>
      </c>
      <c r="C20" s="17" t="n">
        <v>0.8</v>
      </c>
      <c r="D20" s="17" t="n">
        <v>0.2</v>
      </c>
      <c r="E20" s="14" t="str">
        <f aca="false">IF(C20="","",IF(ABS(C20+D20-1)&lt;0.001,"OK","Must sum to 100%"))</f>
        <v>OK</v>
      </c>
      <c r="F20" s="23" t="n">
        <f aca="false">IFERROR(B20*C20/SUMPRODUCT($B$20:$B$22,$C$20:$C$22),"")</f>
        <v>0.461538461538462</v>
      </c>
      <c r="G20" s="23" t="n">
        <f aca="false">IFERROR(B20*D20/SUMPRODUCT($B$20:$B$22,$D$20:$D$22),"")</f>
        <v>0.125</v>
      </c>
    </row>
    <row r="21" customFormat="false" ht="15" hidden="false" customHeight="false" outlineLevel="0" collapsed="false">
      <c r="A21" s="5" t="s">
        <v>220</v>
      </c>
      <c r="B21" s="22" t="n">
        <f aca="false">IF(D6="","",D6)</f>
        <v>0.5</v>
      </c>
      <c r="C21" s="17" t="n">
        <v>0.5</v>
      </c>
      <c r="D21" s="17" t="n">
        <v>0.5</v>
      </c>
      <c r="E21" s="14" t="str">
        <f aca="false">IF(C21="","",IF(ABS(C21+D21-1)&lt;0.001,"OK","Must sum to 100%"))</f>
        <v>OK</v>
      </c>
      <c r="F21" s="23" t="n">
        <f aca="false">IFERROR(B21*C21/SUMPRODUCT($B$20:$B$22,$C$20:$C$22),"")</f>
        <v>0.480769230769231</v>
      </c>
      <c r="G21" s="23" t="n">
        <f aca="false">IFERROR(B21*D21/SUMPRODUCT($B$20:$B$22,$D$20:$D$22),"")</f>
        <v>0.520833333333333</v>
      </c>
    </row>
    <row r="22" customFormat="false" ht="15" hidden="false" customHeight="false" outlineLevel="0" collapsed="false">
      <c r="A22" s="5" t="s">
        <v>221</v>
      </c>
      <c r="B22" s="22" t="n">
        <f aca="false">IF(F6="","",F6)</f>
        <v>0.2</v>
      </c>
      <c r="C22" s="17" t="n">
        <v>0.15</v>
      </c>
      <c r="D22" s="17" t="n">
        <v>0.85</v>
      </c>
      <c r="E22" s="14" t="str">
        <f aca="false">IF(C22="","",IF(ABS(C22+D22-1)&lt;0.001,"OK","Must sum to 100%"))</f>
        <v>OK</v>
      </c>
      <c r="F22" s="23" t="n">
        <f aca="false">IFERROR(B22*C22/SUMPRODUCT($B$20:$B$22,$C$20:$C$22),"")</f>
        <v>0.0576923076923077</v>
      </c>
      <c r="G22" s="23" t="n">
        <f aca="false">IFERROR(B22*D22/SUMPRODUCT($B$20:$B$22,$D$20:$D$22),"")</f>
        <v>0.354166666666667</v>
      </c>
    </row>
    <row r="23" customFormat="false" ht="15" hidden="false" customHeight="false" outlineLevel="0" collapsed="false">
      <c r="A23" s="11" t="s">
        <v>222</v>
      </c>
      <c r="F23" s="24" t="n">
        <f aca="false">IFERROR(SUMPRODUCT(B20:B22,C20:C22),"")</f>
        <v>0.52</v>
      </c>
      <c r="G23" s="24" t="n">
        <f aca="false">IFERROR(SUMPRODUCT(B20:B22,D20:D22),"")</f>
        <v>0.48</v>
      </c>
    </row>
    <row r="25" customFormat="false" ht="30" hidden="false" customHeight="true" outlineLevel="0" collapsed="false">
      <c r="A25" s="8" t="s">
        <v>192</v>
      </c>
      <c r="B25" s="8" t="s">
        <v>223</v>
      </c>
      <c r="C25" s="8" t="s">
        <v>224</v>
      </c>
      <c r="D25" s="8" t="s">
        <v>225</v>
      </c>
    </row>
    <row r="26" customFormat="false" ht="15" hidden="false" customHeight="false" outlineLevel="0" collapsed="false">
      <c r="A26" s="14" t="str">
        <f aca="false">IF(A6="","",A6)</f>
        <v>A. Move upmarket</v>
      </c>
      <c r="B26" s="25" t="n">
        <f aca="false">IF(A6="","",I6)</f>
        <v>4.4</v>
      </c>
      <c r="C26" s="25" t="n">
        <f aca="false">IF(OR(A6="",F20=""),"",C6*F20+E6*F21+G6*F22)</f>
        <v>7.11538461538462</v>
      </c>
      <c r="D26" s="25" t="n">
        <f aca="false">IF(OR(A6="",G20=""),"",C6*G20+E6*G21+G6*G22)</f>
        <v>1.45833333333333</v>
      </c>
    </row>
    <row r="27" customFormat="false" ht="15" hidden="false" customHeight="false" outlineLevel="0" collapsed="false">
      <c r="A27" s="14" t="str">
        <f aca="false">IF(A7="","",A7)</f>
        <v>B. Cut costs</v>
      </c>
      <c r="B27" s="25" t="n">
        <f aca="false">IF(A7="","",I7)</f>
        <v>4</v>
      </c>
      <c r="C27" s="25" t="n">
        <f aca="false">IF(OR(A7="",F20=""),"",C7*F20+E7*F21+G7*F22)</f>
        <v>4.75</v>
      </c>
      <c r="D27" s="25" t="n">
        <f aca="false">IF(OR(A7="",G20=""),"",C7*G20+E7*G21+G7*G22)</f>
        <v>3.1875</v>
      </c>
    </row>
    <row r="28" customFormat="false" ht="15" hidden="false" customHeight="false" outlineLevel="0" collapsed="false">
      <c r="A28" s="14" t="str">
        <f aca="false">IF(A8="","",A8)</f>
        <v>C. Do nothing</v>
      </c>
      <c r="B28" s="25" t="n">
        <f aca="false">IF(A8="","",I8)</f>
        <v>0</v>
      </c>
      <c r="C28" s="25" t="n">
        <f aca="false">IF(OR(A8="",F20=""),"",C8*F20+E8*F21+G8*F22)</f>
        <v>0</v>
      </c>
      <c r="D28" s="25" t="n">
        <f aca="false">IF(OR(A8="",G20=""),"",C8*G20+E8*G21+G8*G22)</f>
        <v>0</v>
      </c>
    </row>
    <row r="29" customFormat="false" ht="15" hidden="false" customHeight="false" outlineLevel="0" collapsed="false">
      <c r="A29" s="14" t="str">
        <f aca="false">IF(A9="","",A9)</f>
        <v/>
      </c>
      <c r="B29" s="25" t="str">
        <f aca="false">IF(A9="","",I9)</f>
        <v/>
      </c>
      <c r="C29" s="25" t="str">
        <f aca="false">IF(OR(A9="",F20=""),"",C9*F20+E9*F21+G9*F22)</f>
        <v/>
      </c>
      <c r="D29" s="25" t="str">
        <f aca="false">IF(OR(A9="",G20=""),"",C9*G20+E9*G21+G9*G22)</f>
        <v/>
      </c>
    </row>
    <row r="30" customFormat="false" ht="15" hidden="false" customHeight="false" outlineLevel="0" collapsed="false">
      <c r="A30" s="14" t="str">
        <f aca="false">IF(A10="","",A10)</f>
        <v/>
      </c>
      <c r="B30" s="25" t="str">
        <f aca="false">IF(A10="","",I10)</f>
        <v/>
      </c>
      <c r="C30" s="25" t="str">
        <f aca="false">IF(OR(A10="",F20=""),"",C10*F20+E10*F21+G10*F22)</f>
        <v/>
      </c>
      <c r="D30" s="25" t="str">
        <f aca="false">IF(OR(A10="",G20=""),"",C10*G20+E10*G21+G10*G22)</f>
        <v/>
      </c>
    </row>
    <row r="31" customFormat="false" ht="15" hidden="false" customHeight="false" outlineLevel="0" collapsed="false">
      <c r="A31" s="14" t="str">
        <f aca="false">IF(A11="","",A11)</f>
        <v/>
      </c>
      <c r="B31" s="25" t="str">
        <f aca="false">IF(A11="","",I11)</f>
        <v/>
      </c>
      <c r="C31" s="25" t="str">
        <f aca="false">IF(OR(A11="",F20=""),"",C11*F20+E11*F21+G11*F22)</f>
        <v/>
      </c>
      <c r="D31" s="25" t="str">
        <f aca="false">IF(OR(A11="",G20=""),"",C11*G20+E11*G21+G11*G22)</f>
        <v/>
      </c>
    </row>
    <row r="33" customFormat="false" ht="23.85" hidden="false" customHeight="true" outlineLevel="0" collapsed="false">
      <c r="A33" s="11" t="s">
        <v>226</v>
      </c>
      <c r="B33" s="20" t="str">
        <f aca="false">IFERROR(INDEX(A26:A31,MATCH(MAX(C26:C31),C26:C31,0)),"")</f>
        <v>A. Move upmarket</v>
      </c>
      <c r="C33" s="21" t="s">
        <v>227</v>
      </c>
      <c r="D33" s="21"/>
      <c r="E33" s="21"/>
      <c r="F33" s="21"/>
      <c r="G33" s="21"/>
      <c r="H33" s="21"/>
      <c r="I33" s="21"/>
      <c r="J33" s="21"/>
      <c r="K33" s="21"/>
    </row>
    <row r="34" customFormat="false" ht="23.85" hidden="false" customHeight="false" outlineLevel="0" collapsed="false">
      <c r="A34" s="11" t="s">
        <v>228</v>
      </c>
      <c r="B34" s="20" t="str">
        <f aca="false">IFERROR(INDEX(A26:A31,MATCH(MAX(D26:D31),D26:D31,0)),"")</f>
        <v>B. Cut costs</v>
      </c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23.85" hidden="false" customHeight="false" outlineLevel="0" collapsed="false">
      <c r="A35" s="11" t="s">
        <v>229</v>
      </c>
      <c r="B35" s="19" t="n">
        <f aca="false">IFERROR(F23*MAX(C26:C31)+G23*MAX(D26:D31),"")</f>
        <v>5.23</v>
      </c>
    </row>
    <row r="36" customFormat="false" ht="15" hidden="false" customHeight="false" outlineLevel="0" collapsed="false">
      <c r="A36" s="11" t="s">
        <v>230</v>
      </c>
      <c r="B36" s="19" t="n">
        <f aca="false">IFERROR(B35-MAX(I6:I11),"")</f>
        <v>0.830000000000001</v>
      </c>
    </row>
    <row r="37" customFormat="false" ht="15" hidden="false" customHeight="false" outlineLevel="0" collapsed="false">
      <c r="A37" s="11" t="s">
        <v>231</v>
      </c>
      <c r="B37" s="26" t="n">
        <v>0.5</v>
      </c>
    </row>
    <row r="38" customFormat="false" ht="23.85" hidden="false" customHeight="false" outlineLevel="0" collapsed="false">
      <c r="A38" s="11" t="s">
        <v>232</v>
      </c>
      <c r="B38" s="19" t="n">
        <f aca="false">IFERROR(IF(B37="","",B36-B37),"")</f>
        <v>0.330000000000001</v>
      </c>
    </row>
    <row r="39" customFormat="false" ht="15" hidden="false" customHeight="false" outlineLevel="0" collapsed="false">
      <c r="A39" s="11" t="s">
        <v>233</v>
      </c>
      <c r="B39" s="18" t="n">
        <f aca="false">IFERROR(B36/B15,"")</f>
        <v>0.592857142857143</v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6" t="s">
        <v>21</v>
      </c>
    </row>
    <row r="2" customFormat="false" ht="15" hidden="false" customHeight="false" outlineLevel="0" collapsed="false">
      <c r="A2" s="3" t="s">
        <v>234</v>
      </c>
    </row>
    <row r="3" customFormat="false" ht="15" hidden="false" customHeight="false" outlineLevel="0" collapsed="false">
      <c r="A3" s="7" t="s">
        <v>42</v>
      </c>
    </row>
    <row r="5" customFormat="false" ht="15" hidden="false" customHeight="false" outlineLevel="0" collapsed="false">
      <c r="A5" s="11" t="s">
        <v>235</v>
      </c>
    </row>
    <row r="6" customFormat="false" ht="15" hidden="false" customHeight="false" outlineLevel="0" collapsed="false">
      <c r="A6" s="5" t="s">
        <v>236</v>
      </c>
      <c r="B6" s="27" t="n">
        <v>0.1</v>
      </c>
    </row>
    <row r="7" customFormat="false" ht="15" hidden="false" customHeight="false" outlineLevel="0" collapsed="false">
      <c r="A7" s="5" t="s">
        <v>237</v>
      </c>
      <c r="B7" s="27" t="n">
        <v>0.21</v>
      </c>
    </row>
    <row r="8" customFormat="false" ht="15" hidden="false" customHeight="false" outlineLevel="0" collapsed="false">
      <c r="A8" s="5" t="s">
        <v>238</v>
      </c>
      <c r="B8" s="27" t="n">
        <v>0.05</v>
      </c>
    </row>
    <row r="10" customFormat="false" ht="15" hidden="false" customHeight="false" outlineLevel="0" collapsed="false">
      <c r="A10" s="8" t="s">
        <v>239</v>
      </c>
      <c r="B10" s="8" t="s">
        <v>240</v>
      </c>
      <c r="C10" s="8" t="s">
        <v>241</v>
      </c>
      <c r="D10" s="8" t="s">
        <v>242</v>
      </c>
      <c r="E10" s="8" t="s">
        <v>243</v>
      </c>
      <c r="F10" s="8" t="s">
        <v>244</v>
      </c>
      <c r="G10" s="8" t="s">
        <v>245</v>
      </c>
    </row>
    <row r="11" customFormat="false" ht="15" hidden="false" customHeight="false" outlineLevel="0" collapsed="false">
      <c r="A11" s="5" t="s">
        <v>246</v>
      </c>
      <c r="B11" s="28" t="n">
        <v>0</v>
      </c>
      <c r="C11" s="28" t="n">
        <v>32400</v>
      </c>
      <c r="D11" s="28" t="n">
        <v>64800</v>
      </c>
      <c r="E11" s="28" t="n">
        <v>97200</v>
      </c>
      <c r="F11" s="28" t="n">
        <v>108000</v>
      </c>
      <c r="G11" s="28" t="n">
        <v>108000</v>
      </c>
    </row>
    <row r="12" customFormat="false" ht="15" hidden="false" customHeight="false" outlineLevel="0" collapsed="false">
      <c r="A12" s="5" t="s">
        <v>247</v>
      </c>
      <c r="B12" s="29" t="n">
        <v>32000</v>
      </c>
      <c r="C12" s="29" t="n">
        <v>32000</v>
      </c>
      <c r="D12" s="29" t="n">
        <v>32000</v>
      </c>
      <c r="E12" s="29" t="n">
        <v>32000</v>
      </c>
      <c r="F12" s="29" t="n">
        <v>32000</v>
      </c>
      <c r="G12" s="29" t="n">
        <v>32000</v>
      </c>
    </row>
    <row r="13" customFormat="false" ht="15" hidden="false" customHeight="false" outlineLevel="0" collapsed="false">
      <c r="A13" s="5" t="s">
        <v>248</v>
      </c>
      <c r="B13" s="29" t="n">
        <v>20000</v>
      </c>
      <c r="C13" s="29" t="n">
        <v>20000</v>
      </c>
      <c r="D13" s="29" t="n">
        <v>20000</v>
      </c>
      <c r="E13" s="29" t="n">
        <v>20000</v>
      </c>
      <c r="F13" s="29" t="n">
        <v>20000</v>
      </c>
      <c r="G13" s="29" t="n">
        <v>20000</v>
      </c>
    </row>
    <row r="14" customFormat="false" ht="15" hidden="false" customHeight="false" outlineLevel="0" collapsed="false">
      <c r="A14" s="5" t="s">
        <v>249</v>
      </c>
      <c r="B14" s="29" t="n">
        <v>0</v>
      </c>
      <c r="C14" s="29" t="n">
        <v>180000000</v>
      </c>
      <c r="D14" s="29" t="n">
        <v>180000000</v>
      </c>
      <c r="E14" s="29" t="n">
        <v>180000000</v>
      </c>
      <c r="F14" s="29" t="n">
        <v>180000000</v>
      </c>
      <c r="G14" s="29" t="n">
        <v>180000000</v>
      </c>
    </row>
    <row r="15" customFormat="false" ht="15" hidden="false" customHeight="false" outlineLevel="0" collapsed="false">
      <c r="A15" s="5" t="s">
        <v>250</v>
      </c>
      <c r="B15" s="29" t="n">
        <v>2000000000</v>
      </c>
      <c r="C15" s="29" t="n">
        <v>100000000</v>
      </c>
      <c r="D15" s="29" t="n">
        <v>100000000</v>
      </c>
      <c r="E15" s="29" t="n">
        <v>50000000</v>
      </c>
      <c r="F15" s="29" t="n">
        <v>50000000</v>
      </c>
      <c r="G15" s="29" t="n">
        <v>50000000</v>
      </c>
    </row>
    <row r="16" customFormat="false" ht="15" hidden="false" customHeight="false" outlineLevel="0" collapsed="false">
      <c r="A16" s="5" t="s">
        <v>251</v>
      </c>
      <c r="B16" s="30" t="n">
        <f aca="false">B11*B12</f>
        <v>0</v>
      </c>
      <c r="C16" s="30" t="n">
        <f aca="false">C11*C12</f>
        <v>1036800000</v>
      </c>
      <c r="D16" s="30" t="n">
        <f aca="false">D11*D12</f>
        <v>2073600000</v>
      </c>
      <c r="E16" s="30" t="n">
        <f aca="false">E11*E12</f>
        <v>3110400000</v>
      </c>
      <c r="F16" s="30" t="n">
        <f aca="false">F11*F12</f>
        <v>3456000000</v>
      </c>
      <c r="G16" s="30" t="n">
        <f aca="false">G11*G12</f>
        <v>3456000000</v>
      </c>
    </row>
    <row r="17" customFormat="false" ht="15" hidden="false" customHeight="false" outlineLevel="0" collapsed="false">
      <c r="A17" s="5" t="s">
        <v>252</v>
      </c>
      <c r="B17" s="30" t="n">
        <f aca="false">B11*(B12-B13)</f>
        <v>0</v>
      </c>
      <c r="C17" s="30" t="n">
        <f aca="false">C11*(C12-C13)</f>
        <v>388800000</v>
      </c>
      <c r="D17" s="30" t="n">
        <f aca="false">D11*(D12-D13)</f>
        <v>777600000</v>
      </c>
      <c r="E17" s="30" t="n">
        <f aca="false">E11*(E12-E13)</f>
        <v>1166400000</v>
      </c>
      <c r="F17" s="30" t="n">
        <f aca="false">F11*(F12-F13)</f>
        <v>1296000000</v>
      </c>
      <c r="G17" s="30" t="n">
        <f aca="false">G11*(G12-G13)</f>
        <v>1296000000</v>
      </c>
    </row>
    <row r="18" customFormat="false" ht="15" hidden="false" customHeight="false" outlineLevel="0" collapsed="false">
      <c r="A18" s="5" t="s">
        <v>253</v>
      </c>
      <c r="B18" s="30" t="n">
        <f aca="false">B17-B14</f>
        <v>0</v>
      </c>
      <c r="C18" s="30" t="n">
        <f aca="false">C17-C14</f>
        <v>208800000</v>
      </c>
      <c r="D18" s="30" t="n">
        <f aca="false">D17-D14</f>
        <v>597600000</v>
      </c>
      <c r="E18" s="30" t="n">
        <f aca="false">E17-E14</f>
        <v>986400000</v>
      </c>
      <c r="F18" s="30" t="n">
        <f aca="false">F17-F14</f>
        <v>1116000000</v>
      </c>
      <c r="G18" s="30" t="n">
        <f aca="false">G17-G14</f>
        <v>1116000000</v>
      </c>
    </row>
    <row r="19" customFormat="false" ht="15" hidden="false" customHeight="false" outlineLevel="0" collapsed="false">
      <c r="A19" s="5" t="s">
        <v>254</v>
      </c>
      <c r="B19" s="30" t="n">
        <f aca="false">MAX(0,B18)*$B$7</f>
        <v>0</v>
      </c>
      <c r="C19" s="30" t="n">
        <f aca="false">MAX(0,C18)*$B$7</f>
        <v>43848000</v>
      </c>
      <c r="D19" s="30" t="n">
        <f aca="false">MAX(0,D18)*$B$7</f>
        <v>125496000</v>
      </c>
      <c r="E19" s="30" t="n">
        <f aca="false">MAX(0,E18)*$B$7</f>
        <v>207144000</v>
      </c>
      <c r="F19" s="30" t="n">
        <f aca="false">MAX(0,F18)*$B$7</f>
        <v>234360000</v>
      </c>
      <c r="G19" s="30" t="n">
        <f aca="false">MAX(0,G18)*$B$7</f>
        <v>234360000</v>
      </c>
    </row>
    <row r="20" customFormat="false" ht="15" hidden="false" customHeight="false" outlineLevel="0" collapsed="false">
      <c r="A20" s="5" t="s">
        <v>255</v>
      </c>
      <c r="B20" s="30" t="n">
        <f aca="false">B16*$B$8</f>
        <v>0</v>
      </c>
      <c r="C20" s="30" t="n">
        <f aca="false">C16*$B$8</f>
        <v>51840000</v>
      </c>
      <c r="D20" s="30" t="n">
        <f aca="false">D16*$B$8</f>
        <v>103680000</v>
      </c>
      <c r="E20" s="30" t="n">
        <f aca="false">E16*$B$8</f>
        <v>155520000</v>
      </c>
      <c r="F20" s="30" t="n">
        <f aca="false">F16*$B$8</f>
        <v>172800000</v>
      </c>
      <c r="G20" s="30" t="n">
        <f aca="false">G16*$B$8</f>
        <v>172800000</v>
      </c>
    </row>
    <row r="21" customFormat="false" ht="15" hidden="false" customHeight="false" outlineLevel="0" collapsed="false">
      <c r="A21" s="5" t="s">
        <v>256</v>
      </c>
      <c r="B21" s="30" t="n">
        <f aca="false">B20</f>
        <v>0</v>
      </c>
      <c r="C21" s="30" t="n">
        <f aca="false">C20-B20</f>
        <v>51840000</v>
      </c>
      <c r="D21" s="30" t="n">
        <f aca="false">D20-C20</f>
        <v>51840000</v>
      </c>
      <c r="E21" s="30" t="n">
        <f aca="false">E20-D20</f>
        <v>51840000</v>
      </c>
      <c r="F21" s="30" t="n">
        <f aca="false">F20-E20</f>
        <v>17280000</v>
      </c>
      <c r="G21" s="30" t="n">
        <f aca="false">G20-F20</f>
        <v>0</v>
      </c>
    </row>
    <row r="22" customFormat="false" ht="15" hidden="false" customHeight="false" outlineLevel="0" collapsed="false">
      <c r="A22" s="11" t="s">
        <v>257</v>
      </c>
      <c r="B22" s="31" t="n">
        <f aca="false">B18-B19-B21-B15</f>
        <v>-2000000000</v>
      </c>
      <c r="C22" s="31" t="n">
        <f aca="false">C18-C19-C21-C15</f>
        <v>13112000</v>
      </c>
      <c r="D22" s="31" t="n">
        <f aca="false">D18-D19-D21-D15</f>
        <v>320264000</v>
      </c>
      <c r="E22" s="31" t="n">
        <f aca="false">E18-E19-E21-E15</f>
        <v>677416000</v>
      </c>
      <c r="F22" s="31" t="n">
        <f aca="false">F18-F19-F21-F15</f>
        <v>814360000</v>
      </c>
      <c r="G22" s="31" t="n">
        <f aca="false">G18-G19-G21-G15+G20</f>
        <v>1004440000</v>
      </c>
    </row>
    <row r="23" customFormat="false" ht="15" hidden="false" customHeight="false" outlineLevel="0" collapsed="false">
      <c r="A23" s="5" t="s">
        <v>258</v>
      </c>
      <c r="B23" s="30" t="n">
        <f aca="false">B22</f>
        <v>-2000000000</v>
      </c>
      <c r="C23" s="30" t="n">
        <f aca="false">B23+C22</f>
        <v>-1986888000</v>
      </c>
      <c r="D23" s="30" t="n">
        <f aca="false">C23+D22</f>
        <v>-1666624000</v>
      </c>
      <c r="E23" s="30" t="n">
        <f aca="false">D23+E22</f>
        <v>-989208000</v>
      </c>
      <c r="F23" s="30" t="n">
        <f aca="false">E23+F22</f>
        <v>-174848000</v>
      </c>
      <c r="G23" s="30" t="n">
        <f aca="false">F23+G22</f>
        <v>829592000</v>
      </c>
    </row>
    <row r="25" customFormat="false" ht="15" hidden="false" customHeight="false" outlineLevel="0" collapsed="false">
      <c r="A25" s="11" t="s">
        <v>259</v>
      </c>
      <c r="B25" s="31" t="n">
        <f aca="false">IF(COUNT(B11:G11)=0,"",B22+NPV($B$6,C22:G22))</f>
        <v>-34549289.8522835</v>
      </c>
    </row>
    <row r="26" customFormat="false" ht="15" hidden="false" customHeight="false" outlineLevel="0" collapsed="false">
      <c r="A26" s="11" t="s">
        <v>260</v>
      </c>
      <c r="B26" s="24" t="n">
        <f aca="false">IFERROR(IRR(B22:G22),"n/a")</f>
        <v>0.0949319301494521</v>
      </c>
    </row>
    <row r="27" customFormat="false" ht="15" hidden="false" customHeight="false" outlineLevel="0" collapsed="false">
      <c r="A27" s="11" t="s">
        <v>261</v>
      </c>
      <c r="B27" s="20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262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6" t="s">
        <v>263</v>
      </c>
    </row>
    <row r="2" customFormat="false" ht="15" hidden="false" customHeight="false" outlineLevel="0" collapsed="false">
      <c r="A2" s="3" t="s">
        <v>264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265</v>
      </c>
      <c r="B5" s="8" t="s">
        <v>266</v>
      </c>
      <c r="C5" s="8" t="s">
        <v>267</v>
      </c>
      <c r="D5" s="8" t="s">
        <v>268</v>
      </c>
      <c r="E5" s="8" t="s">
        <v>269</v>
      </c>
      <c r="F5" s="8" t="s">
        <v>270</v>
      </c>
      <c r="G5" s="8" t="s">
        <v>271</v>
      </c>
    </row>
    <row r="6" customFormat="false" ht="15" hidden="false" customHeight="false" outlineLevel="0" collapsed="false">
      <c r="A6" s="5" t="s">
        <v>247</v>
      </c>
      <c r="B6" s="27" t="n">
        <v>-0.1</v>
      </c>
      <c r="C6" s="27" t="n">
        <v>0</v>
      </c>
      <c r="D6" s="27" t="n">
        <v>0.05</v>
      </c>
      <c r="E6" s="23" t="n">
        <f aca="false">IF(B6="",F6,B6)</f>
        <v>-0.1</v>
      </c>
      <c r="F6" s="23" t="n">
        <f aca="false">IF(C6="",0,C6)</f>
        <v>0</v>
      </c>
      <c r="G6" s="23" t="n">
        <f aca="false">IF(D6="",F6,D6)</f>
        <v>0.05</v>
      </c>
    </row>
    <row r="7" customFormat="false" ht="15" hidden="false" customHeight="false" outlineLevel="0" collapsed="false">
      <c r="A7" s="5" t="s">
        <v>246</v>
      </c>
      <c r="B7" s="27" t="n">
        <v>-0.3</v>
      </c>
      <c r="C7" s="27" t="n">
        <v>0</v>
      </c>
      <c r="D7" s="27" t="n">
        <v>0.15</v>
      </c>
      <c r="E7" s="23" t="n">
        <f aca="false">IF(B7="",F7,B7)</f>
        <v>-0.3</v>
      </c>
      <c r="F7" s="23" t="n">
        <f aca="false">IF(C7="",0,C7)</f>
        <v>0</v>
      </c>
      <c r="G7" s="23" t="n">
        <f aca="false">IF(D7="",F7,D7)</f>
        <v>0.15</v>
      </c>
    </row>
    <row r="8" customFormat="false" ht="15" hidden="false" customHeight="false" outlineLevel="0" collapsed="false">
      <c r="A8" s="5" t="s">
        <v>248</v>
      </c>
      <c r="B8" s="27" t="n">
        <v>-0.05</v>
      </c>
      <c r="C8" s="27" t="n">
        <v>0</v>
      </c>
      <c r="D8" s="27" t="n">
        <v>0.1</v>
      </c>
      <c r="E8" s="23" t="n">
        <f aca="false">IF(B8="",F8,B8)</f>
        <v>-0.05</v>
      </c>
      <c r="F8" s="23" t="n">
        <f aca="false">IF(C8="",0,C8)</f>
        <v>0</v>
      </c>
      <c r="G8" s="23" t="n">
        <f aca="false">IF(D8="",F8,D8)</f>
        <v>0.1</v>
      </c>
    </row>
    <row r="9" customFormat="false" ht="15" hidden="false" customHeight="false" outlineLevel="0" collapsed="false">
      <c r="A9" s="5" t="s">
        <v>249</v>
      </c>
      <c r="B9" s="27" t="n">
        <v>-0.1</v>
      </c>
      <c r="C9" s="27" t="n">
        <v>0</v>
      </c>
      <c r="D9" s="27" t="n">
        <v>0.15</v>
      </c>
      <c r="E9" s="23" t="n">
        <f aca="false">IF(B9="",F9,B9)</f>
        <v>-0.1</v>
      </c>
      <c r="F9" s="23" t="n">
        <f aca="false">IF(C9="",0,C9)</f>
        <v>0</v>
      </c>
      <c r="G9" s="23" t="n">
        <f aca="false">IF(D9="",F9,D9)</f>
        <v>0.15</v>
      </c>
    </row>
    <row r="10" customFormat="false" ht="15" hidden="false" customHeight="false" outlineLevel="0" collapsed="false">
      <c r="A10" s="5" t="s">
        <v>250</v>
      </c>
      <c r="B10" s="27" t="n">
        <v>-0.05</v>
      </c>
      <c r="C10" s="27" t="n">
        <v>0</v>
      </c>
      <c r="D10" s="27" t="n">
        <v>0.25</v>
      </c>
      <c r="E10" s="23" t="n">
        <f aca="false">IF(B10="",F10,B10)</f>
        <v>-0.05</v>
      </c>
      <c r="F10" s="23" t="n">
        <f aca="false">IF(C10="",0,C10)</f>
        <v>0</v>
      </c>
      <c r="G10" s="23" t="n">
        <f aca="false">IF(D10="",F10,D10)</f>
        <v>0.25</v>
      </c>
    </row>
    <row r="11" customFormat="false" ht="15" hidden="false" customHeight="false" outlineLevel="0" collapsed="false">
      <c r="A11" s="5" t="s">
        <v>272</v>
      </c>
      <c r="B11" s="27" t="n">
        <v>0.08</v>
      </c>
      <c r="C11" s="27" t="n">
        <v>0.1</v>
      </c>
      <c r="D11" s="27" t="n">
        <v>0.13</v>
      </c>
      <c r="E11" s="23" t="n">
        <f aca="false">IF(B11="",F11,B11)</f>
        <v>0.08</v>
      </c>
      <c r="F11" s="23" t="n">
        <f aca="false">IF(C11="",'Business Case'!$B$6,C11)</f>
        <v>0.1</v>
      </c>
      <c r="G11" s="23" t="n">
        <f aca="false">IF(D11="",F11,D11)</f>
        <v>0.13</v>
      </c>
    </row>
    <row r="12" customFormat="false" ht="15" hidden="false" customHeight="false" outlineLevel="0" collapsed="false">
      <c r="A12" s="5" t="s">
        <v>273</v>
      </c>
      <c r="B12" s="14" t="str">
        <f aca="false">IF(SUMPRODUCT((E6:E11&gt;F6:F11)+(F6:F11&gt;G6:G11))=0,"OK","Need low &lt;= likely &lt;= high")</f>
        <v>OK</v>
      </c>
      <c r="C12" s="14"/>
      <c r="D12" s="14"/>
    </row>
    <row r="14" customFormat="false" ht="35.05" hidden="false" customHeight="false" outlineLevel="0" collapsed="false">
      <c r="A14" s="11" t="s">
        <v>274</v>
      </c>
    </row>
    <row r="15" customFormat="false" ht="15" hidden="false" customHeight="false" outlineLevel="0" collapsed="false">
      <c r="A15" s="8" t="s">
        <v>212</v>
      </c>
      <c r="B15" s="8" t="s">
        <v>275</v>
      </c>
      <c r="C15" s="8" t="s">
        <v>276</v>
      </c>
      <c r="D15" s="8" t="s">
        <v>277</v>
      </c>
      <c r="E15" s="8" t="s">
        <v>278</v>
      </c>
      <c r="F15" s="8" t="s">
        <v>279</v>
      </c>
      <c r="G15" s="8" t="s">
        <v>280</v>
      </c>
      <c r="H15" s="8" t="s">
        <v>281</v>
      </c>
      <c r="I15" s="8" t="s">
        <v>282</v>
      </c>
      <c r="J15" s="8" t="s">
        <v>283</v>
      </c>
      <c r="K15" s="8" t="s">
        <v>284</v>
      </c>
      <c r="L15" s="8" t="s">
        <v>285</v>
      </c>
      <c r="M15" s="8" t="s">
        <v>286</v>
      </c>
      <c r="N15" s="8" t="s">
        <v>259</v>
      </c>
    </row>
    <row r="16" customFormat="false" ht="15" hidden="false" customHeight="false" outlineLevel="0" collapsed="false">
      <c r="A16" s="5" t="s">
        <v>287</v>
      </c>
      <c r="B16" s="25" t="n">
        <f aca="false">1</f>
        <v>1</v>
      </c>
      <c r="C16" s="25" t="n">
        <f aca="false">1</f>
        <v>1</v>
      </c>
      <c r="D16" s="25" t="n">
        <f aca="false">1</f>
        <v>1</v>
      </c>
      <c r="E16" s="25" t="n">
        <f aca="false">1</f>
        <v>1</v>
      </c>
      <c r="F16" s="25" t="n">
        <f aca="false">1</f>
        <v>1</v>
      </c>
      <c r="G16" s="23" t="n">
        <f aca="false">'Business Case'!$B$6</f>
        <v>0.1</v>
      </c>
      <c r="H16" s="30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-2000000000</v>
      </c>
      <c r="I16" s="30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13112000</v>
      </c>
      <c r="J16" s="30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320264000</v>
      </c>
      <c r="K16" s="30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677416000</v>
      </c>
      <c r="L16" s="30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814360000</v>
      </c>
      <c r="M16" s="30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1004440000</v>
      </c>
      <c r="N16" s="31" t="n">
        <f aca="false">IF(COUNT('Business Case'!B11:G11)=0,"",H16+NPV(G16,I16:M16))</f>
        <v>-34549289.8522835</v>
      </c>
    </row>
    <row r="17" customFormat="false" ht="15" hidden="false" customHeight="false" outlineLevel="0" collapsed="false">
      <c r="A17" s="5" t="s">
        <v>288</v>
      </c>
      <c r="B17" s="25" t="n">
        <f aca="false">1+E6</f>
        <v>0.9</v>
      </c>
      <c r="C17" s="25" t="n">
        <f aca="false">1</f>
        <v>1</v>
      </c>
      <c r="D17" s="25" t="n">
        <f aca="false">1</f>
        <v>1</v>
      </c>
      <c r="E17" s="25" t="n">
        <f aca="false">1</f>
        <v>1</v>
      </c>
      <c r="F17" s="25" t="n">
        <f aca="false">1</f>
        <v>1</v>
      </c>
      <c r="G17" s="23" t="n">
        <f aca="false">'Business Case'!$B$6</f>
        <v>0.1</v>
      </c>
      <c r="H17" s="30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-2000000000</v>
      </c>
      <c r="I17" s="30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-63611200</v>
      </c>
      <c r="J17" s="30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161633600</v>
      </c>
      <c r="K17" s="30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436878400</v>
      </c>
      <c r="L17" s="30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543064000</v>
      </c>
      <c r="M17" s="30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714136000</v>
      </c>
      <c r="N17" s="31" t="n">
        <f aca="false">IF(COUNT('Business Case'!B11:G11)=0,"",H17+NPV(G17,I17:M17))</f>
        <v>-781671378.830309</v>
      </c>
    </row>
    <row r="18" customFormat="false" ht="15" hidden="false" customHeight="false" outlineLevel="0" collapsed="false">
      <c r="A18" s="5" t="s">
        <v>289</v>
      </c>
      <c r="B18" s="25" t="n">
        <f aca="false">1+G6</f>
        <v>1.05</v>
      </c>
      <c r="C18" s="25" t="n">
        <f aca="false">1</f>
        <v>1</v>
      </c>
      <c r="D18" s="25" t="n">
        <f aca="false">1</f>
        <v>1</v>
      </c>
      <c r="E18" s="25" t="n">
        <f aca="false">1</f>
        <v>1</v>
      </c>
      <c r="F18" s="25" t="n">
        <f aca="false">1</f>
        <v>1</v>
      </c>
      <c r="G18" s="23" t="n">
        <f aca="false">'Business Case'!$B$6</f>
        <v>0.1</v>
      </c>
      <c r="H18" s="30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-2000000000</v>
      </c>
      <c r="I18" s="30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51473600</v>
      </c>
      <c r="J18" s="30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399579200</v>
      </c>
      <c r="K18" s="30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797684800</v>
      </c>
      <c r="L18" s="30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950008000</v>
      </c>
      <c r="M18" s="30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1149592000</v>
      </c>
      <c r="N18" s="31" t="n">
        <f aca="false">IF(COUNT('Business Case'!B11:G11)=0,"",H18+NPV(G18,I18:M18))</f>
        <v>339011754.636729</v>
      </c>
    </row>
    <row r="19" customFormat="false" ht="15" hidden="false" customHeight="false" outlineLevel="0" collapsed="false">
      <c r="A19" s="5" t="s">
        <v>290</v>
      </c>
      <c r="B19" s="25" t="n">
        <f aca="false">1</f>
        <v>1</v>
      </c>
      <c r="C19" s="25" t="n">
        <f aca="false">1+E7</f>
        <v>0.7</v>
      </c>
      <c r="D19" s="25" t="n">
        <f aca="false">1</f>
        <v>1</v>
      </c>
      <c r="E19" s="25" t="n">
        <f aca="false">1</f>
        <v>1</v>
      </c>
      <c r="F19" s="25" t="n">
        <f aca="false">1</f>
        <v>1</v>
      </c>
      <c r="G19" s="23" t="n">
        <f aca="false">'Business Case'!$B$6</f>
        <v>0.1</v>
      </c>
      <c r="H19" s="30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-2000000000</v>
      </c>
      <c r="I19" s="30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-63481600</v>
      </c>
      <c r="J19" s="30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151524800</v>
      </c>
      <c r="K19" s="30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416531200</v>
      </c>
      <c r="L19" s="30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512392000</v>
      </c>
      <c r="M19" s="30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645448000</v>
      </c>
      <c r="N19" s="31" t="n">
        <f aca="false">IF(COUNT('Business Case'!B11:G11)=0,"",H19+NPV(G19,I19:M19))</f>
        <v>-868794325.871929</v>
      </c>
    </row>
    <row r="20" customFormat="false" ht="15" hidden="false" customHeight="false" outlineLevel="0" collapsed="false">
      <c r="A20" s="5" t="s">
        <v>291</v>
      </c>
      <c r="B20" s="25" t="n">
        <f aca="false">1</f>
        <v>1</v>
      </c>
      <c r="C20" s="25" t="n">
        <f aca="false">1+G7</f>
        <v>1.15</v>
      </c>
      <c r="D20" s="25" t="n">
        <f aca="false">1</f>
        <v>1</v>
      </c>
      <c r="E20" s="25" t="n">
        <f aca="false">1</f>
        <v>1</v>
      </c>
      <c r="F20" s="25" t="n">
        <f aca="false">1</f>
        <v>1</v>
      </c>
      <c r="G20" s="23" t="n">
        <f aca="false">'Business Case'!$B$6</f>
        <v>0.1</v>
      </c>
      <c r="H20" s="30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-2000000000</v>
      </c>
      <c r="I20" s="30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51408800</v>
      </c>
      <c r="J20" s="30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404633600</v>
      </c>
      <c r="K20" s="30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807858400</v>
      </c>
      <c r="L20" s="30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965344000</v>
      </c>
      <c r="M20" s="30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1183936000</v>
      </c>
      <c r="N20" s="31" t="n">
        <f aca="false">IF(COUNT('Business Case'!B11:G11)=0,"",H20+NPV(G20,I20:M20))</f>
        <v>382573228.157539</v>
      </c>
    </row>
    <row r="21" customFormat="false" ht="15" hidden="false" customHeight="false" outlineLevel="0" collapsed="false">
      <c r="A21" s="5" t="s">
        <v>292</v>
      </c>
      <c r="B21" s="25" t="n">
        <f aca="false">1</f>
        <v>1</v>
      </c>
      <c r="C21" s="25" t="n">
        <f aca="false">1</f>
        <v>1</v>
      </c>
      <c r="D21" s="25" t="n">
        <f aca="false">1+E8</f>
        <v>0.95</v>
      </c>
      <c r="E21" s="25" t="n">
        <f aca="false">1</f>
        <v>1</v>
      </c>
      <c r="F21" s="25" t="n">
        <f aca="false">1</f>
        <v>1</v>
      </c>
      <c r="G21" s="23" t="n">
        <f aca="false">'Business Case'!$B$6</f>
        <v>0.1</v>
      </c>
      <c r="H21" s="30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-2000000000</v>
      </c>
      <c r="I21" s="30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38708000</v>
      </c>
      <c r="J21" s="30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371456000</v>
      </c>
      <c r="K21" s="30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754204000</v>
      </c>
      <c r="L21" s="30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899680000</v>
      </c>
      <c r="M21" s="30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1089760000</v>
      </c>
      <c r="N21" s="31" t="n">
        <f aca="false">IF(COUNT('Business Case'!B11:G11)=0,"",H21+NPV(G21,I21:M21))</f>
        <v>199970915.300122</v>
      </c>
    </row>
    <row r="22" customFormat="false" ht="15" hidden="false" customHeight="false" outlineLevel="0" collapsed="false">
      <c r="A22" s="5" t="s">
        <v>293</v>
      </c>
      <c r="B22" s="25" t="n">
        <f aca="false">1</f>
        <v>1</v>
      </c>
      <c r="C22" s="25" t="n">
        <f aca="false">1</f>
        <v>1</v>
      </c>
      <c r="D22" s="25" t="n">
        <f aca="false">1+G8</f>
        <v>1.1</v>
      </c>
      <c r="E22" s="25" t="n">
        <f aca="false">1</f>
        <v>1</v>
      </c>
      <c r="F22" s="25" t="n">
        <f aca="false">1</f>
        <v>1</v>
      </c>
      <c r="G22" s="23" t="n">
        <f aca="false">'Business Case'!$B$6</f>
        <v>0.1</v>
      </c>
      <c r="H22" s="30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-2000000000</v>
      </c>
      <c r="I22" s="30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-38080000</v>
      </c>
      <c r="J22" s="30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217880000</v>
      </c>
      <c r="K22" s="30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523840000</v>
      </c>
      <c r="L22" s="30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643720000</v>
      </c>
      <c r="M22" s="30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833800000</v>
      </c>
      <c r="N22" s="31" t="n">
        <f aca="false">IF(COUNT('Business Case'!B11:G11)=0,"",H22+NPV(G22,I22:M22))</f>
        <v>-503589700.157094</v>
      </c>
    </row>
    <row r="23" customFormat="false" ht="15" hidden="false" customHeight="false" outlineLevel="0" collapsed="false">
      <c r="A23" s="5" t="s">
        <v>294</v>
      </c>
      <c r="B23" s="25" t="n">
        <f aca="false">1</f>
        <v>1</v>
      </c>
      <c r="C23" s="25" t="n">
        <f aca="false">1</f>
        <v>1</v>
      </c>
      <c r="D23" s="25" t="n">
        <f aca="false">1</f>
        <v>1</v>
      </c>
      <c r="E23" s="25" t="n">
        <f aca="false">1+E9</f>
        <v>0.9</v>
      </c>
      <c r="F23" s="25" t="n">
        <f aca="false">1</f>
        <v>1</v>
      </c>
      <c r="G23" s="23" t="n">
        <f aca="false">'Business Case'!$B$6</f>
        <v>0.1</v>
      </c>
      <c r="H23" s="30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-2000000000</v>
      </c>
      <c r="I23" s="30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27332000</v>
      </c>
      <c r="J23" s="30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334484000</v>
      </c>
      <c r="K23" s="30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691636000</v>
      </c>
      <c r="L23" s="30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828580000</v>
      </c>
      <c r="M23" s="30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1018660000</v>
      </c>
      <c r="N23" s="31" t="n">
        <f aca="false">IF(COUNT('Business Case'!B11:G11)=0,"",H23+NPV(G23,I23:M23))</f>
        <v>19355698.0087049</v>
      </c>
    </row>
    <row r="24" customFormat="false" ht="15" hidden="false" customHeight="false" outlineLevel="0" collapsed="false">
      <c r="A24" s="5" t="s">
        <v>295</v>
      </c>
      <c r="B24" s="25" t="n">
        <f aca="false">1</f>
        <v>1</v>
      </c>
      <c r="C24" s="25" t="n">
        <f aca="false">1</f>
        <v>1</v>
      </c>
      <c r="D24" s="25" t="n">
        <f aca="false">1</f>
        <v>1</v>
      </c>
      <c r="E24" s="25" t="n">
        <f aca="false">1+G9</f>
        <v>1.15</v>
      </c>
      <c r="F24" s="25" t="n">
        <f aca="false">1</f>
        <v>1</v>
      </c>
      <c r="G24" s="23" t="n">
        <f aca="false">'Business Case'!$B$6</f>
        <v>0.1</v>
      </c>
      <c r="H24" s="30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-2000000000</v>
      </c>
      <c r="I24" s="30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-8217999.99999997</v>
      </c>
      <c r="J24" s="30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298934000</v>
      </c>
      <c r="K24" s="30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656086000</v>
      </c>
      <c r="L24" s="30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793030000</v>
      </c>
      <c r="M24" s="30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983110000</v>
      </c>
      <c r="N24" s="31" t="n">
        <f aca="false">IF(COUNT('Business Case'!B11:G11)=0,"",H24+NPV(G24,I24:M24))</f>
        <v>-115406771.643765</v>
      </c>
    </row>
    <row r="25" customFormat="false" ht="15" hidden="false" customHeight="false" outlineLevel="0" collapsed="false">
      <c r="A25" s="5" t="s">
        <v>296</v>
      </c>
      <c r="B25" s="25" t="n">
        <f aca="false">1</f>
        <v>1</v>
      </c>
      <c r="C25" s="25" t="n">
        <f aca="false">1</f>
        <v>1</v>
      </c>
      <c r="D25" s="25" t="n">
        <f aca="false">1</f>
        <v>1</v>
      </c>
      <c r="E25" s="25" t="n">
        <f aca="false">1</f>
        <v>1</v>
      </c>
      <c r="F25" s="25" t="n">
        <f aca="false">1+E10</f>
        <v>0.95</v>
      </c>
      <c r="G25" s="23" t="n">
        <f aca="false">'Business Case'!$B$6</f>
        <v>0.1</v>
      </c>
      <c r="H25" s="30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-1900000000</v>
      </c>
      <c r="I25" s="30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18112000</v>
      </c>
      <c r="J25" s="30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325264000</v>
      </c>
      <c r="K25" s="30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679916000</v>
      </c>
      <c r="L25" s="30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816860000</v>
      </c>
      <c r="M25" s="30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1006940000</v>
      </c>
      <c r="N25" s="31" t="n">
        <f aca="false">IF(COUNT('Business Case'!B11:G11)=0,"",H25+NPV(G25,I25:M25))</f>
        <v>79266520.0464444</v>
      </c>
    </row>
    <row r="26" customFormat="false" ht="15" hidden="false" customHeight="false" outlineLevel="0" collapsed="false">
      <c r="A26" s="5" t="s">
        <v>297</v>
      </c>
      <c r="B26" s="25" t="n">
        <f aca="false">1</f>
        <v>1</v>
      </c>
      <c r="C26" s="25" t="n">
        <f aca="false">1</f>
        <v>1</v>
      </c>
      <c r="D26" s="25" t="n">
        <f aca="false">1</f>
        <v>1</v>
      </c>
      <c r="E26" s="25" t="n">
        <f aca="false">1</f>
        <v>1</v>
      </c>
      <c r="F26" s="25" t="n">
        <f aca="false">1+G10</f>
        <v>1.25</v>
      </c>
      <c r="G26" s="23" t="n">
        <f aca="false">'Business Case'!$B$6</f>
        <v>0.1</v>
      </c>
      <c r="H26" s="30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-2500000000</v>
      </c>
      <c r="I26" s="30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-11888000</v>
      </c>
      <c r="J26" s="30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295264000</v>
      </c>
      <c r="K26" s="30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664916000</v>
      </c>
      <c r="L26" s="30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801860000</v>
      </c>
      <c r="M26" s="30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991940000</v>
      </c>
      <c r="N26" s="31" t="n">
        <f aca="false">IF(COUNT('Business Case'!B11:G11)=0,"",H26+NPV(G26,I26:M26))</f>
        <v>-603628339.345922</v>
      </c>
    </row>
    <row r="27" customFormat="false" ht="15" hidden="false" customHeight="false" outlineLevel="0" collapsed="false">
      <c r="A27" s="5" t="s">
        <v>298</v>
      </c>
      <c r="B27" s="25" t="n">
        <f aca="false">1</f>
        <v>1</v>
      </c>
      <c r="C27" s="25" t="n">
        <f aca="false">1</f>
        <v>1</v>
      </c>
      <c r="D27" s="25" t="n">
        <f aca="false">1</f>
        <v>1</v>
      </c>
      <c r="E27" s="25" t="n">
        <f aca="false">1</f>
        <v>1</v>
      </c>
      <c r="F27" s="25" t="n">
        <f aca="false">1</f>
        <v>1</v>
      </c>
      <c r="G27" s="23" t="n">
        <f aca="false">E11</f>
        <v>0.08</v>
      </c>
      <c r="H27" s="30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-2000000000</v>
      </c>
      <c r="I27" s="30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13112000</v>
      </c>
      <c r="J27" s="30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320264000</v>
      </c>
      <c r="K27" s="30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677416000</v>
      </c>
      <c r="L27" s="30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814360000</v>
      </c>
      <c r="M27" s="30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1004440000</v>
      </c>
      <c r="N27" s="31" t="n">
        <f aca="false">IF(COUNT('Business Case'!B11:G11)=0,"",H27+NPV(G27,I27:M27))</f>
        <v>106654059.420693</v>
      </c>
    </row>
    <row r="28" customFormat="false" ht="15" hidden="false" customHeight="false" outlineLevel="0" collapsed="false">
      <c r="A28" s="5" t="s">
        <v>299</v>
      </c>
      <c r="B28" s="25" t="n">
        <f aca="false">1</f>
        <v>1</v>
      </c>
      <c r="C28" s="25" t="n">
        <f aca="false">1</f>
        <v>1</v>
      </c>
      <c r="D28" s="25" t="n">
        <f aca="false">1</f>
        <v>1</v>
      </c>
      <c r="E28" s="25" t="n">
        <f aca="false">1</f>
        <v>1</v>
      </c>
      <c r="F28" s="25" t="n">
        <f aca="false">1</f>
        <v>1</v>
      </c>
      <c r="G28" s="23" t="n">
        <f aca="false">G11</f>
        <v>0.13</v>
      </c>
      <c r="H28" s="30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-2000000000</v>
      </c>
      <c r="I28" s="30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13112000</v>
      </c>
      <c r="J28" s="30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320264000</v>
      </c>
      <c r="K28" s="30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677416000</v>
      </c>
      <c r="L28" s="30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814360000</v>
      </c>
      <c r="M28" s="30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1004440000</v>
      </c>
      <c r="N28" s="31" t="n">
        <f aca="false">IF(COUNT('Business Case'!B11:G11)=0,"",H28+NPV(G28,I28:M28))</f>
        <v>-223467472.855195</v>
      </c>
    </row>
    <row r="30" customFormat="false" ht="23.85" hidden="false" customHeight="false" outlineLevel="0" collapsed="false">
      <c r="A30" s="11" t="s">
        <v>300</v>
      </c>
    </row>
    <row r="31" customFormat="false" ht="30" hidden="false" customHeight="true" outlineLevel="0" collapsed="false">
      <c r="A31" s="8" t="s">
        <v>265</v>
      </c>
      <c r="B31" s="8" t="s">
        <v>301</v>
      </c>
      <c r="C31" s="8" t="s">
        <v>302</v>
      </c>
      <c r="D31" s="8" t="s">
        <v>303</v>
      </c>
      <c r="E31" s="8" t="s">
        <v>304</v>
      </c>
      <c r="F31" s="8" t="s">
        <v>305</v>
      </c>
      <c r="G31" s="8" t="s">
        <v>306</v>
      </c>
      <c r="H31" s="8" t="s">
        <v>307</v>
      </c>
    </row>
    <row r="32" customFormat="false" ht="23.85" hidden="false" customHeight="false" outlineLevel="0" collapsed="false">
      <c r="A32" s="14" t="str">
        <f aca="false">INDEX($A$40:$A$45,MATCH(LARGE($D$40:$D$45,1),$D$40:$D$45,0))</f>
        <v>Units</v>
      </c>
      <c r="B32" s="30" t="n">
        <f aca="false">INDEX($B$40:$B$45,MATCH(LARGE($D$40:$D$45,1),$D$40:$D$45,0))</f>
        <v>-868794325.871929</v>
      </c>
      <c r="C32" s="30" t="n">
        <f aca="false">INDEX($C$40:$C$45,MATCH(LARGE($D$40:$D$45,1),$D$40:$D$45,0))</f>
        <v>382573228.157539</v>
      </c>
      <c r="D32" s="32" t="n">
        <f aca="false">IFERROR(ABS(C32-B32),"")</f>
        <v>1251367554.02947</v>
      </c>
      <c r="E32" s="30" t="n">
        <f aca="false">IFERROR(B32-$N$16,"")</f>
        <v>-834245036.019646</v>
      </c>
      <c r="F32" s="30" t="n">
        <f aca="false">IFERROR(C32-$N$16,"")</f>
        <v>417122518.009823</v>
      </c>
      <c r="G32" s="14" t="str">
        <f aca="false">IF(B32="","",IF(MIN(B32,C32)&lt;0,IF(MAX(B32,C32)&gt;0,"Yes","Below zero"),"No"))</f>
        <v>Yes</v>
      </c>
      <c r="H32" s="14" t="n">
        <f aca="false">1</f>
        <v>1</v>
      </c>
    </row>
    <row r="33" customFormat="false" ht="23.85" hidden="false" customHeight="false" outlineLevel="0" collapsed="false">
      <c r="A33" s="14" t="str">
        <f aca="false">INDEX($A$40:$A$45,MATCH(LARGE($D$40:$D$45,2),$D$40:$D$45,0))</f>
        <v>Price per unit</v>
      </c>
      <c r="B33" s="30" t="n">
        <f aca="false">INDEX($B$40:$B$45,MATCH(LARGE($D$40:$D$45,2),$D$40:$D$45,0))</f>
        <v>-781671378.830309</v>
      </c>
      <c r="C33" s="30" t="n">
        <f aca="false">INDEX($C$40:$C$45,MATCH(LARGE($D$40:$D$45,2),$D$40:$D$45,0))</f>
        <v>339011754.636729</v>
      </c>
      <c r="D33" s="32" t="n">
        <f aca="false">IFERROR(ABS(C33-B33),"")</f>
        <v>1120683133.46704</v>
      </c>
      <c r="E33" s="30" t="n">
        <f aca="false">IFERROR(B33-$N$16,"")</f>
        <v>-747122088.978025</v>
      </c>
      <c r="F33" s="30" t="n">
        <f aca="false">IFERROR(C33-$N$16,"")</f>
        <v>373561044.489013</v>
      </c>
      <c r="G33" s="14" t="str">
        <f aca="false">IF(B33="","",IF(MIN(B33,C33)&lt;0,IF(MAX(B33,C33)&gt;0,"Yes","Below zero"),"No"))</f>
        <v>Yes</v>
      </c>
      <c r="H33" s="14" t="n">
        <f aca="false">2</f>
        <v>2</v>
      </c>
    </row>
    <row r="34" customFormat="false" ht="23.85" hidden="false" customHeight="false" outlineLevel="0" collapsed="false">
      <c r="A34" s="14" t="str">
        <f aca="false">INDEX($A$40:$A$45,MATCH(LARGE($D$40:$D$45,3),$D$40:$D$45,0))</f>
        <v>Variable cost per unit</v>
      </c>
      <c r="B34" s="30" t="n">
        <f aca="false">INDEX($B$40:$B$45,MATCH(LARGE($D$40:$D$45,3),$D$40:$D$45,0))</f>
        <v>199970915.300122</v>
      </c>
      <c r="C34" s="30" t="n">
        <f aca="false">INDEX($C$40:$C$45,MATCH(LARGE($D$40:$D$45,3),$D$40:$D$45,0))</f>
        <v>-503589700.157094</v>
      </c>
      <c r="D34" s="32" t="n">
        <f aca="false">IFERROR(ABS(C34-B34),"")</f>
        <v>703560615.457216</v>
      </c>
      <c r="E34" s="30" t="n">
        <f aca="false">IFERROR(B34-$N$16,"")</f>
        <v>234520205.152405</v>
      </c>
      <c r="F34" s="30" t="n">
        <f aca="false">IFERROR(C34-$N$16,"")</f>
        <v>-469040410.30481</v>
      </c>
      <c r="G34" s="14" t="str">
        <f aca="false">IF(B34="","",IF(MIN(B34,C34)&lt;0,IF(MAX(B34,C34)&gt;0,"Yes","Below zero"),"No"))</f>
        <v>Yes</v>
      </c>
      <c r="H34" s="14" t="n">
        <f aca="false">3</f>
        <v>3</v>
      </c>
    </row>
    <row r="35" customFormat="false" ht="23.85" hidden="false" customHeight="false" outlineLevel="0" collapsed="false">
      <c r="A35" s="14" t="str">
        <f aca="false">INDEX($A$40:$A$45,MATCH(LARGE($D$40:$D$45,4),$D$40:$D$45,0))</f>
        <v>Capex</v>
      </c>
      <c r="B35" s="30" t="n">
        <f aca="false">INDEX($B$40:$B$45,MATCH(LARGE($D$40:$D$45,4),$D$40:$D$45,0))</f>
        <v>79266520.0464444</v>
      </c>
      <c r="C35" s="30" t="n">
        <f aca="false">INDEX($C$40:$C$45,MATCH(LARGE($D$40:$D$45,4),$D$40:$D$45,0))</f>
        <v>-603628339.345922</v>
      </c>
      <c r="D35" s="32" t="n">
        <f aca="false">IFERROR(ABS(C35-B35),"")</f>
        <v>682894859.392366</v>
      </c>
      <c r="E35" s="30" t="n">
        <f aca="false">IFERROR(B35-$N$16,"")</f>
        <v>113815809.898728</v>
      </c>
      <c r="F35" s="30" t="n">
        <f aca="false">IFERROR(C35-$N$16,"")</f>
        <v>-569079049.493639</v>
      </c>
      <c r="G35" s="14" t="str">
        <f aca="false">IF(B35="","",IF(MIN(B35,C35)&lt;0,IF(MAX(B35,C35)&gt;0,"Yes","Below zero"),"No"))</f>
        <v>Yes</v>
      </c>
      <c r="H35" s="14" t="n">
        <f aca="false">4</f>
        <v>4</v>
      </c>
    </row>
    <row r="36" customFormat="false" ht="23.85" hidden="false" customHeight="false" outlineLevel="0" collapsed="false">
      <c r="A36" s="14" t="str">
        <f aca="false">INDEX($A$40:$A$45,MATCH(LARGE($D$40:$D$45,5),$D$40:$D$45,0))</f>
        <v>Discount rate (absolute)</v>
      </c>
      <c r="B36" s="30" t="n">
        <f aca="false">INDEX($B$40:$B$45,MATCH(LARGE($D$40:$D$45,5),$D$40:$D$45,0))</f>
        <v>106654059.420693</v>
      </c>
      <c r="C36" s="30" t="n">
        <f aca="false">INDEX($C$40:$C$45,MATCH(LARGE($D$40:$D$45,5),$D$40:$D$45,0))</f>
        <v>-223467472.855195</v>
      </c>
      <c r="D36" s="32" t="n">
        <f aca="false">IFERROR(ABS(C36-B36),"")</f>
        <v>330121532.275888</v>
      </c>
      <c r="E36" s="30" t="n">
        <f aca="false">IFERROR(B36-$N$16,"")</f>
        <v>141203349.272976</v>
      </c>
      <c r="F36" s="30" t="n">
        <f aca="false">IFERROR(C36-$N$16,"")</f>
        <v>-188918183.002911</v>
      </c>
      <c r="G36" s="14" t="str">
        <f aca="false">IF(B36="","",IF(MIN(B36,C36)&lt;0,IF(MAX(B36,C36)&gt;0,"Yes","Below zero"),"No"))</f>
        <v>Yes</v>
      </c>
      <c r="H36" s="14" t="n">
        <f aca="false">5</f>
        <v>5</v>
      </c>
    </row>
    <row r="37" customFormat="false" ht="23.85" hidden="false" customHeight="false" outlineLevel="0" collapsed="false">
      <c r="A37" s="14" t="str">
        <f aca="false">INDEX($A$40:$A$45,MATCH(LARGE($D$40:$D$45,6),$D$40:$D$45,0))</f>
        <v>Fixed costs</v>
      </c>
      <c r="B37" s="30" t="n">
        <f aca="false">INDEX($B$40:$B$45,MATCH(LARGE($D$40:$D$45,6),$D$40:$D$45,0))</f>
        <v>19355698.0087049</v>
      </c>
      <c r="C37" s="30" t="n">
        <f aca="false">INDEX($C$40:$C$45,MATCH(LARGE($D$40:$D$45,6),$D$40:$D$45,0))</f>
        <v>-115406771.643765</v>
      </c>
      <c r="D37" s="32" t="n">
        <f aca="false">IFERROR(ABS(C37-B37),"")</f>
        <v>134762469.65247</v>
      </c>
      <c r="E37" s="30" t="n">
        <f aca="false">IFERROR(B37-$N$16,"")</f>
        <v>53904987.8609884</v>
      </c>
      <c r="F37" s="30" t="n">
        <f aca="false">IFERROR(C37-$N$16,"")</f>
        <v>-80857481.791482</v>
      </c>
      <c r="G37" s="14" t="str">
        <f aca="false">IF(B37="","",IF(MIN(B37,C37)&lt;0,IF(MAX(B37,C37)&gt;0,"Yes","Below zero"),"No"))</f>
        <v>Yes</v>
      </c>
      <c r="H37" s="14" t="n">
        <f aca="false">6</f>
        <v>6</v>
      </c>
    </row>
    <row r="39" customFormat="false" ht="15" hidden="false" customHeight="false" outlineLevel="0" collapsed="false">
      <c r="A39" s="5" t="s">
        <v>308</v>
      </c>
    </row>
    <row r="40" customFormat="false" ht="23.85" hidden="false" customHeight="false" outlineLevel="0" collapsed="false">
      <c r="A40" s="5" t="s">
        <v>247</v>
      </c>
      <c r="B40" s="30" t="n">
        <f aca="false">N17</f>
        <v>-781671378.830309</v>
      </c>
      <c r="C40" s="30" t="n">
        <f aca="false">N18</f>
        <v>339011754.636729</v>
      </c>
      <c r="D40" s="33" t="n">
        <f aca="false">IFERROR(ABS(C40-B40)+ROW()/1000000000,0)</f>
        <v>1120683133.46704</v>
      </c>
    </row>
    <row r="41" customFormat="false" ht="23.85" hidden="false" customHeight="false" outlineLevel="0" collapsed="false">
      <c r="A41" s="5" t="s">
        <v>246</v>
      </c>
      <c r="B41" s="30" t="n">
        <f aca="false">N19</f>
        <v>-868794325.871929</v>
      </c>
      <c r="C41" s="30" t="n">
        <f aca="false">N20</f>
        <v>382573228.157539</v>
      </c>
      <c r="D41" s="33" t="n">
        <f aca="false">IFERROR(ABS(C41-B41)+ROW()/1000000000,0)</f>
        <v>1251367554.02947</v>
      </c>
    </row>
    <row r="42" customFormat="false" ht="23.85" hidden="false" customHeight="false" outlineLevel="0" collapsed="false">
      <c r="A42" s="5" t="s">
        <v>248</v>
      </c>
      <c r="B42" s="30" t="n">
        <f aca="false">N21</f>
        <v>199970915.300122</v>
      </c>
      <c r="C42" s="30" t="n">
        <f aca="false">N22</f>
        <v>-503589700.157094</v>
      </c>
      <c r="D42" s="33" t="n">
        <f aca="false">IFERROR(ABS(C42-B42)+ROW()/1000000000,0)</f>
        <v>703560615.457216</v>
      </c>
    </row>
    <row r="43" customFormat="false" ht="23.85" hidden="false" customHeight="false" outlineLevel="0" collapsed="false">
      <c r="A43" s="5" t="s">
        <v>249</v>
      </c>
      <c r="B43" s="30" t="n">
        <f aca="false">N23</f>
        <v>19355698.0087049</v>
      </c>
      <c r="C43" s="30" t="n">
        <f aca="false">N24</f>
        <v>-115406771.643765</v>
      </c>
      <c r="D43" s="33" t="n">
        <f aca="false">IFERROR(ABS(C43-B43)+ROW()/1000000000,0)</f>
        <v>134762469.65247</v>
      </c>
    </row>
    <row r="44" customFormat="false" ht="23.85" hidden="false" customHeight="false" outlineLevel="0" collapsed="false">
      <c r="A44" s="5" t="s">
        <v>250</v>
      </c>
      <c r="B44" s="30" t="n">
        <f aca="false">N25</f>
        <v>79266520.0464444</v>
      </c>
      <c r="C44" s="30" t="n">
        <f aca="false">N26</f>
        <v>-603628339.345922</v>
      </c>
      <c r="D44" s="33" t="n">
        <f aca="false">IFERROR(ABS(C44-B44)+ROW()/1000000000,0)</f>
        <v>682894859.392366</v>
      </c>
    </row>
    <row r="45" customFormat="false" ht="23.85" hidden="false" customHeight="false" outlineLevel="0" collapsed="false">
      <c r="A45" s="5" t="s">
        <v>272</v>
      </c>
      <c r="B45" s="30" t="n">
        <f aca="false">N27</f>
        <v>106654059.420693</v>
      </c>
      <c r="C45" s="30" t="n">
        <f aca="false">N28</f>
        <v>-223467472.855195</v>
      </c>
      <c r="D45" s="33" t="n">
        <f aca="false">IFERROR(ABS(C45-B45)+ROW()/1000000000,0)</f>
        <v>330121532.275888</v>
      </c>
    </row>
    <row r="48" customFormat="false" ht="15" hidden="false" customHeight="true" outlineLevel="0" collapsed="false">
      <c r="A48" s="34" t="s">
        <v>309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</row>
    <row r="49" customFormat="false" ht="23.85" hidden="false" customHeight="false" outlineLevel="0" collapsed="false">
      <c r="A49" s="5" t="s">
        <v>310</v>
      </c>
      <c r="B49" s="30" t="n">
        <f aca="false">IFERROR(AVERAGE($N$81:$N$1080),"")</f>
        <v>-535347627.168116</v>
      </c>
    </row>
    <row r="50" customFormat="false" ht="23.85" hidden="false" customHeight="false" outlineLevel="0" collapsed="false">
      <c r="A50" s="11" t="s">
        <v>311</v>
      </c>
      <c r="B50" s="31" t="n">
        <f aca="false">IFERROR(MEDIAN($N$81:$N$1080),"")</f>
        <v>-529446959.179076</v>
      </c>
    </row>
    <row r="51" customFormat="false" ht="23.85" hidden="false" customHeight="false" outlineLevel="0" collapsed="false">
      <c r="A51" s="5" t="s">
        <v>312</v>
      </c>
      <c r="B51" s="30" t="n">
        <f aca="false">IFERROR(PERCENTILE($N$81:$N$1080,0.1),"")</f>
        <v>-1033906555.42783</v>
      </c>
    </row>
    <row r="52" customFormat="false" ht="23.85" hidden="false" customHeight="false" outlineLevel="0" collapsed="false">
      <c r="A52" s="5" t="s">
        <v>313</v>
      </c>
      <c r="B52" s="30" t="n">
        <f aca="false">IFERROR(PERCENTILE($N$81:$N$1080,0.9),"")</f>
        <v>-59143195.4148881</v>
      </c>
    </row>
    <row r="53" customFormat="false" ht="23.85" hidden="false" customHeight="false" outlineLevel="0" collapsed="false">
      <c r="A53" s="5" t="s">
        <v>314</v>
      </c>
      <c r="B53" s="30" t="n">
        <f aca="false">IFERROR(STDEV($N$81:$N$1080),"")</f>
        <v>378724217.583781</v>
      </c>
    </row>
    <row r="54" customFormat="false" ht="15" hidden="false" customHeight="false" outlineLevel="0" collapsed="false">
      <c r="A54" s="11" t="s">
        <v>315</v>
      </c>
      <c r="B54" s="24" t="n">
        <f aca="false">IFERROR(COUNTIF($N$81:$N$1080,"&lt;0")/COUNT($N$81:$N$1080),"")</f>
        <v>0.93</v>
      </c>
    </row>
    <row r="55" customFormat="false" ht="23.85" hidden="false" customHeight="false" outlineLevel="0" collapsed="false">
      <c r="A55" s="5" t="s">
        <v>316</v>
      </c>
      <c r="B55" s="30" t="n">
        <f aca="false">IFERROR(N16,"")</f>
        <v>-34549289.8522835</v>
      </c>
    </row>
    <row r="56" customFormat="false" ht="30" hidden="false" customHeight="true" outlineLevel="0" collapsed="false">
      <c r="A56" s="21" t="s">
        <v>317</v>
      </c>
      <c r="B56" s="21"/>
      <c r="C56" s="21"/>
      <c r="D56" s="21"/>
      <c r="E56" s="21"/>
      <c r="F56" s="21"/>
      <c r="G56" s="21"/>
      <c r="H56" s="21"/>
    </row>
    <row r="58" customFormat="false" ht="30" hidden="false" customHeight="true" outlineLevel="0" collapsed="false">
      <c r="A58" s="8" t="s">
        <v>318</v>
      </c>
      <c r="B58" s="8" t="s">
        <v>319</v>
      </c>
      <c r="C58" s="8" t="s">
        <v>320</v>
      </c>
    </row>
    <row r="59" customFormat="false" ht="15" hidden="false" customHeight="false" outlineLevel="0" collapsed="false">
      <c r="A59" s="35" t="n">
        <f aca="false">MIN($N$81:$N$1080)+(MAX($N$81:$N$1080)-MIN($N$81:$N$1080))*0/20</f>
        <v>-1647541234.50076</v>
      </c>
      <c r="B59" s="35" t="n">
        <f aca="false">MIN($N$81:$N$1080)+(MAX($N$81:$N$1080)-MIN($N$81:$N$1080))*1/20</f>
        <v>-1544549293.13987</v>
      </c>
      <c r="C59" s="10" t="n">
        <f aca="false">COUNTIFS($N$81:$N$1080,"&gt;="&amp;A59,$N$81:$N$1080,"&lt;"&amp;B59)</f>
        <v>3</v>
      </c>
    </row>
    <row r="60" customFormat="false" ht="15" hidden="false" customHeight="false" outlineLevel="0" collapsed="false">
      <c r="A60" s="35" t="n">
        <f aca="false">MIN($N$81:$N$1080)+(MAX($N$81:$N$1080)-MIN($N$81:$N$1080))*1/20</f>
        <v>-1544549293.13987</v>
      </c>
      <c r="B60" s="35" t="n">
        <f aca="false">MIN($N$81:$N$1080)+(MAX($N$81:$N$1080)-MIN($N$81:$N$1080))*2/20</f>
        <v>-1441557351.77899</v>
      </c>
      <c r="C60" s="10" t="n">
        <f aca="false">COUNTIFS($N$81:$N$1080,"&gt;="&amp;A60,$N$81:$N$1080,"&lt;"&amp;B60)</f>
        <v>10</v>
      </c>
    </row>
    <row r="61" customFormat="false" ht="15" hidden="false" customHeight="false" outlineLevel="0" collapsed="false">
      <c r="A61" s="35" t="n">
        <f aca="false">MIN($N$81:$N$1080)+(MAX($N$81:$N$1080)-MIN($N$81:$N$1080))*2/20</f>
        <v>-1441557351.77899</v>
      </c>
      <c r="B61" s="35" t="n">
        <f aca="false">MIN($N$81:$N$1080)+(MAX($N$81:$N$1080)-MIN($N$81:$N$1080))*3/20</f>
        <v>-1338565410.4181</v>
      </c>
      <c r="C61" s="10" t="n">
        <f aca="false">COUNTIFS($N$81:$N$1080,"&gt;="&amp;A61,$N$81:$N$1080,"&lt;"&amp;B61)</f>
        <v>4</v>
      </c>
    </row>
    <row r="62" customFormat="false" ht="15" hidden="false" customHeight="false" outlineLevel="0" collapsed="false">
      <c r="A62" s="35" t="n">
        <f aca="false">MIN($N$81:$N$1080)+(MAX($N$81:$N$1080)-MIN($N$81:$N$1080))*3/20</f>
        <v>-1338565410.4181</v>
      </c>
      <c r="B62" s="35" t="n">
        <f aca="false">MIN($N$81:$N$1080)+(MAX($N$81:$N$1080)-MIN($N$81:$N$1080))*4/20</f>
        <v>-1235573469.05721</v>
      </c>
      <c r="C62" s="10" t="n">
        <f aca="false">COUNTIFS($N$81:$N$1080,"&gt;="&amp;A62,$N$81:$N$1080,"&lt;"&amp;B62)</f>
        <v>24</v>
      </c>
    </row>
    <row r="63" customFormat="false" ht="15" hidden="false" customHeight="false" outlineLevel="0" collapsed="false">
      <c r="A63" s="35" t="n">
        <f aca="false">MIN($N$81:$N$1080)+(MAX($N$81:$N$1080)-MIN($N$81:$N$1080))*4/20</f>
        <v>-1235573469.05721</v>
      </c>
      <c r="B63" s="35" t="n">
        <f aca="false">MIN($N$81:$N$1080)+(MAX($N$81:$N$1080)-MIN($N$81:$N$1080))*5/20</f>
        <v>-1132581527.69633</v>
      </c>
      <c r="C63" s="10" t="n">
        <f aca="false">COUNTIFS($N$81:$N$1080,"&gt;="&amp;A63,$N$81:$N$1080,"&lt;"&amp;B63)</f>
        <v>20</v>
      </c>
    </row>
    <row r="64" customFormat="false" ht="15" hidden="false" customHeight="false" outlineLevel="0" collapsed="false">
      <c r="A64" s="35" t="n">
        <f aca="false">MIN($N$81:$N$1080)+(MAX($N$81:$N$1080)-MIN($N$81:$N$1080))*5/20</f>
        <v>-1132581527.69633</v>
      </c>
      <c r="B64" s="35" t="n">
        <f aca="false">MIN($N$81:$N$1080)+(MAX($N$81:$N$1080)-MIN($N$81:$N$1080))*6/20</f>
        <v>-1029589586.33544</v>
      </c>
      <c r="C64" s="10" t="n">
        <f aca="false">COUNTIFS($N$81:$N$1080,"&gt;="&amp;A64,$N$81:$N$1080,"&lt;"&amp;B64)</f>
        <v>41</v>
      </c>
    </row>
    <row r="65" customFormat="false" ht="15" hidden="false" customHeight="false" outlineLevel="0" collapsed="false">
      <c r="A65" s="35" t="n">
        <f aca="false">MIN($N$81:$N$1080)+(MAX($N$81:$N$1080)-MIN($N$81:$N$1080))*6/20</f>
        <v>-1029589586.33544</v>
      </c>
      <c r="B65" s="35" t="n">
        <f aca="false">MIN($N$81:$N$1080)+(MAX($N$81:$N$1080)-MIN($N$81:$N$1080))*7/20</f>
        <v>-926597644.974558</v>
      </c>
      <c r="C65" s="10" t="n">
        <f aca="false">COUNTIFS($N$81:$N$1080,"&gt;="&amp;A65,$N$81:$N$1080,"&lt;"&amp;B65)</f>
        <v>58</v>
      </c>
    </row>
    <row r="66" customFormat="false" ht="15" hidden="false" customHeight="false" outlineLevel="0" collapsed="false">
      <c r="A66" s="35" t="n">
        <f aca="false">MIN($N$81:$N$1080)+(MAX($N$81:$N$1080)-MIN($N$81:$N$1080))*7/20</f>
        <v>-926597644.974558</v>
      </c>
      <c r="B66" s="35" t="n">
        <f aca="false">MIN($N$81:$N$1080)+(MAX($N$81:$N$1080)-MIN($N$81:$N$1080))*8/20</f>
        <v>-823605703.613672</v>
      </c>
      <c r="C66" s="10" t="n">
        <f aca="false">COUNTIFS($N$81:$N$1080,"&gt;="&amp;A66,$N$81:$N$1080,"&lt;"&amp;B66)</f>
        <v>71</v>
      </c>
    </row>
    <row r="67" customFormat="false" ht="15" hidden="false" customHeight="false" outlineLevel="0" collapsed="false">
      <c r="A67" s="35" t="n">
        <f aca="false">MIN($N$81:$N$1080)+(MAX($N$81:$N$1080)-MIN($N$81:$N$1080))*8/20</f>
        <v>-823605703.613672</v>
      </c>
      <c r="B67" s="35" t="n">
        <f aca="false">MIN($N$81:$N$1080)+(MAX($N$81:$N$1080)-MIN($N$81:$N$1080))*9/20</f>
        <v>-720613762.252787</v>
      </c>
      <c r="C67" s="10" t="n">
        <f aca="false">COUNTIFS($N$81:$N$1080,"&gt;="&amp;A67,$N$81:$N$1080,"&lt;"&amp;B67)</f>
        <v>85</v>
      </c>
    </row>
    <row r="68" customFormat="false" ht="15" hidden="false" customHeight="false" outlineLevel="0" collapsed="false">
      <c r="A68" s="35" t="n">
        <f aca="false">MIN($N$81:$N$1080)+(MAX($N$81:$N$1080)-MIN($N$81:$N$1080))*9/20</f>
        <v>-720613762.252787</v>
      </c>
      <c r="B68" s="35" t="n">
        <f aca="false">MIN($N$81:$N$1080)+(MAX($N$81:$N$1080)-MIN($N$81:$N$1080))*10/20</f>
        <v>-617621820.891901</v>
      </c>
      <c r="C68" s="10" t="n">
        <f aca="false">COUNTIFS($N$81:$N$1080,"&gt;="&amp;A68,$N$81:$N$1080,"&lt;"&amp;B68)</f>
        <v>94</v>
      </c>
    </row>
    <row r="69" customFormat="false" ht="15" hidden="false" customHeight="false" outlineLevel="0" collapsed="false">
      <c r="A69" s="35" t="n">
        <f aca="false">MIN($N$81:$N$1080)+(MAX($N$81:$N$1080)-MIN($N$81:$N$1080))*10/20</f>
        <v>-617621820.891901</v>
      </c>
      <c r="B69" s="35" t="n">
        <f aca="false">MIN($N$81:$N$1080)+(MAX($N$81:$N$1080)-MIN($N$81:$N$1080))*11/20</f>
        <v>-514629879.531016</v>
      </c>
      <c r="C69" s="10" t="n">
        <f aca="false">COUNTIFS($N$81:$N$1080,"&gt;="&amp;A69,$N$81:$N$1080,"&lt;"&amp;B69)</f>
        <v>104</v>
      </c>
    </row>
    <row r="70" customFormat="false" ht="15" hidden="false" customHeight="false" outlineLevel="0" collapsed="false">
      <c r="A70" s="35" t="n">
        <f aca="false">MIN($N$81:$N$1080)+(MAX($N$81:$N$1080)-MIN($N$81:$N$1080))*11/20</f>
        <v>-514629879.531016</v>
      </c>
      <c r="B70" s="35" t="n">
        <f aca="false">MIN($N$81:$N$1080)+(MAX($N$81:$N$1080)-MIN($N$81:$N$1080))*12/20</f>
        <v>-411637938.170131</v>
      </c>
      <c r="C70" s="10" t="n">
        <f aca="false">COUNTIFS($N$81:$N$1080,"&gt;="&amp;A70,$N$81:$N$1080,"&lt;"&amp;B70)</f>
        <v>75</v>
      </c>
    </row>
    <row r="71" customFormat="false" ht="15" hidden="false" customHeight="false" outlineLevel="0" collapsed="false">
      <c r="A71" s="35" t="n">
        <f aca="false">MIN($N$81:$N$1080)+(MAX($N$81:$N$1080)-MIN($N$81:$N$1080))*12/20</f>
        <v>-411637938.170131</v>
      </c>
      <c r="B71" s="35" t="n">
        <f aca="false">MIN($N$81:$N$1080)+(MAX($N$81:$N$1080)-MIN($N$81:$N$1080))*13/20</f>
        <v>-308645996.809245</v>
      </c>
      <c r="C71" s="10" t="n">
        <f aca="false">COUNTIFS($N$81:$N$1080,"&gt;="&amp;A71,$N$81:$N$1080,"&lt;"&amp;B71)</f>
        <v>105</v>
      </c>
    </row>
    <row r="72" customFormat="false" ht="15" hidden="false" customHeight="false" outlineLevel="0" collapsed="false">
      <c r="A72" s="35" t="n">
        <f aca="false">MIN($N$81:$N$1080)+(MAX($N$81:$N$1080)-MIN($N$81:$N$1080))*13/20</f>
        <v>-308645996.809245</v>
      </c>
      <c r="B72" s="35" t="n">
        <f aca="false">MIN($N$81:$N$1080)+(MAX($N$81:$N$1080)-MIN($N$81:$N$1080))*14/20</f>
        <v>-205654055.44836</v>
      </c>
      <c r="C72" s="10" t="n">
        <f aca="false">COUNTIFS($N$81:$N$1080,"&gt;="&amp;A72,$N$81:$N$1080,"&lt;"&amp;B72)</f>
        <v>100</v>
      </c>
    </row>
    <row r="73" customFormat="false" ht="15" hidden="false" customHeight="false" outlineLevel="0" collapsed="false">
      <c r="A73" s="35" t="n">
        <f aca="false">MIN($N$81:$N$1080)+(MAX($N$81:$N$1080)-MIN($N$81:$N$1080))*14/20</f>
        <v>-205654055.44836</v>
      </c>
      <c r="B73" s="35" t="n">
        <f aca="false">MIN($N$81:$N$1080)+(MAX($N$81:$N$1080)-MIN($N$81:$N$1080))*15/20</f>
        <v>-102662114.087474</v>
      </c>
      <c r="C73" s="10" t="n">
        <f aca="false">COUNTIFS($N$81:$N$1080,"&gt;="&amp;A73,$N$81:$N$1080,"&lt;"&amp;B73)</f>
        <v>91</v>
      </c>
    </row>
    <row r="74" customFormat="false" ht="15" hidden="false" customHeight="false" outlineLevel="0" collapsed="false">
      <c r="A74" s="35" t="n">
        <f aca="false">MIN($N$81:$N$1080)+(MAX($N$81:$N$1080)-MIN($N$81:$N$1080))*15/20</f>
        <v>-102662114.087474</v>
      </c>
      <c r="B74" s="35" t="n">
        <f aca="false">MIN($N$81:$N$1080)+(MAX($N$81:$N$1080)-MIN($N$81:$N$1080))*16/20</f>
        <v>329827.273411274</v>
      </c>
      <c r="C74" s="10" t="n">
        <f aca="false">COUNTIFS($N$81:$N$1080,"&gt;="&amp;A74,$N$81:$N$1080,"&lt;"&amp;B74)</f>
        <v>46</v>
      </c>
    </row>
    <row r="75" customFormat="false" ht="15" hidden="false" customHeight="false" outlineLevel="0" collapsed="false">
      <c r="A75" s="35" t="n">
        <f aca="false">MIN($N$81:$N$1080)+(MAX($N$81:$N$1080)-MIN($N$81:$N$1080))*16/20</f>
        <v>329827.273411274</v>
      </c>
      <c r="B75" s="35" t="n">
        <f aca="false">MIN($N$81:$N$1080)+(MAX($N$81:$N$1080)-MIN($N$81:$N$1080))*17/20</f>
        <v>103321768.634297</v>
      </c>
      <c r="C75" s="10" t="n">
        <f aca="false">COUNTIFS($N$81:$N$1080,"&gt;="&amp;A75,$N$81:$N$1080,"&lt;"&amp;B75)</f>
        <v>30</v>
      </c>
    </row>
    <row r="76" customFormat="false" ht="15" hidden="false" customHeight="false" outlineLevel="0" collapsed="false">
      <c r="A76" s="35" t="n">
        <f aca="false">MIN($N$81:$N$1080)+(MAX($N$81:$N$1080)-MIN($N$81:$N$1080))*17/20</f>
        <v>103321768.634297</v>
      </c>
      <c r="B76" s="35" t="n">
        <f aca="false">MIN($N$81:$N$1080)+(MAX($N$81:$N$1080)-MIN($N$81:$N$1080))*18/20</f>
        <v>206313709.995182</v>
      </c>
      <c r="C76" s="10" t="n">
        <f aca="false">COUNTIFS($N$81:$N$1080,"&gt;="&amp;A76,$N$81:$N$1080,"&lt;"&amp;B76)</f>
        <v>19</v>
      </c>
    </row>
    <row r="77" customFormat="false" ht="15" hidden="false" customHeight="false" outlineLevel="0" collapsed="false">
      <c r="A77" s="35" t="n">
        <f aca="false">MIN($N$81:$N$1080)+(MAX($N$81:$N$1080)-MIN($N$81:$N$1080))*18/20</f>
        <v>206313709.995182</v>
      </c>
      <c r="B77" s="35" t="n">
        <f aca="false">MIN($N$81:$N$1080)+(MAX($N$81:$N$1080)-MIN($N$81:$N$1080))*19/20</f>
        <v>309305651.356068</v>
      </c>
      <c r="C77" s="10" t="n">
        <f aca="false">COUNTIFS($N$81:$N$1080,"&gt;="&amp;A77,$N$81:$N$1080,"&lt;"&amp;B77)</f>
        <v>14</v>
      </c>
    </row>
    <row r="78" customFormat="false" ht="15" hidden="false" customHeight="false" outlineLevel="0" collapsed="false">
      <c r="A78" s="35" t="n">
        <f aca="false">MIN($N$81:$N$1080)+(MAX($N$81:$N$1080)-MIN($N$81:$N$1080))*19/20</f>
        <v>309305651.356068</v>
      </c>
      <c r="B78" s="35" t="n">
        <f aca="false">MIN($N$81:$N$1080)+(MAX($N$81:$N$1080)-MIN($N$81:$N$1080))*20/20</f>
        <v>412297592.716953</v>
      </c>
      <c r="C78" s="10" t="n">
        <f aca="false">COUNTIFS($N$81:$N$1080,"&gt;="&amp;A78,$N$81:$N$1080,"&lt;="&amp;B78)</f>
        <v>6</v>
      </c>
    </row>
    <row r="80" customFormat="false" ht="23.85" hidden="false" customHeight="false" outlineLevel="0" collapsed="false">
      <c r="A80" s="8" t="s">
        <v>321</v>
      </c>
      <c r="B80" s="8" t="s">
        <v>275</v>
      </c>
      <c r="C80" s="8" t="s">
        <v>276</v>
      </c>
      <c r="D80" s="8" t="s">
        <v>277</v>
      </c>
      <c r="E80" s="8" t="s">
        <v>278</v>
      </c>
      <c r="F80" s="8" t="s">
        <v>279</v>
      </c>
      <c r="G80" s="8" t="s">
        <v>280</v>
      </c>
      <c r="H80" s="8" t="s">
        <v>281</v>
      </c>
      <c r="I80" s="8" t="s">
        <v>282</v>
      </c>
      <c r="J80" s="8" t="s">
        <v>283</v>
      </c>
      <c r="K80" s="8" t="s">
        <v>284</v>
      </c>
      <c r="L80" s="8" t="s">
        <v>285</v>
      </c>
      <c r="M80" s="8" t="s">
        <v>286</v>
      </c>
      <c r="N80" s="8" t="s">
        <v>259</v>
      </c>
      <c r="P80" s="8" t="s">
        <v>322</v>
      </c>
      <c r="Q80" s="8" t="s">
        <v>323</v>
      </c>
      <c r="R80" s="8" t="s">
        <v>324</v>
      </c>
      <c r="S80" s="8" t="s">
        <v>325</v>
      </c>
      <c r="T80" s="8" t="s">
        <v>326</v>
      </c>
      <c r="U80" s="8" t="s">
        <v>327</v>
      </c>
    </row>
    <row r="81" customFormat="false" ht="15" hidden="false" customHeight="false" outlineLevel="0" collapsed="false">
      <c r="A81" s="36" t="n">
        <v>1</v>
      </c>
      <c r="B81" s="37" t="n">
        <f aca="false">1+IF($G$6=$E$6,$F$6,IF(P81&lt;($F$6-$E$6)/($G$6-$E$6),$E$6+SQRT(P81*($G$6-$E$6)*($F$6-$E$6)),$G$6-SQRT((1-P81)*($G$6-$E$6)*($G$6-$F$6))))</f>
        <v>1.04404529540226</v>
      </c>
      <c r="C81" s="37" t="n">
        <f aca="false">1+IF($G$7=$E$7,$F$7,IF(Q81&lt;($F$7-$E$7)/($G$7-$E$7),$E$7+SQRT(Q81*($G$7-$E$7)*($F$7-$E$7)),$G$7-SQRT((1-Q81)*($G$7-$E$7)*($G$7-$F$7))))</f>
        <v>0.950428623418917</v>
      </c>
      <c r="D81" s="37" t="n">
        <f aca="false">1+IF($G$8=$E$8,$F$8,IF(R81&lt;($F$8-$E$8)/($G$8-$E$8),$E$8+SQRT(R81*($G$8-$E$8)*($F$8-$E$8)),$G$8-SQRT((1-R81)*($G$8-$E$8)*($G$8-$F$8))))</f>
        <v>1.05330187785431</v>
      </c>
      <c r="E81" s="37" t="n">
        <f aca="false">1+IF($G$9=$E$9,$F$9,IF(S81&lt;($F$9-$E$9)/($G$9-$E$9),$E$9+SQRT(S81*($G$9-$E$9)*($F$9-$E$9)),$G$9-SQRT((1-S81)*($G$9-$E$9)*($G$9-$F$9))))</f>
        <v>0.935994240071883</v>
      </c>
      <c r="F81" s="37" t="n">
        <f aca="false">1+IF($G$10=$E$10,$F$10,IF(T81&lt;($F$10-$E$10)/($G$10-$E$10),$E$10+SQRT(T81*($G$10-$E$10)*($F$10-$E$10)),$G$10-SQRT((1-T81)*($G$10-$E$10)*($G$10-$F$10))))</f>
        <v>1.0343395397926</v>
      </c>
      <c r="G81" s="38" t="n">
        <f aca="false">IF($G$11=$E$11,$F$11,IF(U81&lt;($F$11-$E$11)/($G$11-$E$11),$E$11+SQRT(U81*($G$11-$E$11)*($F$11-$E$11)),$G$11-SQRT((1-U81)*($G$11-$E$11)*($G$11-$F$11))))</f>
        <v>0.0913749884720707</v>
      </c>
      <c r="H81" s="39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-2068679079.5852</v>
      </c>
      <c r="I81" s="39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12307616.3252352</v>
      </c>
      <c r="J81" s="39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312587908.793289</v>
      </c>
      <c r="K81" s="39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664585178.250974</v>
      </c>
      <c r="L81" s="39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798972169.89055</v>
      </c>
      <c r="M81" s="39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987586754.383453</v>
      </c>
      <c r="N81" s="39" t="n">
        <f aca="false">IF(COUNT('Business Case'!B11:G11)=0,"",H81+NPV(G81,I81:M81))</f>
        <v>-82725434.4066505</v>
      </c>
      <c r="P81" s="40" t="n">
        <f aca="true">RAND()</f>
        <v>0.995272199087151</v>
      </c>
      <c r="Q81" s="40" t="n">
        <f aca="true">RAND()</f>
        <v>0.464551817981437</v>
      </c>
      <c r="R81" s="40" t="n">
        <f aca="true">RAND()</f>
        <v>0.854619025871064</v>
      </c>
      <c r="S81" s="40" t="n">
        <f aca="true">RAND()</f>
        <v>0.0518234127340932</v>
      </c>
      <c r="T81" s="40" t="n">
        <f aca="true">RAND()</f>
        <v>0.379874212041762</v>
      </c>
      <c r="U81" s="40" t="n">
        <f aca="true">RAND()</f>
        <v>0.129390362739741</v>
      </c>
    </row>
    <row r="82" customFormat="false" ht="15" hidden="false" customHeight="false" outlineLevel="0" collapsed="false">
      <c r="A82" s="36" t="n">
        <v>2</v>
      </c>
      <c r="B82" s="37" t="n">
        <f aca="false">1+IF($G$6=$E$6,$F$6,IF(P82&lt;($F$6-$E$6)/($G$6-$E$6),$E$6+SQRT(P82*($G$6-$E$6)*($F$6-$E$6)),$G$6-SQRT((1-P82)*($G$6-$E$6)*($G$6-$F$6))))</f>
        <v>0.955167346076167</v>
      </c>
      <c r="C82" s="37" t="n">
        <f aca="false">1+IF($G$7=$E$7,$F$7,IF(Q82&lt;($F$7-$E$7)/($G$7-$E$7),$E$7+SQRT(Q82*($G$7-$E$7)*($F$7-$E$7)),$G$7-SQRT((1-Q82)*($G$7-$E$7)*($G$7-$F$7))))</f>
        <v>0.900086490941899</v>
      </c>
      <c r="D82" s="37" t="n">
        <f aca="false">1+IF($G$8=$E$8,$F$8,IF(R82&lt;($F$8-$E$8)/($G$8-$E$8),$E$8+SQRT(R82*($G$8-$E$8)*($F$8-$E$8)),$G$8-SQRT((1-R82)*($G$8-$E$8)*($G$8-$F$8))))</f>
        <v>1.03231052068282</v>
      </c>
      <c r="E82" s="37" t="n">
        <f aca="false">1+IF($G$9=$E$9,$F$9,IF(S82&lt;($F$9-$E$9)/($G$9-$E$9),$E$9+SQRT(S82*($G$9-$E$9)*($F$9-$E$9)),$G$9-SQRT((1-S82)*($G$9-$E$9)*($G$9-$F$9))))</f>
        <v>1.1337564743031</v>
      </c>
      <c r="F82" s="37" t="n">
        <f aca="false">1+IF($G$10=$E$10,$F$10,IF(T82&lt;($F$10-$E$10)/($G$10-$E$10),$E$10+SQRT(T82*($G$10-$E$10)*($F$10-$E$10)),$G$10-SQRT((1-T82)*($G$10-$E$10)*($G$10-$F$10))))</f>
        <v>1.11165882575429</v>
      </c>
      <c r="G82" s="38" t="n">
        <f aca="false">IF($G$11=$E$11,$F$11,IF(U82&lt;($F$11-$E$11)/($G$11-$E$11),$E$11+SQRT(U82*($G$11-$E$11)*($F$11-$E$11)),$G$11-SQRT((1-U82)*($G$11-$E$11)*($G$11-$F$11))))</f>
        <v>0.0996571067363285</v>
      </c>
      <c r="H82" s="39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-2223317651.50858</v>
      </c>
      <c r="I82" s="39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-88431280.3087852</v>
      </c>
      <c r="J82" s="39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140092062.976975</v>
      </c>
      <c r="K82" s="39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424198347.55045</v>
      </c>
      <c r="L82" s="39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530085175.561181</v>
      </c>
      <c r="M82" s="39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693503266.929641</v>
      </c>
      <c r="N82" s="39" t="n">
        <f aca="false">IF(COUNT('Business Case'!B11:G11)=0,"",H82+NPV(G82,I82:M82))</f>
        <v>-1075089439.69032</v>
      </c>
      <c r="P82" s="40" t="n">
        <f aca="true">RAND()</f>
        <v>0.202895738205836</v>
      </c>
      <c r="Q82" s="40" t="n">
        <f aca="true">RAND()</f>
        <v>0.296552621166241</v>
      </c>
      <c r="R82" s="40" t="n">
        <f aca="true">RAND()</f>
        <v>0.694542292651291</v>
      </c>
      <c r="S82" s="40" t="n">
        <f aca="true">RAND()</f>
        <v>0.99296394327824</v>
      </c>
      <c r="T82" s="40" t="n">
        <f aca="true">RAND()</f>
        <v>0.744822926777576</v>
      </c>
      <c r="U82" s="40" t="n">
        <f aca="true">RAND()</f>
        <v>0.386401845243411</v>
      </c>
    </row>
    <row r="83" customFormat="false" ht="15" hidden="false" customHeight="false" outlineLevel="0" collapsed="false">
      <c r="A83" s="36" t="n">
        <v>3</v>
      </c>
      <c r="B83" s="37" t="n">
        <f aca="false">1+IF($G$6=$E$6,$F$6,IF(P83&lt;($F$6-$E$6)/($G$6-$E$6),$E$6+SQRT(P83*($G$6-$E$6)*($F$6-$E$6)),$G$6-SQRT((1-P83)*($G$6-$E$6)*($G$6-$F$6))))</f>
        <v>0.922385115087659</v>
      </c>
      <c r="C83" s="37" t="n">
        <f aca="false">1+IF($G$7=$E$7,$F$7,IF(Q83&lt;($F$7-$E$7)/($G$7-$E$7),$E$7+SQRT(Q83*($G$7-$E$7)*($F$7-$E$7)),$G$7-SQRT((1-Q83)*($G$7-$E$7)*($G$7-$F$7))))</f>
        <v>0.919874680018535</v>
      </c>
      <c r="D83" s="37" t="n">
        <f aca="false">1+IF($G$8=$E$8,$F$8,IF(R83&lt;($F$8-$E$8)/($G$8-$E$8),$E$8+SQRT(R83*($G$8-$E$8)*($F$8-$E$8)),$G$8-SQRT((1-R83)*($G$8-$E$8)*($G$8-$F$8))))</f>
        <v>1.00727350252977</v>
      </c>
      <c r="E83" s="37" t="n">
        <f aca="false">1+IF($G$9=$E$9,$F$9,IF(S83&lt;($F$9-$E$9)/($G$9-$E$9),$E$9+SQRT(S83*($G$9-$E$9)*($F$9-$E$9)),$G$9-SQRT((1-S83)*($G$9-$E$9)*($G$9-$F$9))))</f>
        <v>1.01288378760059</v>
      </c>
      <c r="F83" s="37" t="n">
        <f aca="false">1+IF($G$10=$E$10,$F$10,IF(T83&lt;($F$10-$E$10)/($G$10-$E$10),$E$10+SQRT(T83*($G$10-$E$10)*($F$10-$E$10)),$G$10-SQRT((1-T83)*($G$10-$E$10)*($G$10-$F$10))))</f>
        <v>0.992233931626603</v>
      </c>
      <c r="G83" s="38" t="n">
        <f aca="false">IF($G$11=$E$11,$F$11,IF(U83&lt;($F$11-$E$11)/($G$11-$E$11),$E$11+SQRT(U83*($G$11-$E$11)*($F$11-$E$11)),$G$11-SQRT((1-U83)*($G$11-$E$11)*($G$11-$F$11))))</f>
        <v>0.10172961438504</v>
      </c>
      <c r="H83" s="39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-1984467863.25321</v>
      </c>
      <c r="I83" s="39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-66602803.0117461</v>
      </c>
      <c r="J83" s="39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154034998.196903</v>
      </c>
      <c r="K83" s="39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424284495.986883</v>
      </c>
      <c r="L83" s="39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527153854.030387</v>
      </c>
      <c r="M83" s="39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688432687.720467</v>
      </c>
      <c r="N83" s="39" t="n">
        <f aca="false">IF(COUNT('Business Case'!B11:G11)=0,"",H83+NPV(G83,I83:M83))</f>
        <v>-818831135.535732</v>
      </c>
      <c r="P83" s="40" t="n">
        <f aca="true">RAND()</f>
        <v>0.033406225165849</v>
      </c>
      <c r="Q83" s="40" t="n">
        <f aca="true">RAND()</f>
        <v>0.358110184542614</v>
      </c>
      <c r="R83" s="40" t="n">
        <f aca="true">RAND()</f>
        <v>0.42678644446017</v>
      </c>
      <c r="S83" s="40" t="n">
        <f aca="true">RAND()</f>
        <v>0.498643847926411</v>
      </c>
      <c r="T83" s="40" t="n">
        <f aca="true">RAND()</f>
        <v>0.11891366537604</v>
      </c>
      <c r="U83" s="40" t="n">
        <f aca="true">RAND()</f>
        <v>0.467190198120959</v>
      </c>
    </row>
    <row r="84" customFormat="false" ht="15" hidden="false" customHeight="false" outlineLevel="0" collapsed="false">
      <c r="A84" s="36" t="n">
        <v>4</v>
      </c>
      <c r="B84" s="37" t="n">
        <f aca="false">1+IF($G$6=$E$6,$F$6,IF(P84&lt;($F$6-$E$6)/($G$6-$E$6),$E$6+SQRT(P84*($G$6-$E$6)*($F$6-$E$6)),$G$6-SQRT((1-P84)*($G$6-$E$6)*($G$6-$F$6))))</f>
        <v>0.967927846969076</v>
      </c>
      <c r="C84" s="37" t="n">
        <f aca="false">1+IF($G$7=$E$7,$F$7,IF(Q84&lt;($F$7-$E$7)/($G$7-$E$7),$E$7+SQRT(Q84*($G$7-$E$7)*($F$7-$E$7)),$G$7-SQRT((1-Q84)*($G$7-$E$7)*($G$7-$F$7))))</f>
        <v>0.857120465591288</v>
      </c>
      <c r="D84" s="37" t="n">
        <f aca="false">1+IF($G$8=$E$8,$F$8,IF(R84&lt;($F$8-$E$8)/($G$8-$E$8),$E$8+SQRT(R84*($G$8-$E$8)*($F$8-$E$8)),$G$8-SQRT((1-R84)*($G$8-$E$8)*($G$8-$F$8))))</f>
        <v>1.02061918235306</v>
      </c>
      <c r="E84" s="37" t="n">
        <f aca="false">1+IF($G$9=$E$9,$F$9,IF(S84&lt;($F$9-$E$9)/($G$9-$E$9),$E$9+SQRT(S84*($G$9-$E$9)*($F$9-$E$9)),$G$9-SQRT((1-S84)*($G$9-$E$9)*($G$9-$F$9))))</f>
        <v>0.949668799023561</v>
      </c>
      <c r="F84" s="37" t="n">
        <f aca="false">1+IF($G$10=$E$10,$F$10,IF(T84&lt;($F$10-$E$10)/($G$10-$E$10),$E$10+SQRT(T84*($G$10-$E$10)*($F$10-$E$10)),$G$10-SQRT((1-T84)*($G$10-$E$10)*($G$10-$F$10))))</f>
        <v>0.998106849322588</v>
      </c>
      <c r="G84" s="38" t="n">
        <f aca="false">IF($G$11=$E$11,$F$11,IF(U84&lt;($F$11-$E$11)/($G$11-$E$11),$E$11+SQRT(U84*($G$11-$E$11)*($F$11-$E$11)),$G$11-SQRT((1-U84)*($G$11-$E$11)*($G$11-$F$11))))</f>
        <v>0.0975149246228408</v>
      </c>
      <c r="H84" s="39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-1996213698.64518</v>
      </c>
      <c r="I84" s="39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-46158649.6023833</v>
      </c>
      <c r="J84" s="39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185544347.902297</v>
      </c>
      <c r="K84" s="39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467152687.873107</v>
      </c>
      <c r="L84" s="39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573059059.677104</v>
      </c>
      <c r="M84" s="39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730755275.840505</v>
      </c>
      <c r="N84" s="39" t="n">
        <f aca="false">IF(COUNT('Business Case'!B11:G11)=0,"",H84+NPV(G84,I84:M84))</f>
        <v>-676999267.043893</v>
      </c>
      <c r="P84" s="40" t="n">
        <f aca="true">RAND()</f>
        <v>0.307612826256945</v>
      </c>
      <c r="Q84" s="40" t="n">
        <f aca="true">RAND()</f>
        <v>0.182865486723134</v>
      </c>
      <c r="R84" s="40" t="n">
        <f aca="true">RAND()</f>
        <v>0.579912385980213</v>
      </c>
      <c r="S84" s="40" t="n">
        <f aca="true">RAND()</f>
        <v>0.0986795838577158</v>
      </c>
      <c r="T84" s="40" t="n">
        <f aca="true">RAND()</f>
        <v>0.154284596783077</v>
      </c>
      <c r="U84" s="40" t="n">
        <f aca="true">RAND()</f>
        <v>0.306772584543795</v>
      </c>
    </row>
    <row r="85" customFormat="false" ht="15" hidden="false" customHeight="false" outlineLevel="0" collapsed="false">
      <c r="A85" s="36" t="n">
        <v>5</v>
      </c>
      <c r="B85" s="37" t="n">
        <f aca="false">1+IF($G$6=$E$6,$F$6,IF(P85&lt;($F$6-$E$6)/($G$6-$E$6),$E$6+SQRT(P85*($G$6-$E$6)*($F$6-$E$6)),$G$6-SQRT((1-P85)*($G$6-$E$6)*($G$6-$F$6))))</f>
        <v>0.996062040656372</v>
      </c>
      <c r="C85" s="37" t="n">
        <f aca="false">1+IF($G$7=$E$7,$F$7,IF(Q85&lt;($F$7-$E$7)/($G$7-$E$7),$E$7+SQRT(Q85*($G$7-$E$7)*($F$7-$E$7)),$G$7-SQRT((1-Q85)*($G$7-$E$7)*($G$7-$F$7))))</f>
        <v>1.10093417814218</v>
      </c>
      <c r="D85" s="37" t="n">
        <f aca="false">1+IF($G$8=$E$8,$F$8,IF(R85&lt;($F$8-$E$8)/($G$8-$E$8),$E$8+SQRT(R85*($G$8-$E$8)*($F$8-$E$8)),$G$8-SQRT((1-R85)*($G$8-$E$8)*($G$8-$F$8))))</f>
        <v>0.988210448634181</v>
      </c>
      <c r="E85" s="37" t="n">
        <f aca="false">1+IF($G$9=$E$9,$F$9,IF(S85&lt;($F$9-$E$9)/($G$9-$E$9),$E$9+SQRT(S85*($G$9-$E$9)*($F$9-$E$9)),$G$9-SQRT((1-S85)*($G$9-$E$9)*($G$9-$F$9))))</f>
        <v>0.95459925083639</v>
      </c>
      <c r="F85" s="37" t="n">
        <f aca="false">1+IF($G$10=$E$10,$F$10,IF(T85&lt;($F$10-$E$10)/($G$10-$E$10),$E$10+SQRT(T85*($G$10-$E$10)*($F$10-$E$10)),$G$10-SQRT((1-T85)*($G$10-$E$10)*($G$10-$F$10))))</f>
        <v>0.99568850890613</v>
      </c>
      <c r="G85" s="38" t="n">
        <f aca="false">IF($G$11=$E$11,$F$11,IF(U85&lt;($F$11-$E$11)/($G$11-$E$11),$E$11+SQRT(U85*($G$11-$E$11)*($F$11-$E$11)),$G$11-SQRT((1-U85)*($G$11-$E$11)*($G$11-$F$11))))</f>
        <v>0.109852957105948</v>
      </c>
      <c r="H85" s="39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-1991377017.81226</v>
      </c>
      <c r="I85" s="39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49087034.7065888</v>
      </c>
      <c r="J85" s="39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390334612.667318</v>
      </c>
      <c r="K85" s="39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781366616.073353</v>
      </c>
      <c r="L85" s="39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933014261.323324</v>
      </c>
      <c r="M85" s="39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1141455750.6035</v>
      </c>
      <c r="N85" s="39" t="n">
        <f aca="false">IF(COUNT('Business Case'!B11:G11)=0,"",H85+NPV(G85,I85:M85))</f>
        <v>234073782.434496</v>
      </c>
      <c r="P85" s="40" t="n">
        <f aca="true">RAND()</f>
        <v>0.615194377004431</v>
      </c>
      <c r="Q85" s="40" t="n">
        <f aca="true">RAND()</f>
        <v>0.96433400185803</v>
      </c>
      <c r="R85" s="40" t="n">
        <f aca="true">RAND()</f>
        <v>0.194671784643385</v>
      </c>
      <c r="S85" s="40" t="n">
        <f aca="true">RAND()</f>
        <v>0.119243127675803</v>
      </c>
      <c r="T85" s="40" t="n">
        <f aca="true">RAND()</f>
        <v>0.139162656404365</v>
      </c>
      <c r="U85" s="40" t="n">
        <f aca="true">RAND()</f>
        <v>0.729397775083489</v>
      </c>
    </row>
    <row r="86" customFormat="false" ht="15" hidden="false" customHeight="false" outlineLevel="0" collapsed="false">
      <c r="A86" s="36" t="n">
        <v>6</v>
      </c>
      <c r="B86" s="37" t="n">
        <f aca="false">1+IF($G$6=$E$6,$F$6,IF(P86&lt;($F$6-$E$6)/($G$6-$E$6),$E$6+SQRT(P86*($G$6-$E$6)*($F$6-$E$6)),$G$6-SQRT((1-P86)*($G$6-$E$6)*($G$6-$F$6))))</f>
        <v>0.962277875859153</v>
      </c>
      <c r="C86" s="37" t="n">
        <f aca="false">1+IF($G$7=$E$7,$F$7,IF(Q86&lt;($F$7-$E$7)/($G$7-$E$7),$E$7+SQRT(Q86*($G$7-$E$7)*($F$7-$E$7)),$G$7-SQRT((1-Q86)*($G$7-$E$7)*($G$7-$F$7))))</f>
        <v>0.936913391714375</v>
      </c>
      <c r="D86" s="37" t="n">
        <f aca="false">1+IF($G$8=$E$8,$F$8,IF(R86&lt;($F$8-$E$8)/($G$8-$E$8),$E$8+SQRT(R86*($G$8-$E$8)*($F$8-$E$8)),$G$8-SQRT((1-R86)*($G$8-$E$8)*($G$8-$F$8))))</f>
        <v>1.01432079049201</v>
      </c>
      <c r="E86" s="37" t="n">
        <f aca="false">1+IF($G$9=$E$9,$F$9,IF(S86&lt;($F$9-$E$9)/($G$9-$E$9),$E$9+SQRT(S86*($G$9-$E$9)*($F$9-$E$9)),$G$9-SQRT((1-S86)*($G$9-$E$9)*($G$9-$F$9))))</f>
        <v>0.909495549781326</v>
      </c>
      <c r="F86" s="37" t="n">
        <f aca="false">1+IF($G$10=$E$10,$F$10,IF(T86&lt;($F$10-$E$10)/($G$10-$E$10),$E$10+SQRT(T86*($G$10-$E$10)*($F$10-$E$10)),$G$10-SQRT((1-T86)*($G$10-$E$10)*($G$10-$F$10))))</f>
        <v>1.17032701120841</v>
      </c>
      <c r="G86" s="38" t="n">
        <f aca="false">IF($G$11=$E$11,$F$11,IF(U86&lt;($F$11-$E$11)/($G$11-$E$11),$E$11+SQRT(U86*($G$11-$E$11)*($F$11-$E$11)),$G$11-SQRT((1-U86)*($G$11-$E$11)*($G$11-$F$11))))</f>
        <v>0.0878109215654862</v>
      </c>
      <c r="H86" s="39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-2340654022.41683</v>
      </c>
      <c r="I86" s="39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-41142133.3852831</v>
      </c>
      <c r="J86" s="39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210816143.64366</v>
      </c>
      <c r="K86" s="39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521290771.233023</v>
      </c>
      <c r="L86" s="39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636435158.318991</v>
      </c>
      <c r="M86" s="39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807805779.405418</v>
      </c>
      <c r="N86" s="39" t="n">
        <f aca="false">IF(COUNT('Business Case'!B11:G11)=0,"",H86+NPV(G86,I86:M86))</f>
        <v>-810524096.466104</v>
      </c>
      <c r="P86" s="40" t="n">
        <f aca="true">RAND()</f>
        <v>0.258568921435206</v>
      </c>
      <c r="Q86" s="40" t="n">
        <f aca="true">RAND()</f>
        <v>0.41576263091562</v>
      </c>
      <c r="R86" s="40" t="n">
        <f aca="true">RAND()</f>
        <v>0.510604870539027</v>
      </c>
      <c r="S86" s="40" t="n">
        <f aca="true">RAND()</f>
        <v>0.00360661862598592</v>
      </c>
      <c r="T86" s="40" t="n">
        <f aca="true">RAND()</f>
        <v>0.915362864760207</v>
      </c>
      <c r="U86" s="40" t="n">
        <f aca="true">RAND()</f>
        <v>0.061010495702177</v>
      </c>
    </row>
    <row r="87" customFormat="false" ht="15" hidden="false" customHeight="false" outlineLevel="0" collapsed="false">
      <c r="A87" s="36" t="n">
        <v>7</v>
      </c>
      <c r="B87" s="37" t="n">
        <f aca="false">1+IF($G$6=$E$6,$F$6,IF(P87&lt;($F$6-$E$6)/($G$6-$E$6),$E$6+SQRT(P87*($G$6-$E$6)*($F$6-$E$6)),$G$6-SQRT((1-P87)*($G$6-$E$6)*($G$6-$F$6))))</f>
        <v>1.02115863074996</v>
      </c>
      <c r="C87" s="37" t="n">
        <f aca="false">1+IF($G$7=$E$7,$F$7,IF(Q87&lt;($F$7-$E$7)/($G$7-$E$7),$E$7+SQRT(Q87*($G$7-$E$7)*($F$7-$E$7)),$G$7-SQRT((1-Q87)*($G$7-$E$7)*($G$7-$F$7))))</f>
        <v>1.11196740120831</v>
      </c>
      <c r="D87" s="37" t="n">
        <f aca="false">1+IF($G$8=$E$8,$F$8,IF(R87&lt;($F$8-$E$8)/($G$8-$E$8),$E$8+SQRT(R87*($G$8-$E$8)*($F$8-$E$8)),$G$8-SQRT((1-R87)*($G$8-$E$8)*($G$8-$F$8))))</f>
        <v>1.04509336704818</v>
      </c>
      <c r="E87" s="37" t="n">
        <f aca="false">1+IF($G$9=$E$9,$F$9,IF(S87&lt;($F$9-$E$9)/($G$9-$E$9),$E$9+SQRT(S87*($G$9-$E$9)*($F$9-$E$9)),$G$9-SQRT((1-S87)*($G$9-$E$9)*($G$9-$F$9))))</f>
        <v>1.05486826165348</v>
      </c>
      <c r="F87" s="37" t="n">
        <f aca="false">1+IF($G$10=$E$10,$F$10,IF(T87&lt;($F$10-$E$10)/($G$10-$E$10),$E$10+SQRT(T87*($G$10-$E$10)*($F$10-$E$10)),$G$10-SQRT((1-T87)*($G$10-$E$10)*($G$10-$F$10))))</f>
        <v>1.08152713802581</v>
      </c>
      <c r="G87" s="38" t="n">
        <f aca="false">IF($G$11=$E$11,$F$11,IF(U87&lt;($F$11-$E$11)/($G$11-$E$11),$E$11+SQRT(U87*($G$11-$E$11)*($F$11-$E$11)),$G$11-SQRT((1-U87)*($G$11-$E$11)*($G$11-$F$11))))</f>
        <v>0.0852648962759253</v>
      </c>
      <c r="H87" s="39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-2163054276.05161</v>
      </c>
      <c r="I87" s="39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18125976.7760731</v>
      </c>
      <c r="J87" s="39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353271000.604971</v>
      </c>
      <c r="K87" s="39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742492381.335158</v>
      </c>
      <c r="L87" s="39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893450100.240204</v>
      </c>
      <c r="M87" s="39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1109285010.53164</v>
      </c>
      <c r="N87" s="39" t="n">
        <f aca="false">IF(COUNT('Business Case'!B11:G11)=0,"",H87+NPV(G87,I87:M87))</f>
        <v>115353234.217903</v>
      </c>
      <c r="P87" s="40" t="n">
        <f aca="true">RAND()</f>
        <v>0.88909005597107</v>
      </c>
      <c r="Q87" s="40" t="n">
        <f aca="true">RAND()</f>
        <v>0.97857068783926</v>
      </c>
      <c r="R87" s="40" t="n">
        <f aca="true">RAND()</f>
        <v>0.799017443859576</v>
      </c>
      <c r="S87" s="40" t="n">
        <f aca="true">RAND()</f>
        <v>0.758665396244495</v>
      </c>
      <c r="T87" s="40" t="n">
        <f aca="true">RAND()</f>
        <v>0.621558597042995</v>
      </c>
      <c r="U87" s="40" t="n">
        <f aca="true">RAND()</f>
        <v>0.0277191327962522</v>
      </c>
    </row>
    <row r="88" customFormat="false" ht="15" hidden="false" customHeight="false" outlineLevel="0" collapsed="false">
      <c r="A88" s="36" t="n">
        <v>8</v>
      </c>
      <c r="B88" s="37" t="n">
        <f aca="false">1+IF($G$6=$E$6,$F$6,IF(P88&lt;($F$6-$E$6)/($G$6-$E$6),$E$6+SQRT(P88*($G$6-$E$6)*($F$6-$E$6)),$G$6-SQRT((1-P88)*($G$6-$E$6)*($G$6-$F$6))))</f>
        <v>0.935464480805574</v>
      </c>
      <c r="C88" s="37" t="n">
        <f aca="false">1+IF($G$7=$E$7,$F$7,IF(Q88&lt;($F$7-$E$7)/($G$7-$E$7),$E$7+SQRT(Q88*($G$7-$E$7)*($F$7-$E$7)),$G$7-SQRT((1-Q88)*($G$7-$E$7)*($G$7-$F$7))))</f>
        <v>1.03948209383521</v>
      </c>
      <c r="D88" s="37" t="n">
        <f aca="false">1+IF($G$8=$E$8,$F$8,IF(R88&lt;($F$8-$E$8)/($G$8-$E$8),$E$8+SQRT(R88*($G$8-$E$8)*($F$8-$E$8)),$G$8-SQRT((1-R88)*($G$8-$E$8)*($G$8-$F$8))))</f>
        <v>1.01893452015724</v>
      </c>
      <c r="E88" s="37" t="n">
        <f aca="false">1+IF($G$9=$E$9,$F$9,IF(S88&lt;($F$9-$E$9)/($G$9-$E$9),$E$9+SQRT(S88*($G$9-$E$9)*($F$9-$E$9)),$G$9-SQRT((1-S88)*($G$9-$E$9)*($G$9-$F$9))))</f>
        <v>1.00599869492884</v>
      </c>
      <c r="F88" s="37" t="n">
        <f aca="false">1+IF($G$10=$E$10,$F$10,IF(T88&lt;($F$10-$E$10)/($G$10-$E$10),$E$10+SQRT(T88*($G$10-$E$10)*($F$10-$E$10)),$G$10-SQRT((1-T88)*($G$10-$E$10)*($G$10-$F$10))))</f>
        <v>1.1073446211463</v>
      </c>
      <c r="G88" s="38" t="n">
        <f aca="false">IF($G$11=$E$11,$F$11,IF(U88&lt;($F$11-$E$11)/($G$11-$E$11),$E$11+SQRT(U88*($G$11-$E$11)*($F$11-$E$11)),$G$11-SQRT((1-U88)*($G$11-$E$11)*($G$11-$F$11))))</f>
        <v>0.108995149636887</v>
      </c>
      <c r="H88" s="39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-2214689242.2926</v>
      </c>
      <c r="I88" s="39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-49939502.7125983</v>
      </c>
      <c r="J88" s="39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204317613.351205</v>
      </c>
      <c r="K88" s="39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513941960.472324</v>
      </c>
      <c r="L88" s="39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632300427.322185</v>
      </c>
      <c r="M88" s="39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817133948.879449</v>
      </c>
      <c r="N88" s="39" t="n">
        <f aca="false">IF(COUNT('Business Case'!B11:G11)=0,"",H88+NPV(G88,I88:M88))</f>
        <v>-811621090.923944</v>
      </c>
      <c r="P88" s="40" t="n">
        <f aca="true">RAND()</f>
        <v>0.0838486265872618</v>
      </c>
      <c r="Q88" s="40" t="n">
        <f aca="true">RAND()</f>
        <v>0.819048776547412</v>
      </c>
      <c r="R88" s="40" t="n">
        <f aca="true">RAND()</f>
        <v>0.561892531857548</v>
      </c>
      <c r="S88" s="40" t="n">
        <f aca="true">RAND()</f>
        <v>0.447029977008109</v>
      </c>
      <c r="T88" s="40" t="n">
        <f aca="true">RAND()</f>
        <v>0.728659238454768</v>
      </c>
      <c r="U88" s="40" t="n">
        <f aca="true">RAND()</f>
        <v>0.705864174148813</v>
      </c>
    </row>
    <row r="89" customFormat="false" ht="15" hidden="false" customHeight="false" outlineLevel="0" collapsed="false">
      <c r="A89" s="36" t="n">
        <v>9</v>
      </c>
      <c r="B89" s="37" t="n">
        <f aca="false">1+IF($G$6=$E$6,$F$6,IF(P89&lt;($F$6-$E$6)/($G$6-$E$6),$E$6+SQRT(P89*($G$6-$E$6)*($F$6-$E$6)),$G$6-SQRT((1-P89)*($G$6-$E$6)*($G$6-$F$6))))</f>
        <v>1.02561359627366</v>
      </c>
      <c r="C89" s="37" t="n">
        <f aca="false">1+IF($G$7=$E$7,$F$7,IF(Q89&lt;($F$7-$E$7)/($G$7-$E$7),$E$7+SQRT(Q89*($G$7-$E$7)*($F$7-$E$7)),$G$7-SQRT((1-Q89)*($G$7-$E$7)*($G$7-$F$7))))</f>
        <v>0.843208631188399</v>
      </c>
      <c r="D89" s="37" t="n">
        <f aca="false">1+IF($G$8=$E$8,$F$8,IF(R89&lt;($F$8-$E$8)/($G$8-$E$8),$E$8+SQRT(R89*($G$8-$E$8)*($F$8-$E$8)),$G$8-SQRT((1-R89)*($G$8-$E$8)*($G$8-$F$8))))</f>
        <v>0.972881815270638</v>
      </c>
      <c r="E89" s="37" t="n">
        <f aca="false">1+IF($G$9=$E$9,$F$9,IF(S89&lt;($F$9-$E$9)/($G$9-$E$9),$E$9+SQRT(S89*($G$9-$E$9)*($F$9-$E$9)),$G$9-SQRT((1-S89)*($G$9-$E$9)*($G$9-$F$9))))</f>
        <v>0.997494549119961</v>
      </c>
      <c r="F89" s="37" t="n">
        <f aca="false">1+IF($G$10=$E$10,$F$10,IF(T89&lt;($F$10-$E$10)/($G$10-$E$10),$E$10+SQRT(T89*($G$10-$E$10)*($F$10-$E$10)),$G$10-SQRT((1-T89)*($G$10-$E$10)*($G$10-$F$10))))</f>
        <v>1.10871711483627</v>
      </c>
      <c r="G89" s="38" t="n">
        <f aca="false">IF($G$11=$E$11,$F$11,IF(U89&lt;($F$11-$E$11)/($G$11-$E$11),$E$11+SQRT(U89*($G$11-$E$11)*($F$11-$E$11)),$G$11-SQRT((1-U89)*($G$11-$E$11)*($G$11-$F$11))))</f>
        <v>0.127505599708405</v>
      </c>
      <c r="H89" s="39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-2217434229.67255</v>
      </c>
      <c r="I89" s="39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-9158070.43594049</v>
      </c>
      <c r="J89" s="39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279230850.804133</v>
      </c>
      <c r="K89" s="39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623055627.786019</v>
      </c>
      <c r="L89" s="39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749072971.737729</v>
      </c>
      <c r="M89" s="39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913455341.198665</v>
      </c>
      <c r="N89" s="39" t="n">
        <f aca="false">IF(COUNT('Business Case'!B11:G11)=0,"",H89+NPV(G89,I89:M89))</f>
        <v>-606433243.178458</v>
      </c>
      <c r="P89" s="40" t="n">
        <f aca="true">RAND()</f>
        <v>0.920707108439491</v>
      </c>
      <c r="Q89" s="40" t="n">
        <f aca="true">RAND()</f>
        <v>0.151916385532259</v>
      </c>
      <c r="R89" s="40" t="n">
        <f aca="true">RAND()</f>
        <v>0.0698103293439499</v>
      </c>
      <c r="S89" s="40" t="n">
        <f aca="true">RAND()</f>
        <v>0.380207484324176</v>
      </c>
      <c r="T89" s="40" t="n">
        <f aca="true">RAND()</f>
        <v>0.733855284797507</v>
      </c>
      <c r="U89" s="40" t="n">
        <f aca="true">RAND()</f>
        <v>0.995851978123528</v>
      </c>
    </row>
    <row r="90" customFormat="false" ht="15" hidden="false" customHeight="false" outlineLevel="0" collapsed="false">
      <c r="A90" s="36" t="n">
        <v>10</v>
      </c>
      <c r="B90" s="37" t="n">
        <f aca="false">1+IF($G$6=$E$6,$F$6,IF(P90&lt;($F$6-$E$6)/($G$6-$E$6),$E$6+SQRT(P90*($G$6-$E$6)*($F$6-$E$6)),$G$6-SQRT((1-P90)*($G$6-$E$6)*($G$6-$F$6))))</f>
        <v>0.961489516507681</v>
      </c>
      <c r="C90" s="37" t="n">
        <f aca="false">1+IF($G$7=$E$7,$F$7,IF(Q90&lt;($F$7-$E$7)/($G$7-$E$7),$E$7+SQRT(Q90*($G$7-$E$7)*($F$7-$E$7)),$G$7-SQRT((1-Q90)*($G$7-$E$7)*($G$7-$F$7))))</f>
        <v>0.931826287248997</v>
      </c>
      <c r="D90" s="37" t="n">
        <f aca="false">1+IF($G$8=$E$8,$F$8,IF(R90&lt;($F$8-$E$8)/($G$8-$E$8),$E$8+SQRT(R90*($G$8-$E$8)*($F$8-$E$8)),$G$8-SQRT((1-R90)*($G$8-$E$8)*($G$8-$F$8))))</f>
        <v>1.01796233713966</v>
      </c>
      <c r="E90" s="37" t="n">
        <f aca="false">1+IF($G$9=$E$9,$F$9,IF(S90&lt;($F$9-$E$9)/($G$9-$E$9),$E$9+SQRT(S90*($G$9-$E$9)*($F$9-$E$9)),$G$9-SQRT((1-S90)*($G$9-$E$9)*($G$9-$F$9))))</f>
        <v>0.971488431355629</v>
      </c>
      <c r="F90" s="37" t="n">
        <f aca="false">1+IF($G$10=$E$10,$F$10,IF(T90&lt;($F$10-$E$10)/($G$10-$E$10),$E$10+SQRT(T90*($G$10-$E$10)*($F$10-$E$10)),$G$10-SQRT((1-T90)*($G$10-$E$10)*($G$10-$F$10))))</f>
        <v>1.10131015168986</v>
      </c>
      <c r="G90" s="38" t="n">
        <f aca="false">IF($G$11=$E$11,$F$11,IF(U90&lt;($F$11-$E$11)/($G$11-$E$11),$E$11+SQRT(U90*($G$11-$E$11)*($F$11-$E$11)),$G$11-SQRT((1-U90)*($G$11-$E$11)*($G$11-$F$11))))</f>
        <v>0.0906756323399072</v>
      </c>
      <c r="H90" s="39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-2202620303.37972</v>
      </c>
      <c r="I90" s="39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-46470822.6869801</v>
      </c>
      <c r="J90" s="39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201780616.873375</v>
      </c>
      <c r="K90" s="39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505097564.018222</v>
      </c>
      <c r="L90" s="39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618811771.964726</v>
      </c>
      <c r="M90" s="39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789112276.476512</v>
      </c>
      <c r="N90" s="39" t="n">
        <f aca="false">IF(COUNT('Business Case'!B11:G11)=0,"",H90+NPV(G90,I90:M90))</f>
        <v>-737720780.34314</v>
      </c>
      <c r="P90" s="40" t="n">
        <f aca="true">RAND()</f>
        <v>0.252064042689893</v>
      </c>
      <c r="Q90" s="40" t="n">
        <f aca="true">RAND()</f>
        <v>0.398099462664108</v>
      </c>
      <c r="R90" s="40" t="n">
        <f aca="true">RAND()</f>
        <v>0.551321458160919</v>
      </c>
      <c r="S90" s="40" t="n">
        <f aca="true">RAND()</f>
        <v>0.204423832707538</v>
      </c>
      <c r="T90" s="40" t="n">
        <f aca="true">RAND()</f>
        <v>0.70521772012677</v>
      </c>
      <c r="U90" s="40" t="n">
        <f aca="true">RAND()</f>
        <v>0.113969125856873</v>
      </c>
    </row>
    <row r="91" customFormat="false" ht="15" hidden="false" customHeight="false" outlineLevel="0" collapsed="false">
      <c r="A91" s="36" t="n">
        <v>11</v>
      </c>
      <c r="B91" s="37" t="n">
        <f aca="false">1+IF($G$6=$E$6,$F$6,IF(P91&lt;($F$6-$E$6)/($G$6-$E$6),$E$6+SQRT(P91*($G$6-$E$6)*($F$6-$E$6)),$G$6-SQRT((1-P91)*($G$6-$E$6)*($G$6-$F$6))))</f>
        <v>0.919269609542703</v>
      </c>
      <c r="C91" s="37" t="n">
        <f aca="false">1+IF($G$7=$E$7,$F$7,IF(Q91&lt;($F$7-$E$7)/($G$7-$E$7),$E$7+SQRT(Q91*($G$7-$E$7)*($F$7-$E$7)),$G$7-SQRT((1-Q91)*($G$7-$E$7)*($G$7-$F$7))))</f>
        <v>0.792815117706359</v>
      </c>
      <c r="D91" s="37" t="n">
        <f aca="false">1+IF($G$8=$E$8,$F$8,IF(R91&lt;($F$8-$E$8)/($G$8-$E$8),$E$8+SQRT(R91*($G$8-$E$8)*($F$8-$E$8)),$G$8-SQRT((1-R91)*($G$8-$E$8)*($G$8-$F$8))))</f>
        <v>0.983808639908565</v>
      </c>
      <c r="E91" s="37" t="n">
        <f aca="false">1+IF($G$9=$E$9,$F$9,IF(S91&lt;($F$9-$E$9)/($G$9-$E$9),$E$9+SQRT(S91*($G$9-$E$9)*($F$9-$E$9)),$G$9-SQRT((1-S91)*($G$9-$E$9)*($G$9-$F$9))))</f>
        <v>1.07066711615361</v>
      </c>
      <c r="F91" s="37" t="n">
        <f aca="false">1+IF($G$10=$E$10,$F$10,IF(T91&lt;($F$10-$E$10)/($G$10-$E$10),$E$10+SQRT(T91*($G$10-$E$10)*($F$10-$E$10)),$G$10-SQRT((1-T91)*($G$10-$E$10)*($G$10-$F$10))))</f>
        <v>1.08475107798933</v>
      </c>
      <c r="G91" s="38" t="n">
        <f aca="false">IF($G$11=$E$11,$F$11,IF(U91&lt;($F$11-$E$11)/($G$11-$E$11),$E$11+SQRT(U91*($G$11-$E$11)*($F$11-$E$11)),$G$11-SQRT((1-U91)*($G$11-$E$11)*($G$11-$F$11))))</f>
        <v>0.106440109010739</v>
      </c>
      <c r="H91" s="39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-2169502155.97866</v>
      </c>
      <c r="I91" s="39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-100843493.894948</v>
      </c>
      <c r="J91" s="39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96818538.0631502</v>
      </c>
      <c r="K91" s="39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348718123.920715</v>
      </c>
      <c r="L91" s="39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439793170.664795</v>
      </c>
      <c r="M91" s="39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578325535.834051</v>
      </c>
      <c r="N91" s="39" t="n">
        <f aca="false">IF(COUNT('Business Case'!B11:G11)=0,"",H91+NPV(G91,I91:M91))</f>
        <v>-1281892365.21534</v>
      </c>
      <c r="P91" s="40" t="n">
        <f aca="true">RAND()</f>
        <v>0.0247545234618812</v>
      </c>
      <c r="Q91" s="40" t="n">
        <f aca="true">RAND()</f>
        <v>0.0638121931470013</v>
      </c>
      <c r="R91" s="40" t="n">
        <f aca="true">RAND()</f>
        <v>0.152403217662265</v>
      </c>
      <c r="S91" s="40" t="n">
        <f aca="true">RAND()</f>
        <v>0.832167827749748</v>
      </c>
      <c r="T91" s="40" t="n">
        <f aca="true">RAND()</f>
        <v>0.635903916990824</v>
      </c>
      <c r="U91" s="40" t="n">
        <f aca="true">RAND()</f>
        <v>0.629954357716086</v>
      </c>
    </row>
    <row r="92" customFormat="false" ht="15" hidden="false" customHeight="false" outlineLevel="0" collapsed="false">
      <c r="A92" s="36" t="n">
        <v>12</v>
      </c>
      <c r="B92" s="37" t="n">
        <f aca="false">1+IF($G$6=$E$6,$F$6,IF(P92&lt;($F$6-$E$6)/($G$6-$E$6),$E$6+SQRT(P92*($G$6-$E$6)*($F$6-$E$6)),$G$6-SQRT((1-P92)*($G$6-$E$6)*($G$6-$F$6))))</f>
        <v>0.987323789314462</v>
      </c>
      <c r="C92" s="37" t="n">
        <f aca="false">1+IF($G$7=$E$7,$F$7,IF(Q92&lt;($F$7-$E$7)/($G$7-$E$7),$E$7+SQRT(Q92*($G$7-$E$7)*($F$7-$E$7)),$G$7-SQRT((1-Q92)*($G$7-$E$7)*($G$7-$F$7))))</f>
        <v>1.05334381120536</v>
      </c>
      <c r="D92" s="37" t="n">
        <f aca="false">1+IF($G$8=$E$8,$F$8,IF(R92&lt;($F$8-$E$8)/($G$8-$E$8),$E$8+SQRT(R92*($G$8-$E$8)*($F$8-$E$8)),$G$8-SQRT((1-R92)*($G$8-$E$8)*($G$8-$F$8))))</f>
        <v>0.989553362899815</v>
      </c>
      <c r="E92" s="37" t="n">
        <f aca="false">1+IF($G$9=$E$9,$F$9,IF(S92&lt;($F$9-$E$9)/($G$9-$E$9),$E$9+SQRT(S92*($G$9-$E$9)*($F$9-$E$9)),$G$9-SQRT((1-S92)*($G$9-$E$9)*($G$9-$F$9))))</f>
        <v>0.99820362027393</v>
      </c>
      <c r="F92" s="37" t="n">
        <f aca="false">1+IF($G$10=$E$10,$F$10,IF(T92&lt;($F$10-$E$10)/($G$10-$E$10),$E$10+SQRT(T92*($G$10-$E$10)*($F$10-$E$10)),$G$10-SQRT((1-T92)*($G$10-$E$10)*($G$10-$F$10))))</f>
        <v>1.11763632978269</v>
      </c>
      <c r="G92" s="38" t="n">
        <f aca="false">IF($G$11=$E$11,$F$11,IF(U92&lt;($F$11-$E$11)/($G$11-$E$11),$E$11+SQRT(U92*($G$11-$E$11)*($F$11-$E$11)),$G$11-SQRT((1-U92)*($G$11-$E$11)*($G$11-$F$11))))</f>
        <v>0.0930066660387782</v>
      </c>
      <c r="H92" s="39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-2235272659.56539</v>
      </c>
      <c r="I92" s="39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10611849.3560285</v>
      </c>
      <c r="J92" s="39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328845040.831549</v>
      </c>
      <c r="K92" s="39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702960048.796205</v>
      </c>
      <c r="L92" s="39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844979882.180225</v>
      </c>
      <c r="M92" s="39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1042661448.08722</v>
      </c>
      <c r="N92" s="39" t="n">
        <f aca="false">IF(COUNT('Business Case'!B11:G11)=0,"",H92+NPV(G92,I92:M92))</f>
        <v>-151520766.630459</v>
      </c>
      <c r="P92" s="40" t="n">
        <f aca="true">RAND()</f>
        <v>0.508362945349105</v>
      </c>
      <c r="Q92" s="40" t="n">
        <f aca="true">RAND()</f>
        <v>0.861593795076951</v>
      </c>
      <c r="R92" s="40" t="n">
        <f aca="true">RAND()</f>
        <v>0.208595802224598</v>
      </c>
      <c r="S92" s="40" t="n">
        <f aca="true">RAND()</f>
        <v>0.385758041396252</v>
      </c>
      <c r="T92" s="40" t="n">
        <f aca="true">RAND()</f>
        <v>0.76639811742139</v>
      </c>
      <c r="U92" s="40" t="n">
        <f aca="true">RAND()</f>
        <v>0.169173361444305</v>
      </c>
    </row>
    <row r="93" customFormat="false" ht="15" hidden="false" customHeight="false" outlineLevel="0" collapsed="false">
      <c r="A93" s="36" t="n">
        <v>13</v>
      </c>
      <c r="B93" s="37" t="n">
        <f aca="false">1+IF($G$6=$E$6,$F$6,IF(P93&lt;($F$6-$E$6)/($G$6-$E$6),$E$6+SQRT(P93*($G$6-$E$6)*($F$6-$E$6)),$G$6-SQRT((1-P93)*($G$6-$E$6)*($G$6-$F$6))))</f>
        <v>0.970739970345591</v>
      </c>
      <c r="C93" s="37" t="n">
        <f aca="false">1+IF($G$7=$E$7,$F$7,IF(Q93&lt;($F$7-$E$7)/($G$7-$E$7),$E$7+SQRT(Q93*($G$7-$E$7)*($F$7-$E$7)),$G$7-SQRT((1-Q93)*($G$7-$E$7)*($G$7-$F$7))))</f>
        <v>0.783874407342564</v>
      </c>
      <c r="D93" s="37" t="n">
        <f aca="false">1+IF($G$8=$E$8,$F$8,IF(R93&lt;($F$8-$E$8)/($G$8-$E$8),$E$8+SQRT(R93*($G$8-$E$8)*($F$8-$E$8)),$G$8-SQRT((1-R93)*($G$8-$E$8)*($G$8-$F$8))))</f>
        <v>1.00904952702941</v>
      </c>
      <c r="E93" s="37" t="n">
        <f aca="false">1+IF($G$9=$E$9,$F$9,IF(S93&lt;($F$9-$E$9)/($G$9-$E$9),$E$9+SQRT(S93*($G$9-$E$9)*($F$9-$E$9)),$G$9-SQRT((1-S93)*($G$9-$E$9)*($G$9-$F$9))))</f>
        <v>0.929396094651896</v>
      </c>
      <c r="F93" s="37" t="n">
        <f aca="false">1+IF($G$10=$E$10,$F$10,IF(T93&lt;($F$10-$E$10)/($G$10-$E$10),$E$10+SQRT(T93*($G$10-$E$10)*($F$10-$E$10)),$G$10-SQRT((1-T93)*($G$10-$E$10)*($G$10-$F$10))))</f>
        <v>1.04035890169292</v>
      </c>
      <c r="G93" s="38" t="n">
        <f aca="false">IF($G$11=$E$11,$F$11,IF(U93&lt;($F$11-$E$11)/($G$11-$E$11),$E$11+SQRT(U93*($G$11-$E$11)*($F$11-$E$11)),$G$11-SQRT((1-U93)*($G$11-$E$11)*($G$11-$F$11))))</f>
        <v>0.0895082152777332</v>
      </c>
      <c r="H93" s="39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-2080717803.38584</v>
      </c>
      <c r="I93" s="39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-57292252.9777455</v>
      </c>
      <c r="J93" s="39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161058546.143067</v>
      </c>
      <c r="K93" s="39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431427290.348525</v>
      </c>
      <c r="L93" s="39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530508914.901973</v>
      </c>
      <c r="M93" s="39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675148051.557782</v>
      </c>
      <c r="N93" s="39" t="n">
        <f aca="false">IF(COUNT('Business Case'!B11:G11)=0,"",H93+NPV(G93,I93:M93))</f>
        <v>-847732664.277051</v>
      </c>
      <c r="P93" s="40" t="n">
        <f aca="true">RAND()</f>
        <v>0.333609560299676</v>
      </c>
      <c r="Q93" s="40" t="n">
        <f aca="true">RAND()</f>
        <v>0.0521104904227132</v>
      </c>
      <c r="R93" s="40" t="n">
        <f aca="true">RAND()</f>
        <v>0.448534097761716</v>
      </c>
      <c r="S93" s="40" t="n">
        <f aca="true">RAND()</f>
        <v>0.0345652152313284</v>
      </c>
      <c r="T93" s="40" t="n">
        <f aca="true">RAND()</f>
        <v>0.414008132008022</v>
      </c>
      <c r="U93" s="40" t="n">
        <f aca="true">RAND()</f>
        <v>0.0904061577677195</v>
      </c>
    </row>
    <row r="94" customFormat="false" ht="15" hidden="false" customHeight="false" outlineLevel="0" collapsed="false">
      <c r="A94" s="36" t="n">
        <v>14</v>
      </c>
      <c r="B94" s="37" t="n">
        <f aca="false">1+IF($G$6=$E$6,$F$6,IF(P94&lt;($F$6-$E$6)/($G$6-$E$6),$E$6+SQRT(P94*($G$6-$E$6)*($F$6-$E$6)),$G$6-SQRT((1-P94)*($G$6-$E$6)*($G$6-$F$6))))</f>
        <v>0.948860773956901</v>
      </c>
      <c r="C94" s="37" t="n">
        <f aca="false">1+IF($G$7=$E$7,$F$7,IF(Q94&lt;($F$7-$E$7)/($G$7-$E$7),$E$7+SQRT(Q94*($G$7-$E$7)*($F$7-$E$7)),$G$7-SQRT((1-Q94)*($G$7-$E$7)*($G$7-$F$7))))</f>
        <v>0.818267026508445</v>
      </c>
      <c r="D94" s="37" t="n">
        <f aca="false">1+IF($G$8=$E$8,$F$8,IF(R94&lt;($F$8-$E$8)/($G$8-$E$8),$E$8+SQRT(R94*($G$8-$E$8)*($F$8-$E$8)),$G$8-SQRT((1-R94)*($G$8-$E$8)*($G$8-$F$8))))</f>
        <v>1.0643382150747</v>
      </c>
      <c r="E94" s="37" t="n">
        <f aca="false">1+IF($G$9=$E$9,$F$9,IF(S94&lt;($F$9-$E$9)/($G$9-$E$9),$E$9+SQRT(S94*($G$9-$E$9)*($F$9-$E$9)),$G$9-SQRT((1-S94)*($G$9-$E$9)*($G$9-$F$9))))</f>
        <v>1.04784246312907</v>
      </c>
      <c r="F94" s="37" t="n">
        <f aca="false">1+IF($G$10=$E$10,$F$10,IF(T94&lt;($F$10-$E$10)/($G$10-$E$10),$E$10+SQRT(T94*($G$10-$E$10)*($F$10-$E$10)),$G$10-SQRT((1-T94)*($G$10-$E$10)*($G$10-$F$10))))</f>
        <v>1.19583315737131</v>
      </c>
      <c r="G94" s="38" t="n">
        <f aca="false">IF($G$11=$E$11,$F$11,IF(U94&lt;($F$11-$E$11)/($G$11-$E$11),$E$11+SQRT(U94*($G$11-$E$11)*($F$11-$E$11)),$G$11-SQRT((1-U94)*($G$11-$E$11)*($G$11-$F$11))))</f>
        <v>0.124829114934877</v>
      </c>
      <c r="H94" s="39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-2391666314.74262</v>
      </c>
      <c r="I94" s="39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-118728820.515627</v>
      </c>
      <c r="J94" s="39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71378562.6973414</v>
      </c>
      <c r="K94" s="39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321277603.778875</v>
      </c>
      <c r="L94" s="39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411479858.006205</v>
      </c>
      <c r="M94" s="39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559062053.699412</v>
      </c>
      <c r="N94" s="39" t="n">
        <f aca="false">IF(COUNT('Business Case'!B11:G11)=0,"",H94+NPV(G94,I94:M94))</f>
        <v>-1647541234.50076</v>
      </c>
      <c r="P94" s="40" t="n">
        <f aca="true">RAND()</f>
        <v>0.159158348777824</v>
      </c>
      <c r="Q94" s="40" t="n">
        <f aca="true">RAND()</f>
        <v>0.103608070808513</v>
      </c>
      <c r="R94" s="40" t="n">
        <f aca="true">RAND()</f>
        <v>0.915215806396099</v>
      </c>
      <c r="S94" s="40" t="n">
        <f aca="true">RAND()</f>
        <v>0.721702337612379</v>
      </c>
      <c r="T94" s="40" t="n">
        <f aca="true">RAND()</f>
        <v>0.960879375461848</v>
      </c>
      <c r="U94" s="40" t="n">
        <f aca="true">RAND()</f>
        <v>0.982174631762189</v>
      </c>
    </row>
    <row r="95" customFormat="false" ht="15" hidden="false" customHeight="false" outlineLevel="0" collapsed="false">
      <c r="A95" s="36" t="n">
        <v>15</v>
      </c>
      <c r="B95" s="37" t="n">
        <f aca="false">1+IF($G$6=$E$6,$F$6,IF(P95&lt;($F$6-$E$6)/($G$6-$E$6),$E$6+SQRT(P95*($G$6-$E$6)*($F$6-$E$6)),$G$6-SQRT((1-P95)*($G$6-$E$6)*($G$6-$F$6))))</f>
        <v>0.998556834694737</v>
      </c>
      <c r="C95" s="37" t="n">
        <f aca="false">1+IF($G$7=$E$7,$F$7,IF(Q95&lt;($F$7-$E$7)/($G$7-$E$7),$E$7+SQRT(Q95*($G$7-$E$7)*($F$7-$E$7)),$G$7-SQRT((1-Q95)*($G$7-$E$7)*($G$7-$F$7))))</f>
        <v>0.924235125403436</v>
      </c>
      <c r="D95" s="37" t="n">
        <f aca="false">1+IF($G$8=$E$8,$F$8,IF(R95&lt;($F$8-$E$8)/($G$8-$E$8),$E$8+SQRT(R95*($G$8-$E$8)*($F$8-$E$8)),$G$8-SQRT((1-R95)*($G$8-$E$8)*($G$8-$F$8))))</f>
        <v>0.986585544885566</v>
      </c>
      <c r="E95" s="37" t="n">
        <f aca="false">1+IF($G$9=$E$9,$F$9,IF(S95&lt;($F$9-$E$9)/($G$9-$E$9),$E$9+SQRT(S95*($G$9-$E$9)*($F$9-$E$9)),$G$9-SQRT((1-S95)*($G$9-$E$9)*($G$9-$F$9))))</f>
        <v>0.959348779857158</v>
      </c>
      <c r="F95" s="37" t="n">
        <f aca="false">1+IF($G$10=$E$10,$F$10,IF(T95&lt;($F$10-$E$10)/($G$10-$E$10),$E$10+SQRT(T95*($G$10-$E$10)*($F$10-$E$10)),$G$10-SQRT((1-T95)*($G$10-$E$10)*($G$10-$F$10))))</f>
        <v>1.10095718979584</v>
      </c>
      <c r="G95" s="38" t="n">
        <f aca="false">IF($G$11=$E$11,$F$11,IF(U95&lt;($F$11-$E$11)/($G$11-$E$11),$E$11+SQRT(U95*($G$11-$E$11)*($F$11-$E$11)),$G$11-SQRT((1-U95)*($G$11-$E$11)*($G$11-$F$11))))</f>
        <v>0.0982278693982931</v>
      </c>
      <c r="H95" s="39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-2201914379.59168</v>
      </c>
      <c r="I95" s="39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-5223308.86389168</v>
      </c>
      <c r="J95" s="39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283911701.208775</v>
      </c>
      <c r="K95" s="39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628094570.771234</v>
      </c>
      <c r="L95" s="39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756368376.436315</v>
      </c>
      <c r="M95" s="39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931793455.794366</v>
      </c>
      <c r="N95" s="39" t="n">
        <f aca="false">IF(COUNT('Business Case'!B11:G11)=0,"",H95+NPV(G95,I95:M95))</f>
        <v>-393884235.207392</v>
      </c>
      <c r="P95" s="40" t="n">
        <f aca="true">RAND()</f>
        <v>0.647563311003052</v>
      </c>
      <c r="Q95" s="40" t="n">
        <f aca="true">RAND()</f>
        <v>0.372454751590329</v>
      </c>
      <c r="R95" s="40" t="n">
        <f aca="true">RAND()</f>
        <v>0.178466945943166</v>
      </c>
      <c r="S95" s="40" t="n">
        <f aca="true">RAND()</f>
        <v>0.140891106821335</v>
      </c>
      <c r="T95" s="40" t="n">
        <f aca="true">RAND()</f>
        <v>0.703816543019296</v>
      </c>
      <c r="U95" s="40" t="n">
        <f aca="true">RAND()</f>
        <v>0.33225522280123</v>
      </c>
    </row>
    <row r="96" customFormat="false" ht="15" hidden="false" customHeight="false" outlineLevel="0" collapsed="false">
      <c r="A96" s="36" t="n">
        <v>16</v>
      </c>
      <c r="B96" s="37" t="n">
        <f aca="false">1+IF($G$6=$E$6,$F$6,IF(P96&lt;($F$6-$E$6)/($G$6-$E$6),$E$6+SQRT(P96*($G$6-$E$6)*($F$6-$E$6)),$G$6-SQRT((1-P96)*($G$6-$E$6)*($G$6-$F$6))))</f>
        <v>0.991629191420905</v>
      </c>
      <c r="C96" s="37" t="n">
        <f aca="false">1+IF($G$7=$E$7,$F$7,IF(Q96&lt;($F$7-$E$7)/($G$7-$E$7),$E$7+SQRT(Q96*($G$7-$E$7)*($F$7-$E$7)),$G$7-SQRT((1-Q96)*($G$7-$E$7)*($G$7-$F$7))))</f>
        <v>0.800256603426461</v>
      </c>
      <c r="D96" s="37" t="n">
        <f aca="false">1+IF($G$8=$E$8,$F$8,IF(R96&lt;($F$8-$E$8)/($G$8-$E$8),$E$8+SQRT(R96*($G$8-$E$8)*($F$8-$E$8)),$G$8-SQRT((1-R96)*($G$8-$E$8)*($G$8-$F$8))))</f>
        <v>0.987585053780402</v>
      </c>
      <c r="E96" s="37" t="n">
        <f aca="false">1+IF($G$9=$E$9,$F$9,IF(S96&lt;($F$9-$E$9)/($G$9-$E$9),$E$9+SQRT(S96*($G$9-$E$9)*($F$9-$E$9)),$G$9-SQRT((1-S96)*($G$9-$E$9)*($G$9-$F$9))))</f>
        <v>0.948940230392643</v>
      </c>
      <c r="F96" s="37" t="n">
        <f aca="false">1+IF($G$10=$E$10,$F$10,IF(T96&lt;($F$10-$E$10)/($G$10-$E$10),$E$10+SQRT(T96*($G$10-$E$10)*($F$10-$E$10)),$G$10-SQRT((1-T96)*($G$10-$E$10)*($G$10-$F$10))))</f>
        <v>1.08888345618491</v>
      </c>
      <c r="G96" s="38" t="n">
        <f aca="false">IF($G$11=$E$11,$F$11,IF(U96&lt;($F$11-$E$11)/($G$11-$E$11),$E$11+SQRT(U96*($G$11-$E$11)*($F$11-$E$11)),$G$11-SQRT((1-U96)*($G$11-$E$11)*($G$11-$F$11))))</f>
        <v>0.118603172033143</v>
      </c>
      <c r="H96" s="39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-2177766912.36983</v>
      </c>
      <c r="I96" s="39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-39566063.9624813</v>
      </c>
      <c r="J96" s="39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205833555.25241</v>
      </c>
      <c r="K96" s="39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505677347.276548</v>
      </c>
      <c r="L96" s="39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614902578.212876</v>
      </c>
      <c r="M96" s="39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765742046.468718</v>
      </c>
      <c r="N96" s="39" t="n">
        <f aca="false">IF(COUNT('Business Case'!B11:G11)=0,"",H96+NPV(G96,I96:M96))</f>
        <v>-857397823.668762</v>
      </c>
      <c r="P96" s="40" t="n">
        <f aca="true">RAND()</f>
        <v>0.559727248029928</v>
      </c>
      <c r="Q96" s="40" t="n">
        <f aca="true">RAND()</f>
        <v>0.0744547150415607</v>
      </c>
      <c r="R96" s="40" t="n">
        <f aca="true">RAND()</f>
        <v>0.188351502356756</v>
      </c>
      <c r="S96" s="40" t="n">
        <f aca="true">RAND()</f>
        <v>0.0958058460353983</v>
      </c>
      <c r="T96" s="40" t="n">
        <f aca="true">RAND()</f>
        <v>0.653886124121089</v>
      </c>
      <c r="U96" s="40" t="n">
        <f aca="true">RAND()</f>
        <v>0.913408208195905</v>
      </c>
    </row>
    <row r="97" customFormat="false" ht="15" hidden="false" customHeight="false" outlineLevel="0" collapsed="false">
      <c r="A97" s="36" t="n">
        <v>17</v>
      </c>
      <c r="B97" s="37" t="n">
        <f aca="false">1+IF($G$6=$E$6,$F$6,IF(P97&lt;($F$6-$E$6)/($G$6-$E$6),$E$6+SQRT(P97*($G$6-$E$6)*($F$6-$E$6)),$G$6-SQRT((1-P97)*($G$6-$E$6)*($G$6-$F$6))))</f>
        <v>1.00995799139478</v>
      </c>
      <c r="C97" s="37" t="n">
        <f aca="false">1+IF($G$7=$E$7,$F$7,IF(Q97&lt;($F$7-$E$7)/($G$7-$E$7),$E$7+SQRT(Q97*($G$7-$E$7)*($F$7-$E$7)),$G$7-SQRT((1-Q97)*($G$7-$E$7)*($G$7-$F$7))))</f>
        <v>1.01673857012595</v>
      </c>
      <c r="D97" s="37" t="n">
        <f aca="false">1+IF($G$8=$E$8,$F$8,IF(R97&lt;($F$8-$E$8)/($G$8-$E$8),$E$8+SQRT(R97*($G$8-$E$8)*($F$8-$E$8)),$G$8-SQRT((1-R97)*($G$8-$E$8)*($G$8-$F$8))))</f>
        <v>1.03842813435403</v>
      </c>
      <c r="E97" s="37" t="n">
        <f aca="false">1+IF($G$9=$E$9,$F$9,IF(S97&lt;($F$9-$E$9)/($G$9-$E$9),$E$9+SQRT(S97*($G$9-$E$9)*($F$9-$E$9)),$G$9-SQRT((1-S97)*($G$9-$E$9)*($G$9-$F$9))))</f>
        <v>0.992636092686943</v>
      </c>
      <c r="F97" s="37" t="n">
        <f aca="false">1+IF($G$10=$E$10,$F$10,IF(T97&lt;($F$10-$E$10)/($G$10-$E$10),$E$10+SQRT(T97*($G$10-$E$10)*($F$10-$E$10)),$G$10-SQRT((1-T97)*($G$10-$E$10)*($G$10-$F$10))))</f>
        <v>1.18830698619545</v>
      </c>
      <c r="G97" s="38" t="n">
        <f aca="false">IF($G$11=$E$11,$F$11,IF(U97&lt;($F$11-$E$11)/($G$11-$E$11),$E$11+SQRT(U97*($G$11-$E$11)*($F$11-$E$11)),$G$11-SQRT((1-U97)*($G$11-$E$11)*($G$11-$F$11))))</f>
        <v>0.103185808147262</v>
      </c>
      <c r="H97" s="39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-2376613972.3909</v>
      </c>
      <c r="I97" s="39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-12631433.2284556</v>
      </c>
      <c r="J97" s="39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287953275.114684</v>
      </c>
      <c r="K97" s="39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647953332.767597</v>
      </c>
      <c r="L97" s="39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783636629.263289</v>
      </c>
      <c r="M97" s="39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978822794.693835</v>
      </c>
      <c r="N97" s="39" t="n">
        <f aca="false">IF(COUNT('Business Case'!B11:G11)=0,"",H97+NPV(G97,I97:M97))</f>
        <v>-540721716.418362</v>
      </c>
      <c r="P97" s="40" t="n">
        <f aca="true">RAND()</f>
        <v>0.78621833958124</v>
      </c>
      <c r="Q97" s="40" t="n">
        <f aca="true">RAND()</f>
        <v>0.736909500858145</v>
      </c>
      <c r="R97" s="40" t="n">
        <f aca="true">RAND()</f>
        <v>0.747260357391651</v>
      </c>
      <c r="S97" s="40" t="n">
        <f aca="true">RAND()</f>
        <v>0.343257826732152</v>
      </c>
      <c r="T97" s="40" t="n">
        <f aca="true">RAND()</f>
        <v>0.949252960636157</v>
      </c>
      <c r="U97" s="40" t="n">
        <f aca="true">RAND()</f>
        <v>0.520666076856373</v>
      </c>
    </row>
    <row r="98" customFormat="false" ht="15" hidden="false" customHeight="false" outlineLevel="0" collapsed="false">
      <c r="A98" s="36" t="n">
        <v>18</v>
      </c>
      <c r="B98" s="37" t="n">
        <f aca="false">1+IF($G$6=$E$6,$F$6,IF(P98&lt;($F$6-$E$6)/($G$6-$E$6),$E$6+SQRT(P98*($G$6-$E$6)*($F$6-$E$6)),$G$6-SQRT((1-P98)*($G$6-$E$6)*($G$6-$F$6))))</f>
        <v>0.998963226419545</v>
      </c>
      <c r="C98" s="37" t="n">
        <f aca="false">1+IF($G$7=$E$7,$F$7,IF(Q98&lt;($F$7-$E$7)/($G$7-$E$7),$E$7+SQRT(Q98*($G$7-$E$7)*($F$7-$E$7)),$G$7-SQRT((1-Q98)*($G$7-$E$7)*($G$7-$F$7))))</f>
        <v>0.893543865546423</v>
      </c>
      <c r="D98" s="37" t="n">
        <f aca="false">1+IF($G$8=$E$8,$F$8,IF(R98&lt;($F$8-$E$8)/($G$8-$E$8),$E$8+SQRT(R98*($G$8-$E$8)*($F$8-$E$8)),$G$8-SQRT((1-R98)*($G$8-$E$8)*($G$8-$F$8))))</f>
        <v>1.00522857563058</v>
      </c>
      <c r="E98" s="37" t="n">
        <f aca="false">1+IF($G$9=$E$9,$F$9,IF(S98&lt;($F$9-$E$9)/($G$9-$E$9),$E$9+SQRT(S98*($G$9-$E$9)*($F$9-$E$9)),$G$9-SQRT((1-S98)*($G$9-$E$9)*($G$9-$F$9))))</f>
        <v>1.14744510413062</v>
      </c>
      <c r="F98" s="37" t="n">
        <f aca="false">1+IF($G$10=$E$10,$F$10,IF(T98&lt;($F$10-$E$10)/($G$10-$E$10),$E$10+SQRT(T98*($G$10-$E$10)*($F$10-$E$10)),$G$10-SQRT((1-T98)*($G$10-$E$10)*($G$10-$F$10))))</f>
        <v>1.07524246041463</v>
      </c>
      <c r="G98" s="38" t="n">
        <f aca="false">IF($G$11=$E$11,$F$11,IF(U98&lt;($F$11-$E$11)/($G$11-$E$11),$E$11+SQRT(U98*($G$11-$E$11)*($F$11-$E$11)),$G$11-SQRT((1-U98)*($G$11-$E$11)*($G$11-$F$11))))</f>
        <v>0.0939039789722724</v>
      </c>
      <c r="H98" s="39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-2150484920.82925</v>
      </c>
      <c r="I98" s="39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-45660904.8472435</v>
      </c>
      <c r="J98" s="39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225642419.42972</v>
      </c>
      <c r="K98" s="39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550707866.727415</v>
      </c>
      <c r="L98" s="39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671991167.669982</v>
      </c>
      <c r="M98" s="39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841659895.013006</v>
      </c>
      <c r="N98" s="39" t="n">
        <f aca="false">IF(COUNT('Business Case'!B11:G11)=0,"",H98+NPV(G98,I98:M98))</f>
        <v>-576324477.346885</v>
      </c>
      <c r="P98" s="40" t="n">
        <f aca="true">RAND()</f>
        <v>0.65291467889108</v>
      </c>
      <c r="Q98" s="40" t="n">
        <f aca="true">RAND()</f>
        <v>0.277475762152978</v>
      </c>
      <c r="R98" s="40" t="n">
        <f aca="true">RAND()</f>
        <v>0.401225141532809</v>
      </c>
      <c r="S98" s="40" t="n">
        <f aca="true">RAND()</f>
        <v>0.999825933522577</v>
      </c>
      <c r="T98" s="40" t="n">
        <f aca="true">RAND()</f>
        <v>0.592797364774218</v>
      </c>
      <c r="U98" s="40" t="n">
        <f aca="true">RAND()</f>
        <v>0.193320631261392</v>
      </c>
    </row>
    <row r="99" customFormat="false" ht="15" hidden="false" customHeight="false" outlineLevel="0" collapsed="false">
      <c r="A99" s="36" t="n">
        <v>19</v>
      </c>
      <c r="B99" s="37" t="n">
        <f aca="false">1+IF($G$6=$E$6,$F$6,IF(P99&lt;($F$6-$E$6)/($G$6-$E$6),$E$6+SQRT(P99*($G$6-$E$6)*($F$6-$E$6)),$G$6-SQRT((1-P99)*($G$6-$E$6)*($G$6-$F$6))))</f>
        <v>0.990226790822292</v>
      </c>
      <c r="C99" s="37" t="n">
        <f aca="false">1+IF($G$7=$E$7,$F$7,IF(Q99&lt;($F$7-$E$7)/($G$7-$E$7),$E$7+SQRT(Q99*($G$7-$E$7)*($F$7-$E$7)),$G$7-SQRT((1-Q99)*($G$7-$E$7)*($G$7-$F$7))))</f>
        <v>0.964091330891382</v>
      </c>
      <c r="D99" s="37" t="n">
        <f aca="false">1+IF($G$8=$E$8,$F$8,IF(R99&lt;($F$8-$E$8)/($G$8-$E$8),$E$8+SQRT(R99*($G$8-$E$8)*($F$8-$E$8)),$G$8-SQRT((1-R99)*($G$8-$E$8)*($G$8-$F$8))))</f>
        <v>1.00136521979479</v>
      </c>
      <c r="E99" s="37" t="n">
        <f aca="false">1+IF($G$9=$E$9,$F$9,IF(S99&lt;($F$9-$E$9)/($G$9-$E$9),$E$9+SQRT(S99*($G$9-$E$9)*($F$9-$E$9)),$G$9-SQRT((1-S99)*($G$9-$E$9)*($G$9-$F$9))))</f>
        <v>0.949327075857608</v>
      </c>
      <c r="F99" s="37" t="n">
        <f aca="false">1+IF($G$10=$E$10,$F$10,IF(T99&lt;($F$10-$E$10)/($G$10-$E$10),$E$10+SQRT(T99*($G$10-$E$10)*($F$10-$E$10)),$G$10-SQRT((1-T99)*($G$10-$E$10)*($G$10-$F$10))))</f>
        <v>1.02198337866764</v>
      </c>
      <c r="G99" s="38" t="n">
        <f aca="false">IF($G$11=$E$11,$F$11,IF(U99&lt;($F$11-$E$11)/($G$11-$E$11),$E$11+SQRT(U99*($G$11-$E$11)*($F$11-$E$11)),$G$11-SQRT((1-U99)*($G$11-$E$11)*($G$11-$F$11))))</f>
        <v>0.090835914730208</v>
      </c>
      <c r="H99" s="39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-2043966757.33528</v>
      </c>
      <c r="I99" s="39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1048586.29694897</v>
      </c>
      <c r="J99" s="39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288779864.958975</v>
      </c>
      <c r="K99" s="39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627610312.554382</v>
      </c>
      <c r="L99" s="39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756514101.649297</v>
      </c>
      <c r="M99" s="39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937977597.457621</v>
      </c>
      <c r="N99" s="39" t="n">
        <f aca="false">IF(COUNT('Business Case'!B11:G11)=0,"",H99+NPV(G99,I99:M99))</f>
        <v>-175218920.259593</v>
      </c>
      <c r="P99" s="40" t="n">
        <f aca="true">RAND()</f>
        <v>0.542724918805974</v>
      </c>
      <c r="Q99" s="40" t="n">
        <f aca="true">RAND()</f>
        <v>0.51662393371838</v>
      </c>
      <c r="R99" s="40" t="n">
        <f aca="true">RAND()</f>
        <v>0.351412008924652</v>
      </c>
      <c r="S99" s="40" t="n">
        <f aca="true">RAND()</f>
        <v>0.0973264165064889</v>
      </c>
      <c r="T99" s="40" t="n">
        <f aca="true">RAND()</f>
        <v>0.306778938615655</v>
      </c>
      <c r="U99" s="40" t="n">
        <f aca="true">RAND()</f>
        <v>0.117417048040339</v>
      </c>
    </row>
    <row r="100" customFormat="false" ht="15" hidden="false" customHeight="false" outlineLevel="0" collapsed="false">
      <c r="A100" s="36" t="n">
        <v>20</v>
      </c>
      <c r="B100" s="37" t="n">
        <f aca="false">1+IF($G$6=$E$6,$F$6,IF(P100&lt;($F$6-$E$6)/($G$6-$E$6),$E$6+SQRT(P100*($G$6-$E$6)*($F$6-$E$6)),$G$6-SQRT((1-P100)*($G$6-$E$6)*($G$6-$F$6))))</f>
        <v>0.962051836432897</v>
      </c>
      <c r="C100" s="37" t="n">
        <f aca="false">1+IF($G$7=$E$7,$F$7,IF(Q100&lt;($F$7-$E$7)/($G$7-$E$7),$E$7+SQRT(Q100*($G$7-$E$7)*($F$7-$E$7)),$G$7-SQRT((1-Q100)*($G$7-$E$7)*($G$7-$F$7))))</f>
        <v>1.10276921724141</v>
      </c>
      <c r="D100" s="37" t="n">
        <f aca="false">1+IF($G$8=$E$8,$F$8,IF(R100&lt;($F$8-$E$8)/($G$8-$E$8),$E$8+SQRT(R100*($G$8-$E$8)*($F$8-$E$8)),$G$8-SQRT((1-R100)*($G$8-$E$8)*($G$8-$F$8))))</f>
        <v>1.01686861949107</v>
      </c>
      <c r="E100" s="37" t="n">
        <f aca="false">1+IF($G$9=$E$9,$F$9,IF(S100&lt;($F$9-$E$9)/($G$9-$E$9),$E$9+SQRT(S100*($G$9-$E$9)*($F$9-$E$9)),$G$9-SQRT((1-S100)*($G$9-$E$9)*($G$9-$F$9))))</f>
        <v>1.0345443355476</v>
      </c>
      <c r="F100" s="37" t="n">
        <f aca="false">1+IF($G$10=$E$10,$F$10,IF(T100&lt;($F$10-$E$10)/($G$10-$E$10),$E$10+SQRT(T100*($G$10-$E$10)*($F$10-$E$10)),$G$10-SQRT((1-T100)*($G$10-$E$10)*($G$10-$F$10))))</f>
        <v>1.01264237909116</v>
      </c>
      <c r="G100" s="38" t="n">
        <f aca="false">IF($G$11=$E$11,$F$11,IF(U100&lt;($F$11-$E$11)/($G$11-$E$11),$E$11+SQRT(U100*($G$11-$E$11)*($F$11-$E$11)),$G$11-SQRT((1-U100)*($G$11-$E$11)*($G$11-$F$11))))</f>
        <v>0.0966501454830246</v>
      </c>
      <c r="H100" s="39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-2025284758.18232</v>
      </c>
      <c r="I100" s="39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-8456239.20259631</v>
      </c>
      <c r="J100" s="39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286462116.46635</v>
      </c>
      <c r="K100" s="39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632012591.089855</v>
      </c>
      <c r="L100" s="39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766984144.61121</v>
      </c>
      <c r="M100" s="39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968644036.918924</v>
      </c>
      <c r="N100" s="39" t="n">
        <f aca="false">IF(COUNT('Business Case'!B11:G11)=0,"",H100+NPV(G100,I100:M100))</f>
        <v>-174611794.289109</v>
      </c>
      <c r="P100" s="40" t="n">
        <f aca="true">RAND()</f>
        <v>0.256695360312996</v>
      </c>
      <c r="Q100" s="40" t="n">
        <f aca="true">RAND()</f>
        <v>0.966951898666832</v>
      </c>
      <c r="R100" s="40" t="n">
        <f aca="true">RAND()</f>
        <v>0.539278238311953</v>
      </c>
      <c r="S100" s="40" t="n">
        <f aca="true">RAND()</f>
        <v>0.644533054556115</v>
      </c>
      <c r="T100" s="40" t="n">
        <f aca="true">RAND()</f>
        <v>0.248818130619929</v>
      </c>
      <c r="U100" s="40" t="n">
        <f aca="true">RAND()</f>
        <v>0.277227344605885</v>
      </c>
    </row>
    <row r="101" customFormat="false" ht="15" hidden="false" customHeight="false" outlineLevel="0" collapsed="false">
      <c r="A101" s="36" t="n">
        <v>21</v>
      </c>
      <c r="B101" s="37" t="n">
        <f aca="false">1+IF($G$6=$E$6,$F$6,IF(P101&lt;($F$6-$E$6)/($G$6-$E$6),$E$6+SQRT(P101*($G$6-$E$6)*($F$6-$E$6)),$G$6-SQRT((1-P101)*($G$6-$E$6)*($G$6-$F$6))))</f>
        <v>1.04424659608323</v>
      </c>
      <c r="C101" s="37" t="n">
        <f aca="false">1+IF($G$7=$E$7,$F$7,IF(Q101&lt;($F$7-$E$7)/($G$7-$E$7),$E$7+SQRT(Q101*($G$7-$E$7)*($F$7-$E$7)),$G$7-SQRT((1-Q101)*($G$7-$E$7)*($G$7-$F$7))))</f>
        <v>1.00428019771205</v>
      </c>
      <c r="D101" s="37" t="n">
        <f aca="false">1+IF($G$8=$E$8,$F$8,IF(R101&lt;($F$8-$E$8)/($G$8-$E$8),$E$8+SQRT(R101*($G$8-$E$8)*($F$8-$E$8)),$G$8-SQRT((1-R101)*($G$8-$E$8)*($G$8-$F$8))))</f>
        <v>1.0523846571258</v>
      </c>
      <c r="E101" s="37" t="n">
        <f aca="false">1+IF($G$9=$E$9,$F$9,IF(S101&lt;($F$9-$E$9)/($G$9-$E$9),$E$9+SQRT(S101*($G$9-$E$9)*($F$9-$E$9)),$G$9-SQRT((1-S101)*($G$9-$E$9)*($G$9-$F$9))))</f>
        <v>1.06160969958079</v>
      </c>
      <c r="F101" s="37" t="n">
        <f aca="false">1+IF($G$10=$E$10,$F$10,IF(T101&lt;($F$10-$E$10)/($G$10-$E$10),$E$10+SQRT(T101*($G$10-$E$10)*($F$10-$E$10)),$G$10-SQRT((1-T101)*($G$10-$E$10)*($G$10-$F$10))))</f>
        <v>1.08338410476069</v>
      </c>
      <c r="G101" s="38" t="n">
        <f aca="false">IF($G$11=$E$11,$F$11,IF(U101&lt;($F$11-$E$11)/($G$11-$E$11),$E$11+SQRT(U101*($G$11-$E$11)*($F$11-$E$11)),$G$11-SQRT((1-U101)*($G$11-$E$11)*($G$11-$F$11))))</f>
        <v>0.101126579425866</v>
      </c>
      <c r="H101" s="39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-2166768209.52137</v>
      </c>
      <c r="I101" s="39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4266647.40703395</v>
      </c>
      <c r="J101" s="39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322198051.236728</v>
      </c>
      <c r="K101" s="39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694298660.304456</v>
      </c>
      <c r="L101" s="39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836519426.025157</v>
      </c>
      <c r="M101" s="39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1035859397.13457</v>
      </c>
      <c r="N101" s="39" t="n">
        <f aca="false">IF(COUNT('Business Case'!B11:G11)=0,"",H101+NPV(G101,I101:M101))</f>
        <v>-168198197.844104</v>
      </c>
      <c r="P101" s="40" t="n">
        <f aca="true">RAND()</f>
        <v>0.995586445782737</v>
      </c>
      <c r="Q101" s="40" t="n">
        <f aca="true">RAND()</f>
        <v>0.685418358832025</v>
      </c>
      <c r="R101" s="40" t="n">
        <f aca="true">RAND()</f>
        <v>0.848851941531517</v>
      </c>
      <c r="S101" s="40" t="n">
        <f aca="true">RAND()</f>
        <v>0.791657461114702</v>
      </c>
      <c r="T101" s="40" t="n">
        <f aca="true">RAND()</f>
        <v>0.629855246048024</v>
      </c>
      <c r="U101" s="40" t="n">
        <f aca="true">RAND()</f>
        <v>0.444217056232766</v>
      </c>
    </row>
    <row r="102" customFormat="false" ht="15" hidden="false" customHeight="false" outlineLevel="0" collapsed="false">
      <c r="A102" s="36" t="n">
        <v>22</v>
      </c>
      <c r="B102" s="37" t="n">
        <f aca="false">1+IF($G$6=$E$6,$F$6,IF(P102&lt;($F$6-$E$6)/($G$6-$E$6),$E$6+SQRT(P102*($G$6-$E$6)*($F$6-$E$6)),$G$6-SQRT((1-P102)*($G$6-$E$6)*($G$6-$F$6))))</f>
        <v>1.01878217878667</v>
      </c>
      <c r="C102" s="37" t="n">
        <f aca="false">1+IF($G$7=$E$7,$F$7,IF(Q102&lt;($F$7-$E$7)/($G$7-$E$7),$E$7+SQRT(Q102*($G$7-$E$7)*($F$7-$E$7)),$G$7-SQRT((1-Q102)*($G$7-$E$7)*($G$7-$F$7))))</f>
        <v>1.01729231091608</v>
      </c>
      <c r="D102" s="37" t="n">
        <f aca="false">1+IF($G$8=$E$8,$F$8,IF(R102&lt;($F$8-$E$8)/($G$8-$E$8),$E$8+SQRT(R102*($G$8-$E$8)*($F$8-$E$8)),$G$8-SQRT((1-R102)*($G$8-$E$8)*($G$8-$F$8))))</f>
        <v>1.07093296031335</v>
      </c>
      <c r="E102" s="37" t="n">
        <f aca="false">1+IF($G$9=$E$9,$F$9,IF(S102&lt;($F$9-$E$9)/($G$9-$E$9),$E$9+SQRT(S102*($G$9-$E$9)*($F$9-$E$9)),$G$9-SQRT((1-S102)*($G$9-$E$9)*($G$9-$F$9))))</f>
        <v>1.05885831721616</v>
      </c>
      <c r="F102" s="37" t="n">
        <f aca="false">1+IF($G$10=$E$10,$F$10,IF(T102&lt;($F$10-$E$10)/($G$10-$E$10),$E$10+SQRT(T102*($G$10-$E$10)*($F$10-$E$10)),$G$10-SQRT((1-T102)*($G$10-$E$10)*($G$10-$F$10))))</f>
        <v>1.00579107546025</v>
      </c>
      <c r="G102" s="38" t="n">
        <f aca="false">IF($G$11=$E$11,$F$11,IF(U102&lt;($F$11-$E$11)/($G$11-$E$11),$E$11+SQRT(U102*($G$11-$E$11)*($F$11-$E$11)),$G$11-SQRT((1-U102)*($G$11-$E$11)*($G$11-$F$11))))</f>
        <v>0.097044318006892</v>
      </c>
      <c r="H102" s="39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-2011582150.92051</v>
      </c>
      <c r="I102" s="39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-13702269.4395789</v>
      </c>
      <c r="J102" s="39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277471159.893545</v>
      </c>
      <c r="K102" s="39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618934142.999682</v>
      </c>
      <c r="L102" s="39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751809911.78975</v>
      </c>
      <c r="M102" s="39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948808686.357728</v>
      </c>
      <c r="N102" s="39" t="n">
        <f aca="false">IF(COUNT('Business Case'!B11:G11)=0,"",H102+NPV(G102,I102:M102))</f>
        <v>-208569599.665798</v>
      </c>
      <c r="P102" s="40" t="n">
        <f aca="true">RAND()</f>
        <v>0.870059685158969</v>
      </c>
      <c r="Q102" s="40" t="n">
        <f aca="true">RAND()</f>
        <v>0.739091396414879</v>
      </c>
      <c r="R102" s="40" t="n">
        <f aca="true">RAND()</f>
        <v>0.943673813590332</v>
      </c>
      <c r="S102" s="40" t="n">
        <f aca="true">RAND()</f>
        <v>0.778485164248803</v>
      </c>
      <c r="T102" s="40" t="n">
        <f aca="true">RAND()</f>
        <v>0.204826682335203</v>
      </c>
      <c r="U102" s="40" t="n">
        <f aca="true">RAND()</f>
        <v>0.290508776320062</v>
      </c>
    </row>
    <row r="103" customFormat="false" ht="15" hidden="false" customHeight="false" outlineLevel="0" collapsed="false">
      <c r="A103" s="36" t="n">
        <v>23</v>
      </c>
      <c r="B103" s="37" t="n">
        <f aca="false">1+IF($G$6=$E$6,$F$6,IF(P103&lt;($F$6-$E$6)/($G$6-$E$6),$E$6+SQRT(P103*($G$6-$E$6)*($F$6-$E$6)),$G$6-SQRT((1-P103)*($G$6-$E$6)*($G$6-$F$6))))</f>
        <v>0.973072703509816</v>
      </c>
      <c r="C103" s="37" t="n">
        <f aca="false">1+IF($G$7=$E$7,$F$7,IF(Q103&lt;($F$7-$E$7)/($G$7-$E$7),$E$7+SQRT(Q103*($G$7-$E$7)*($F$7-$E$7)),$G$7-SQRT((1-Q103)*($G$7-$E$7)*($G$7-$F$7))))</f>
        <v>0.928273401077231</v>
      </c>
      <c r="D103" s="37" t="n">
        <f aca="false">1+IF($G$8=$E$8,$F$8,IF(R103&lt;($F$8-$E$8)/($G$8-$E$8),$E$8+SQRT(R103*($G$8-$E$8)*($F$8-$E$8)),$G$8-SQRT((1-R103)*($G$8-$E$8)*($G$8-$F$8))))</f>
        <v>1.00556837732266</v>
      </c>
      <c r="E103" s="37" t="n">
        <f aca="false">1+IF($G$9=$E$9,$F$9,IF(S103&lt;($F$9-$E$9)/($G$9-$E$9),$E$9+SQRT(S103*($G$9-$E$9)*($F$9-$E$9)),$G$9-SQRT((1-S103)*($G$9-$E$9)*($G$9-$F$9))))</f>
        <v>0.995101939052709</v>
      </c>
      <c r="F103" s="37" t="n">
        <f aca="false">1+IF($G$10=$E$10,$F$10,IF(T103&lt;($F$10-$E$10)/($G$10-$E$10),$E$10+SQRT(T103*($G$10-$E$10)*($F$10-$E$10)),$G$10-SQRT((1-T103)*($G$10-$E$10)*($G$10-$F$10))))</f>
        <v>1.15693754587448</v>
      </c>
      <c r="G103" s="38" t="n">
        <f aca="false">IF($G$11=$E$11,$F$11,IF(U103&lt;($F$11-$E$11)/($G$11-$E$11),$E$11+SQRT(U103*($G$11-$E$11)*($F$11-$E$11)),$G$11-SQRT((1-U103)*($G$11-$E$11)*($G$11-$F$11))))</f>
        <v>0.0967446730889974</v>
      </c>
      <c r="H103" s="39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-2313875091.74895</v>
      </c>
      <c r="I103" s="39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-42021663.2742288</v>
      </c>
      <c r="J103" s="39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219979829.786097</v>
      </c>
      <c r="K103" s="39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539828200.140146</v>
      </c>
      <c r="L103" s="39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658379301.836128</v>
      </c>
      <c r="M103" s="39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830074290.553437</v>
      </c>
      <c r="N103" s="39" t="n">
        <f aca="false">IF(COUNT('Business Case'!B11:G11)=0,"",H103+NPV(G103,I103:M103))</f>
        <v>-781954311.20223</v>
      </c>
      <c r="P103" s="40" t="n">
        <f aca="true">RAND()</f>
        <v>0.355974666548896</v>
      </c>
      <c r="Q103" s="40" t="n">
        <f aca="true">RAND()</f>
        <v>0.385990708439751</v>
      </c>
      <c r="R103" s="40" t="n">
        <f aca="true">RAND()</f>
        <v>0.4055112425683</v>
      </c>
      <c r="S103" s="40" t="n">
        <f aca="true">RAND()</f>
        <v>0.361775152463406</v>
      </c>
      <c r="T103" s="40" t="n">
        <f aca="true">RAND()</f>
        <v>0.884525061761795</v>
      </c>
      <c r="U103" s="40" t="n">
        <f aca="true">RAND()</f>
        <v>0.280384076857395</v>
      </c>
    </row>
    <row r="104" customFormat="false" ht="15" hidden="false" customHeight="false" outlineLevel="0" collapsed="false">
      <c r="A104" s="36" t="n">
        <v>24</v>
      </c>
      <c r="B104" s="37" t="n">
        <f aca="false">1+IF($G$6=$E$6,$F$6,IF(P104&lt;($F$6-$E$6)/($G$6-$E$6),$E$6+SQRT(P104*($G$6-$E$6)*($F$6-$E$6)),$G$6-SQRT((1-P104)*($G$6-$E$6)*($G$6-$F$6))))</f>
        <v>0.945092202919771</v>
      </c>
      <c r="C104" s="37" t="n">
        <f aca="false">1+IF($G$7=$E$7,$F$7,IF(Q104&lt;($F$7-$E$7)/($G$7-$E$7),$E$7+SQRT(Q104*($G$7-$E$7)*($F$7-$E$7)),$G$7-SQRT((1-Q104)*($G$7-$E$7)*($G$7-$F$7))))</f>
        <v>0.946603446068894</v>
      </c>
      <c r="D104" s="37" t="n">
        <f aca="false">1+IF($G$8=$E$8,$F$8,IF(R104&lt;($F$8-$E$8)/($G$8-$E$8),$E$8+SQRT(R104*($G$8-$E$8)*($F$8-$E$8)),$G$8-SQRT((1-R104)*($G$8-$E$8)*($G$8-$F$8))))</f>
        <v>1.00609427861263</v>
      </c>
      <c r="E104" s="37" t="n">
        <f aca="false">1+IF($G$9=$E$9,$F$9,IF(S104&lt;($F$9-$E$9)/($G$9-$E$9),$E$9+SQRT(S104*($G$9-$E$9)*($F$9-$E$9)),$G$9-SQRT((1-S104)*($G$9-$E$9)*($G$9-$F$9))))</f>
        <v>1.03088296171641</v>
      </c>
      <c r="F104" s="37" t="n">
        <f aca="false">1+IF($G$10=$E$10,$F$10,IF(T104&lt;($F$10-$E$10)/($G$10-$E$10),$E$10+SQRT(T104*($G$10-$E$10)*($F$10-$E$10)),$G$10-SQRT((1-T104)*($G$10-$E$10)*($G$10-$F$10))))</f>
        <v>1.05157450095338</v>
      </c>
      <c r="G104" s="38" t="n">
        <f aca="false">IF($G$11=$E$11,$F$11,IF(U104&lt;($F$11-$E$11)/($G$11-$E$11),$E$11+SQRT(U104*($G$11-$E$11)*($F$11-$E$11)),$G$11-SQRT((1-U104)*($G$11-$E$11)*($G$11-$F$11))))</f>
        <v>0.1008407690281</v>
      </c>
      <c r="H104" s="39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-2103149001.90676</v>
      </c>
      <c r="I104" s="39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-52900566.9982009</v>
      </c>
      <c r="J104" s="39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192325364.728336</v>
      </c>
      <c r="K104" s="39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490130021.502542</v>
      </c>
      <c r="L104" s="39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602790326.393605</v>
      </c>
      <c r="M104" s="39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772841128.462468</v>
      </c>
      <c r="N104" s="39" t="n">
        <f aca="false">IF(COUNT('Business Case'!B11:G11)=0,"",H104+NPV(G104,I104:M104))</f>
        <v>-736599598.367633</v>
      </c>
      <c r="P104" s="40" t="n">
        <f aca="true">RAND()</f>
        <v>0.135553784277185</v>
      </c>
      <c r="Q104" s="40" t="n">
        <f aca="true">RAND()</f>
        <v>0.450468589726324</v>
      </c>
      <c r="R104" s="40" t="n">
        <f aca="true">RAND()</f>
        <v>0.412114366047863</v>
      </c>
      <c r="S104" s="40" t="n">
        <f aca="true">RAND()</f>
        <v>0.621630165081214</v>
      </c>
      <c r="T104" s="40" t="n">
        <f aca="true">RAND()</f>
        <v>0.475030951041326</v>
      </c>
      <c r="U104" s="40" t="n">
        <f aca="true">RAND()</f>
        <v>0.433159499418271</v>
      </c>
    </row>
    <row r="105" customFormat="false" ht="15" hidden="false" customHeight="false" outlineLevel="0" collapsed="false">
      <c r="A105" s="36" t="n">
        <v>25</v>
      </c>
      <c r="B105" s="37" t="n">
        <f aca="false">1+IF($G$6=$E$6,$F$6,IF(P105&lt;($F$6-$E$6)/($G$6-$E$6),$E$6+SQRT(P105*($G$6-$E$6)*($F$6-$E$6)),$G$6-SQRT((1-P105)*($G$6-$E$6)*($G$6-$F$6))))</f>
        <v>1.0299001979657</v>
      </c>
      <c r="C105" s="37" t="n">
        <f aca="false">1+IF($G$7=$E$7,$F$7,IF(Q105&lt;($F$7-$E$7)/($G$7-$E$7),$E$7+SQRT(Q105*($G$7-$E$7)*($F$7-$E$7)),$G$7-SQRT((1-Q105)*($G$7-$E$7)*($G$7-$F$7))))</f>
        <v>1.04415222406486</v>
      </c>
      <c r="D105" s="37" t="n">
        <f aca="false">1+IF($G$8=$E$8,$F$8,IF(R105&lt;($F$8-$E$8)/($G$8-$E$8),$E$8+SQRT(R105*($G$8-$E$8)*($F$8-$E$8)),$G$8-SQRT((1-R105)*($G$8-$E$8)*($G$8-$F$8))))</f>
        <v>0.987781602891287</v>
      </c>
      <c r="E105" s="37" t="n">
        <f aca="false">1+IF($G$9=$E$9,$F$9,IF(S105&lt;($F$9-$E$9)/($G$9-$E$9),$E$9+SQRT(S105*($G$9-$E$9)*($F$9-$E$9)),$G$9-SQRT((1-S105)*($G$9-$E$9)*($G$9-$F$9))))</f>
        <v>0.976144769956452</v>
      </c>
      <c r="F105" s="37" t="n">
        <f aca="false">1+IF($G$10=$E$10,$F$10,IF(T105&lt;($F$10-$E$10)/($G$10-$E$10),$E$10+SQRT(T105*($G$10-$E$10)*($F$10-$E$10)),$G$10-SQRT((1-T105)*($G$10-$E$10)*($G$10-$F$10))))</f>
        <v>1.09405827013224</v>
      </c>
      <c r="G105" s="38" t="n">
        <f aca="false">IF($G$11=$E$11,$F$11,IF(U105&lt;($F$11-$E$11)/($G$11-$E$11),$E$11+SQRT(U105*($G$11-$E$11)*($F$11-$E$11)),$G$11-SQRT((1-U105)*($G$11-$E$11)*($G$11-$F$11))))</f>
        <v>0.121593942472016</v>
      </c>
      <c r="H105" s="39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-2188116540.26447</v>
      </c>
      <c r="I105" s="39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48855244.2230655</v>
      </c>
      <c r="J105" s="39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401671416.412076</v>
      </c>
      <c r="K105" s="39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809190502.107698</v>
      </c>
      <c r="L105" s="39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963960769.280645</v>
      </c>
      <c r="M105" s="39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1168367589.71866</v>
      </c>
      <c r="N105" s="39" t="n">
        <f aca="false">IF(COUNT('Business Case'!B11:G11)=0,"",H105+NPV(G105,I105:M105))</f>
        <v>15661622.5936861</v>
      </c>
      <c r="P105" s="40" t="n">
        <f aca="true">RAND()</f>
        <v>0.946133061090906</v>
      </c>
      <c r="Q105" s="40" t="n">
        <f aca="true">RAND()</f>
        <v>0.83401849377161</v>
      </c>
      <c r="R105" s="40" t="n">
        <f aca="true">RAND()</f>
        <v>0.190326602271322</v>
      </c>
      <c r="S105" s="40" t="n">
        <f aca="true">RAND()</f>
        <v>0.231921039668836</v>
      </c>
      <c r="T105" s="40" t="n">
        <f aca="true">RAND()</f>
        <v>0.675762358477989</v>
      </c>
      <c r="U105" s="40" t="n">
        <f aca="true">RAND()</f>
        <v>0.952892131224146</v>
      </c>
    </row>
    <row r="106" customFormat="false" ht="15" hidden="false" customHeight="false" outlineLevel="0" collapsed="false">
      <c r="A106" s="36" t="n">
        <v>26</v>
      </c>
      <c r="B106" s="37" t="n">
        <f aca="false">1+IF($G$6=$E$6,$F$6,IF(P106&lt;($F$6-$E$6)/($G$6-$E$6),$E$6+SQRT(P106*($G$6-$E$6)*($F$6-$E$6)),$G$6-SQRT((1-P106)*($G$6-$E$6)*($G$6-$F$6))))</f>
        <v>1.00170508918983</v>
      </c>
      <c r="C106" s="37" t="n">
        <f aca="false">1+IF($G$7=$E$7,$F$7,IF(Q106&lt;($F$7-$E$7)/($G$7-$E$7),$E$7+SQRT(Q106*($G$7-$E$7)*($F$7-$E$7)),$G$7-SQRT((1-Q106)*($G$7-$E$7)*($G$7-$F$7))))</f>
        <v>1.0987201504345</v>
      </c>
      <c r="D106" s="37" t="n">
        <f aca="false">1+IF($G$8=$E$8,$F$8,IF(R106&lt;($F$8-$E$8)/($G$8-$E$8),$E$8+SQRT(R106*($G$8-$E$8)*($F$8-$E$8)),$G$8-SQRT((1-R106)*($G$8-$E$8)*($G$8-$F$8))))</f>
        <v>1.01052265557787</v>
      </c>
      <c r="E106" s="37" t="n">
        <f aca="false">1+IF($G$9=$E$9,$F$9,IF(S106&lt;($F$9-$E$9)/($G$9-$E$9),$E$9+SQRT(S106*($G$9-$E$9)*($F$9-$E$9)),$G$9-SQRT((1-S106)*($G$9-$E$9)*($G$9-$F$9))))</f>
        <v>1.03350512492944</v>
      </c>
      <c r="F106" s="37" t="n">
        <f aca="false">1+IF($G$10=$E$10,$F$10,IF(T106&lt;($F$10-$E$10)/($G$10-$E$10),$E$10+SQRT(T106*($G$10-$E$10)*($F$10-$E$10)),$G$10-SQRT((1-T106)*($G$10-$E$10)*($G$10-$F$10))))</f>
        <v>1.12718772838434</v>
      </c>
      <c r="G106" s="38" t="n">
        <f aca="false">IF($G$11=$E$11,$F$11,IF(U106&lt;($F$11-$E$11)/($G$11-$E$11),$E$11+SQRT(U106*($G$11-$E$11)*($F$11-$E$11)),$G$11-SQRT((1-U106)*($G$11-$E$11)*($G$11-$F$11))))</f>
        <v>0.100797940421459</v>
      </c>
      <c r="H106" s="39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-2254375456.76867</v>
      </c>
      <c r="I106" s="39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16352042.6465669</v>
      </c>
      <c r="J106" s="39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349442057.372782</v>
      </c>
      <c r="K106" s="39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738891458.518214</v>
      </c>
      <c r="L106" s="39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887957977.077785</v>
      </c>
      <c r="M106" s="39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1097158802.15736</v>
      </c>
      <c r="N106" s="39" t="n">
        <f aca="false">IF(COUNT('Business Case'!B11:G11)=0,"",H106+NPV(G106,I106:M106))</f>
        <v>-113696016.69757</v>
      </c>
      <c r="P106" s="40" t="n">
        <f aca="true">RAND()</f>
        <v>0.689013545311696</v>
      </c>
      <c r="Q106" s="40" t="n">
        <f aca="true">RAND()</f>
        <v>0.961042622645032</v>
      </c>
      <c r="R106" s="40" t="n">
        <f aca="true">RAND()</f>
        <v>0.466253655677546</v>
      </c>
      <c r="S106" s="40" t="n">
        <f aca="true">RAND()</f>
        <v>0.638105175527842</v>
      </c>
      <c r="T106" s="40" t="n">
        <f aca="true">RAND()</f>
        <v>0.798895279208009</v>
      </c>
      <c r="U106" s="40" t="n">
        <f aca="true">RAND()</f>
        <v>0.431493144247579</v>
      </c>
    </row>
    <row r="107" customFormat="false" ht="15" hidden="false" customHeight="false" outlineLevel="0" collapsed="false">
      <c r="A107" s="36" t="n">
        <v>27</v>
      </c>
      <c r="B107" s="37" t="n">
        <f aca="false">1+IF($G$6=$E$6,$F$6,IF(P107&lt;($F$6-$E$6)/($G$6-$E$6),$E$6+SQRT(P107*($G$6-$E$6)*($F$6-$E$6)),$G$6-SQRT((1-P107)*($G$6-$E$6)*($G$6-$F$6))))</f>
        <v>0.982677669255884</v>
      </c>
      <c r="C107" s="37" t="n">
        <f aca="false">1+IF($G$7=$E$7,$F$7,IF(Q107&lt;($F$7-$E$7)/($G$7-$E$7),$E$7+SQRT(Q107*($G$7-$E$7)*($F$7-$E$7)),$G$7-SQRT((1-Q107)*($G$7-$E$7)*($G$7-$F$7))))</f>
        <v>0.871426217652978</v>
      </c>
      <c r="D107" s="37" t="n">
        <f aca="false">1+IF($G$8=$E$8,$F$8,IF(R107&lt;($F$8-$E$8)/($G$8-$E$8),$E$8+SQRT(R107*($G$8-$E$8)*($F$8-$E$8)),$G$8-SQRT((1-R107)*($G$8-$E$8)*($G$8-$F$8))))</f>
        <v>0.976441253009077</v>
      </c>
      <c r="E107" s="37" t="n">
        <f aca="false">1+IF($G$9=$E$9,$F$9,IF(S107&lt;($F$9-$E$9)/($G$9-$E$9),$E$9+SQRT(S107*($G$9-$E$9)*($F$9-$E$9)),$G$9-SQRT((1-S107)*($G$9-$E$9)*($G$9-$F$9))))</f>
        <v>0.998301464068063</v>
      </c>
      <c r="F107" s="37" t="n">
        <f aca="false">1+IF($G$10=$E$10,$F$10,IF(T107&lt;($F$10-$E$10)/($G$10-$E$10),$E$10+SQRT(T107*($G$10-$E$10)*($F$10-$E$10)),$G$10-SQRT((1-T107)*($G$10-$E$10)*($G$10-$F$10))))</f>
        <v>1.22183358619656</v>
      </c>
      <c r="G107" s="38" t="n">
        <f aca="false">IF($G$11=$E$11,$F$11,IF(U107&lt;($F$11-$E$11)/($G$11-$E$11),$E$11+SQRT(U107*($G$11-$E$11)*($F$11-$E$11)),$G$11-SQRT((1-U107)*($G$11-$E$11)*($G$11-$F$11))))</f>
        <v>0.101626350203274</v>
      </c>
      <c r="H107" s="39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-2443667172.39313</v>
      </c>
      <c r="I107" s="39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-42728156.5022274</v>
      </c>
      <c r="J107" s="39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223077717.22573</v>
      </c>
      <c r="K107" s="39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549975270.263515</v>
      </c>
      <c r="L107" s="39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668172030.452867</v>
      </c>
      <c r="M107" s="39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830943442.99305</v>
      </c>
      <c r="N107" s="39" t="n">
        <f aca="false">IF(COUNT('Business Case'!B11:G11)=0,"",H107+NPV(G107,I107:M107))</f>
        <v>-921423953.282632</v>
      </c>
      <c r="P107" s="40" t="n">
        <f aca="true">RAND()</f>
        <v>0.455706466239023</v>
      </c>
      <c r="Q107" s="40" t="n">
        <f aca="true">RAND()</f>
        <v>0.217681097028194</v>
      </c>
      <c r="R107" s="40" t="n">
        <f aca="true">RAND()</f>
        <v>0.0932186480920011</v>
      </c>
      <c r="S107" s="40" t="n">
        <f aca="true">RAND()</f>
        <v>0.386527113516986</v>
      </c>
      <c r="T107" s="40" t="n">
        <f aca="true">RAND()</f>
        <v>0.989422041779381</v>
      </c>
      <c r="U107" s="40" t="n">
        <f aca="true">RAND()</f>
        <v>0.4632906648085</v>
      </c>
    </row>
    <row r="108" customFormat="false" ht="15" hidden="false" customHeight="false" outlineLevel="0" collapsed="false">
      <c r="A108" s="36" t="n">
        <v>28</v>
      </c>
      <c r="B108" s="37" t="n">
        <f aca="false">1+IF($G$6=$E$6,$F$6,IF(P108&lt;($F$6-$E$6)/($G$6-$E$6),$E$6+SQRT(P108*($G$6-$E$6)*($F$6-$E$6)),$G$6-SQRT((1-P108)*($G$6-$E$6)*($G$6-$F$6))))</f>
        <v>0.961105548612929</v>
      </c>
      <c r="C108" s="37" t="n">
        <f aca="false">1+IF($G$7=$E$7,$F$7,IF(Q108&lt;($F$7-$E$7)/($G$7-$E$7),$E$7+SQRT(Q108*($G$7-$E$7)*($F$7-$E$7)),$G$7-SQRT((1-Q108)*($G$7-$E$7)*($G$7-$F$7))))</f>
        <v>0.904160373159248</v>
      </c>
      <c r="D108" s="37" t="n">
        <f aca="false">1+IF($G$8=$E$8,$F$8,IF(R108&lt;($F$8-$E$8)/($G$8-$E$8),$E$8+SQRT(R108*($G$8-$E$8)*($F$8-$E$8)),$G$8-SQRT((1-R108)*($G$8-$E$8)*($G$8-$F$8))))</f>
        <v>1.06683377152698</v>
      </c>
      <c r="E108" s="37" t="n">
        <f aca="false">1+IF($G$9=$E$9,$F$9,IF(S108&lt;($F$9-$E$9)/($G$9-$E$9),$E$9+SQRT(S108*($G$9-$E$9)*($F$9-$E$9)),$G$9-SQRT((1-S108)*($G$9-$E$9)*($G$9-$F$9))))</f>
        <v>1.03869831178691</v>
      </c>
      <c r="F108" s="37" t="n">
        <f aca="false">1+IF($G$10=$E$10,$F$10,IF(T108&lt;($F$10-$E$10)/($G$10-$E$10),$E$10+SQRT(T108*($G$10-$E$10)*($F$10-$E$10)),$G$10-SQRT((1-T108)*($G$10-$E$10)*($G$10-$F$10))))</f>
        <v>1.01449756692675</v>
      </c>
      <c r="G108" s="38" t="n">
        <f aca="false">IF($G$11=$E$11,$F$11,IF(U108&lt;($F$11-$E$11)/($G$11-$E$11),$E$11+SQRT(U108*($G$11-$E$11)*($F$11-$E$11)),$G$11-SQRT((1-U108)*($G$11-$E$11)*($G$11-$F$11))))</f>
        <v>0.0864002161870973</v>
      </c>
      <c r="H108" s="39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-2028995133.85351</v>
      </c>
      <c r="I108" s="39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-76225305.3674516</v>
      </c>
      <c r="J108" s="39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141750671.602557</v>
      </c>
      <c r="K108" s="39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410451526.918904</v>
      </c>
      <c r="L108" s="39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513142603.048031</v>
      </c>
      <c r="M108" s="39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678320897.313214</v>
      </c>
      <c r="N108" s="39" t="n">
        <f aca="false">IF(COUNT('Business Case'!B11:G11)=0,"",H108+NPV(G108,I108:M108))</f>
        <v>-842372865.876452</v>
      </c>
      <c r="P108" s="40" t="n">
        <f aca="true">RAND()</f>
        <v>0.248925871419138</v>
      </c>
      <c r="Q108" s="40" t="n">
        <f aca="true">RAND()</f>
        <v>0.30875154050758</v>
      </c>
      <c r="R108" s="40" t="n">
        <f aca="true">RAND()</f>
        <v>0.926666752591691</v>
      </c>
      <c r="S108" s="40" t="n">
        <f aca="true">RAND()</f>
        <v>0.669651578691095</v>
      </c>
      <c r="T108" s="40" t="n">
        <f aca="true">RAND()</f>
        <v>0.260514720221079</v>
      </c>
      <c r="U108" s="40" t="n">
        <f aca="true">RAND()</f>
        <v>0.0409627672415821</v>
      </c>
    </row>
    <row r="109" customFormat="false" ht="15" hidden="false" customHeight="false" outlineLevel="0" collapsed="false">
      <c r="A109" s="36" t="n">
        <v>29</v>
      </c>
      <c r="B109" s="37" t="n">
        <f aca="false">1+IF($G$6=$E$6,$F$6,IF(P109&lt;($F$6-$E$6)/($G$6-$E$6),$E$6+SQRT(P109*($G$6-$E$6)*($F$6-$E$6)),$G$6-SQRT((1-P109)*($G$6-$E$6)*($G$6-$F$6))))</f>
        <v>0.937086613447365</v>
      </c>
      <c r="C109" s="37" t="n">
        <f aca="false">1+IF($G$7=$E$7,$F$7,IF(Q109&lt;($F$7-$E$7)/($G$7-$E$7),$E$7+SQRT(Q109*($G$7-$E$7)*($F$7-$E$7)),$G$7-SQRT((1-Q109)*($G$7-$E$7)*($G$7-$F$7))))</f>
        <v>1.00209257146579</v>
      </c>
      <c r="D109" s="37" t="n">
        <f aca="false">1+IF($G$8=$E$8,$F$8,IF(R109&lt;($F$8-$E$8)/($G$8-$E$8),$E$8+SQRT(R109*($G$8-$E$8)*($F$8-$E$8)),$G$8-SQRT((1-R109)*($G$8-$E$8)*($G$8-$F$8))))</f>
        <v>1.05486727221096</v>
      </c>
      <c r="E109" s="37" t="n">
        <f aca="false">1+IF($G$9=$E$9,$F$9,IF(S109&lt;($F$9-$E$9)/($G$9-$E$9),$E$9+SQRT(S109*($G$9-$E$9)*($F$9-$E$9)),$G$9-SQRT((1-S109)*($G$9-$E$9)*($G$9-$F$9))))</f>
        <v>0.963714280733361</v>
      </c>
      <c r="F109" s="37" t="n">
        <f aca="false">1+IF($G$10=$E$10,$F$10,IF(T109&lt;($F$10-$E$10)/($G$10-$E$10),$E$10+SQRT(T109*($G$10-$E$10)*($F$10-$E$10)),$G$10-SQRT((1-T109)*($G$10-$E$10)*($G$10-$F$10))))</f>
        <v>1.05084653539905</v>
      </c>
      <c r="G109" s="38" t="n">
        <f aca="false">IF($G$11=$E$11,$F$11,IF(U109&lt;($F$11-$E$11)/($G$11-$E$11),$E$11+SQRT(U109*($G$11-$E$11)*($F$11-$E$11)),$G$11-SQRT((1-U109)*($G$11-$E$11)*($G$11-$F$11))))</f>
        <v>0.0969732962202702</v>
      </c>
      <c r="H109" s="39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-2101693070.7981</v>
      </c>
      <c r="I109" s="39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-62795165.1331704</v>
      </c>
      <c r="J109" s="39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165214718.164476</v>
      </c>
      <c r="K109" s="39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445766928.232076</v>
      </c>
      <c r="L109" s="39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554223705.445043</v>
      </c>
      <c r="M109" s="39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732717860.737348</v>
      </c>
      <c r="N109" s="39" t="n">
        <f aca="false">IF(COUNT('Business Case'!B11:G11)=0,"",H109+NPV(G109,I109:M109))</f>
        <v>-839941597.891342</v>
      </c>
      <c r="P109" s="40" t="n">
        <f aca="true">RAND()</f>
        <v>0.0916944597996163</v>
      </c>
      <c r="Q109" s="40" t="n">
        <f aca="true">RAND()</f>
        <v>0.675902112361457</v>
      </c>
      <c r="R109" s="40" t="n">
        <f aca="true">RAND()</f>
        <v>0.864202458821337</v>
      </c>
      <c r="S109" s="40" t="n">
        <f aca="true">RAND()</f>
        <v>0.162380382774782</v>
      </c>
      <c r="T109" s="40" t="n">
        <f aca="true">RAND()</f>
        <v>0.471171967165835</v>
      </c>
      <c r="U109" s="40" t="n">
        <f aca="true">RAND()</f>
        <v>0.288092784581037</v>
      </c>
    </row>
    <row r="110" customFormat="false" ht="15" hidden="false" customHeight="false" outlineLevel="0" collapsed="false">
      <c r="A110" s="36" t="n">
        <v>30</v>
      </c>
      <c r="B110" s="37" t="n">
        <f aca="false">1+IF($G$6=$E$6,$F$6,IF(P110&lt;($F$6-$E$6)/($G$6-$E$6),$E$6+SQRT(P110*($G$6-$E$6)*($F$6-$E$6)),$G$6-SQRT((1-P110)*($G$6-$E$6)*($G$6-$F$6))))</f>
        <v>0.964048854670752</v>
      </c>
      <c r="C110" s="37" t="n">
        <f aca="false">1+IF($G$7=$E$7,$F$7,IF(Q110&lt;($F$7-$E$7)/($G$7-$E$7),$E$7+SQRT(Q110*($G$7-$E$7)*($F$7-$E$7)),$G$7-SQRT((1-Q110)*($G$7-$E$7)*($G$7-$F$7))))</f>
        <v>0.99600160569692</v>
      </c>
      <c r="D110" s="37" t="n">
        <f aca="false">1+IF($G$8=$E$8,$F$8,IF(R110&lt;($F$8-$E$8)/($G$8-$E$8),$E$8+SQRT(R110*($G$8-$E$8)*($F$8-$E$8)),$G$8-SQRT((1-R110)*($G$8-$E$8)*($G$8-$F$8))))</f>
        <v>1.02870053491895</v>
      </c>
      <c r="E110" s="37" t="n">
        <f aca="false">1+IF($G$9=$E$9,$F$9,IF(S110&lt;($F$9-$E$9)/($G$9-$E$9),$E$9+SQRT(S110*($G$9-$E$9)*($F$9-$E$9)),$G$9-SQRT((1-S110)*($G$9-$E$9)*($G$9-$F$9))))</f>
        <v>0.95991309258874</v>
      </c>
      <c r="F110" s="37" t="n">
        <f aca="false">1+IF($G$10=$E$10,$F$10,IF(T110&lt;($F$10-$E$10)/($G$10-$E$10),$E$10+SQRT(T110*($G$10-$E$10)*($F$10-$E$10)),$G$10-SQRT((1-T110)*($G$10-$E$10)*($G$10-$F$10))))</f>
        <v>1.05522351617807</v>
      </c>
      <c r="G110" s="38" t="n">
        <f aca="false">IF($G$11=$E$11,$F$11,IF(U110&lt;($F$11-$E$11)/($G$11-$E$11),$E$11+SQRT(U110*($G$11-$E$11)*($F$11-$E$11)),$G$11-SQRT((1-U110)*($G$11-$E$11)*($G$11-$F$11))))</f>
        <v>0.1010556083493</v>
      </c>
      <c r="H110" s="39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-2110447032.35614</v>
      </c>
      <c r="I110" s="39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-29837045.2925509</v>
      </c>
      <c r="J110" s="39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232124370.501231</v>
      </c>
      <c r="K110" s="39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546846962.103915</v>
      </c>
      <c r="L110" s="39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667351745.836781</v>
      </c>
      <c r="M110" s="39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849865460.745604</v>
      </c>
      <c r="N110" s="39" t="n">
        <f aca="false">IF(COUNT('Business Case'!B11:G11)=0,"",H110+NPV(G110,I110:M110))</f>
        <v>-557161702.904003</v>
      </c>
      <c r="P110" s="40" t="n">
        <f aca="true">RAND()</f>
        <v>0.27348371897567</v>
      </c>
      <c r="Q110" s="40" t="n">
        <f aca="true">RAND()</f>
        <v>0.649014448704852</v>
      </c>
      <c r="R110" s="40" t="n">
        <f aca="true">RAND()</f>
        <v>0.66109241861041</v>
      </c>
      <c r="S110" s="40" t="n">
        <f aca="true">RAND()</f>
        <v>0.143583146541877</v>
      </c>
      <c r="T110" s="40" t="n">
        <f aca="true">RAND()</f>
        <v>0.494161617999546</v>
      </c>
      <c r="U110" s="40" t="n">
        <f aca="true">RAND()</f>
        <v>0.441481461313921</v>
      </c>
    </row>
    <row r="111" customFormat="false" ht="15" hidden="false" customHeight="false" outlineLevel="0" collapsed="false">
      <c r="A111" s="36" t="n">
        <v>31</v>
      </c>
      <c r="B111" s="37" t="n">
        <f aca="false">1+IF($G$6=$E$6,$F$6,IF(P111&lt;($F$6-$E$6)/($G$6-$E$6),$E$6+SQRT(P111*($G$6-$E$6)*($F$6-$E$6)),$G$6-SQRT((1-P111)*($G$6-$E$6)*($G$6-$F$6))))</f>
        <v>1.00645525840649</v>
      </c>
      <c r="C111" s="37" t="n">
        <f aca="false">1+IF($G$7=$E$7,$F$7,IF(Q111&lt;($F$7-$E$7)/($G$7-$E$7),$E$7+SQRT(Q111*($G$7-$E$7)*($F$7-$E$7)),$G$7-SQRT((1-Q111)*($G$7-$E$7)*($G$7-$F$7))))</f>
        <v>0.899829695221734</v>
      </c>
      <c r="D111" s="37" t="n">
        <f aca="false">1+IF($G$8=$E$8,$F$8,IF(R111&lt;($F$8-$E$8)/($G$8-$E$8),$E$8+SQRT(R111*($G$8-$E$8)*($F$8-$E$8)),$G$8-SQRT((1-R111)*($G$8-$E$8)*($G$8-$F$8))))</f>
        <v>1.07388835564398</v>
      </c>
      <c r="E111" s="37" t="n">
        <f aca="false">1+IF($G$9=$E$9,$F$9,IF(S111&lt;($F$9-$E$9)/($G$9-$E$9),$E$9+SQRT(S111*($G$9-$E$9)*($F$9-$E$9)),$G$9-SQRT((1-S111)*($G$9-$E$9)*($G$9-$F$9))))</f>
        <v>0.993184560324496</v>
      </c>
      <c r="F111" s="37" t="n">
        <f aca="false">1+IF($G$10=$E$10,$F$10,IF(T111&lt;($F$10-$E$10)/($G$10-$E$10),$E$10+SQRT(T111*($G$10-$E$10)*($F$10-$E$10)),$G$10-SQRT((1-T111)*($G$10-$E$10)*($G$10-$F$10))))</f>
        <v>1.17160181785848</v>
      </c>
      <c r="G111" s="38" t="n">
        <f aca="false">IF($G$11=$E$11,$F$11,IF(U111&lt;($F$11-$E$11)/($G$11-$E$11),$E$11+SQRT(U111*($G$11-$E$11)*($F$11-$E$11)),$G$11-SQRT((1-U111)*($G$11-$E$11)*($G$11-$F$11))))</f>
        <v>0.106077286552897</v>
      </c>
      <c r="H111" s="39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-2343203635.71696</v>
      </c>
      <c r="I111" s="39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-58233130.4001232</v>
      </c>
      <c r="J111" s="39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188873056.409361</v>
      </c>
      <c r="K111" s="39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494559334.111769</v>
      </c>
      <c r="L111" s="39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608226923.678674</v>
      </c>
      <c r="M111" s="39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780370657.14593</v>
      </c>
      <c r="N111" s="39" t="n">
        <f aca="false">IF(COUNT('Business Case'!B11:G11)=0,"",H111+NPV(G111,I111:M111))</f>
        <v>-998235913.748032</v>
      </c>
      <c r="P111" s="40" t="n">
        <f aca="true">RAND()</f>
        <v>0.747180730607273</v>
      </c>
      <c r="Q111" s="40" t="n">
        <f aca="true">RAND()</f>
        <v>0.29579190438823</v>
      </c>
      <c r="R111" s="40" t="n">
        <f aca="true">RAND()</f>
        <v>0.954545468601651</v>
      </c>
      <c r="S111" s="40" t="n">
        <f aca="true">RAND()</f>
        <v>0.347334491314782</v>
      </c>
      <c r="T111" s="40" t="n">
        <f aca="true">RAND()</f>
        <v>0.918049667158738</v>
      </c>
      <c r="U111" s="40" t="n">
        <f aca="true">RAND()</f>
        <v>0.618469187551868</v>
      </c>
    </row>
    <row r="112" customFormat="false" ht="15" hidden="false" customHeight="false" outlineLevel="0" collapsed="false">
      <c r="A112" s="36" t="n">
        <v>32</v>
      </c>
      <c r="B112" s="37" t="n">
        <f aca="false">1+IF($G$6=$E$6,$F$6,IF(P112&lt;($F$6-$E$6)/($G$6-$E$6),$E$6+SQRT(P112*($G$6-$E$6)*($F$6-$E$6)),$G$6-SQRT((1-P112)*($G$6-$E$6)*($G$6-$F$6))))</f>
        <v>0.964264239632387</v>
      </c>
      <c r="C112" s="37" t="n">
        <f aca="false">1+IF($G$7=$E$7,$F$7,IF(Q112&lt;($F$7-$E$7)/($G$7-$E$7),$E$7+SQRT(Q112*($G$7-$E$7)*($F$7-$E$7)),$G$7-SQRT((1-Q112)*($G$7-$E$7)*($G$7-$F$7))))</f>
        <v>0.911105167006281</v>
      </c>
      <c r="D112" s="37" t="n">
        <f aca="false">1+IF($G$8=$E$8,$F$8,IF(R112&lt;($F$8-$E$8)/($G$8-$E$8),$E$8+SQRT(R112*($G$8-$E$8)*($F$8-$E$8)),$G$8-SQRT((1-R112)*($G$8-$E$8)*($G$8-$F$8))))</f>
        <v>0.988004274133895</v>
      </c>
      <c r="E112" s="37" t="n">
        <f aca="false">1+IF($G$9=$E$9,$F$9,IF(S112&lt;($F$9-$E$9)/($G$9-$E$9),$E$9+SQRT(S112*($G$9-$E$9)*($F$9-$E$9)),$G$9-SQRT((1-S112)*($G$9-$E$9)*($G$9-$F$9))))</f>
        <v>0.944157422193087</v>
      </c>
      <c r="F112" s="37" t="n">
        <f aca="false">1+IF($G$10=$E$10,$F$10,IF(T112&lt;($F$10-$E$10)/($G$10-$E$10),$E$10+SQRT(T112*($G$10-$E$10)*($F$10-$E$10)),$G$10-SQRT((1-T112)*($G$10-$E$10)*($G$10-$F$10))))</f>
        <v>0.989848089409345</v>
      </c>
      <c r="G112" s="38" t="n">
        <f aca="false">IF($G$11=$E$11,$F$11,IF(U112&lt;($F$11-$E$11)/($G$11-$E$11),$E$11+SQRT(U112*($G$11-$E$11)*($F$11-$E$11)),$G$11-SQRT((1-U112)*($G$11-$E$11)*($G$11-$F$11))))</f>
        <v>0.117307694180219</v>
      </c>
      <c r="H112" s="39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-1979696178.81869</v>
      </c>
      <c r="I112" s="39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-20013284.2496958</v>
      </c>
      <c r="J112" s="39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238761257.313025</v>
      </c>
      <c r="K112" s="39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547028203.346213</v>
      </c>
      <c r="L112" s="39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663648938.157538</v>
      </c>
      <c r="M112" s="39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830642986.754831</v>
      </c>
      <c r="N112" s="39" t="n">
        <f aca="false">IF(COUNT('Business Case'!B11:G11)=0,"",H112+NPV(G112,I112:M112))</f>
        <v>-511289483.439422</v>
      </c>
      <c r="P112" s="40" t="n">
        <f aca="true">RAND()</f>
        <v>0.275326166368588</v>
      </c>
      <c r="Q112" s="40" t="n">
        <f aca="true">RAND()</f>
        <v>0.330114011383333</v>
      </c>
      <c r="R112" s="40" t="n">
        <f aca="true">RAND()</f>
        <v>0.192576646992568</v>
      </c>
      <c r="S112" s="40" t="n">
        <f aca="true">RAND()</f>
        <v>0.0779951173895429</v>
      </c>
      <c r="T112" s="40" t="n">
        <f aca="true">RAND()</f>
        <v>0.105858015305008</v>
      </c>
      <c r="U112" s="40" t="n">
        <f aca="true">RAND()</f>
        <v>0.892603581984769</v>
      </c>
    </row>
    <row r="113" customFormat="false" ht="15" hidden="false" customHeight="false" outlineLevel="0" collapsed="false">
      <c r="A113" s="36" t="n">
        <v>33</v>
      </c>
      <c r="B113" s="37" t="n">
        <f aca="false">1+IF($G$6=$E$6,$F$6,IF(P113&lt;($F$6-$E$6)/($G$6-$E$6),$E$6+SQRT(P113*($G$6-$E$6)*($F$6-$E$6)),$G$6-SQRT((1-P113)*($G$6-$E$6)*($G$6-$F$6))))</f>
        <v>0.979369542858618</v>
      </c>
      <c r="C113" s="37" t="n">
        <f aca="false">1+IF($G$7=$E$7,$F$7,IF(Q113&lt;($F$7-$E$7)/($G$7-$E$7),$E$7+SQRT(Q113*($G$7-$E$7)*($F$7-$E$7)),$G$7-SQRT((1-Q113)*($G$7-$E$7)*($G$7-$F$7))))</f>
        <v>1.01715851770767</v>
      </c>
      <c r="D113" s="37" t="n">
        <f aca="false">1+IF($G$8=$E$8,$F$8,IF(R113&lt;($F$8-$E$8)/($G$8-$E$8),$E$8+SQRT(R113*($G$8-$E$8)*($F$8-$E$8)),$G$8-SQRT((1-R113)*($G$8-$E$8)*($G$8-$F$8))))</f>
        <v>1.01323406364719</v>
      </c>
      <c r="E113" s="37" t="n">
        <f aca="false">1+IF($G$9=$E$9,$F$9,IF(S113&lt;($F$9-$E$9)/($G$9-$E$9),$E$9+SQRT(S113*($G$9-$E$9)*($F$9-$E$9)),$G$9-SQRT((1-S113)*($G$9-$E$9)*($G$9-$F$9))))</f>
        <v>0.981678680376533</v>
      </c>
      <c r="F113" s="37" t="n">
        <f aca="false">1+IF($G$10=$E$10,$F$10,IF(T113&lt;($F$10-$E$10)/($G$10-$E$10),$E$10+SQRT(T113*($G$10-$E$10)*($F$10-$E$10)),$G$10-SQRT((1-T113)*($G$10-$E$10)*($G$10-$F$10))))</f>
        <v>0.999453720651181</v>
      </c>
      <c r="G113" s="38" t="n">
        <f aca="false">IF($G$11=$E$11,$F$11,IF(U113&lt;($F$11-$E$11)/($G$11-$E$11),$E$11+SQRT(U113*($G$11-$E$11)*($F$11-$E$11)),$G$11-SQRT((1-U113)*($G$11-$E$11)*($G$11-$F$11))))</f>
        <v>0.112743144979957</v>
      </c>
      <c r="H113" s="39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-1998907441.30236</v>
      </c>
      <c r="I113" s="39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-2838269.88245064</v>
      </c>
      <c r="J113" s="39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285505204.568269</v>
      </c>
      <c r="K113" s="39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623821365.051548</v>
      </c>
      <c r="L113" s="39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754363632.480794</v>
      </c>
      <c r="M113" s="39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943716400.181994</v>
      </c>
      <c r="N113" s="39" t="n">
        <f aca="false">IF(COUNT('Business Case'!B11:G11)=0,"",H113+NPV(G113,I113:M113))</f>
        <v>-272887854.030316</v>
      </c>
      <c r="P113" s="40" t="n">
        <f aca="true">RAND()</f>
        <v>0.419968288905736</v>
      </c>
      <c r="Q113" s="40" t="n">
        <f aca="true">RAND()</f>
        <v>0.738565045664822</v>
      </c>
      <c r="R113" s="40" t="n">
        <f aca="true">RAND()</f>
        <v>0.498111485921309</v>
      </c>
      <c r="S113" s="40" t="n">
        <f aca="true">RAND()</f>
        <v>0.266856273122073</v>
      </c>
      <c r="T113" s="40" t="n">
        <f aca="true">RAND()</f>
        <v>0.163044699083003</v>
      </c>
      <c r="U113" s="40" t="n">
        <f aca="true">RAND()</f>
        <v>0.801467303211466</v>
      </c>
    </row>
    <row r="114" customFormat="false" ht="15" hidden="false" customHeight="false" outlineLevel="0" collapsed="false">
      <c r="A114" s="36" t="n">
        <v>34</v>
      </c>
      <c r="B114" s="37" t="n">
        <f aca="false">1+IF($G$6=$E$6,$F$6,IF(P114&lt;($F$6-$E$6)/($G$6-$E$6),$E$6+SQRT(P114*($G$6-$E$6)*($F$6-$E$6)),$G$6-SQRT((1-P114)*($G$6-$E$6)*($G$6-$F$6))))</f>
        <v>0.96476264823879</v>
      </c>
      <c r="C114" s="37" t="n">
        <f aca="false">1+IF($G$7=$E$7,$F$7,IF(Q114&lt;($F$7-$E$7)/($G$7-$E$7),$E$7+SQRT(Q114*($G$7-$E$7)*($F$7-$E$7)),$G$7-SQRT((1-Q114)*($G$7-$E$7)*($G$7-$F$7))))</f>
        <v>0.833100300572053</v>
      </c>
      <c r="D114" s="37" t="n">
        <f aca="false">1+IF($G$8=$E$8,$F$8,IF(R114&lt;($F$8-$E$8)/($G$8-$E$8),$E$8+SQRT(R114*($G$8-$E$8)*($F$8-$E$8)),$G$8-SQRT((1-R114)*($G$8-$E$8)*($G$8-$F$8))))</f>
        <v>1.021970601313</v>
      </c>
      <c r="E114" s="37" t="n">
        <f aca="false">1+IF($G$9=$E$9,$F$9,IF(S114&lt;($F$9-$E$9)/($G$9-$E$9),$E$9+SQRT(S114*($G$9-$E$9)*($F$9-$E$9)),$G$9-SQRT((1-S114)*($G$9-$E$9)*($G$9-$F$9))))</f>
        <v>1.01793962356741</v>
      </c>
      <c r="F114" s="37" t="n">
        <f aca="false">1+IF($G$10=$E$10,$F$10,IF(T114&lt;($F$10-$E$10)/($G$10-$E$10),$E$10+SQRT(T114*($G$10-$E$10)*($F$10-$E$10)),$G$10-SQRT((1-T114)*($G$10-$E$10)*($G$10-$F$10))))</f>
        <v>1.08427475606526</v>
      </c>
      <c r="G114" s="38" t="n">
        <f aca="false">IF($G$11=$E$11,$F$11,IF(U114&lt;($F$11-$E$11)/($G$11-$E$11),$E$11+SQRT(U114*($G$11-$E$11)*($F$11-$E$11)),$G$11-SQRT((1-U114)*($G$11-$E$11)*($G$11-$F$11))))</f>
        <v>0.102308737118939</v>
      </c>
      <c r="H114" s="39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-2168549512.13052</v>
      </c>
      <c r="I114" s="39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-72371076.8236693</v>
      </c>
      <c r="J114" s="39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150102428.097994</v>
      </c>
      <c r="K114" s="39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426789670.82292</v>
      </c>
      <c r="L114" s="39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528724900.241822</v>
      </c>
      <c r="M114" s="39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681500569.689401</v>
      </c>
      <c r="N114" s="39" t="n">
        <f aca="false">IF(COUNT('Business Case'!B11:G11)=0,"",H114+NPV(G114,I114:M114))</f>
        <v>-1015172686.38128</v>
      </c>
      <c r="P114" s="40" t="n">
        <f aca="true">RAND()</f>
        <v>0.279613373793419</v>
      </c>
      <c r="Q114" s="40" t="n">
        <f aca="true">RAND()</f>
        <v>0.131227333424969</v>
      </c>
      <c r="R114" s="40" t="n">
        <f aca="true">RAND()</f>
        <v>0.594094196036381</v>
      </c>
      <c r="S114" s="40" t="n">
        <f aca="true">RAND()</f>
        <v>0.534934852706185</v>
      </c>
      <c r="T114" s="40" t="n">
        <f aca="true">RAND()</f>
        <v>0.633801913636938</v>
      </c>
      <c r="U114" s="40" t="n">
        <f aca="true">RAND()</f>
        <v>0.488795973367972</v>
      </c>
    </row>
    <row r="115" customFormat="false" ht="15" hidden="false" customHeight="false" outlineLevel="0" collapsed="false">
      <c r="A115" s="36" t="n">
        <v>35</v>
      </c>
      <c r="B115" s="37" t="n">
        <f aca="false">1+IF($G$6=$E$6,$F$6,IF(P115&lt;($F$6-$E$6)/($G$6-$E$6),$E$6+SQRT(P115*($G$6-$E$6)*($F$6-$E$6)),$G$6-SQRT((1-P115)*($G$6-$E$6)*($G$6-$F$6))))</f>
        <v>0.998957521825159</v>
      </c>
      <c r="C115" s="37" t="n">
        <f aca="false">1+IF($G$7=$E$7,$F$7,IF(Q115&lt;($F$7-$E$7)/($G$7-$E$7),$E$7+SQRT(Q115*($G$7-$E$7)*($F$7-$E$7)),$G$7-SQRT((1-Q115)*($G$7-$E$7)*($G$7-$F$7))))</f>
        <v>0.913557369008127</v>
      </c>
      <c r="D115" s="37" t="n">
        <f aca="false">1+IF($G$8=$E$8,$F$8,IF(R115&lt;($F$8-$E$8)/($G$8-$E$8),$E$8+SQRT(R115*($G$8-$E$8)*($F$8-$E$8)),$G$8-SQRT((1-R115)*($G$8-$E$8)*($G$8-$F$8))))</f>
        <v>1.01848789563271</v>
      </c>
      <c r="E115" s="37" t="n">
        <f aca="false">1+IF($G$9=$E$9,$F$9,IF(S115&lt;($F$9-$E$9)/($G$9-$E$9),$E$9+SQRT(S115*($G$9-$E$9)*($F$9-$E$9)),$G$9-SQRT((1-S115)*($G$9-$E$9)*($G$9-$F$9))))</f>
        <v>0.995483219392346</v>
      </c>
      <c r="F115" s="37" t="n">
        <f aca="false">1+IF($G$10=$E$10,$F$10,IF(T115&lt;($F$10-$E$10)/($G$10-$E$10),$E$10+SQRT(T115*($G$10-$E$10)*($F$10-$E$10)),$G$10-SQRT((1-T115)*($G$10-$E$10)*($G$10-$F$10))))</f>
        <v>0.960067574772194</v>
      </c>
      <c r="G115" s="38" t="n">
        <f aca="false">IF($G$11=$E$11,$F$11,IF(U115&lt;($F$11-$E$11)/($G$11-$E$11),$E$11+SQRT(U115*($G$11-$E$11)*($F$11-$E$11)),$G$11-SQRT((1-U115)*($G$11-$E$11)*($G$11-$F$11))))</f>
        <v>0.10246057963301</v>
      </c>
      <c r="H115" s="39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-1920135149.54439</v>
      </c>
      <c r="I115" s="39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-13699198.628082</v>
      </c>
      <c r="J115" s="39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257475517.498037</v>
      </c>
      <c r="K115" s="39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576653612.362766</v>
      </c>
      <c r="L115" s="39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698584813.391065</v>
      </c>
      <c r="M115" s="39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872052772.815496</v>
      </c>
      <c r="N115" s="39" t="n">
        <f aca="false">IF(COUNT('Business Case'!B11:G11)=0,"",H115+NPV(G115,I115:M115))</f>
        <v>-282008505.155031</v>
      </c>
      <c r="P115" s="40" t="n">
        <f aca="true">RAND()</f>
        <v>0.652839408385117</v>
      </c>
      <c r="Q115" s="40" t="n">
        <f aca="true">RAND()</f>
        <v>0.337827776723504</v>
      </c>
      <c r="R115" s="40" t="n">
        <f aca="true">RAND()</f>
        <v>0.557051789441022</v>
      </c>
      <c r="S115" s="40" t="n">
        <f aca="true">RAND()</f>
        <v>0.364681807421078</v>
      </c>
      <c r="T115" s="40" t="n">
        <f aca="true">RAND()</f>
        <v>0.00675707078624723</v>
      </c>
      <c r="U115" s="40" t="n">
        <f aca="true">RAND()</f>
        <v>0.494386883900148</v>
      </c>
    </row>
    <row r="116" customFormat="false" ht="15" hidden="false" customHeight="false" outlineLevel="0" collapsed="false">
      <c r="A116" s="36" t="n">
        <v>36</v>
      </c>
      <c r="B116" s="37" t="n">
        <f aca="false">1+IF($G$6=$E$6,$F$6,IF(P116&lt;($F$6-$E$6)/($G$6-$E$6),$E$6+SQRT(P116*($G$6-$E$6)*($F$6-$E$6)),$G$6-SQRT((1-P116)*($G$6-$E$6)*($G$6-$F$6))))</f>
        <v>0.984041616360225</v>
      </c>
      <c r="C116" s="37" t="n">
        <f aca="false">1+IF($G$7=$E$7,$F$7,IF(Q116&lt;($F$7-$E$7)/($G$7-$E$7),$E$7+SQRT(Q116*($G$7-$E$7)*($F$7-$E$7)),$G$7-SQRT((1-Q116)*($G$7-$E$7)*($G$7-$F$7))))</f>
        <v>1.08997347363819</v>
      </c>
      <c r="D116" s="37" t="n">
        <f aca="false">1+IF($G$8=$E$8,$F$8,IF(R116&lt;($F$8-$E$8)/($G$8-$E$8),$E$8+SQRT(R116*($G$8-$E$8)*($F$8-$E$8)),$G$8-SQRT((1-R116)*($G$8-$E$8)*($G$8-$F$8))))</f>
        <v>0.978723645978385</v>
      </c>
      <c r="E116" s="37" t="n">
        <f aca="false">1+IF($G$9=$E$9,$F$9,IF(S116&lt;($F$9-$E$9)/($G$9-$E$9),$E$9+SQRT(S116*($G$9-$E$9)*($F$9-$E$9)),$G$9-SQRT((1-S116)*($G$9-$E$9)*($G$9-$F$9))))</f>
        <v>0.963278649314076</v>
      </c>
      <c r="F116" s="37" t="n">
        <f aca="false">1+IF($G$10=$E$10,$F$10,IF(T116&lt;($F$10-$E$10)/($G$10-$E$10),$E$10+SQRT(T116*($G$10-$E$10)*($F$10-$E$10)),$G$10-SQRT((1-T116)*($G$10-$E$10)*($G$10-$F$10))))</f>
        <v>1.04199431083527</v>
      </c>
      <c r="G116" s="38" t="n">
        <f aca="false">IF($G$11=$E$11,$F$11,IF(U116&lt;($F$11-$E$11)/($G$11-$E$11),$E$11+SQRT(U116*($G$11-$E$11)*($F$11-$E$11)),$G$11-SQRT((1-U116)*($G$11-$E$11)*($G$11-$F$11))))</f>
        <v>0.0929481524994291</v>
      </c>
      <c r="H116" s="39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-2083988621.67054</v>
      </c>
      <c r="I116" s="39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35632017.6728356</v>
      </c>
      <c r="J116" s="39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368044199.137266</v>
      </c>
      <c r="K116" s="39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752556096.143459</v>
      </c>
      <c r="L116" s="39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900428495.81534</v>
      </c>
      <c r="M116" s="39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1104304361.32589</v>
      </c>
      <c r="N116" s="39" t="n">
        <f aca="false">IF(COUNT('Business Case'!B11:G11)=0,"",H116+NPV(G116,I116:M116))</f>
        <v>172266700.290237</v>
      </c>
      <c r="P116" s="40" t="n">
        <f aca="true">RAND()</f>
        <v>0.470866218695951</v>
      </c>
      <c r="Q116" s="40" t="n">
        <f aca="true">RAND()</f>
        <v>0.946619498265702</v>
      </c>
      <c r="R116" s="40" t="n">
        <f aca="true">RAND()</f>
        <v>0.110006378438878</v>
      </c>
      <c r="S116" s="40" t="n">
        <f aca="true">RAND()</f>
        <v>0.16016749836055</v>
      </c>
      <c r="T116" s="40" t="n">
        <f aca="true">RAND()</f>
        <v>0.423115110334745</v>
      </c>
      <c r="U116" s="40" t="n">
        <f aca="true">RAND()</f>
        <v>0.167654653148472</v>
      </c>
    </row>
    <row r="117" customFormat="false" ht="15" hidden="false" customHeight="false" outlineLevel="0" collapsed="false">
      <c r="A117" s="36" t="n">
        <v>37</v>
      </c>
      <c r="B117" s="37" t="n">
        <f aca="false">1+IF($G$6=$E$6,$F$6,IF(P117&lt;($F$6-$E$6)/($G$6-$E$6),$E$6+SQRT(P117*($G$6-$E$6)*($F$6-$E$6)),$G$6-SQRT((1-P117)*($G$6-$E$6)*($G$6-$F$6))))</f>
        <v>0.985458657255021</v>
      </c>
      <c r="C117" s="37" t="n">
        <f aca="false">1+IF($G$7=$E$7,$F$7,IF(Q117&lt;($F$7-$E$7)/($G$7-$E$7),$E$7+SQRT(Q117*($G$7-$E$7)*($F$7-$E$7)),$G$7-SQRT((1-Q117)*($G$7-$E$7)*($G$7-$F$7))))</f>
        <v>0.94974634119648</v>
      </c>
      <c r="D117" s="37" t="n">
        <f aca="false">1+IF($G$8=$E$8,$F$8,IF(R117&lt;($F$8-$E$8)/($G$8-$E$8),$E$8+SQRT(R117*($G$8-$E$8)*($F$8-$E$8)),$G$8-SQRT((1-R117)*($G$8-$E$8)*($G$8-$F$8))))</f>
        <v>0.997061510293178</v>
      </c>
      <c r="E117" s="37" t="n">
        <f aca="false">1+IF($G$9=$E$9,$F$9,IF(S117&lt;($F$9-$E$9)/($G$9-$E$9),$E$9+SQRT(S117*($G$9-$E$9)*($F$9-$E$9)),$G$9-SQRT((1-S117)*($G$9-$E$9)*($G$9-$F$9))))</f>
        <v>0.95898191169201</v>
      </c>
      <c r="F117" s="37" t="n">
        <f aca="false">1+IF($G$10=$E$10,$F$10,IF(T117&lt;($F$10-$E$10)/($G$10-$E$10),$E$10+SQRT(T117*($G$10-$E$10)*($F$10-$E$10)),$G$10-SQRT((1-T117)*($G$10-$E$10)*($G$10-$F$10))))</f>
        <v>1.05915934698585</v>
      </c>
      <c r="G117" s="38" t="n">
        <f aca="false">IF($G$11=$E$11,$F$11,IF(U117&lt;($F$11-$E$11)/($G$11-$E$11),$E$11+SQRT(U117*($G$11-$E$11)*($F$11-$E$11)),$G$11-SQRT((1-U117)*($G$11-$E$11)*($G$11-$F$11))))</f>
        <v>0.126710945455166</v>
      </c>
      <c r="H117" s="39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-2118318693.97169</v>
      </c>
      <c r="I117" s="39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-8968772.51865296</v>
      </c>
      <c r="J117" s="39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272864526.997896</v>
      </c>
      <c r="K117" s="39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607655793.863738</v>
      </c>
      <c r="L117" s="39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733946166.698597</v>
      </c>
      <c r="M117" s="39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911848834.843314</v>
      </c>
      <c r="N117" s="39" t="n">
        <f aca="false">IF(COUNT('Business Case'!B11:G11)=0,"",H117+NPV(G117,I117:M117))</f>
        <v>-528898472.864064</v>
      </c>
      <c r="P117" s="40" t="n">
        <f aca="true">RAND()</f>
        <v>0.486878806655411</v>
      </c>
      <c r="Q117" s="40" t="n">
        <f aca="true">RAND()</f>
        <v>0.462023962526139</v>
      </c>
      <c r="R117" s="40" t="n">
        <f aca="true">RAND()</f>
        <v>0.295304766809989</v>
      </c>
      <c r="S117" s="40" t="n">
        <f aca="true">RAND()</f>
        <v>0.13915463627376</v>
      </c>
      <c r="T117" s="40" t="n">
        <f aca="true">RAND()</f>
        <v>0.514397935428417</v>
      </c>
      <c r="U117" s="40" t="n">
        <f aca="true">RAND()</f>
        <v>0.992788080134073</v>
      </c>
    </row>
    <row r="118" customFormat="false" ht="15" hidden="false" customHeight="false" outlineLevel="0" collapsed="false">
      <c r="A118" s="36" t="n">
        <v>38</v>
      </c>
      <c r="B118" s="37" t="n">
        <f aca="false">1+IF($G$6=$E$6,$F$6,IF(P118&lt;($F$6-$E$6)/($G$6-$E$6),$E$6+SQRT(P118*($G$6-$E$6)*($F$6-$E$6)),$G$6-SQRT((1-P118)*($G$6-$E$6)*($G$6-$F$6))))</f>
        <v>1.00472545729284</v>
      </c>
      <c r="C118" s="37" t="n">
        <f aca="false">1+IF($G$7=$E$7,$F$7,IF(Q118&lt;($F$7-$E$7)/($G$7-$E$7),$E$7+SQRT(Q118*($G$7-$E$7)*($F$7-$E$7)),$G$7-SQRT((1-Q118)*($G$7-$E$7)*($G$7-$F$7))))</f>
        <v>0.981151755968695</v>
      </c>
      <c r="D118" s="37" t="n">
        <f aca="false">1+IF($G$8=$E$8,$F$8,IF(R118&lt;($F$8-$E$8)/($G$8-$E$8),$E$8+SQRT(R118*($G$8-$E$8)*($F$8-$E$8)),$G$8-SQRT((1-R118)*($G$8-$E$8)*($G$8-$F$8))))</f>
        <v>1.0340505911365</v>
      </c>
      <c r="E118" s="37" t="n">
        <f aca="false">1+IF($G$9=$E$9,$F$9,IF(S118&lt;($F$9-$E$9)/($G$9-$E$9),$E$9+SQRT(S118*($G$9-$E$9)*($F$9-$E$9)),$G$9-SQRT((1-S118)*($G$9-$E$9)*($G$9-$F$9))))</f>
        <v>0.964717732176355</v>
      </c>
      <c r="F118" s="37" t="n">
        <f aca="false">1+IF($G$10=$E$10,$F$10,IF(T118&lt;($F$10-$E$10)/($G$10-$E$10),$E$10+SQRT(T118*($G$10-$E$10)*($F$10-$E$10)),$G$10-SQRT((1-T118)*($G$10-$E$10)*($G$10-$F$10))))</f>
        <v>1.01268226635567</v>
      </c>
      <c r="G118" s="38" t="n">
        <f aca="false">IF($G$11=$E$11,$F$11,IF(U118&lt;($F$11-$E$11)/($G$11-$E$11),$E$11+SQRT(U118*($G$11-$E$11)*($F$11-$E$11)),$G$11-SQRT((1-U118)*($G$11-$E$11)*($G$11-$F$11))))</f>
        <v>0.0988464993463032</v>
      </c>
      <c r="H118" s="39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-2025364532.71133</v>
      </c>
      <c r="I118" s="39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-1496715.21211651</v>
      </c>
      <c r="J118" s="39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286560915.251186</v>
      </c>
      <c r="K118" s="39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625252659.032271</v>
      </c>
      <c r="L118" s="39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755340707.536288</v>
      </c>
      <c r="M118" s="39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942719318.458994</v>
      </c>
      <c r="N118" s="39" t="n">
        <f aca="false">IF(COUNT('Business Case'!B11:G11)=0,"",H118+NPV(G118,I118:M118))</f>
        <v>-211648545.536928</v>
      </c>
      <c r="P118" s="40" t="n">
        <f aca="true">RAND()</f>
        <v>0.726695437687673</v>
      </c>
      <c r="Q118" s="40" t="n">
        <f aca="true">RAND()</f>
        <v>0.58552822136504</v>
      </c>
      <c r="R118" s="40" t="n">
        <f aca="true">RAND()</f>
        <v>0.710045031370367</v>
      </c>
      <c r="S118" s="40" t="n">
        <f aca="true">RAND()</f>
        <v>0.167535394322018</v>
      </c>
      <c r="T118" s="40" t="n">
        <f aca="true">RAND()</f>
        <v>0.249070577305566</v>
      </c>
      <c r="U118" s="40" t="n">
        <f aca="true">RAND()</f>
        <v>0.355190537610205</v>
      </c>
    </row>
    <row r="119" customFormat="false" ht="15" hidden="false" customHeight="false" outlineLevel="0" collapsed="false">
      <c r="A119" s="36" t="n">
        <v>39</v>
      </c>
      <c r="B119" s="37" t="n">
        <f aca="false">1+IF($G$6=$E$6,$F$6,IF(P119&lt;($F$6-$E$6)/($G$6-$E$6),$E$6+SQRT(P119*($G$6-$E$6)*($F$6-$E$6)),$G$6-SQRT((1-P119)*($G$6-$E$6)*($G$6-$F$6))))</f>
        <v>0.972112456197777</v>
      </c>
      <c r="C119" s="37" t="n">
        <f aca="false">1+IF($G$7=$E$7,$F$7,IF(Q119&lt;($F$7-$E$7)/($G$7-$E$7),$E$7+SQRT(Q119*($G$7-$E$7)*($F$7-$E$7)),$G$7-SQRT((1-Q119)*($G$7-$E$7)*($G$7-$F$7))))</f>
        <v>0.985299289571328</v>
      </c>
      <c r="D119" s="37" t="n">
        <f aca="false">1+IF($G$8=$E$8,$F$8,IF(R119&lt;($F$8-$E$8)/($G$8-$E$8),$E$8+SQRT(R119*($G$8-$E$8)*($F$8-$E$8)),$G$8-SQRT((1-R119)*($G$8-$E$8)*($G$8-$F$8))))</f>
        <v>1.03182553895051</v>
      </c>
      <c r="E119" s="37" t="n">
        <f aca="false">1+IF($G$9=$E$9,$F$9,IF(S119&lt;($F$9-$E$9)/($G$9-$E$9),$E$9+SQRT(S119*($G$9-$E$9)*($F$9-$E$9)),$G$9-SQRT((1-S119)*($G$9-$E$9)*($G$9-$F$9))))</f>
        <v>1.02129952531744</v>
      </c>
      <c r="F119" s="37" t="n">
        <f aca="false">1+IF($G$10=$E$10,$F$10,IF(T119&lt;($F$10-$E$10)/($G$10-$E$10),$E$10+SQRT(T119*($G$10-$E$10)*($F$10-$E$10)),$G$10-SQRT((1-T119)*($G$10-$E$10)*($G$10-$F$10))))</f>
        <v>1.1011091259408</v>
      </c>
      <c r="G119" s="38" t="n">
        <f aca="false">IF($G$11=$E$11,$F$11,IF(U119&lt;($F$11-$E$11)/($G$11-$E$11),$E$11+SQRT(U119*($G$11-$E$11)*($F$11-$E$11)),$G$11-SQRT((1-U119)*($G$11-$E$11)*($G$11-$F$11))))</f>
        <v>0.104186530691064</v>
      </c>
      <c r="H119" s="39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-2202218251.88159</v>
      </c>
      <c r="I119" s="39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-40915273.3214963</v>
      </c>
      <c r="J119" s="39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223162636.025936</v>
      </c>
      <c r="K119" s="39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542296001.670409</v>
      </c>
      <c r="L119" s="39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663424289.836026</v>
      </c>
      <c r="M119" s="39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845487040.943295</v>
      </c>
      <c r="N119" s="39" t="n">
        <f aca="false">IF(COUNT('Business Case'!B11:G11)=0,"",H119+NPV(G119,I119:M119))</f>
        <v>-692020385.406404</v>
      </c>
      <c r="P119" s="40" t="n">
        <f aca="true">RAND()</f>
        <v>0.346680422591753</v>
      </c>
      <c r="Q119" s="40" t="n">
        <f aca="true">RAND()</f>
        <v>0.602930997258553</v>
      </c>
      <c r="R119" s="40" t="n">
        <f aca="true">RAND()</f>
        <v>0.690149524040763</v>
      </c>
      <c r="S119" s="40" t="n">
        <f aca="true">RAND()</f>
        <v>0.558298341772888</v>
      </c>
      <c r="T119" s="40" t="n">
        <f aca="true">RAND()</f>
        <v>0.704420101625148</v>
      </c>
      <c r="U119" s="40" t="n">
        <f aca="true">RAND()</f>
        <v>0.555776534824413</v>
      </c>
    </row>
    <row r="120" customFormat="false" ht="15" hidden="false" customHeight="false" outlineLevel="0" collapsed="false">
      <c r="A120" s="36" t="n">
        <v>40</v>
      </c>
      <c r="B120" s="37" t="n">
        <f aca="false">1+IF($G$6=$E$6,$F$6,IF(P120&lt;($F$6-$E$6)/($G$6-$E$6),$E$6+SQRT(P120*($G$6-$E$6)*($F$6-$E$6)),$G$6-SQRT((1-P120)*($G$6-$E$6)*($G$6-$F$6))))</f>
        <v>0.969946260189549</v>
      </c>
      <c r="C120" s="37" t="n">
        <f aca="false">1+IF($G$7=$E$7,$F$7,IF(Q120&lt;($F$7-$E$7)/($G$7-$E$7),$E$7+SQRT(Q120*($G$7-$E$7)*($F$7-$E$7)),$G$7-SQRT((1-Q120)*($G$7-$E$7)*($G$7-$F$7))))</f>
        <v>0.998088401404528</v>
      </c>
      <c r="D120" s="37" t="n">
        <f aca="false">1+IF($G$8=$E$8,$F$8,IF(R120&lt;($F$8-$E$8)/($G$8-$E$8),$E$8+SQRT(R120*($G$8-$E$8)*($F$8-$E$8)),$G$8-SQRT((1-R120)*($G$8-$E$8)*($G$8-$F$8))))</f>
        <v>0.99539063621636</v>
      </c>
      <c r="E120" s="37" t="n">
        <f aca="false">1+IF($G$9=$E$9,$F$9,IF(S120&lt;($F$9-$E$9)/($G$9-$E$9),$E$9+SQRT(S120*($G$9-$E$9)*($F$9-$E$9)),$G$9-SQRT((1-S120)*($G$9-$E$9)*($G$9-$F$9))))</f>
        <v>0.998631210963436</v>
      </c>
      <c r="F120" s="37" t="n">
        <f aca="false">1+IF($G$10=$E$10,$F$10,IF(T120&lt;($F$10-$E$10)/($G$10-$E$10),$E$10+SQRT(T120*($G$10-$E$10)*($F$10-$E$10)),$G$10-SQRT((1-T120)*($G$10-$E$10)*($G$10-$F$10))))</f>
        <v>1.04888968809358</v>
      </c>
      <c r="G120" s="38" t="n">
        <f aca="false">IF($G$11=$E$11,$F$11,IF(U120&lt;($F$11-$E$11)/($G$11-$E$11),$E$11+SQRT(U120*($G$11-$E$11)*($F$11-$E$11)),$G$11-SQRT((1-U120)*($G$11-$E$11)*($G$11-$F$11))))</f>
        <v>0.116665430795353</v>
      </c>
      <c r="H120" s="39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-2097779376.18716</v>
      </c>
      <c r="I120" s="39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-12729379.1145608</v>
      </c>
      <c r="J120" s="39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271621463.879878</v>
      </c>
      <c r="K120" s="39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608416791.278996</v>
      </c>
      <c r="L120" s="39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736657669.010903</v>
      </c>
      <c r="M120" s="39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920672617.713255</v>
      </c>
      <c r="N120" s="39" t="n">
        <f aca="false">IF(COUNT('Business Case'!B11:G11)=0,"",H120+NPV(G120,I120:M120))</f>
        <v>-450360846.271646</v>
      </c>
      <c r="P120" s="40" t="n">
        <f aca="true">RAND()</f>
        <v>0.326165287633609</v>
      </c>
      <c r="Q120" s="40" t="n">
        <f aca="true">RAND()</f>
        <v>0.658197741125236</v>
      </c>
      <c r="R120" s="40" t="n">
        <f aca="true">RAND()</f>
        <v>0.274707980816793</v>
      </c>
      <c r="S120" s="40" t="n">
        <f aca="true">RAND()</f>
        <v>0.389124631044552</v>
      </c>
      <c r="T120" s="40" t="n">
        <f aca="true">RAND()</f>
        <v>0.460728565932037</v>
      </c>
      <c r="U120" s="40" t="n">
        <f aca="true">RAND()</f>
        <v>0.881459509417646</v>
      </c>
    </row>
    <row r="121" customFormat="false" ht="15" hidden="false" customHeight="false" outlineLevel="0" collapsed="false">
      <c r="A121" s="36" t="n">
        <v>41</v>
      </c>
      <c r="B121" s="37" t="n">
        <f aca="false">1+IF($G$6=$E$6,$F$6,IF(P121&lt;($F$6-$E$6)/($G$6-$E$6),$E$6+SQRT(P121*($G$6-$E$6)*($F$6-$E$6)),$G$6-SQRT((1-P121)*($G$6-$E$6)*($G$6-$F$6))))</f>
        <v>0.986055670432861</v>
      </c>
      <c r="C121" s="37" t="n">
        <f aca="false">1+IF($G$7=$E$7,$F$7,IF(Q121&lt;($F$7-$E$7)/($G$7-$E$7),$E$7+SQRT(Q121*($G$7-$E$7)*($F$7-$E$7)),$G$7-SQRT((1-Q121)*($G$7-$E$7)*($G$7-$F$7))))</f>
        <v>1.01053631809701</v>
      </c>
      <c r="D121" s="37" t="n">
        <f aca="false">1+IF($G$8=$E$8,$F$8,IF(R121&lt;($F$8-$E$8)/($G$8-$E$8),$E$8+SQRT(R121*($G$8-$E$8)*($F$8-$E$8)),$G$8-SQRT((1-R121)*($G$8-$E$8)*($G$8-$F$8))))</f>
        <v>0.979046699235937</v>
      </c>
      <c r="E121" s="37" t="n">
        <f aca="false">1+IF($G$9=$E$9,$F$9,IF(S121&lt;($F$9-$E$9)/($G$9-$E$9),$E$9+SQRT(S121*($G$9-$E$9)*($F$9-$E$9)),$G$9-SQRT((1-S121)*($G$9-$E$9)*($G$9-$F$9))))</f>
        <v>0.948644063375848</v>
      </c>
      <c r="F121" s="37" t="n">
        <f aca="false">1+IF($G$10=$E$10,$F$10,IF(T121&lt;($F$10-$E$10)/($G$10-$E$10),$E$10+SQRT(T121*($G$10-$E$10)*($F$10-$E$10)),$G$10-SQRT((1-T121)*($G$10-$E$10)*($G$10-$F$10))))</f>
        <v>1.02204252566505</v>
      </c>
      <c r="G121" s="38" t="n">
        <f aca="false">IF($G$11=$E$11,$F$11,IF(U121&lt;($F$11-$E$11)/($G$11-$E$11),$E$11+SQRT(U121*($G$11-$E$11)*($F$11-$E$11)),$G$11-SQRT((1-U121)*($G$11-$E$11)*($G$11-$F$11))))</f>
        <v>0.096098817444695</v>
      </c>
      <c r="H121" s="39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-2044085051.33009</v>
      </c>
      <c r="I121" s="39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20928781.6621669</v>
      </c>
      <c r="J121" s="39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330614713.957393</v>
      </c>
      <c r="K121" s="39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691402772.535871</v>
      </c>
      <c r="L121" s="39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829068558.137285</v>
      </c>
      <c r="M121" s="39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1018472836.40382</v>
      </c>
      <c r="N121" s="39" t="n">
        <f aca="false">IF(COUNT('Business Case'!B11:G11)=0,"",H121+NPV(G121,I121:M121))</f>
        <v>-6684412.0148778</v>
      </c>
      <c r="P121" s="40" t="n">
        <f aca="true">RAND()</f>
        <v>0.493705227576606</v>
      </c>
      <c r="Q121" s="40" t="n">
        <f aca="true">RAND()</f>
        <v>0.711850095260163</v>
      </c>
      <c r="R121" s="40" t="n">
        <f aca="true">RAND()</f>
        <v>0.112494764867062</v>
      </c>
      <c r="S121" s="40" t="n">
        <f aca="true">RAND()</f>
        <v>0.094649796068542</v>
      </c>
      <c r="T121" s="40" t="n">
        <f aca="true">RAND()</f>
        <v>0.307138531931054</v>
      </c>
      <c r="U121" s="40" t="n">
        <f aca="true">RAND()</f>
        <v>0.259171923117616</v>
      </c>
    </row>
    <row r="122" customFormat="false" ht="15" hidden="false" customHeight="false" outlineLevel="0" collapsed="false">
      <c r="A122" s="36" t="n">
        <v>42</v>
      </c>
      <c r="B122" s="37" t="n">
        <f aca="false">1+IF($G$6=$E$6,$F$6,IF(P122&lt;($F$6-$E$6)/($G$6-$E$6),$E$6+SQRT(P122*($G$6-$E$6)*($F$6-$E$6)),$G$6-SQRT((1-P122)*($G$6-$E$6)*($G$6-$F$6))))</f>
        <v>0.988479931138942</v>
      </c>
      <c r="C122" s="37" t="n">
        <f aca="false">1+IF($G$7=$E$7,$F$7,IF(Q122&lt;($F$7-$E$7)/($G$7-$E$7),$E$7+SQRT(Q122*($G$7-$E$7)*($F$7-$E$7)),$G$7-SQRT((1-Q122)*($G$7-$E$7)*($G$7-$F$7))))</f>
        <v>0.87425058178143</v>
      </c>
      <c r="D122" s="37" t="n">
        <f aca="false">1+IF($G$8=$E$8,$F$8,IF(R122&lt;($F$8-$E$8)/($G$8-$E$8),$E$8+SQRT(R122*($G$8-$E$8)*($F$8-$E$8)),$G$8-SQRT((1-R122)*($G$8-$E$8)*($G$8-$F$8))))</f>
        <v>1.03034365427368</v>
      </c>
      <c r="E122" s="37" t="n">
        <f aca="false">1+IF($G$9=$E$9,$F$9,IF(S122&lt;($F$9-$E$9)/($G$9-$E$9),$E$9+SQRT(S122*($G$9-$E$9)*($F$9-$E$9)),$G$9-SQRT((1-S122)*($G$9-$E$9)*($G$9-$F$9))))</f>
        <v>1.01213774892954</v>
      </c>
      <c r="F122" s="37" t="n">
        <f aca="false">1+IF($G$10=$E$10,$F$10,IF(T122&lt;($F$10-$E$10)/($G$10-$E$10),$E$10+SQRT(T122*($G$10-$E$10)*($F$10-$E$10)),$G$10-SQRT((1-T122)*($G$10-$E$10)*($G$10-$F$10))))</f>
        <v>1.15484152011105</v>
      </c>
      <c r="G122" s="38" t="n">
        <f aca="false">IF($G$11=$E$11,$F$11,IF(U122&lt;($F$11-$E$11)/($G$11-$E$11),$E$11+SQRT(U122*($G$11-$E$11)*($F$11-$E$11)),$G$11-SQRT((1-U122)*($G$11-$E$11)*($G$11-$F$11))))</f>
        <v>0.0994723987497219</v>
      </c>
      <c r="H122" s="39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-2309683040.22209</v>
      </c>
      <c r="I122" s="39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-57510788.3327732</v>
      </c>
      <c r="J122" s="39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189187610.632187</v>
      </c>
      <c r="K122" s="39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493628085.6027</v>
      </c>
      <c r="L122" s="39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605726916.850253</v>
      </c>
      <c r="M122" s="39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769990090.609366</v>
      </c>
      <c r="N122" s="39" t="n">
        <f aca="false">IF(COUNT('Business Case'!B11:G11)=0,"",H122+NPV(G122,I122:M122))</f>
        <v>-940317096.150662</v>
      </c>
      <c r="P122" s="40" t="n">
        <f aca="true">RAND()</f>
        <v>0.52191321429013</v>
      </c>
      <c r="Q122" s="40" t="n">
        <f aca="true">RAND()</f>
        <v>0.224913075934568</v>
      </c>
      <c r="R122" s="40" t="n">
        <f aca="true">RAND()</f>
        <v>0.6765329000037</v>
      </c>
      <c r="S122" s="40" t="n">
        <f aca="true">RAND()</f>
        <v>0.493173326127604</v>
      </c>
      <c r="T122" s="40" t="n">
        <f aca="true">RAND()</f>
        <v>0.879264849402978</v>
      </c>
      <c r="U122" s="40" t="n">
        <f aca="true">RAND()</f>
        <v>0.37917431306817</v>
      </c>
    </row>
    <row r="123" customFormat="false" ht="15" hidden="false" customHeight="false" outlineLevel="0" collapsed="false">
      <c r="A123" s="36" t="n">
        <v>43</v>
      </c>
      <c r="B123" s="37" t="n">
        <f aca="false">1+IF($G$6=$E$6,$F$6,IF(P123&lt;($F$6-$E$6)/($G$6-$E$6),$E$6+SQRT(P123*($G$6-$E$6)*($F$6-$E$6)),$G$6-SQRT((1-P123)*($G$6-$E$6)*($G$6-$F$6))))</f>
        <v>0.970241429757781</v>
      </c>
      <c r="C123" s="37" t="n">
        <f aca="false">1+IF($G$7=$E$7,$F$7,IF(Q123&lt;($F$7-$E$7)/($G$7-$E$7),$E$7+SQRT(Q123*($G$7-$E$7)*($F$7-$E$7)),$G$7-SQRT((1-Q123)*($G$7-$E$7)*($G$7-$F$7))))</f>
        <v>0.880301188679504</v>
      </c>
      <c r="D123" s="37" t="n">
        <f aca="false">1+IF($G$8=$E$8,$F$8,IF(R123&lt;($F$8-$E$8)/($G$8-$E$8),$E$8+SQRT(R123*($G$8-$E$8)*($F$8-$E$8)),$G$8-SQRT((1-R123)*($G$8-$E$8)*($G$8-$F$8))))</f>
        <v>0.99246983908728</v>
      </c>
      <c r="E123" s="37" t="n">
        <f aca="false">1+IF($G$9=$E$9,$F$9,IF(S123&lt;($F$9-$E$9)/($G$9-$E$9),$E$9+SQRT(S123*($G$9-$E$9)*($F$9-$E$9)),$G$9-SQRT((1-S123)*($G$9-$E$9)*($G$9-$F$9))))</f>
        <v>0.962161329397567</v>
      </c>
      <c r="F123" s="37" t="n">
        <f aca="false">1+IF($G$10=$E$10,$F$10,IF(T123&lt;($F$10-$E$10)/($G$10-$E$10),$E$10+SQRT(T123*($G$10-$E$10)*($F$10-$E$10)),$G$10-SQRT((1-T123)*($G$10-$E$10)*($G$10-$F$10))))</f>
        <v>1.1246955783485</v>
      </c>
      <c r="G123" s="38" t="n">
        <f aca="false">IF($G$11=$E$11,$F$11,IF(U123&lt;($F$11-$E$11)/($G$11-$E$11),$E$11+SQRT(U123*($G$11-$E$11)*($F$11-$E$11)),$G$11-SQRT((1-U123)*($G$11-$E$11)*($G$11-$F$11))))</f>
        <v>0.117325594763681</v>
      </c>
      <c r="H123" s="39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-2249391156.69699</v>
      </c>
      <c r="I123" s="39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-41242818.3175782</v>
      </c>
      <c r="J123" s="39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211080049.054537</v>
      </c>
      <c r="K123" s="39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519637695.344077</v>
      </c>
      <c r="L123" s="39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633263175.677789</v>
      </c>
      <c r="M123" s="39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795611393.997659</v>
      </c>
      <c r="N123" s="39" t="n">
        <f aca="false">IF(COUNT('Business Case'!B11:G11)=0,"",H123+NPV(G123,I123:M123))</f>
        <v>-881497529.667268</v>
      </c>
      <c r="P123" s="40" t="n">
        <f aca="true">RAND()</f>
        <v>0.328923896961148</v>
      </c>
      <c r="Q123" s="40" t="n">
        <f aca="true">RAND()</f>
        <v>0.240803841772162</v>
      </c>
      <c r="R123" s="40" t="n">
        <f aca="true">RAND()</f>
        <v>0.240491630946589</v>
      </c>
      <c r="S123" s="40" t="n">
        <f aca="true">RAND()</f>
        <v>0.154561234898913</v>
      </c>
      <c r="T123" s="40" t="n">
        <f aca="true">RAND()</f>
        <v>0.790650692194427</v>
      </c>
      <c r="U123" s="40" t="n">
        <f aca="true">RAND()</f>
        <v>0.892906301270378</v>
      </c>
    </row>
    <row r="124" customFormat="false" ht="15" hidden="false" customHeight="false" outlineLevel="0" collapsed="false">
      <c r="A124" s="36" t="n">
        <v>44</v>
      </c>
      <c r="B124" s="37" t="n">
        <f aca="false">1+IF($G$6=$E$6,$F$6,IF(P124&lt;($F$6-$E$6)/($G$6-$E$6),$E$6+SQRT(P124*($G$6-$E$6)*($F$6-$E$6)),$G$6-SQRT((1-P124)*($G$6-$E$6)*($G$6-$F$6))))</f>
        <v>1.00328237956074</v>
      </c>
      <c r="C124" s="37" t="n">
        <f aca="false">1+IF($G$7=$E$7,$F$7,IF(Q124&lt;($F$7-$E$7)/($G$7-$E$7),$E$7+SQRT(Q124*($G$7-$E$7)*($F$7-$E$7)),$G$7-SQRT((1-Q124)*($G$7-$E$7)*($G$7-$F$7))))</f>
        <v>0.935142175748621</v>
      </c>
      <c r="D124" s="37" t="n">
        <f aca="false">1+IF($G$8=$E$8,$F$8,IF(R124&lt;($F$8-$E$8)/($G$8-$E$8),$E$8+SQRT(R124*($G$8-$E$8)*($F$8-$E$8)),$G$8-SQRT((1-R124)*($G$8-$E$8)*($G$8-$F$8))))</f>
        <v>1.01291929424125</v>
      </c>
      <c r="E124" s="37" t="n">
        <f aca="false">1+IF($G$9=$E$9,$F$9,IF(S124&lt;($F$9-$E$9)/($G$9-$E$9),$E$9+SQRT(S124*($G$9-$E$9)*($F$9-$E$9)),$G$9-SQRT((1-S124)*($G$9-$E$9)*($G$9-$F$9))))</f>
        <v>1.05717991860654</v>
      </c>
      <c r="F124" s="37" t="n">
        <f aca="false">1+IF($G$10=$E$10,$F$10,IF(T124&lt;($F$10-$E$10)/($G$10-$E$10),$E$10+SQRT(T124*($G$10-$E$10)*($F$10-$E$10)),$G$10-SQRT((1-T124)*($G$10-$E$10)*($G$10-$F$10))))</f>
        <v>1.04943066946192</v>
      </c>
      <c r="G124" s="38" t="n">
        <f aca="false">IF($G$11=$E$11,$F$11,IF(U124&lt;($F$11-$E$11)/($G$11-$E$11),$E$11+SQRT(U124*($G$11-$E$11)*($F$11-$E$11)),$G$11-SQRT((1-U124)*($G$11-$E$11)*($G$11-$F$11))))</f>
        <v>0.113566252117052</v>
      </c>
      <c r="H124" s="39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-2098861338.92384</v>
      </c>
      <c r="I124" s="39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-20350718.5215364</v>
      </c>
      <c r="J124" s="39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263209507.162459</v>
      </c>
      <c r="K124" s="39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599241266.319552</v>
      </c>
      <c r="L124" s="39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726185936.769876</v>
      </c>
      <c r="M124" s="39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904521210.492672</v>
      </c>
      <c r="N124" s="39" t="n">
        <f aca="false">IF(COUNT('Business Case'!B11:G11)=0,"",H124+NPV(G124,I124:M124))</f>
        <v>-470400786.511241</v>
      </c>
      <c r="P124" s="40" t="n">
        <f aca="true">RAND()</f>
        <v>0.708995192065799</v>
      </c>
      <c r="Q124" s="40" t="n">
        <f aca="true">RAND()</f>
        <v>0.409569206042927</v>
      </c>
      <c r="R124" s="40" t="n">
        <f aca="true">RAND()</f>
        <v>0.49446337897055</v>
      </c>
      <c r="S124" s="40" t="n">
        <f aca="true">RAND()</f>
        <v>0.770251533069653</v>
      </c>
      <c r="T124" s="40" t="n">
        <f aca="true">RAND()</f>
        <v>0.463625915300088</v>
      </c>
      <c r="U124" s="40" t="n">
        <f aca="true">RAND()</f>
        <v>0.819954620346459</v>
      </c>
    </row>
    <row r="125" customFormat="false" ht="15" hidden="false" customHeight="false" outlineLevel="0" collapsed="false">
      <c r="A125" s="36" t="n">
        <v>45</v>
      </c>
      <c r="B125" s="37" t="n">
        <f aca="false">1+IF($G$6=$E$6,$F$6,IF(P125&lt;($F$6-$E$6)/($G$6-$E$6),$E$6+SQRT(P125*($G$6-$E$6)*($F$6-$E$6)),$G$6-SQRT((1-P125)*($G$6-$E$6)*($G$6-$F$6))))</f>
        <v>0.968891427374925</v>
      </c>
      <c r="C125" s="37" t="n">
        <f aca="false">1+IF($G$7=$E$7,$F$7,IF(Q125&lt;($F$7-$E$7)/($G$7-$E$7),$E$7+SQRT(Q125*($G$7-$E$7)*($F$7-$E$7)),$G$7-SQRT((1-Q125)*($G$7-$E$7)*($G$7-$F$7))))</f>
        <v>0.995316156108792</v>
      </c>
      <c r="D125" s="37" t="n">
        <f aca="false">1+IF($G$8=$E$8,$F$8,IF(R125&lt;($F$8-$E$8)/($G$8-$E$8),$E$8+SQRT(R125*($G$8-$E$8)*($F$8-$E$8)),$G$8-SQRT((1-R125)*($G$8-$E$8)*($G$8-$F$8))))</f>
        <v>1.04267746283988</v>
      </c>
      <c r="E125" s="37" t="n">
        <f aca="false">1+IF($G$9=$E$9,$F$9,IF(S125&lt;($F$9-$E$9)/($G$9-$E$9),$E$9+SQRT(S125*($G$9-$E$9)*($F$9-$E$9)),$G$9-SQRT((1-S125)*($G$9-$E$9)*($G$9-$F$9))))</f>
        <v>1.01126777184773</v>
      </c>
      <c r="F125" s="37" t="n">
        <f aca="false">1+IF($G$10=$E$10,$F$10,IF(T125&lt;($F$10-$E$10)/($G$10-$E$10),$E$10+SQRT(T125*($G$10-$E$10)*($F$10-$E$10)),$G$10-SQRT((1-T125)*($G$10-$E$10)*($G$10-$F$10))))</f>
        <v>1.00983733567464</v>
      </c>
      <c r="G125" s="38" t="n">
        <f aca="false">IF($G$11=$E$11,$F$11,IF(U125&lt;($F$11-$E$11)/($G$11-$E$11),$E$11+SQRT(U125*($G$11-$E$11)*($F$11-$E$11)),$G$11-SQRT((1-U125)*($G$11-$E$11)*($G$11-$F$11))))</f>
        <v>0.10479982015455</v>
      </c>
      <c r="H125" s="39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-2019674671.34928</v>
      </c>
      <c r="I125" s="39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-36170669.806472</v>
      </c>
      <c r="J125" s="39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222436745.72612</v>
      </c>
      <c r="K125" s="39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531536028.042445</v>
      </c>
      <c r="L125" s="39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651066549.629877</v>
      </c>
      <c r="M125" s="39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834370823.21767</v>
      </c>
      <c r="N125" s="39" t="n">
        <f aca="false">IF(COUNT('Business Case'!B11:G11)=0,"",H125+NPV(G125,I125:M125))</f>
        <v>-532075944.366013</v>
      </c>
      <c r="P125" s="40" t="n">
        <f aca="true">RAND()</f>
        <v>0.316401917716975</v>
      </c>
      <c r="Q125" s="40" t="n">
        <f aca="true">RAND()</f>
        <v>0.64601208932498</v>
      </c>
      <c r="R125" s="40" t="n">
        <f aca="true">RAND()</f>
        <v>0.780941782235121</v>
      </c>
      <c r="S125" s="40" t="n">
        <f aca="true">RAND()</f>
        <v>0.486756503250853</v>
      </c>
      <c r="T125" s="40" t="n">
        <f aca="true">RAND()</f>
        <v>0.230958595521931</v>
      </c>
      <c r="U125" s="40" t="n">
        <f aca="true">RAND()</f>
        <v>0.576633957171325</v>
      </c>
    </row>
    <row r="126" customFormat="false" ht="15" hidden="false" customHeight="false" outlineLevel="0" collapsed="false">
      <c r="A126" s="36" t="n">
        <v>46</v>
      </c>
      <c r="B126" s="37" t="n">
        <f aca="false">1+IF($G$6=$E$6,$F$6,IF(P126&lt;($F$6-$E$6)/($G$6-$E$6),$E$6+SQRT(P126*($G$6-$E$6)*($F$6-$E$6)),$G$6-SQRT((1-P126)*($G$6-$E$6)*($G$6-$F$6))))</f>
        <v>0.996709354834024</v>
      </c>
      <c r="C126" s="37" t="n">
        <f aca="false">1+IF($G$7=$E$7,$F$7,IF(Q126&lt;($F$7-$E$7)/($G$7-$E$7),$E$7+SQRT(Q126*($G$7-$E$7)*($F$7-$E$7)),$G$7-SQRT((1-Q126)*($G$7-$E$7)*($G$7-$F$7))))</f>
        <v>0.772875721588819</v>
      </c>
      <c r="D126" s="37" t="n">
        <f aca="false">1+IF($G$8=$E$8,$F$8,IF(R126&lt;($F$8-$E$8)/($G$8-$E$8),$E$8+SQRT(R126*($G$8-$E$8)*($F$8-$E$8)),$G$8-SQRT((1-R126)*($G$8-$E$8)*($G$8-$F$8))))</f>
        <v>1.00587633998686</v>
      </c>
      <c r="E126" s="37" t="n">
        <f aca="false">1+IF($G$9=$E$9,$F$9,IF(S126&lt;($F$9-$E$9)/($G$9-$E$9),$E$9+SQRT(S126*($G$9-$E$9)*($F$9-$E$9)),$G$9-SQRT((1-S126)*($G$9-$E$9)*($G$9-$F$9))))</f>
        <v>1.00763410739748</v>
      </c>
      <c r="F126" s="37" t="n">
        <f aca="false">1+IF($G$10=$E$10,$F$10,IF(T126&lt;($F$10-$E$10)/($G$10-$E$10),$E$10+SQRT(T126*($G$10-$E$10)*($F$10-$E$10)),$G$10-SQRT((1-T126)*($G$10-$E$10)*($G$10-$F$10))))</f>
        <v>1.03564479667477</v>
      </c>
      <c r="G126" s="38" t="n">
        <f aca="false">IF($G$11=$E$11,$F$11,IF(U126&lt;($F$11-$E$11)/($G$11-$E$11),$E$11+SQRT(U126*($G$11-$E$11)*($F$11-$E$11)),$G$11-SQRT((1-U126)*($G$11-$E$11)*($G$11-$F$11))))</f>
        <v>0.108378464187788</v>
      </c>
      <c r="H126" s="39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-2071289593.34955</v>
      </c>
      <c r="I126" s="39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-53801850.8645832</v>
      </c>
      <c r="J126" s="39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179180382.831586</v>
      </c>
      <c r="K126" s="39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463944856.361494</v>
      </c>
      <c r="L126" s="39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568228290.807787</v>
      </c>
      <c r="M126" s="39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714653085.152751</v>
      </c>
      <c r="N126" s="39" t="n">
        <f aca="false">IF(COUNT('Business Case'!B11:G11)=0,"",H126+NPV(G126,I126:M126))</f>
        <v>-829526400.18807</v>
      </c>
      <c r="P126" s="40" t="n">
        <f aca="true">RAND()</f>
        <v>0.623513287494208</v>
      </c>
      <c r="Q126" s="40" t="n">
        <f aca="true">RAND()</f>
        <v>0.0393397836821558</v>
      </c>
      <c r="R126" s="40" t="n">
        <f aca="true">RAND()</f>
        <v>0.409382441715393</v>
      </c>
      <c r="S126" s="40" t="n">
        <f aca="true">RAND()</f>
        <v>0.459518736626307</v>
      </c>
      <c r="T126" s="40" t="n">
        <f aca="true">RAND()</f>
        <v>0.387357957432018</v>
      </c>
      <c r="U126" s="40" t="n">
        <f aca="true">RAND()</f>
        <v>0.688339459414156</v>
      </c>
    </row>
    <row r="127" customFormat="false" ht="15" hidden="false" customHeight="false" outlineLevel="0" collapsed="false">
      <c r="A127" s="36" t="n">
        <v>47</v>
      </c>
      <c r="B127" s="37" t="n">
        <f aca="false">1+IF($G$6=$E$6,$F$6,IF(P127&lt;($F$6-$E$6)/($G$6-$E$6),$E$6+SQRT(P127*($G$6-$E$6)*($F$6-$E$6)),$G$6-SQRT((1-P127)*($G$6-$E$6)*($G$6-$F$6))))</f>
        <v>0.993337773646633</v>
      </c>
      <c r="C127" s="37" t="n">
        <f aca="false">1+IF($G$7=$E$7,$F$7,IF(Q127&lt;($F$7-$E$7)/($G$7-$E$7),$E$7+SQRT(Q127*($G$7-$E$7)*($F$7-$E$7)),$G$7-SQRT((1-Q127)*($G$7-$E$7)*($G$7-$F$7))))</f>
        <v>1.03426633759929</v>
      </c>
      <c r="D127" s="37" t="n">
        <f aca="false">1+IF($G$8=$E$8,$F$8,IF(R127&lt;($F$8-$E$8)/($G$8-$E$8),$E$8+SQRT(R127*($G$8-$E$8)*($F$8-$E$8)),$G$8-SQRT((1-R127)*($G$8-$E$8)*($G$8-$F$8))))</f>
        <v>1.01841661748713</v>
      </c>
      <c r="E127" s="37" t="n">
        <f aca="false">1+IF($G$9=$E$9,$F$9,IF(S127&lt;($F$9-$E$9)/($G$9-$E$9),$E$9+SQRT(S127*($G$9-$E$9)*($F$9-$E$9)),$G$9-SQRT((1-S127)*($G$9-$E$9)*($G$9-$F$9))))</f>
        <v>0.981571020962514</v>
      </c>
      <c r="F127" s="37" t="n">
        <f aca="false">1+IF($G$10=$E$10,$F$10,IF(T127&lt;($F$10-$E$10)/($G$10-$E$10),$E$10+SQRT(T127*($G$10-$E$10)*($F$10-$E$10)),$G$10-SQRT((1-T127)*($G$10-$E$10)*($G$10-$F$10))))</f>
        <v>1.04219797343581</v>
      </c>
      <c r="G127" s="38" t="n">
        <f aca="false">IF($G$11=$E$11,$F$11,IF(U127&lt;($F$11-$E$11)/($G$11-$E$11),$E$11+SQRT(U127*($G$11-$E$11)*($F$11-$E$11)),$G$11-SQRT((1-U127)*($G$11-$E$11)*($G$11-$F$11))))</f>
        <v>0.0952384342606268</v>
      </c>
      <c r="H127" s="39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-2084395946.87163</v>
      </c>
      <c r="I127" s="39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5223893.74823578</v>
      </c>
      <c r="J127" s="39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307506146.589263</v>
      </c>
      <c r="K127" s="39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661898298.10208</v>
      </c>
      <c r="L127" s="39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798165157.427982</v>
      </c>
      <c r="M127" s="39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993448753.511897</v>
      </c>
      <c r="N127" s="39" t="n">
        <f aca="false">IF(COUNT('Business Case'!B11:G11)=0,"",H127+NPV(G127,I127:M127))</f>
        <v>-134386872.177109</v>
      </c>
      <c r="P127" s="40" t="n">
        <f aca="true">RAND()</f>
        <v>0.580795999287338</v>
      </c>
      <c r="Q127" s="40" t="n">
        <f aca="true">RAND()</f>
        <v>0.801566213145474</v>
      </c>
      <c r="R127" s="40" t="n">
        <f aca="true">RAND()</f>
        <v>0.556276779850532</v>
      </c>
      <c r="S127" s="40" t="n">
        <f aca="true">RAND()</f>
        <v>0.266153258434678</v>
      </c>
      <c r="T127" s="40" t="n">
        <f aca="true">RAND()</f>
        <v>0.424244236744222</v>
      </c>
      <c r="U127" s="40" t="n">
        <f aca="true">RAND()</f>
        <v>0.232209878715443</v>
      </c>
    </row>
    <row r="128" customFormat="false" ht="15" hidden="false" customHeight="false" outlineLevel="0" collapsed="false">
      <c r="A128" s="36" t="n">
        <v>48</v>
      </c>
      <c r="B128" s="37" t="n">
        <f aca="false">1+IF($G$6=$E$6,$F$6,IF(P128&lt;($F$6-$E$6)/($G$6-$E$6),$E$6+SQRT(P128*($G$6-$E$6)*($F$6-$E$6)),$G$6-SQRT((1-P128)*($G$6-$E$6)*($G$6-$F$6))))</f>
        <v>0.975362075513249</v>
      </c>
      <c r="C128" s="37" t="n">
        <f aca="false">1+IF($G$7=$E$7,$F$7,IF(Q128&lt;($F$7-$E$7)/($G$7-$E$7),$E$7+SQRT(Q128*($G$7-$E$7)*($F$7-$E$7)),$G$7-SQRT((1-Q128)*($G$7-$E$7)*($G$7-$F$7))))</f>
        <v>0.975776458284081</v>
      </c>
      <c r="D128" s="37" t="n">
        <f aca="false">1+IF($G$8=$E$8,$F$8,IF(R128&lt;($F$8-$E$8)/($G$8-$E$8),$E$8+SQRT(R128*($G$8-$E$8)*($F$8-$E$8)),$G$8-SQRT((1-R128)*($G$8-$E$8)*($G$8-$F$8))))</f>
        <v>0.99517430694031</v>
      </c>
      <c r="E128" s="37" t="n">
        <f aca="false">1+IF($G$9=$E$9,$F$9,IF(S128&lt;($F$9-$E$9)/($G$9-$E$9),$E$9+SQRT(S128*($G$9-$E$9)*($F$9-$E$9)),$G$9-SQRT((1-S128)*($G$9-$E$9)*($G$9-$F$9))))</f>
        <v>1.07020321266015</v>
      </c>
      <c r="F128" s="37" t="n">
        <f aca="false">1+IF($G$10=$E$10,$F$10,IF(T128&lt;($F$10-$E$10)/($G$10-$E$10),$E$10+SQRT(T128*($G$10-$E$10)*($F$10-$E$10)),$G$10-SQRT((1-T128)*($G$10-$E$10)*($G$10-$F$10))))</f>
        <v>1.01529827331382</v>
      </c>
      <c r="G128" s="38" t="n">
        <f aca="false">IF($G$11=$E$11,$F$11,IF(U128&lt;($F$11-$E$11)/($G$11-$E$11),$E$11+SQRT(U128*($G$11-$E$11)*($F$11-$E$11)),$G$11-SQRT((1-U128)*($G$11-$E$11)*($G$11-$F$11))))</f>
        <v>0.103791937830268</v>
      </c>
      <c r="H128" s="39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-2030596546.62763</v>
      </c>
      <c r="I128" s="39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-20619863.7165139</v>
      </c>
      <c r="J128" s="39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261810957.364997</v>
      </c>
      <c r="K128" s="39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595006692.112199</v>
      </c>
      <c r="L128" s="39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722042272.890282</v>
      </c>
      <c r="M128" s="39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902948128.520306</v>
      </c>
      <c r="N128" s="39" t="n">
        <f aca="false">IF(COUNT('Business Case'!B11:G11)=0,"",H128+NPV(G128,I128:M128))</f>
        <v>-354425034.443558</v>
      </c>
      <c r="P128" s="40" t="n">
        <f aca="true">RAND()</f>
        <v>0.378629495044306</v>
      </c>
      <c r="Q128" s="40" t="n">
        <f aca="true">RAND()</f>
        <v>0.563352999583047</v>
      </c>
      <c r="R128" s="40" t="n">
        <f aca="true">RAND()</f>
        <v>0.272095734338311</v>
      </c>
      <c r="S128" s="40" t="n">
        <f aca="true">RAND()</f>
        <v>0.830199272806362</v>
      </c>
      <c r="T128" s="40" t="n">
        <f aca="true">RAND()</f>
        <v>0.265534659873655</v>
      </c>
      <c r="U128" s="40" t="n">
        <f aca="true">RAND()</f>
        <v>0.542091651538323</v>
      </c>
    </row>
    <row r="129" customFormat="false" ht="15" hidden="false" customHeight="false" outlineLevel="0" collapsed="false">
      <c r="A129" s="36" t="n">
        <v>49</v>
      </c>
      <c r="B129" s="37" t="n">
        <f aca="false">1+IF($G$6=$E$6,$F$6,IF(P129&lt;($F$6-$E$6)/($G$6-$E$6),$E$6+SQRT(P129*($G$6-$E$6)*($F$6-$E$6)),$G$6-SQRT((1-P129)*($G$6-$E$6)*($G$6-$F$6))))</f>
        <v>1.01487027999334</v>
      </c>
      <c r="C129" s="37" t="n">
        <f aca="false">1+IF($G$7=$E$7,$F$7,IF(Q129&lt;($F$7-$E$7)/($G$7-$E$7),$E$7+SQRT(Q129*($G$7-$E$7)*($F$7-$E$7)),$G$7-SQRT((1-Q129)*($G$7-$E$7)*($G$7-$F$7))))</f>
        <v>0.869813494678029</v>
      </c>
      <c r="D129" s="37" t="n">
        <f aca="false">1+IF($G$8=$E$8,$F$8,IF(R129&lt;($F$8-$E$8)/($G$8-$E$8),$E$8+SQRT(R129*($G$8-$E$8)*($F$8-$E$8)),$G$8-SQRT((1-R129)*($G$8-$E$8)*($G$8-$F$8))))</f>
        <v>1.04328393726387</v>
      </c>
      <c r="E129" s="37" t="n">
        <f aca="false">1+IF($G$9=$E$9,$F$9,IF(S129&lt;($F$9-$E$9)/($G$9-$E$9),$E$9+SQRT(S129*($G$9-$E$9)*($F$9-$E$9)),$G$9-SQRT((1-S129)*($G$9-$E$9)*($G$9-$F$9))))</f>
        <v>1.06596305253794</v>
      </c>
      <c r="F129" s="37" t="n">
        <f aca="false">1+IF($G$10=$E$10,$F$10,IF(T129&lt;($F$10-$E$10)/($G$10-$E$10),$E$10+SQRT(T129*($G$10-$E$10)*($F$10-$E$10)),$G$10-SQRT((1-T129)*($G$10-$E$10)*($G$10-$F$10))))</f>
        <v>1.2176256250063</v>
      </c>
      <c r="G129" s="38" t="n">
        <f aca="false">IF($G$11=$E$11,$F$11,IF(U129&lt;($F$11-$E$11)/($G$11-$E$11),$E$11+SQRT(U129*($G$11-$E$11)*($F$11-$E$11)),$G$11-SQRT((1-U129)*($G$11-$E$11)*($G$11-$F$11))))</f>
        <v>0.113234522555462</v>
      </c>
      <c r="H129" s="39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-2435251250.01261</v>
      </c>
      <c r="I129" s="39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-60618274.7790409</v>
      </c>
      <c r="J129" s="39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197867608.329128</v>
      </c>
      <c r="K129" s="39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517234772.687612</v>
      </c>
      <c r="L129" s="39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633904499.934124</v>
      </c>
      <c r="M129" s="39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801697214.091631</v>
      </c>
      <c r="N129" s="39" t="n">
        <f aca="false">IF(COUNT('Business Case'!B11:G11)=0,"",H129+NPV(G129,I129:M129))</f>
        <v>-1073493968.1409</v>
      </c>
      <c r="P129" s="40" t="n">
        <f aca="true">RAND()</f>
        <v>0.835453702967112</v>
      </c>
      <c r="Q129" s="40" t="n">
        <f aca="true">RAND()</f>
        <v>0.21360461462789</v>
      </c>
      <c r="R129" s="40" t="n">
        <f aca="true">RAND()</f>
        <v>0.785552548514099</v>
      </c>
      <c r="S129" s="40" t="n">
        <f aca="true">RAND()</f>
        <v>0.811674438966925</v>
      </c>
      <c r="T129" s="40" t="n">
        <f aca="true">RAND()</f>
        <v>0.986025331250233</v>
      </c>
      <c r="U129" s="40" t="n">
        <f aca="true">RAND()</f>
        <v>0.812612510704454</v>
      </c>
    </row>
    <row r="130" customFormat="false" ht="15" hidden="false" customHeight="false" outlineLevel="0" collapsed="false">
      <c r="A130" s="36" t="n">
        <v>50</v>
      </c>
      <c r="B130" s="37" t="n">
        <f aca="false">1+IF($G$6=$E$6,$F$6,IF(P130&lt;($F$6-$E$6)/($G$6-$E$6),$E$6+SQRT(P130*($G$6-$E$6)*($F$6-$E$6)),$G$6-SQRT((1-P130)*($G$6-$E$6)*($G$6-$F$6))))</f>
        <v>0.963105088971662</v>
      </c>
      <c r="C130" s="37" t="n">
        <f aca="false">1+IF($G$7=$E$7,$F$7,IF(Q130&lt;($F$7-$E$7)/($G$7-$E$7),$E$7+SQRT(Q130*($G$7-$E$7)*($F$7-$E$7)),$G$7-SQRT((1-Q130)*($G$7-$E$7)*($G$7-$F$7))))</f>
        <v>1.05811422886045</v>
      </c>
      <c r="D130" s="37" t="n">
        <f aca="false">1+IF($G$8=$E$8,$F$8,IF(R130&lt;($F$8-$E$8)/($G$8-$E$8),$E$8+SQRT(R130*($G$8-$E$8)*($F$8-$E$8)),$G$8-SQRT((1-R130)*($G$8-$E$8)*($G$8-$F$8))))</f>
        <v>0.970382158422711</v>
      </c>
      <c r="E130" s="37" t="n">
        <f aca="false">1+IF($G$9=$E$9,$F$9,IF(S130&lt;($F$9-$E$9)/($G$9-$E$9),$E$9+SQRT(S130*($G$9-$E$9)*($F$9-$E$9)),$G$9-SQRT((1-S130)*($G$9-$E$9)*($G$9-$F$9))))</f>
        <v>1.01679077306759</v>
      </c>
      <c r="F130" s="37" t="n">
        <f aca="false">1+IF($G$10=$E$10,$F$10,IF(T130&lt;($F$10-$E$10)/($G$10-$E$10),$E$10+SQRT(T130*($G$10-$E$10)*($F$10-$E$10)),$G$10-SQRT((1-T130)*($G$10-$E$10)*($G$10-$F$10))))</f>
        <v>1.0491606286152</v>
      </c>
      <c r="G130" s="38" t="n">
        <f aca="false">IF($G$11=$E$11,$F$11,IF(U130&lt;($F$11-$E$11)/($G$11-$E$11),$E$11+SQRT(U130*($G$11-$E$11)*($F$11-$E$11)),$G$11-SQRT((1-U130)*($G$11-$E$11)*($G$11-$F$11))))</f>
        <v>0.0997495537144124</v>
      </c>
      <c r="H130" s="39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-2098321257.2304</v>
      </c>
      <c r="I130" s="39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6736647.27867259</v>
      </c>
      <c r="J130" s="39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315805863.64081</v>
      </c>
      <c r="K130" s="39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677333111.433707</v>
      </c>
      <c r="L130" s="39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815575422.415576</v>
      </c>
      <c r="M130" s="39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1009281236.15193</v>
      </c>
      <c r="N130" s="39" t="n">
        <f aca="false">IF(COUNT('Business Case'!B11:G11)=0,"",H130+NPV(G130,I130:M130))</f>
        <v>-136887299.897705</v>
      </c>
      <c r="P130" s="40" t="n">
        <f aca="true">RAND()</f>
        <v>0.265483483608094</v>
      </c>
      <c r="Q130" s="40" t="n">
        <f aca="true">RAND()</f>
        <v>0.874918593512445</v>
      </c>
      <c r="R130" s="40" t="n">
        <f aca="true">RAND()</f>
        <v>0.0553909842624629</v>
      </c>
      <c r="S130" s="40" t="n">
        <f aca="true">RAND()</f>
        <v>0.526808049601823</v>
      </c>
      <c r="T130" s="40" t="n">
        <f aca="true">RAND()</f>
        <v>0.462180625356767</v>
      </c>
      <c r="U130" s="40" t="n">
        <f aca="true">RAND()</f>
        <v>0.390044871918459</v>
      </c>
    </row>
    <row r="131" customFormat="false" ht="15" hidden="false" customHeight="false" outlineLevel="0" collapsed="false">
      <c r="A131" s="36" t="n">
        <v>51</v>
      </c>
      <c r="B131" s="37" t="n">
        <f aca="false">1+IF($G$6=$E$6,$F$6,IF(P131&lt;($F$6-$E$6)/($G$6-$E$6),$E$6+SQRT(P131*($G$6-$E$6)*($F$6-$E$6)),$G$6-SQRT((1-P131)*($G$6-$E$6)*($G$6-$F$6))))</f>
        <v>1.04758681224456</v>
      </c>
      <c r="C131" s="37" t="n">
        <f aca="false">1+IF($G$7=$E$7,$F$7,IF(Q131&lt;($F$7-$E$7)/($G$7-$E$7),$E$7+SQRT(Q131*($G$7-$E$7)*($F$7-$E$7)),$G$7-SQRT((1-Q131)*($G$7-$E$7)*($G$7-$F$7))))</f>
        <v>0.791931601129565</v>
      </c>
      <c r="D131" s="37" t="n">
        <f aca="false">1+IF($G$8=$E$8,$F$8,IF(R131&lt;($F$8-$E$8)/($G$8-$E$8),$E$8+SQRT(R131*($G$8-$E$8)*($F$8-$E$8)),$G$8-SQRT((1-R131)*($G$8-$E$8)*($G$8-$F$8))))</f>
        <v>0.987003910879908</v>
      </c>
      <c r="E131" s="37" t="n">
        <f aca="false">1+IF($G$9=$E$9,$F$9,IF(S131&lt;($F$9-$E$9)/($G$9-$E$9),$E$9+SQRT(S131*($G$9-$E$9)*($F$9-$E$9)),$G$9-SQRT((1-S131)*($G$9-$E$9)*($G$9-$F$9))))</f>
        <v>0.964250651249692</v>
      </c>
      <c r="F131" s="37" t="n">
        <f aca="false">1+IF($G$10=$E$10,$F$10,IF(T131&lt;($F$10-$E$10)/($G$10-$E$10),$E$10+SQRT(T131*($G$10-$E$10)*($F$10-$E$10)),$G$10-SQRT((1-T131)*($G$10-$E$10)*($G$10-$F$10))))</f>
        <v>0.972909159540038</v>
      </c>
      <c r="G131" s="38" t="n">
        <f aca="false">IF($G$11=$E$11,$F$11,IF(U131&lt;($F$11-$E$11)/($G$11-$E$11),$E$11+SQRT(U131*($G$11-$E$11)*($F$11-$E$11)),$G$11-SQRT((1-U131)*($G$11-$E$11)*($G$11-$F$11))))</f>
        <v>0.108906297468592</v>
      </c>
      <c r="H131" s="39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-1945818319.08008</v>
      </c>
      <c r="I131" s="39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1964491.87465745</v>
      </c>
      <c r="J131" s="39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281343692.855016</v>
      </c>
      <c r="K131" s="39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609368351.812377</v>
      </c>
      <c r="L131" s="39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731166319.168491</v>
      </c>
      <c r="M131" s="39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888859937.829794</v>
      </c>
      <c r="N131" s="39" t="n">
        <f aca="false">IF(COUNT('Business Case'!B11:G11)=0,"",H131+NPV(G131,I131:M131))</f>
        <v>-254720273.713422</v>
      </c>
      <c r="P131" s="40" t="n">
        <f aca="true">RAND()</f>
        <v>0.999223536647596</v>
      </c>
      <c r="Q131" s="40" t="n">
        <f aca="true">RAND()</f>
        <v>0.0626031058240407</v>
      </c>
      <c r="R131" s="40" t="n">
        <f aca="true">RAND()</f>
        <v>0.182571922721093</v>
      </c>
      <c r="S131" s="40" t="n">
        <f aca="true">RAND()</f>
        <v>0.16512584744038</v>
      </c>
      <c r="T131" s="40" t="n">
        <f aca="true">RAND()</f>
        <v>0.0349886393887276</v>
      </c>
      <c r="U131" s="40" t="n">
        <f aca="true">RAND()</f>
        <v>0.703370475677656</v>
      </c>
    </row>
    <row r="132" customFormat="false" ht="15" hidden="false" customHeight="false" outlineLevel="0" collapsed="false">
      <c r="A132" s="36" t="n">
        <v>52</v>
      </c>
      <c r="B132" s="37" t="n">
        <f aca="false">1+IF($G$6=$E$6,$F$6,IF(P132&lt;($F$6-$E$6)/($G$6-$E$6),$E$6+SQRT(P132*($G$6-$E$6)*($F$6-$E$6)),$G$6-SQRT((1-P132)*($G$6-$E$6)*($G$6-$F$6))))</f>
        <v>0.953762726991452</v>
      </c>
      <c r="C132" s="37" t="n">
        <f aca="false">1+IF($G$7=$E$7,$F$7,IF(Q132&lt;($F$7-$E$7)/($G$7-$E$7),$E$7+SQRT(Q132*($G$7-$E$7)*($F$7-$E$7)),$G$7-SQRT((1-Q132)*($G$7-$E$7)*($G$7-$F$7))))</f>
        <v>1.06907129723594</v>
      </c>
      <c r="D132" s="37" t="n">
        <f aca="false">1+IF($G$8=$E$8,$F$8,IF(R132&lt;($F$8-$E$8)/($G$8-$E$8),$E$8+SQRT(R132*($G$8-$E$8)*($F$8-$E$8)),$G$8-SQRT((1-R132)*($G$8-$E$8)*($G$8-$F$8))))</f>
        <v>0.964508378063051</v>
      </c>
      <c r="E132" s="37" t="n">
        <f aca="false">1+IF($G$9=$E$9,$F$9,IF(S132&lt;($F$9-$E$9)/($G$9-$E$9),$E$9+SQRT(S132*($G$9-$E$9)*($F$9-$E$9)),$G$9-SQRT((1-S132)*($G$9-$E$9)*($G$9-$F$9))))</f>
        <v>0.973926323610944</v>
      </c>
      <c r="F132" s="37" t="n">
        <f aca="false">1+IF($G$10=$E$10,$F$10,IF(T132&lt;($F$10-$E$10)/($G$10-$E$10),$E$10+SQRT(T132*($G$10-$E$10)*($F$10-$E$10)),$G$10-SQRT((1-T132)*($G$10-$E$10)*($G$10-$F$10))))</f>
        <v>1.0270274153598</v>
      </c>
      <c r="G132" s="38" t="n">
        <f aca="false">IF($G$11=$E$11,$F$11,IF(U132&lt;($F$11-$E$11)/($G$11-$E$11),$E$11+SQRT(U132*($G$11-$E$11)*($F$11-$E$11)),$G$11-SQRT((1-U132)*($G$11-$E$11)*($G$11-$F$11))))</f>
        <v>0.114177804187442</v>
      </c>
      <c r="H132" s="39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-2054054830.7196</v>
      </c>
      <c r="I132" s="39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13250484.8249848</v>
      </c>
      <c r="J132" s="39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320554190.4481</v>
      </c>
      <c r="K132" s="39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679209266.839205</v>
      </c>
      <c r="L132" s="39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816882606.076692</v>
      </c>
      <c r="M132" s="39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1010695844.90716</v>
      </c>
      <c r="N132" s="39" t="n">
        <f aca="false">IF(COUNT('Business Case'!B11:G11)=0,"",H132+NPV(G132,I132:M132))</f>
        <v>-174156601.9903</v>
      </c>
      <c r="P132" s="40" t="n">
        <f aca="true">RAND()</f>
        <v>0.192695387570493</v>
      </c>
      <c r="Q132" s="40" t="n">
        <f aca="true">RAND()</f>
        <v>0.902971038058165</v>
      </c>
      <c r="R132" s="40" t="n">
        <f aca="true">RAND()</f>
        <v>0.0280657378693897</v>
      </c>
      <c r="S132" s="40" t="n">
        <f aca="true">RAND()</f>
        <v>0.218604052905199</v>
      </c>
      <c r="T132" s="40" t="n">
        <f aca="true">RAND()</f>
        <v>0.337109686651577</v>
      </c>
      <c r="U132" s="40" t="n">
        <f aca="true">RAND()</f>
        <v>0.833105413112714</v>
      </c>
    </row>
    <row r="133" customFormat="false" ht="15" hidden="false" customHeight="false" outlineLevel="0" collapsed="false">
      <c r="A133" s="36" t="n">
        <v>53</v>
      </c>
      <c r="B133" s="37" t="n">
        <f aca="false">1+IF($G$6=$E$6,$F$6,IF(P133&lt;($F$6-$E$6)/($G$6-$E$6),$E$6+SQRT(P133*($G$6-$E$6)*($F$6-$E$6)),$G$6-SQRT((1-P133)*($G$6-$E$6)*($G$6-$F$6))))</f>
        <v>1.01124463395219</v>
      </c>
      <c r="C133" s="37" t="n">
        <f aca="false">1+IF($G$7=$E$7,$F$7,IF(Q133&lt;($F$7-$E$7)/($G$7-$E$7),$E$7+SQRT(Q133*($G$7-$E$7)*($F$7-$E$7)),$G$7-SQRT((1-Q133)*($G$7-$E$7)*($G$7-$F$7))))</f>
        <v>1.02151833565649</v>
      </c>
      <c r="D133" s="37" t="n">
        <f aca="false">1+IF($G$8=$E$8,$F$8,IF(R133&lt;($F$8-$E$8)/($G$8-$E$8),$E$8+SQRT(R133*($G$8-$E$8)*($F$8-$E$8)),$G$8-SQRT((1-R133)*($G$8-$E$8)*($G$8-$F$8))))</f>
        <v>1.01685922730686</v>
      </c>
      <c r="E133" s="37" t="n">
        <f aca="false">1+IF($G$9=$E$9,$F$9,IF(S133&lt;($F$9-$E$9)/($G$9-$E$9),$E$9+SQRT(S133*($G$9-$E$9)*($F$9-$E$9)),$G$9-SQRT((1-S133)*($G$9-$E$9)*($G$9-$F$9))))</f>
        <v>0.985683272681904</v>
      </c>
      <c r="F133" s="37" t="n">
        <f aca="false">1+IF($G$10=$E$10,$F$10,IF(T133&lt;($F$10-$E$10)/($G$10-$E$10),$E$10+SQRT(T133*($G$10-$E$10)*($F$10-$E$10)),$G$10-SQRT((1-T133)*($G$10-$E$10)*($G$10-$F$10))))</f>
        <v>1.05579979160487</v>
      </c>
      <c r="G133" s="38" t="n">
        <f aca="false">IF($G$11=$E$11,$F$11,IF(U133&lt;($F$11-$E$11)/($G$11-$E$11),$E$11+SQRT(U133*($G$11-$E$11)*($F$11-$E$11)),$G$11-SQRT((1-U133)*($G$11-$E$11)*($G$11-$F$11))))</f>
        <v>0.108115121698813</v>
      </c>
      <c r="H133" s="39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-2111599583.20974</v>
      </c>
      <c r="I133" s="39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15058344.4177482</v>
      </c>
      <c r="J133" s="39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329411805.223336</v>
      </c>
      <c r="K133" s="39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696555255.609168</v>
      </c>
      <c r="L133" s="39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837040393.112355</v>
      </c>
      <c r="M133" s="39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1033393971.2363</v>
      </c>
      <c r="N133" s="39" t="n">
        <f aca="false">IF(COUNT('Business Case'!B11:G11)=0,"",H133+NPV(G133,I133:M133))</f>
        <v>-144175317.935594</v>
      </c>
      <c r="P133" s="40" t="n">
        <f aca="true">RAND()</f>
        <v>0.799736213666696</v>
      </c>
      <c r="Q133" s="40" t="n">
        <f aca="true">RAND()</f>
        <v>0.75544388040772</v>
      </c>
      <c r="R133" s="40" t="n">
        <f aca="true">RAND()</f>
        <v>0.539174127732489</v>
      </c>
      <c r="S133" s="40" t="n">
        <f aca="true">RAND()</f>
        <v>0.293664928699259</v>
      </c>
      <c r="T133" s="40" t="n">
        <f aca="true">RAND()</f>
        <v>0.49715038745718</v>
      </c>
      <c r="U133" s="40" t="n">
        <f aca="true">RAND()</f>
        <v>0.680701401161504</v>
      </c>
    </row>
    <row r="134" customFormat="false" ht="15" hidden="false" customHeight="false" outlineLevel="0" collapsed="false">
      <c r="A134" s="36" t="n">
        <v>54</v>
      </c>
      <c r="B134" s="37" t="n">
        <f aca="false">1+IF($G$6=$E$6,$F$6,IF(P134&lt;($F$6-$E$6)/($G$6-$E$6),$E$6+SQRT(P134*($G$6-$E$6)*($F$6-$E$6)),$G$6-SQRT((1-P134)*($G$6-$E$6)*($G$6-$F$6))))</f>
        <v>0.940127552034963</v>
      </c>
      <c r="C134" s="37" t="n">
        <f aca="false">1+IF($G$7=$E$7,$F$7,IF(Q134&lt;($F$7-$E$7)/($G$7-$E$7),$E$7+SQRT(Q134*($G$7-$E$7)*($F$7-$E$7)),$G$7-SQRT((1-Q134)*($G$7-$E$7)*($G$7-$F$7))))</f>
        <v>0.990640791989147</v>
      </c>
      <c r="D134" s="37" t="n">
        <f aca="false">1+IF($G$8=$E$8,$F$8,IF(R134&lt;($F$8-$E$8)/($G$8-$E$8),$E$8+SQRT(R134*($G$8-$E$8)*($F$8-$E$8)),$G$8-SQRT((1-R134)*($G$8-$E$8)*($G$8-$F$8))))</f>
        <v>0.991580726674348</v>
      </c>
      <c r="E134" s="37" t="n">
        <f aca="false">1+IF($G$9=$E$9,$F$9,IF(S134&lt;($F$9-$E$9)/($G$9-$E$9),$E$9+SQRT(S134*($G$9-$E$9)*($F$9-$E$9)),$G$9-SQRT((1-S134)*($G$9-$E$9)*($G$9-$F$9))))</f>
        <v>1.11830308073726</v>
      </c>
      <c r="F134" s="37" t="n">
        <f aca="false">1+IF($G$10=$E$10,$F$10,IF(T134&lt;($F$10-$E$10)/($G$10-$E$10),$E$10+SQRT(T134*($G$10-$E$10)*($F$10-$E$10)),$G$10-SQRT((1-T134)*($G$10-$E$10)*($G$10-$F$10))))</f>
        <v>1.01539537472026</v>
      </c>
      <c r="G134" s="38" t="n">
        <f aca="false">IF($G$11=$E$11,$F$11,IF(U134&lt;($F$11-$E$11)/($G$11-$E$11),$E$11+SQRT(U134*($G$11-$E$11)*($F$11-$E$11)),$G$11-SQRT((1-U134)*($G$11-$E$11)*($G$11-$F$11))))</f>
        <v>0.0978476641475699</v>
      </c>
      <c r="H134" s="39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-2030790749.44051</v>
      </c>
      <c r="I134" s="39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-48876230.2769041</v>
      </c>
      <c r="J134" s="39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211089854.947995</v>
      </c>
      <c r="K134" s="39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521825708.908907</v>
      </c>
      <c r="L134" s="39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640667790.6165</v>
      </c>
      <c r="M134" s="39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817694750.429277</v>
      </c>
      <c r="N134" s="39" t="n">
        <f aca="false">IF(COUNT('Business Case'!B11:G11)=0,"",H134+NPV(G134,I134:M134))</f>
        <v>-552058869.764622</v>
      </c>
      <c r="P134" s="40" t="n">
        <f aca="true">RAND()</f>
        <v>0.107348028821246</v>
      </c>
      <c r="Q134" s="40" t="n">
        <f aca="true">RAND()</f>
        <v>0.625719036800581</v>
      </c>
      <c r="R134" s="40" t="n">
        <f aca="true">RAND()</f>
        <v>0.230527577435574</v>
      </c>
      <c r="S134" s="40" t="n">
        <f aca="true">RAND()</f>
        <v>0.973208141580039</v>
      </c>
      <c r="T134" s="40" t="n">
        <f aca="true">RAND()</f>
        <v>0.266142263964682</v>
      </c>
      <c r="U134" s="40" t="n">
        <f aca="true">RAND()</f>
        <v>0.31853911552445</v>
      </c>
    </row>
    <row r="135" customFormat="false" ht="15" hidden="false" customHeight="false" outlineLevel="0" collapsed="false">
      <c r="A135" s="36" t="n">
        <v>55</v>
      </c>
      <c r="B135" s="37" t="n">
        <f aca="false">1+IF($G$6=$E$6,$F$6,IF(P135&lt;($F$6-$E$6)/($G$6-$E$6),$E$6+SQRT(P135*($G$6-$E$6)*($F$6-$E$6)),$G$6-SQRT((1-P135)*($G$6-$E$6)*($G$6-$F$6))))</f>
        <v>0.976794941213796</v>
      </c>
      <c r="C135" s="37" t="n">
        <f aca="false">1+IF($G$7=$E$7,$F$7,IF(Q135&lt;($F$7-$E$7)/($G$7-$E$7),$E$7+SQRT(Q135*($G$7-$E$7)*($F$7-$E$7)),$G$7-SQRT((1-Q135)*($G$7-$E$7)*($G$7-$F$7))))</f>
        <v>0.915481080795969</v>
      </c>
      <c r="D135" s="37" t="n">
        <f aca="false">1+IF($G$8=$E$8,$F$8,IF(R135&lt;($F$8-$E$8)/($G$8-$E$8),$E$8+SQRT(R135*($G$8-$E$8)*($F$8-$E$8)),$G$8-SQRT((1-R135)*($G$8-$E$8)*($G$8-$F$8))))</f>
        <v>1.03827435832075</v>
      </c>
      <c r="E135" s="37" t="n">
        <f aca="false">1+IF($G$9=$E$9,$F$9,IF(S135&lt;($F$9-$E$9)/($G$9-$E$9),$E$9+SQRT(S135*($G$9-$E$9)*($F$9-$E$9)),$G$9-SQRT((1-S135)*($G$9-$E$9)*($G$9-$F$9))))</f>
        <v>1.02360032978404</v>
      </c>
      <c r="F135" s="37" t="n">
        <f aca="false">1+IF($G$10=$E$10,$F$10,IF(T135&lt;($F$10-$E$10)/($G$10-$E$10),$E$10+SQRT(T135*($G$10-$E$10)*($F$10-$E$10)),$G$10-SQRT((1-T135)*($G$10-$E$10)*($G$10-$F$10))))</f>
        <v>1.1960833569613</v>
      </c>
      <c r="G135" s="38" t="n">
        <f aca="false">IF($G$11=$E$11,$F$11,IF(U135&lt;($F$11-$E$11)/($G$11-$E$11),$E$11+SQRT(U135*($G$11-$E$11)*($F$11-$E$11)),$G$11-SQRT((1-U135)*($G$11-$E$11)*($G$11-$F$11))))</f>
        <v>0.0867772498793968</v>
      </c>
      <c r="H135" s="39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-2392166713.92261</v>
      </c>
      <c r="I135" s="39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-65667309.8593769</v>
      </c>
      <c r="J135" s="39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180186943.908427</v>
      </c>
      <c r="K135" s="39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485845365.524296</v>
      </c>
      <c r="L135" s="39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598701624.137403</v>
      </c>
      <c r="M135" s="39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768678247.935187</v>
      </c>
      <c r="N135" s="39" t="n">
        <f aca="false">IF(COUNT('Business Case'!B11:G11)=0,"",H135+NPV(G135,I135:M135))</f>
        <v>-985292521.78426</v>
      </c>
      <c r="P135" s="40" t="n">
        <f aca="true">RAND()</f>
        <v>0.393164199735358</v>
      </c>
      <c r="Q135" s="40" t="n">
        <f aca="true">RAND()</f>
        <v>0.343941453192584</v>
      </c>
      <c r="R135" s="40" t="n">
        <f aca="true">RAND()</f>
        <v>0.745996343952309</v>
      </c>
      <c r="S135" s="40" t="n">
        <f aca="true">RAND()</f>
        <v>0.573949956514607</v>
      </c>
      <c r="T135" s="40" t="n">
        <f aca="true">RAND()</f>
        <v>0.961239941379171</v>
      </c>
      <c r="U135" s="40" t="n">
        <f aca="true">RAND()</f>
        <v>0.045931115927784</v>
      </c>
    </row>
    <row r="136" customFormat="false" ht="15" hidden="false" customHeight="false" outlineLevel="0" collapsed="false">
      <c r="A136" s="36" t="n">
        <v>56</v>
      </c>
      <c r="B136" s="37" t="n">
        <f aca="false">1+IF($G$6=$E$6,$F$6,IF(P136&lt;($F$6-$E$6)/($G$6-$E$6),$E$6+SQRT(P136*($G$6-$E$6)*($F$6-$E$6)),$G$6-SQRT((1-P136)*($G$6-$E$6)*($G$6-$F$6))))</f>
        <v>1.00307240776077</v>
      </c>
      <c r="C136" s="37" t="n">
        <f aca="false">1+IF($G$7=$E$7,$F$7,IF(Q136&lt;($F$7-$E$7)/($G$7-$E$7),$E$7+SQRT(Q136*($G$7-$E$7)*($F$7-$E$7)),$G$7-SQRT((1-Q136)*($G$7-$E$7)*($G$7-$F$7))))</f>
        <v>0.856047662943529</v>
      </c>
      <c r="D136" s="37" t="n">
        <f aca="false">1+IF($G$8=$E$8,$F$8,IF(R136&lt;($F$8-$E$8)/($G$8-$E$8),$E$8+SQRT(R136*($G$8-$E$8)*($F$8-$E$8)),$G$8-SQRT((1-R136)*($G$8-$E$8)*($G$8-$F$8))))</f>
        <v>1.01419839777557</v>
      </c>
      <c r="E136" s="37" t="n">
        <f aca="false">1+IF($G$9=$E$9,$F$9,IF(S136&lt;($F$9-$E$9)/($G$9-$E$9),$E$9+SQRT(S136*($G$9-$E$9)*($F$9-$E$9)),$G$9-SQRT((1-S136)*($G$9-$E$9)*($G$9-$F$9))))</f>
        <v>1.00017212840895</v>
      </c>
      <c r="F136" s="37" t="n">
        <f aca="false">1+IF($G$10=$E$10,$F$10,IF(T136&lt;($F$10-$E$10)/($G$10-$E$10),$E$10+SQRT(T136*($G$10-$E$10)*($F$10-$E$10)),$G$10-SQRT((1-T136)*($G$10-$E$10)*($G$10-$F$10))))</f>
        <v>0.991203619982304</v>
      </c>
      <c r="G136" s="38" t="n">
        <f aca="false">IF($G$11=$E$11,$F$11,IF(U136&lt;($F$11-$E$11)/($G$11-$E$11),$E$11+SQRT(U136*($G$11-$E$11)*($F$11-$E$11)),$G$11-SQRT((1-U136)*($G$11-$E$11)*($G$11-$F$11))))</f>
        <v>0.108896386612898</v>
      </c>
      <c r="H136" s="39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-1982407239.96461</v>
      </c>
      <c r="I136" s="39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-26989814.0863854</v>
      </c>
      <c r="J136" s="39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231879067.140935</v>
      </c>
      <c r="K136" s="39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540308129.367369</v>
      </c>
      <c r="L136" s="39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656273660.880291</v>
      </c>
      <c r="M136" s="39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819491135.284606</v>
      </c>
      <c r="N136" s="39" t="n">
        <f aca="false">IF(COUNT('Business Case'!B11:G11)=0,"",H136+NPV(G136,I136:M136))</f>
        <v>-499139831.852342</v>
      </c>
      <c r="P136" s="40" t="n">
        <f aca="true">RAND()</f>
        <v>0.706373478217097</v>
      </c>
      <c r="Q136" s="40" t="n">
        <f aca="true">RAND()</f>
        <v>0.180376837852868</v>
      </c>
      <c r="R136" s="40" t="n">
        <f aca="true">RAND()</f>
        <v>0.509205670381398</v>
      </c>
      <c r="S136" s="40" t="n">
        <f aca="true">RAND()</f>
        <v>0.401376237186556</v>
      </c>
      <c r="T136" s="40" t="n">
        <f aca="true">RAND()</f>
        <v>0.113182553309739</v>
      </c>
      <c r="U136" s="40" t="n">
        <f aca="true">RAND()</f>
        <v>0.703091668005164</v>
      </c>
    </row>
    <row r="137" customFormat="false" ht="15" hidden="false" customHeight="false" outlineLevel="0" collapsed="false">
      <c r="A137" s="36" t="n">
        <v>57</v>
      </c>
      <c r="B137" s="37" t="n">
        <f aca="false">1+IF($G$6=$E$6,$F$6,IF(P137&lt;($F$6-$E$6)/($G$6-$E$6),$E$6+SQRT(P137*($G$6-$E$6)*($F$6-$E$6)),$G$6-SQRT((1-P137)*($G$6-$E$6)*($G$6-$F$6))))</f>
        <v>0.943154651539894</v>
      </c>
      <c r="C137" s="37" t="n">
        <f aca="false">1+IF($G$7=$E$7,$F$7,IF(Q137&lt;($F$7-$E$7)/($G$7-$E$7),$E$7+SQRT(Q137*($G$7-$E$7)*($F$7-$E$7)),$G$7-SQRT((1-Q137)*($G$7-$E$7)*($G$7-$F$7))))</f>
        <v>1.07541238353714</v>
      </c>
      <c r="D137" s="37" t="n">
        <f aca="false">1+IF($G$8=$E$8,$F$8,IF(R137&lt;($F$8-$E$8)/($G$8-$E$8),$E$8+SQRT(R137*($G$8-$E$8)*($F$8-$E$8)),$G$8-SQRT((1-R137)*($G$8-$E$8)*($G$8-$F$8))))</f>
        <v>0.985493130846898</v>
      </c>
      <c r="E137" s="37" t="n">
        <f aca="false">1+IF($G$9=$E$9,$F$9,IF(S137&lt;($F$9-$E$9)/($G$9-$E$9),$E$9+SQRT(S137*($G$9-$E$9)*($F$9-$E$9)),$G$9-SQRT((1-S137)*($G$9-$E$9)*($G$9-$F$9))))</f>
        <v>1.05503627573276</v>
      </c>
      <c r="F137" s="37" t="n">
        <f aca="false">1+IF($G$10=$E$10,$F$10,IF(T137&lt;($F$10-$E$10)/($G$10-$E$10),$E$10+SQRT(T137*($G$10-$E$10)*($F$10-$E$10)),$G$10-SQRT((1-T137)*($G$10-$E$10)*($G$10-$F$10))))</f>
        <v>1.00395135294259</v>
      </c>
      <c r="G137" s="38" t="n">
        <f aca="false">IF($G$11=$E$11,$F$11,IF(U137&lt;($F$11-$E$11)/($G$11-$E$11),$E$11+SQRT(U137*($G$11-$E$11)*($F$11-$E$11)),$G$11-SQRT((1-U137)*($G$11-$E$11)*($G$11-$F$11))))</f>
        <v>0.105036154247217</v>
      </c>
      <c r="H137" s="39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-2007902705.88517</v>
      </c>
      <c r="I137" s="39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-14771785.2269597</v>
      </c>
      <c r="J137" s="39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273458008.395387</v>
      </c>
      <c r="K137" s="39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611885369.664864</v>
      </c>
      <c r="L137" s="39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743015490.969546</v>
      </c>
      <c r="M137" s="39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935809869.837659</v>
      </c>
      <c r="N137" s="39" t="n">
        <f aca="false">IF(COUNT('Business Case'!B11:G11)=0,"",H137+NPV(G137,I137:M137))</f>
        <v>-277620861.699996</v>
      </c>
      <c r="P137" s="40" t="n">
        <f aca="true">RAND()</f>
        <v>0.124154929968642</v>
      </c>
      <c r="Q137" s="40" t="n">
        <f aca="true">RAND()</f>
        <v>0.917580555116876</v>
      </c>
      <c r="R137" s="40" t="n">
        <f aca="true">RAND()</f>
        <v>0.167968311642005</v>
      </c>
      <c r="S137" s="40" t="n">
        <f aca="true">RAND()</f>
        <v>0.759517095287899</v>
      </c>
      <c r="T137" s="40" t="n">
        <f aca="true">RAND()</f>
        <v>0.192800843749547</v>
      </c>
      <c r="U137" s="40" t="n">
        <f aca="true">RAND()</f>
        <v>0.584537603487511</v>
      </c>
    </row>
    <row r="138" customFormat="false" ht="15" hidden="false" customHeight="false" outlineLevel="0" collapsed="false">
      <c r="A138" s="36" t="n">
        <v>58</v>
      </c>
      <c r="B138" s="37" t="n">
        <f aca="false">1+IF($G$6=$E$6,$F$6,IF(P138&lt;($F$6-$E$6)/($G$6-$E$6),$E$6+SQRT(P138*($G$6-$E$6)*($F$6-$E$6)),$G$6-SQRT((1-P138)*($G$6-$E$6)*($G$6-$F$6))))</f>
        <v>0.983933258926429</v>
      </c>
      <c r="C138" s="37" t="n">
        <f aca="false">1+IF($G$7=$E$7,$F$7,IF(Q138&lt;($F$7-$E$7)/($G$7-$E$7),$E$7+SQRT(Q138*($G$7-$E$7)*($F$7-$E$7)),$G$7-SQRT((1-Q138)*($G$7-$E$7)*($G$7-$F$7))))</f>
        <v>1.08161961509797</v>
      </c>
      <c r="D138" s="37" t="n">
        <f aca="false">1+IF($G$8=$E$8,$F$8,IF(R138&lt;($F$8-$E$8)/($G$8-$E$8),$E$8+SQRT(R138*($G$8-$E$8)*($F$8-$E$8)),$G$8-SQRT((1-R138)*($G$8-$E$8)*($G$8-$F$8))))</f>
        <v>0.970412550749775</v>
      </c>
      <c r="E138" s="37" t="n">
        <f aca="false">1+IF($G$9=$E$9,$F$9,IF(S138&lt;($F$9-$E$9)/($G$9-$E$9),$E$9+SQRT(S138*($G$9-$E$9)*($F$9-$E$9)),$G$9-SQRT((1-S138)*($G$9-$E$9)*($G$9-$F$9))))</f>
        <v>1.01739859782017</v>
      </c>
      <c r="F138" s="37" t="n">
        <f aca="false">1+IF($G$10=$E$10,$F$10,IF(T138&lt;($F$10-$E$10)/($G$10-$E$10),$E$10+SQRT(T138*($G$10-$E$10)*($F$10-$E$10)),$G$10-SQRT((1-T138)*($G$10-$E$10)*($G$10-$F$10))))</f>
        <v>0.98104429811749</v>
      </c>
      <c r="G138" s="38" t="n">
        <f aca="false">IF($G$11=$E$11,$F$11,IF(U138&lt;($F$11-$E$11)/($G$11-$E$11),$E$11+SQRT(U138*($G$11-$E$11)*($F$11-$E$11)),$G$11-SQRT((1-U138)*($G$11-$E$11)*($G$11-$F$11))))</f>
        <v>0.127216105953703</v>
      </c>
      <c r="H138" s="39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-1962088596.23498</v>
      </c>
      <c r="I138" s="39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36421571.4987259</v>
      </c>
      <c r="J138" s="39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370791933.442889</v>
      </c>
      <c r="K138" s="39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754214510.292927</v>
      </c>
      <c r="L138" s="39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902451484.290089</v>
      </c>
      <c r="M138" s="39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1104742511.04351</v>
      </c>
      <c r="N138" s="39" t="n">
        <f aca="false">IF(COUNT('Business Case'!B11:G11)=0,"",H138+NPV(G138,I138:M138))</f>
        <v>54663398.3981488</v>
      </c>
      <c r="P138" s="40" t="n">
        <f aca="true">RAND()</f>
        <v>0.469652796934068</v>
      </c>
      <c r="Q138" s="40" t="n">
        <f aca="true">RAND()</f>
        <v>0.930727747565183</v>
      </c>
      <c r="R138" s="40" t="n">
        <f aca="true">RAND()</f>
        <v>0.0555562970816185</v>
      </c>
      <c r="S138" s="40" t="n">
        <f aca="true">RAND()</f>
        <v>0.531116483731822</v>
      </c>
      <c r="T138" s="40" t="n">
        <f aca="true">RAND()</f>
        <v>0.0642498963738379</v>
      </c>
      <c r="U138" s="40" t="n">
        <f aca="true">RAND()</f>
        <v>0.99483328929266</v>
      </c>
    </row>
    <row r="139" customFormat="false" ht="15" hidden="false" customHeight="false" outlineLevel="0" collapsed="false">
      <c r="A139" s="36" t="n">
        <v>59</v>
      </c>
      <c r="B139" s="37" t="n">
        <f aca="false">1+IF($G$6=$E$6,$F$6,IF(P139&lt;($F$6-$E$6)/($G$6-$E$6),$E$6+SQRT(P139*($G$6-$E$6)*($F$6-$E$6)),$G$6-SQRT((1-P139)*($G$6-$E$6)*($G$6-$F$6))))</f>
        <v>1.01494355883379</v>
      </c>
      <c r="C139" s="37" t="n">
        <f aca="false">1+IF($G$7=$E$7,$F$7,IF(Q139&lt;($F$7-$E$7)/($G$7-$E$7),$E$7+SQRT(Q139*($G$7-$E$7)*($F$7-$E$7)),$G$7-SQRT((1-Q139)*($G$7-$E$7)*($G$7-$F$7))))</f>
        <v>0.8823928818867</v>
      </c>
      <c r="D139" s="37" t="n">
        <f aca="false">1+IF($G$8=$E$8,$F$8,IF(R139&lt;($F$8-$E$8)/($G$8-$E$8),$E$8+SQRT(R139*($G$8-$E$8)*($F$8-$E$8)),$G$8-SQRT((1-R139)*($G$8-$E$8)*($G$8-$F$8))))</f>
        <v>1.06414267416231</v>
      </c>
      <c r="E139" s="37" t="n">
        <f aca="false">1+IF($G$9=$E$9,$F$9,IF(S139&lt;($F$9-$E$9)/($G$9-$E$9),$E$9+SQRT(S139*($G$9-$E$9)*($F$9-$E$9)),$G$9-SQRT((1-S139)*($G$9-$E$9)*($G$9-$F$9))))</f>
        <v>1.06873495834604</v>
      </c>
      <c r="F139" s="37" t="n">
        <f aca="false">1+IF($G$10=$E$10,$F$10,IF(T139&lt;($F$10-$E$10)/($G$10-$E$10),$E$10+SQRT(T139*($G$10-$E$10)*($F$10-$E$10)),$G$10-SQRT((1-T139)*($G$10-$E$10)*($G$10-$F$10))))</f>
        <v>1.11213633818473</v>
      </c>
      <c r="G139" s="38" t="n">
        <f aca="false">IF($G$11=$E$11,$F$11,IF(U139&lt;($F$11-$E$11)/($G$11-$E$11),$E$11+SQRT(U139*($G$11-$E$11)*($F$11-$E$11)),$G$11-SQRT((1-U139)*($G$11-$E$11)*($G$11-$F$11))))</f>
        <v>0.0892879061159859</v>
      </c>
      <c r="H139" s="39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-2224272676.36946</v>
      </c>
      <c r="I139" s="39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-56759643.373496</v>
      </c>
      <c r="J139" s="39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196095272.048043</v>
      </c>
      <c r="K139" s="39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504557004.378818</v>
      </c>
      <c r="L139" s="39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619793185.452501</v>
      </c>
      <c r="M139" s="39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790024836.418268</v>
      </c>
      <c r="N139" s="39" t="n">
        <f aca="false">IF(COUNT('Business Case'!B11:G11)=0,"",H139+NPV(G139,I139:M139))</f>
        <v>-765370445.536849</v>
      </c>
      <c r="P139" s="40" t="n">
        <f aca="true">RAND()</f>
        <v>0.836139457701293</v>
      </c>
      <c r="Q139" s="40" t="n">
        <f aca="true">RAND()</f>
        <v>0.246423432318041</v>
      </c>
      <c r="R139" s="40" t="n">
        <f aca="true">RAND()</f>
        <v>0.914283478917996</v>
      </c>
      <c r="S139" s="40" t="n">
        <f aca="true">RAND()</f>
        <v>0.823893146799486</v>
      </c>
      <c r="T139" s="40" t="n">
        <f aca="true">RAND()</f>
        <v>0.746581476678461</v>
      </c>
      <c r="U139" s="40" t="n">
        <f aca="true">RAND()</f>
        <v>0.0862652000193687</v>
      </c>
    </row>
    <row r="140" customFormat="false" ht="15" hidden="false" customHeight="false" outlineLevel="0" collapsed="false">
      <c r="A140" s="36" t="n">
        <v>60</v>
      </c>
      <c r="B140" s="37" t="n">
        <f aca="false">1+IF($G$6=$E$6,$F$6,IF(P140&lt;($F$6-$E$6)/($G$6-$E$6),$E$6+SQRT(P140*($G$6-$E$6)*($F$6-$E$6)),$G$6-SQRT((1-P140)*($G$6-$E$6)*($G$6-$F$6))))</f>
        <v>0.977709212893908</v>
      </c>
      <c r="C140" s="37" t="n">
        <f aca="false">1+IF($G$7=$E$7,$F$7,IF(Q140&lt;($F$7-$E$7)/($G$7-$E$7),$E$7+SQRT(Q140*($G$7-$E$7)*($F$7-$E$7)),$G$7-SQRT((1-Q140)*($G$7-$E$7)*($G$7-$F$7))))</f>
        <v>1.05141915979879</v>
      </c>
      <c r="D140" s="37" t="n">
        <f aca="false">1+IF($G$8=$E$8,$F$8,IF(R140&lt;($F$8-$E$8)/($G$8-$E$8),$E$8+SQRT(R140*($G$8-$E$8)*($F$8-$E$8)),$G$8-SQRT((1-R140)*($G$8-$E$8)*($G$8-$F$8))))</f>
        <v>1.00989058638984</v>
      </c>
      <c r="E140" s="37" t="n">
        <f aca="false">1+IF($G$9=$E$9,$F$9,IF(S140&lt;($F$9-$E$9)/($G$9-$E$9),$E$9+SQRT(S140*($G$9-$E$9)*($F$9-$E$9)),$G$9-SQRT((1-S140)*($G$9-$E$9)*($G$9-$F$9))))</f>
        <v>1.12074855535259</v>
      </c>
      <c r="F140" s="37" t="n">
        <f aca="false">1+IF($G$10=$E$10,$F$10,IF(T140&lt;($F$10-$E$10)/($G$10-$E$10),$E$10+SQRT(T140*($G$10-$E$10)*($F$10-$E$10)),$G$10-SQRT((1-T140)*($G$10-$E$10)*($G$10-$F$10))))</f>
        <v>0.980859680492826</v>
      </c>
      <c r="G140" s="38" t="n">
        <f aca="false">IF($G$11=$E$11,$F$11,IF(U140&lt;($F$11-$E$11)/($G$11-$E$11),$E$11+SQRT(U140*($G$11-$E$11)*($F$11-$E$11)),$G$11-SQRT((1-U140)*($G$11-$E$11)*($G$11-$F$11))))</f>
        <v>0.114932146608769</v>
      </c>
      <c r="H140" s="39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-1961719360.98565</v>
      </c>
      <c r="I140" s="39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-12321604.1957391</v>
      </c>
      <c r="J140" s="39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286103801.432799</v>
      </c>
      <c r="K140" s="39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633572191.085979</v>
      </c>
      <c r="L140" s="39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768574391.098062</v>
      </c>
      <c r="M140" s="39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963973247.512199</v>
      </c>
      <c r="N140" s="39" t="n">
        <f aca="false">IF(COUNT('Business Case'!B11:G11)=0,"",H140+NPV(G140,I140:M140))</f>
        <v>-228557139.416762</v>
      </c>
      <c r="P140" s="40" t="n">
        <f aca="true">RAND()</f>
        <v>0.402581451239382</v>
      </c>
      <c r="Q140" s="40" t="n">
        <f aca="true">RAND()</f>
        <v>0.856026932521832</v>
      </c>
      <c r="R140" s="40" t="n">
        <f aca="true">RAND()</f>
        <v>0.458686238588925</v>
      </c>
      <c r="S140" s="40" t="n">
        <f aca="true">RAND()</f>
        <v>0.977182746294392</v>
      </c>
      <c r="T140" s="40" t="n">
        <f aca="true">RAND()</f>
        <v>0.0634879920079532</v>
      </c>
      <c r="U140" s="40" t="n">
        <f aca="true">RAND()</f>
        <v>0.848639862786913</v>
      </c>
    </row>
    <row r="141" customFormat="false" ht="15" hidden="false" customHeight="false" outlineLevel="0" collapsed="false">
      <c r="A141" s="36" t="n">
        <v>61</v>
      </c>
      <c r="B141" s="37" t="n">
        <f aca="false">1+IF($G$6=$E$6,$F$6,IF(P141&lt;($F$6-$E$6)/($G$6-$E$6),$E$6+SQRT(P141*($G$6-$E$6)*($F$6-$E$6)),$G$6-SQRT((1-P141)*($G$6-$E$6)*($G$6-$F$6))))</f>
        <v>0.986602713186418</v>
      </c>
      <c r="C141" s="37" t="n">
        <f aca="false">1+IF($G$7=$E$7,$F$7,IF(Q141&lt;($F$7-$E$7)/($G$7-$E$7),$E$7+SQRT(Q141*($G$7-$E$7)*($F$7-$E$7)),$G$7-SQRT((1-Q141)*($G$7-$E$7)*($G$7-$F$7))))</f>
        <v>0.843657748545618</v>
      </c>
      <c r="D141" s="37" t="n">
        <f aca="false">1+IF($G$8=$E$8,$F$8,IF(R141&lt;($F$8-$E$8)/($G$8-$E$8),$E$8+SQRT(R141*($G$8-$E$8)*($F$8-$E$8)),$G$8-SQRT((1-R141)*($G$8-$E$8)*($G$8-$F$8))))</f>
        <v>0.969754809563111</v>
      </c>
      <c r="E141" s="37" t="n">
        <f aca="false">1+IF($G$9=$E$9,$F$9,IF(S141&lt;($F$9-$E$9)/($G$9-$E$9),$E$9+SQRT(S141*($G$9-$E$9)*($F$9-$E$9)),$G$9-SQRT((1-S141)*($G$9-$E$9)*($G$9-$F$9))))</f>
        <v>1.06733892291557</v>
      </c>
      <c r="F141" s="37" t="n">
        <f aca="false">1+IF($G$10=$E$10,$F$10,IF(T141&lt;($F$10-$E$10)/($G$10-$E$10),$E$10+SQRT(T141*($G$10-$E$10)*($F$10-$E$10)),$G$10-SQRT((1-T141)*($G$10-$E$10)*($G$10-$F$10))))</f>
        <v>1.00741427698414</v>
      </c>
      <c r="G141" s="38" t="n">
        <f aca="false">IF($G$11=$E$11,$F$11,IF(U141&lt;($F$11-$E$11)/($G$11-$E$11),$E$11+SQRT(U141*($G$11-$E$11)*($F$11-$E$11)),$G$11-SQRT((1-U141)*($G$11-$E$11)*($G$11-$F$11))))</f>
        <v>0.102802962347884</v>
      </c>
      <c r="H141" s="39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-2014828553.96829</v>
      </c>
      <c r="I141" s="39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-32730435.238683</v>
      </c>
      <c r="J141" s="39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230205436.489072</v>
      </c>
      <c r="K141" s="39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543512022.066035</v>
      </c>
      <c r="L141" s="39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659923502.261573</v>
      </c>
      <c r="M141" s="39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818137545.169482</v>
      </c>
      <c r="N141" s="39" t="n">
        <f aca="false">IF(COUNT('Business Case'!B11:G11)=0,"",H141+NPV(G141,I141:M141))</f>
        <v>-502230935.494156</v>
      </c>
      <c r="P141" s="40" t="n">
        <f aca="true">RAND()</f>
        <v>0.5000019954166</v>
      </c>
      <c r="Q141" s="40" t="n">
        <f aca="true">RAND()</f>
        <v>0.152870731238488</v>
      </c>
      <c r="R141" s="40" t="n">
        <f aca="true">RAND()</f>
        <v>0.0520336667833028</v>
      </c>
      <c r="S141" s="40" t="n">
        <f aca="true">RAND()</f>
        <v>0.817790568939783</v>
      </c>
      <c r="T141" s="40" t="n">
        <f aca="true">RAND()</f>
        <v>0.215362226518328</v>
      </c>
      <c r="U141" s="40" t="n">
        <f aca="true">RAND()</f>
        <v>0.506880761966263</v>
      </c>
    </row>
    <row r="142" customFormat="false" ht="15" hidden="false" customHeight="false" outlineLevel="0" collapsed="false">
      <c r="A142" s="36" t="n">
        <v>62</v>
      </c>
      <c r="B142" s="37" t="n">
        <f aca="false">1+IF($G$6=$E$6,$F$6,IF(P142&lt;($F$6-$E$6)/($G$6-$E$6),$E$6+SQRT(P142*($G$6-$E$6)*($F$6-$E$6)),$G$6-SQRT((1-P142)*($G$6-$E$6)*($G$6-$F$6))))</f>
        <v>1.01527716173052</v>
      </c>
      <c r="C142" s="37" t="n">
        <f aca="false">1+IF($G$7=$E$7,$F$7,IF(Q142&lt;($F$7-$E$7)/($G$7-$E$7),$E$7+SQRT(Q142*($G$7-$E$7)*($F$7-$E$7)),$G$7-SQRT((1-Q142)*($G$7-$E$7)*($G$7-$F$7))))</f>
        <v>1.01544869622158</v>
      </c>
      <c r="D142" s="37" t="n">
        <f aca="false">1+IF($G$8=$E$8,$F$8,IF(R142&lt;($F$8-$E$8)/($G$8-$E$8),$E$8+SQRT(R142*($G$8-$E$8)*($F$8-$E$8)),$G$8-SQRT((1-R142)*($G$8-$E$8)*($G$8-$F$8))))</f>
        <v>1.05626540290197</v>
      </c>
      <c r="E142" s="37" t="n">
        <f aca="false">1+IF($G$9=$E$9,$F$9,IF(S142&lt;($F$9-$E$9)/($G$9-$E$9),$E$9+SQRT(S142*($G$9-$E$9)*($F$9-$E$9)),$G$9-SQRT((1-S142)*($G$9-$E$9)*($G$9-$F$9))))</f>
        <v>1.05990540049682</v>
      </c>
      <c r="F142" s="37" t="n">
        <f aca="false">1+IF($G$10=$E$10,$F$10,IF(T142&lt;($F$10-$E$10)/($G$10-$E$10),$E$10+SQRT(T142*($G$10-$E$10)*($F$10-$E$10)),$G$10-SQRT((1-T142)*($G$10-$E$10)*($G$10-$F$10))))</f>
        <v>1.22246622315533</v>
      </c>
      <c r="G142" s="38" t="n">
        <f aca="false">IF($G$11=$E$11,$F$11,IF(U142&lt;($F$11-$E$11)/($G$11-$E$11),$E$11+SQRT(U142*($G$11-$E$11)*($F$11-$E$11)),$G$11-SQRT((1-U142)*($G$11-$E$11)*($G$11-$F$11))))</f>
        <v>0.119748999411532</v>
      </c>
      <c r="H142" s="39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-2444932446.31066</v>
      </c>
      <c r="I142" s="39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-31055089.0512644</v>
      </c>
      <c r="J142" s="39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264300055.513929</v>
      </c>
      <c r="K142" s="39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620778511.23689</v>
      </c>
      <c r="L142" s="39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754860268.325472</v>
      </c>
      <c r="M142" s="39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950825500.609818</v>
      </c>
      <c r="N142" s="39" t="n">
        <f aca="false">IF(COUNT('Business Case'!B11:G11)=0,"",H142+NPV(G142,I142:M142))</f>
        <v>-799431958.097624</v>
      </c>
      <c r="P142" s="40" t="n">
        <f aca="true">RAND()</f>
        <v>0.839243267001551</v>
      </c>
      <c r="Q142" s="40" t="n">
        <f aca="true">RAND()</f>
        <v>0.731791802244829</v>
      </c>
      <c r="R142" s="40" t="n">
        <f aca="true">RAND()</f>
        <v>0.872485667778211</v>
      </c>
      <c r="S142" s="40" t="n">
        <f aca="true">RAND()</f>
        <v>0.783545683742999</v>
      </c>
      <c r="T142" s="40" t="n">
        <f aca="true">RAND()</f>
        <v>0.989891881768907</v>
      </c>
      <c r="U142" s="40" t="n">
        <f aca="true">RAND()</f>
        <v>0.929944657956824</v>
      </c>
    </row>
    <row r="143" customFormat="false" ht="15" hidden="false" customHeight="false" outlineLevel="0" collapsed="false">
      <c r="A143" s="36" t="n">
        <v>63</v>
      </c>
      <c r="B143" s="37" t="n">
        <f aca="false">1+IF($G$6=$E$6,$F$6,IF(P143&lt;($F$6-$E$6)/($G$6-$E$6),$E$6+SQRT(P143*($G$6-$E$6)*($F$6-$E$6)),$G$6-SQRT((1-P143)*($G$6-$E$6)*($G$6-$F$6))))</f>
        <v>1.00138826365974</v>
      </c>
      <c r="C143" s="37" t="n">
        <f aca="false">1+IF($G$7=$E$7,$F$7,IF(Q143&lt;($F$7-$E$7)/($G$7-$E$7),$E$7+SQRT(Q143*($G$7-$E$7)*($F$7-$E$7)),$G$7-SQRT((1-Q143)*($G$7-$E$7)*($G$7-$F$7))))</f>
        <v>0.823251024103315</v>
      </c>
      <c r="D143" s="37" t="n">
        <f aca="false">1+IF($G$8=$E$8,$F$8,IF(R143&lt;($F$8-$E$8)/($G$8-$E$8),$E$8+SQRT(R143*($G$8-$E$8)*($F$8-$E$8)),$G$8-SQRT((1-R143)*($G$8-$E$8)*($G$8-$F$8))))</f>
        <v>0.961829522887683</v>
      </c>
      <c r="E143" s="37" t="n">
        <f aca="false">1+IF($G$9=$E$9,$F$9,IF(S143&lt;($F$9-$E$9)/($G$9-$E$9),$E$9+SQRT(S143*($G$9-$E$9)*($F$9-$E$9)),$G$9-SQRT((1-S143)*($G$9-$E$9)*($G$9-$F$9))))</f>
        <v>0.976297420805831</v>
      </c>
      <c r="F143" s="37" t="n">
        <f aca="false">1+IF($G$10=$E$10,$F$10,IF(T143&lt;($F$10-$E$10)/($G$10-$E$10),$E$10+SQRT(T143*($G$10-$E$10)*($F$10-$E$10)),$G$10-SQRT((1-T143)*($G$10-$E$10)*($G$10-$F$10))))</f>
        <v>1.12599296173224</v>
      </c>
      <c r="G143" s="38" t="n">
        <f aca="false">IF($G$11=$E$11,$F$11,IF(U143&lt;($F$11-$E$11)/($G$11-$E$11),$E$11+SQRT(U143*($G$11-$E$11)*($F$11-$E$11)),$G$11-SQRT((1-U143)*($G$11-$E$11)*($G$11-$F$11))))</f>
        <v>0.102625148250158</v>
      </c>
      <c r="H143" s="39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-2251985923.46448</v>
      </c>
      <c r="I143" s="39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-24279547.6763895</v>
      </c>
      <c r="J143" s="39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245606274.539173</v>
      </c>
      <c r="K143" s="39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571791744.841347</v>
      </c>
      <c r="L143" s="39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690244739.233293</v>
      </c>
      <c r="M143" s="39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846945534.327135</v>
      </c>
      <c r="N143" s="39" t="n">
        <f aca="false">IF(COUNT('Business Case'!B11:G11)=0,"",H143+NPV(G143,I143:M143))</f>
        <v>-658827304.260281</v>
      </c>
      <c r="P143" s="40" t="n">
        <f aca="true">RAND()</f>
        <v>0.684919878664637</v>
      </c>
      <c r="Q143" s="40" t="n">
        <f aca="true">RAND()</f>
        <v>0.112524555129748</v>
      </c>
      <c r="R143" s="40" t="n">
        <f aca="true">RAND()</f>
        <v>0.0186583482333623</v>
      </c>
      <c r="S143" s="40" t="n">
        <f aca="true">RAND()</f>
        <v>0.23285185686488</v>
      </c>
      <c r="T143" s="40" t="n">
        <f aca="true">RAND()</f>
        <v>0.794963392800781</v>
      </c>
      <c r="U143" s="40" t="n">
        <f aca="true">RAND()</f>
        <v>0.500411661116131</v>
      </c>
    </row>
    <row r="144" customFormat="false" ht="15" hidden="false" customHeight="false" outlineLevel="0" collapsed="false">
      <c r="A144" s="36" t="n">
        <v>64</v>
      </c>
      <c r="B144" s="37" t="n">
        <f aca="false">1+IF($G$6=$E$6,$F$6,IF(P144&lt;($F$6-$E$6)/($G$6-$E$6),$E$6+SQRT(P144*($G$6-$E$6)*($F$6-$E$6)),$G$6-SQRT((1-P144)*($G$6-$E$6)*($G$6-$F$6))))</f>
        <v>0.994891812078847</v>
      </c>
      <c r="C144" s="37" t="n">
        <f aca="false">1+IF($G$7=$E$7,$F$7,IF(Q144&lt;($F$7-$E$7)/($G$7-$E$7),$E$7+SQRT(Q144*($G$7-$E$7)*($F$7-$E$7)),$G$7-SQRT((1-Q144)*($G$7-$E$7)*($G$7-$F$7))))</f>
        <v>1.00388011253072</v>
      </c>
      <c r="D144" s="37" t="n">
        <f aca="false">1+IF($G$8=$E$8,$F$8,IF(R144&lt;($F$8-$E$8)/($G$8-$E$8),$E$8+SQRT(R144*($G$8-$E$8)*($F$8-$E$8)),$G$8-SQRT((1-R144)*($G$8-$E$8)*($G$8-$F$8))))</f>
        <v>0.997314129239919</v>
      </c>
      <c r="E144" s="37" t="n">
        <f aca="false">1+IF($G$9=$E$9,$F$9,IF(S144&lt;($F$9-$E$9)/($G$9-$E$9),$E$9+SQRT(S144*($G$9-$E$9)*($F$9-$E$9)),$G$9-SQRT((1-S144)*($G$9-$E$9)*($G$9-$F$9))))</f>
        <v>0.976987727260382</v>
      </c>
      <c r="F144" s="37" t="n">
        <f aca="false">1+IF($G$10=$E$10,$F$10,IF(T144&lt;($F$10-$E$10)/($G$10-$E$10),$E$10+SQRT(T144*($G$10-$E$10)*($F$10-$E$10)),$G$10-SQRT((1-T144)*($G$10-$E$10)*($G$10-$F$10))))</f>
        <v>0.989727363975021</v>
      </c>
      <c r="G144" s="38" t="n">
        <f aca="false">IF($G$11=$E$11,$F$11,IF(U144&lt;($F$11-$E$11)/($G$11-$E$11),$E$11+SQRT(U144*($G$11-$E$11)*($F$11-$E$11)),$G$11-SQRT((1-U144)*($G$11-$E$11)*($G$11-$F$11))))</f>
        <v>0.121515190845529</v>
      </c>
      <c r="H144" s="39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-1979454727.95004</v>
      </c>
      <c r="I144" s="39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15848161.9632024</v>
      </c>
      <c r="J144" s="39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321372024.225462</v>
      </c>
      <c r="K144" s="39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676382254.686474</v>
      </c>
      <c r="L144" s="39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812740414.830646</v>
      </c>
      <c r="M144" s="39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1002583214.80945</v>
      </c>
      <c r="N144" s="39" t="n">
        <f aca="false">IF(COUNT('Business Case'!B11:G11)=0,"",H144+NPV(G144,I144:M144))</f>
        <v>-151547111.340515</v>
      </c>
      <c r="P144" s="40" t="n">
        <f aca="true">RAND()</f>
        <v>0.600297066640483</v>
      </c>
      <c r="Q144" s="40" t="n">
        <f aca="true">RAND()</f>
        <v>0.683688570162452</v>
      </c>
      <c r="R144" s="40" t="n">
        <f aca="true">RAND()</f>
        <v>0.29848357676423</v>
      </c>
      <c r="S144" s="40" t="n">
        <f aca="true">RAND()</f>
        <v>0.237084405948759</v>
      </c>
      <c r="T144" s="40" t="n">
        <f aca="true">RAND()</f>
        <v>0.10521756322692</v>
      </c>
      <c r="U144" s="40" t="n">
        <f aca="true">RAND()</f>
        <v>0.952005342408141</v>
      </c>
    </row>
    <row r="145" customFormat="false" ht="15" hidden="false" customHeight="false" outlineLevel="0" collapsed="false">
      <c r="A145" s="36" t="n">
        <v>65</v>
      </c>
      <c r="B145" s="37" t="n">
        <f aca="false">1+IF($G$6=$E$6,$F$6,IF(P145&lt;($F$6-$E$6)/($G$6-$E$6),$E$6+SQRT(P145*($G$6-$E$6)*($F$6-$E$6)),$G$6-SQRT((1-P145)*($G$6-$E$6)*($G$6-$F$6))))</f>
        <v>0.994164137736067</v>
      </c>
      <c r="C145" s="37" t="n">
        <f aca="false">1+IF($G$7=$E$7,$F$7,IF(Q145&lt;($F$7-$E$7)/($G$7-$E$7),$E$7+SQRT(Q145*($G$7-$E$7)*($F$7-$E$7)),$G$7-SQRT((1-Q145)*($G$7-$E$7)*($G$7-$F$7))))</f>
        <v>0.990510177950697</v>
      </c>
      <c r="D145" s="37" t="n">
        <f aca="false">1+IF($G$8=$E$8,$F$8,IF(R145&lt;($F$8-$E$8)/($G$8-$E$8),$E$8+SQRT(R145*($G$8-$E$8)*($F$8-$E$8)),$G$8-SQRT((1-R145)*($G$8-$E$8)*($G$8-$F$8))))</f>
        <v>0.989624906753713</v>
      </c>
      <c r="E145" s="37" t="n">
        <f aca="false">1+IF($G$9=$E$9,$F$9,IF(S145&lt;($F$9-$E$9)/($G$9-$E$9),$E$9+SQRT(S145*($G$9-$E$9)*($F$9-$E$9)),$G$9-SQRT((1-S145)*($G$9-$E$9)*($G$9-$F$9))))</f>
        <v>0.967577018160216</v>
      </c>
      <c r="F145" s="37" t="n">
        <f aca="false">1+IF($G$10=$E$10,$F$10,IF(T145&lt;($F$10-$E$10)/($G$10-$E$10),$E$10+SQRT(T145*($G$10-$E$10)*($F$10-$E$10)),$G$10-SQRT((1-T145)*($G$10-$E$10)*($G$10-$F$10))))</f>
        <v>1.04011018546711</v>
      </c>
      <c r="G145" s="38" t="n">
        <f aca="false">IF($G$11=$E$11,$F$11,IF(U145&lt;($F$11-$E$11)/($G$11-$E$11),$E$11+SQRT(U145*($G$11-$E$11)*($F$11-$E$11)),$G$11-SQRT((1-U145)*($G$11-$E$11)*($G$11-$F$11))))</f>
        <v>0.106169016677283</v>
      </c>
      <c r="H145" s="39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-2080220370.93423</v>
      </c>
      <c r="I145" s="39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12114509.2721013</v>
      </c>
      <c r="J145" s="39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316877876.5648</v>
      </c>
      <c r="K145" s="39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673646753.130853</v>
      </c>
      <c r="L145" s="39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809266800.556088</v>
      </c>
      <c r="M145" s="39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996444221.358266</v>
      </c>
      <c r="N145" s="39" t="n">
        <f aca="false">IF(COUNT('Business Case'!B11:G11)=0,"",H145+NPV(G145,I145:M145))</f>
        <v>-170434006.61649</v>
      </c>
      <c r="P145" s="40" t="n">
        <f aca="true">RAND()</f>
        <v>0.591125655705131</v>
      </c>
      <c r="Q145" s="40" t="n">
        <f aca="true">RAND()</f>
        <v>0.625156766614413</v>
      </c>
      <c r="R145" s="40" t="n">
        <f aca="true">RAND()</f>
        <v>0.209351098032063</v>
      </c>
      <c r="S145" s="40" t="n">
        <f aca="true">RAND()</f>
        <v>0.182666135337045</v>
      </c>
      <c r="T145" s="40" t="n">
        <f aca="true">RAND()</f>
        <v>0.412616876738007</v>
      </c>
      <c r="U145" s="40" t="n">
        <f aca="true">RAND()</f>
        <v>0.621389489248252</v>
      </c>
    </row>
    <row r="146" customFormat="false" ht="15" hidden="false" customHeight="false" outlineLevel="0" collapsed="false">
      <c r="A146" s="36" t="n">
        <v>66</v>
      </c>
      <c r="B146" s="37" t="n">
        <f aca="false">1+IF($G$6=$E$6,$F$6,IF(P146&lt;($F$6-$E$6)/($G$6-$E$6),$E$6+SQRT(P146*($G$6-$E$6)*($F$6-$E$6)),$G$6-SQRT((1-P146)*($G$6-$E$6)*($G$6-$F$6))))</f>
        <v>1.00570259427704</v>
      </c>
      <c r="C146" s="37" t="n">
        <f aca="false">1+IF($G$7=$E$7,$F$7,IF(Q146&lt;($F$7-$E$7)/($G$7-$E$7),$E$7+SQRT(Q146*($G$7-$E$7)*($F$7-$E$7)),$G$7-SQRT((1-Q146)*($G$7-$E$7)*($G$7-$F$7))))</f>
        <v>0.862012412077377</v>
      </c>
      <c r="D146" s="37" t="n">
        <f aca="false">1+IF($G$8=$E$8,$F$8,IF(R146&lt;($F$8-$E$8)/($G$8-$E$8),$E$8+SQRT(R146*($G$8-$E$8)*($F$8-$E$8)),$G$8-SQRT((1-R146)*($G$8-$E$8)*($G$8-$F$8))))</f>
        <v>1.07273174770831</v>
      </c>
      <c r="E146" s="37" t="n">
        <f aca="false">1+IF($G$9=$E$9,$F$9,IF(S146&lt;($F$9-$E$9)/($G$9-$E$9),$E$9+SQRT(S146*($G$9-$E$9)*($F$9-$E$9)),$G$9-SQRT((1-S146)*($G$9-$E$9)*($G$9-$F$9))))</f>
        <v>1.06218082281384</v>
      </c>
      <c r="F146" s="37" t="n">
        <f aca="false">1+IF($G$10=$E$10,$F$10,IF(T146&lt;($F$10-$E$10)/($G$10-$E$10),$E$10+SQRT(T146*($G$10-$E$10)*($F$10-$E$10)),$G$10-SQRT((1-T146)*($G$10-$E$10)*($G$10-$F$10))))</f>
        <v>1.08356279191917</v>
      </c>
      <c r="G146" s="38" t="n">
        <f aca="false">IF($G$11=$E$11,$F$11,IF(U146&lt;($F$11-$E$11)/($G$11-$E$11),$E$11+SQRT(U146*($G$11-$E$11)*($F$11-$E$11)),$G$11-SQRT((1-U146)*($G$11-$E$11)*($G$11-$F$11))))</f>
        <v>0.106541865800379</v>
      </c>
      <c r="H146" s="39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-2167125583.83834</v>
      </c>
      <c r="I146" s="39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-67639958.5101124</v>
      </c>
      <c r="J146" s="39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169060028.871271</v>
      </c>
      <c r="K146" s="39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459938155.848613</v>
      </c>
      <c r="L146" s="39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568799187.439375</v>
      </c>
      <c r="M146" s="39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733584884.322698</v>
      </c>
      <c r="N146" s="39" t="n">
        <f aca="false">IF(COUNT('Business Case'!B11:G11)=0,"",H146+NPV(G146,I146:M146))</f>
        <v>-929131627.72405</v>
      </c>
      <c r="P146" s="40" t="n">
        <f aca="true">RAND()</f>
        <v>0.738365312828693</v>
      </c>
      <c r="Q146" s="40" t="n">
        <f aca="true">RAND()</f>
        <v>0.194429790126889</v>
      </c>
      <c r="R146" s="40" t="n">
        <f aca="true">RAND()</f>
        <v>0.9504294944638</v>
      </c>
      <c r="S146" s="40" t="n">
        <f aca="true">RAND()</f>
        <v>0.794341123155869</v>
      </c>
      <c r="T146" s="40" t="n">
        <f aca="true">RAND()</f>
        <v>0.630648743550104</v>
      </c>
      <c r="U146" s="40" t="n">
        <f aca="true">RAND()</f>
        <v>0.63314395991505</v>
      </c>
    </row>
    <row r="147" customFormat="false" ht="15" hidden="false" customHeight="false" outlineLevel="0" collapsed="false">
      <c r="A147" s="36" t="n">
        <v>67</v>
      </c>
      <c r="B147" s="37" t="n">
        <f aca="false">1+IF($G$6=$E$6,$F$6,IF(P147&lt;($F$6-$E$6)/($G$6-$E$6),$E$6+SQRT(P147*($G$6-$E$6)*($F$6-$E$6)),$G$6-SQRT((1-P147)*($G$6-$E$6)*($G$6-$F$6))))</f>
        <v>0.95824205431956</v>
      </c>
      <c r="C147" s="37" t="n">
        <f aca="false">1+IF($G$7=$E$7,$F$7,IF(Q147&lt;($F$7-$E$7)/($G$7-$E$7),$E$7+SQRT(Q147*($G$7-$E$7)*($F$7-$E$7)),$G$7-SQRT((1-Q147)*($G$7-$E$7)*($G$7-$F$7))))</f>
        <v>1.06119501647571</v>
      </c>
      <c r="D147" s="37" t="n">
        <f aca="false">1+IF($G$8=$E$8,$F$8,IF(R147&lt;($F$8-$E$8)/($G$8-$E$8),$E$8+SQRT(R147*($G$8-$E$8)*($F$8-$E$8)),$G$8-SQRT((1-R147)*($G$8-$E$8)*($G$8-$F$8))))</f>
        <v>0.981570087690945</v>
      </c>
      <c r="E147" s="37" t="n">
        <f aca="false">1+IF($G$9=$E$9,$F$9,IF(S147&lt;($F$9-$E$9)/($G$9-$E$9),$E$9+SQRT(S147*($G$9-$E$9)*($F$9-$E$9)),$G$9-SQRT((1-S147)*($G$9-$E$9)*($G$9-$F$9))))</f>
        <v>1.04328555114574</v>
      </c>
      <c r="F147" s="37" t="n">
        <f aca="false">1+IF($G$10=$E$10,$F$10,IF(T147&lt;($F$10-$E$10)/($G$10-$E$10),$E$10+SQRT(T147*($G$10-$E$10)*($F$10-$E$10)),$G$10-SQRT((1-T147)*($G$10-$E$10)*($G$10-$F$10))))</f>
        <v>1.03223039229647</v>
      </c>
      <c r="G147" s="38" t="n">
        <f aca="false">IF($G$11=$E$11,$F$11,IF(U147&lt;($F$11-$E$11)/($G$11-$E$11),$E$11+SQRT(U147*($G$11-$E$11)*($F$11-$E$11)),$G$11-SQRT((1-U147)*($G$11-$E$11)*($G$11-$F$11))))</f>
        <v>0.0884043475236441</v>
      </c>
      <c r="H147" s="39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-2064460784.59293</v>
      </c>
      <c r="I147" s="39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-4629028.94064657</v>
      </c>
      <c r="J147" s="39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295035333.666769</v>
      </c>
      <c r="K147" s="39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646311215.889008</v>
      </c>
      <c r="L147" s="39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781342768.05514</v>
      </c>
      <c r="M147" s="39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974631640.188609</v>
      </c>
      <c r="N147" s="39" t="n">
        <f aca="false">IF(COUNT('Business Case'!B11:G11)=0,"",H147+NPV(G147,I147:M147))</f>
        <v>-123514148.879111</v>
      </c>
      <c r="P147" s="40" t="n">
        <f aca="true">RAND()</f>
        <v>0.226142459424171</v>
      </c>
      <c r="Q147" s="40" t="n">
        <f aca="true">RAND()</f>
        <v>0.883165554092595</v>
      </c>
      <c r="R147" s="40" t="n">
        <f aca="true">RAND()</f>
        <v>0.132889391575198</v>
      </c>
      <c r="S147" s="40" t="n">
        <f aca="true">RAND()</f>
        <v>0.696320704152836</v>
      </c>
      <c r="T147" s="40" t="n">
        <f aca="true">RAND()</f>
        <v>0.367685306141982</v>
      </c>
      <c r="U147" s="40" t="n">
        <f aca="true">RAND()</f>
        <v>0.0706330572981833</v>
      </c>
    </row>
    <row r="148" customFormat="false" ht="15" hidden="false" customHeight="false" outlineLevel="0" collapsed="false">
      <c r="A148" s="36" t="n">
        <v>68</v>
      </c>
      <c r="B148" s="37" t="n">
        <f aca="false">1+IF($G$6=$E$6,$F$6,IF(P148&lt;($F$6-$E$6)/($G$6-$E$6),$E$6+SQRT(P148*($G$6-$E$6)*($F$6-$E$6)),$G$6-SQRT((1-P148)*($G$6-$E$6)*($G$6-$F$6))))</f>
        <v>1.01385739863913</v>
      </c>
      <c r="C148" s="37" t="n">
        <f aca="false">1+IF($G$7=$E$7,$F$7,IF(Q148&lt;($F$7-$E$7)/($G$7-$E$7),$E$7+SQRT(Q148*($G$7-$E$7)*($F$7-$E$7)),$G$7-SQRT((1-Q148)*($G$7-$E$7)*($G$7-$F$7))))</f>
        <v>0.857892091681739</v>
      </c>
      <c r="D148" s="37" t="n">
        <f aca="false">1+IF($G$8=$E$8,$F$8,IF(R148&lt;($F$8-$E$8)/($G$8-$E$8),$E$8+SQRT(R148*($G$8-$E$8)*($F$8-$E$8)),$G$8-SQRT((1-R148)*($G$8-$E$8)*($G$8-$F$8))))</f>
        <v>1.09102847431448</v>
      </c>
      <c r="E148" s="37" t="n">
        <f aca="false">1+IF($G$9=$E$9,$F$9,IF(S148&lt;($F$9-$E$9)/($G$9-$E$9),$E$9+SQRT(S148*($G$9-$E$9)*($F$9-$E$9)),$G$9-SQRT((1-S148)*($G$9-$E$9)*($G$9-$F$9))))</f>
        <v>1.03309430707815</v>
      </c>
      <c r="F148" s="37" t="n">
        <f aca="false">1+IF($G$10=$E$10,$F$10,IF(T148&lt;($F$10-$E$10)/($G$10-$E$10),$E$10+SQRT(T148*($G$10-$E$10)*($F$10-$E$10)),$G$10-SQRT((1-T148)*($G$10-$E$10)*($G$10-$F$10))))</f>
        <v>1.05739737250979</v>
      </c>
      <c r="G148" s="38" t="n">
        <f aca="false">IF($G$11=$E$11,$F$11,IF(U148&lt;($F$11-$E$11)/($G$11-$E$11),$E$11+SQRT(U148*($G$11-$E$11)*($F$11-$E$11)),$G$11-SQRT((1-U148)*($G$11-$E$11)*($G$11-$F$11))))</f>
        <v>0.0972124481937894</v>
      </c>
      <c r="H148" s="39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-2114794745.01958</v>
      </c>
      <c r="I148" s="39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-64471798.8370572</v>
      </c>
      <c r="J148" s="39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168791557.912323</v>
      </c>
      <c r="K148" s="39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454924783.287194</v>
      </c>
      <c r="L148" s="39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562738840.782951</v>
      </c>
      <c r="M148" s="39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728066669.635753</v>
      </c>
      <c r="N148" s="39" t="n">
        <f aca="false">IF(COUNT('Business Case'!B11:G11)=0,"",H148+NPV(G148,I148:M148))</f>
        <v>-842821056.635634</v>
      </c>
      <c r="P148" s="40" t="n">
        <f aca="true">RAND()</f>
        <v>0.825828315582604</v>
      </c>
      <c r="Q148" s="40" t="n">
        <f aca="true">RAND()</f>
        <v>0.184666019375071</v>
      </c>
      <c r="R148" s="40" t="n">
        <f aca="true">RAND()</f>
        <v>0.994634115124935</v>
      </c>
      <c r="S148" s="40" t="n">
        <f aca="true">RAND()</f>
        <v>0.635548238998982</v>
      </c>
      <c r="T148" s="40" t="n">
        <f aca="true">RAND()</f>
        <v>0.505389705118236</v>
      </c>
      <c r="U148" s="40" t="n">
        <f aca="true">RAND()</f>
        <v>0.296268372823883</v>
      </c>
    </row>
    <row r="149" customFormat="false" ht="15" hidden="false" customHeight="false" outlineLevel="0" collapsed="false">
      <c r="A149" s="36" t="n">
        <v>69</v>
      </c>
      <c r="B149" s="37" t="n">
        <f aca="false">1+IF($G$6=$E$6,$F$6,IF(P149&lt;($F$6-$E$6)/($G$6-$E$6),$E$6+SQRT(P149*($G$6-$E$6)*($F$6-$E$6)),$G$6-SQRT((1-P149)*($G$6-$E$6)*($G$6-$F$6))))</f>
        <v>0.921244300030667</v>
      </c>
      <c r="C149" s="37" t="n">
        <f aca="false">1+IF($G$7=$E$7,$F$7,IF(Q149&lt;($F$7-$E$7)/($G$7-$E$7),$E$7+SQRT(Q149*($G$7-$E$7)*($F$7-$E$7)),$G$7-SQRT((1-Q149)*($G$7-$E$7)*($G$7-$F$7))))</f>
        <v>0.878618625167999</v>
      </c>
      <c r="D149" s="37" t="n">
        <f aca="false">1+IF($G$8=$E$8,$F$8,IF(R149&lt;($F$8-$E$8)/($G$8-$E$8),$E$8+SQRT(R149*($G$8-$E$8)*($F$8-$E$8)),$G$8-SQRT((1-R149)*($G$8-$E$8)*($G$8-$F$8))))</f>
        <v>0.988592709776344</v>
      </c>
      <c r="E149" s="37" t="n">
        <f aca="false">1+IF($G$9=$E$9,$F$9,IF(S149&lt;($F$9-$E$9)/($G$9-$E$9),$E$9+SQRT(S149*($G$9-$E$9)*($F$9-$E$9)),$G$9-SQRT((1-S149)*($G$9-$E$9)*($G$9-$F$9))))</f>
        <v>0.984917372007414</v>
      </c>
      <c r="F149" s="37" t="n">
        <f aca="false">1+IF($G$10=$E$10,$F$10,IF(T149&lt;($F$10-$E$10)/($G$10-$E$10),$E$10+SQRT(T149*($G$10-$E$10)*($F$10-$E$10)),$G$10-SQRT((1-T149)*($G$10-$E$10)*($G$10-$F$10))))</f>
        <v>1.20566279123327</v>
      </c>
      <c r="G149" s="38" t="n">
        <f aca="false">IF($G$11=$E$11,$F$11,IF(U149&lt;($F$11-$E$11)/($G$11-$E$11),$E$11+SQRT(U149*($G$11-$E$11)*($F$11-$E$11)),$G$11-SQRT((1-U149)*($G$11-$E$11)*($G$11-$F$11))))</f>
        <v>0.114092194395456</v>
      </c>
      <c r="H149" s="39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-2411325582.46654</v>
      </c>
      <c r="I149" s="39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-84258410.0577526</v>
      </c>
      <c r="J149" s="39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134065166.540736</v>
      </c>
      <c r="K149" s="39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412671882.700888</v>
      </c>
      <c r="L149" s="39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513420046.389357</v>
      </c>
      <c r="M149" s="39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667275056.245376</v>
      </c>
      <c r="N149" s="39" t="n">
        <f aca="false">IF(COUNT('Business Case'!B11:G11)=0,"",H149+NPV(G149,I149:M149))</f>
        <v>-1358473777.40191</v>
      </c>
      <c r="P149" s="40" t="n">
        <f aca="true">RAND()</f>
        <v>0.0300880189195332</v>
      </c>
      <c r="Q149" s="40" t="n">
        <f aca="true">RAND()</f>
        <v>0.236330468569676</v>
      </c>
      <c r="R149" s="40" t="n">
        <f aca="true">RAND()</f>
        <v>0.198586299717479</v>
      </c>
      <c r="S149" s="40" t="n">
        <f aca="true">RAND()</f>
        <v>0.288438402745824</v>
      </c>
      <c r="T149" s="40" t="n">
        <f aca="true">RAND()</f>
        <v>0.973789492250338</v>
      </c>
      <c r="U149" s="40" t="n">
        <f aca="true">RAND()</f>
        <v>0.831294480565364</v>
      </c>
    </row>
    <row r="150" customFormat="false" ht="15" hidden="false" customHeight="false" outlineLevel="0" collapsed="false">
      <c r="A150" s="36" t="n">
        <v>70</v>
      </c>
      <c r="B150" s="37" t="n">
        <f aca="false">1+IF($G$6=$E$6,$F$6,IF(P150&lt;($F$6-$E$6)/($G$6-$E$6),$E$6+SQRT(P150*($G$6-$E$6)*($F$6-$E$6)),$G$6-SQRT((1-P150)*($G$6-$E$6)*($G$6-$F$6))))</f>
        <v>0.932559019645212</v>
      </c>
      <c r="C150" s="37" t="n">
        <f aca="false">1+IF($G$7=$E$7,$F$7,IF(Q150&lt;($F$7-$E$7)/($G$7-$E$7),$E$7+SQRT(Q150*($G$7-$E$7)*($F$7-$E$7)),$G$7-SQRT((1-Q150)*($G$7-$E$7)*($G$7-$F$7))))</f>
        <v>1.05968062237108</v>
      </c>
      <c r="D150" s="37" t="n">
        <f aca="false">1+IF($G$8=$E$8,$F$8,IF(R150&lt;($F$8-$E$8)/($G$8-$E$8),$E$8+SQRT(R150*($G$8-$E$8)*($F$8-$E$8)),$G$8-SQRT((1-R150)*($G$8-$E$8)*($G$8-$F$8))))</f>
        <v>0.984721908127602</v>
      </c>
      <c r="E150" s="37" t="n">
        <f aca="false">1+IF($G$9=$E$9,$F$9,IF(S150&lt;($F$9-$E$9)/($G$9-$E$9),$E$9+SQRT(S150*($G$9-$E$9)*($F$9-$E$9)),$G$9-SQRT((1-S150)*($G$9-$E$9)*($G$9-$F$9))))</f>
        <v>1.05244488803348</v>
      </c>
      <c r="F150" s="37" t="n">
        <f aca="false">1+IF($G$10=$E$10,$F$10,IF(T150&lt;($F$10-$E$10)/($G$10-$E$10),$E$10+SQRT(T150*($G$10-$E$10)*($F$10-$E$10)),$G$10-SQRT((1-T150)*($G$10-$E$10)*($G$10-$F$10))))</f>
        <v>1.01466545111131</v>
      </c>
      <c r="G150" s="38" t="n">
        <f aca="false">IF($G$11=$E$11,$F$11,IF(U150&lt;($F$11-$E$11)/($G$11-$E$11),$E$11+SQRT(U150*($G$11-$E$11)*($F$11-$E$11)),$G$11-SQRT((1-U150)*($G$11-$E$11)*($G$11-$F$11))))</f>
        <v>0.104291457787333</v>
      </c>
      <c r="H150" s="39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-2029330902.22261</v>
      </c>
      <c r="I150" s="39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-27118022.0118507</v>
      </c>
      <c r="J150" s="39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248117215.371657</v>
      </c>
      <c r="K150" s="39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574085725.310731</v>
      </c>
      <c r="L150" s="39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699983505.242479</v>
      </c>
      <c r="M150" s="39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887823359.663992</v>
      </c>
      <c r="N150" s="39" t="n">
        <f aca="false">IF(COUNT('Business Case'!B11:G11)=0,"",H150+NPV(G150,I150:M150))</f>
        <v>-412763589.620187</v>
      </c>
      <c r="P150" s="40" t="n">
        <f aca="true">RAND()</f>
        <v>0.0706726506838204</v>
      </c>
      <c r="Q150" s="40" t="n">
        <f aca="true">RAND()</f>
        <v>0.879146815181109</v>
      </c>
      <c r="R150" s="40" t="n">
        <f aca="true">RAND()</f>
        <v>0.16074812053622</v>
      </c>
      <c r="S150" s="40" t="n">
        <f aca="true">RAND()</f>
        <v>0.746213336778658</v>
      </c>
      <c r="T150" s="40" t="n">
        <f aca="true">RAND()</f>
        <v>0.261568667991395</v>
      </c>
      <c r="U150" s="40" t="n">
        <f aca="true">RAND()</f>
        <v>0.559380571532995</v>
      </c>
    </row>
    <row r="151" customFormat="false" ht="15" hidden="false" customHeight="false" outlineLevel="0" collapsed="false">
      <c r="A151" s="36" t="n">
        <v>71</v>
      </c>
      <c r="B151" s="37" t="n">
        <f aca="false">1+IF($G$6=$E$6,$F$6,IF(P151&lt;($F$6-$E$6)/($G$6-$E$6),$E$6+SQRT(P151*($G$6-$E$6)*($F$6-$E$6)),$G$6-SQRT((1-P151)*($G$6-$E$6)*($G$6-$F$6))))</f>
        <v>0.917260708015568</v>
      </c>
      <c r="C151" s="37" t="n">
        <f aca="false">1+IF($G$7=$E$7,$F$7,IF(Q151&lt;($F$7-$E$7)/($G$7-$E$7),$E$7+SQRT(Q151*($G$7-$E$7)*($F$7-$E$7)),$G$7-SQRT((1-Q151)*($G$7-$E$7)*($G$7-$F$7))))</f>
        <v>1.01783341158075</v>
      </c>
      <c r="D151" s="37" t="n">
        <f aca="false">1+IF($G$8=$E$8,$F$8,IF(R151&lt;($F$8-$E$8)/($G$8-$E$8),$E$8+SQRT(R151*($G$8-$E$8)*($F$8-$E$8)),$G$8-SQRT((1-R151)*($G$8-$E$8)*($G$8-$F$8))))</f>
        <v>0.965697213359395</v>
      </c>
      <c r="E151" s="37" t="n">
        <f aca="false">1+IF($G$9=$E$9,$F$9,IF(S151&lt;($F$9-$E$9)/($G$9-$E$9),$E$9+SQRT(S151*($G$9-$E$9)*($F$9-$E$9)),$G$9-SQRT((1-S151)*($G$9-$E$9)*($G$9-$F$9))))</f>
        <v>1.00151972384531</v>
      </c>
      <c r="F151" s="37" t="n">
        <f aca="false">1+IF($G$10=$E$10,$F$10,IF(T151&lt;($F$10-$E$10)/($G$10-$E$10),$E$10+SQRT(T151*($G$10-$E$10)*($F$10-$E$10)),$G$10-SQRT((1-T151)*($G$10-$E$10)*($G$10-$F$10))))</f>
        <v>1.04389915149665</v>
      </c>
      <c r="G151" s="38" t="n">
        <f aca="false">IF($G$11=$E$11,$F$11,IF(U151&lt;($F$11-$E$11)/($G$11-$E$11),$E$11+SQRT(U151*($G$11-$E$11)*($F$11-$E$11)),$G$11-SQRT((1-U151)*($G$11-$E$11)*($G$11-$F$11))))</f>
        <v>0.099834677282751</v>
      </c>
      <c r="H151" s="39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-2087798302.9933</v>
      </c>
      <c r="I151" s="39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-33679795.200587</v>
      </c>
      <c r="J151" s="39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227845217.482894</v>
      </c>
      <c r="K151" s="39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541565187.741208</v>
      </c>
      <c r="L151" s="39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661006050.638101</v>
      </c>
      <c r="M151" s="39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838468273.317968</v>
      </c>
      <c r="N151" s="39" t="n">
        <f aca="false">IF(COUNT('Business Case'!B11:G11)=0,"",H151+NPV(G151,I151:M151))</f>
        <v>-550231220.423584</v>
      </c>
      <c r="P151" s="40" t="n">
        <f aca="true">RAND()</f>
        <v>0.0198621360799138</v>
      </c>
      <c r="Q151" s="40" t="n">
        <f aca="true">RAND()</f>
        <v>0.741214709712835</v>
      </c>
      <c r="R151" s="40" t="n">
        <f aca="true">RAND()</f>
        <v>0.0328536676333843</v>
      </c>
      <c r="S151" s="40" t="n">
        <f aca="true">RAND()</f>
        <v>0.412096202480686</v>
      </c>
      <c r="T151" s="40" t="n">
        <f aca="true">RAND()</f>
        <v>0.433632536616001</v>
      </c>
      <c r="U151" s="40" t="n">
        <f aca="true">RAND()</f>
        <v>0.393414422910877</v>
      </c>
    </row>
    <row r="152" customFormat="false" ht="15" hidden="false" customHeight="false" outlineLevel="0" collapsed="false">
      <c r="A152" s="36" t="n">
        <v>72</v>
      </c>
      <c r="B152" s="37" t="n">
        <f aca="false">1+IF($G$6=$E$6,$F$6,IF(P152&lt;($F$6-$E$6)/($G$6-$E$6),$E$6+SQRT(P152*($G$6-$E$6)*($F$6-$E$6)),$G$6-SQRT((1-P152)*($G$6-$E$6)*($G$6-$F$6))))</f>
        <v>0.9257994840973</v>
      </c>
      <c r="C152" s="37" t="n">
        <f aca="false">1+IF($G$7=$E$7,$F$7,IF(Q152&lt;($F$7-$E$7)/($G$7-$E$7),$E$7+SQRT(Q152*($G$7-$E$7)*($F$7-$E$7)),$G$7-SQRT((1-Q152)*($G$7-$E$7)*($G$7-$F$7))))</f>
        <v>1.01782859588624</v>
      </c>
      <c r="D152" s="37" t="n">
        <f aca="false">1+IF($G$8=$E$8,$F$8,IF(R152&lt;($F$8-$E$8)/($G$8-$E$8),$E$8+SQRT(R152*($G$8-$E$8)*($F$8-$E$8)),$G$8-SQRT((1-R152)*($G$8-$E$8)*($G$8-$F$8))))</f>
        <v>1.06920292732678</v>
      </c>
      <c r="E152" s="37" t="n">
        <f aca="false">1+IF($G$9=$E$9,$F$9,IF(S152&lt;($F$9-$E$9)/($G$9-$E$9),$E$9+SQRT(S152*($G$9-$E$9)*($F$9-$E$9)),$G$9-SQRT((1-S152)*($G$9-$E$9)*($G$9-$F$9))))</f>
        <v>0.942644379655002</v>
      </c>
      <c r="F152" s="37" t="n">
        <f aca="false">1+IF($G$10=$E$10,$F$10,IF(T152&lt;($F$10-$E$10)/($G$10-$E$10),$E$10+SQRT(T152*($G$10-$E$10)*($F$10-$E$10)),$G$10-SQRT((1-T152)*($G$10-$E$10)*($G$10-$F$10))))</f>
        <v>1.10087605055225</v>
      </c>
      <c r="G152" s="38" t="n">
        <f aca="false">IF($G$11=$E$11,$F$11,IF(U152&lt;($F$11-$E$11)/($G$11-$E$11),$E$11+SQRT(U152*($G$11-$E$11)*($F$11-$E$11)),$G$11-SQRT((1-U152)*($G$11-$E$11)*($G$11-$F$11))))</f>
        <v>0.116204216269275</v>
      </c>
      <c r="H152" s="39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-2201752101.10449</v>
      </c>
      <c r="I152" s="39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-78269720.7625584</v>
      </c>
      <c r="J152" s="39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136441295.313304</v>
      </c>
      <c r="K152" s="39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406196113.916778</v>
      </c>
      <c r="L152" s="39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510332519.939568</v>
      </c>
      <c r="M152" s="39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689445890.259168</v>
      </c>
      <c r="N152" s="39" t="n">
        <f aca="false">IF(COUNT('Business Case'!B11:G11)=0,"",H152+NPV(G152,I152:M152))</f>
        <v>-1143613223.48844</v>
      </c>
      <c r="P152" s="40" t="n">
        <f aca="true">RAND()</f>
        <v>0.044374225312455</v>
      </c>
      <c r="Q152" s="40" t="n">
        <f aca="true">RAND()</f>
        <v>0.741195850882912</v>
      </c>
      <c r="R152" s="40" t="n">
        <f aca="true">RAND()</f>
        <v>0.936769354317361</v>
      </c>
      <c r="S152" s="40" t="n">
        <f aca="true">RAND()</f>
        <v>0.072741724646396</v>
      </c>
      <c r="T152" s="40" t="n">
        <f aca="true">RAND()</f>
        <v>0.703493969348052</v>
      </c>
      <c r="U152" s="40" t="n">
        <f aca="true">RAND()</f>
        <v>0.873117567503383</v>
      </c>
    </row>
    <row r="153" customFormat="false" ht="15" hidden="false" customHeight="false" outlineLevel="0" collapsed="false">
      <c r="A153" s="36" t="n">
        <v>73</v>
      </c>
      <c r="B153" s="37" t="n">
        <f aca="false">1+IF($G$6=$E$6,$F$6,IF(P153&lt;($F$6-$E$6)/($G$6-$E$6),$E$6+SQRT(P153*($G$6-$E$6)*($F$6-$E$6)),$G$6-SQRT((1-P153)*($G$6-$E$6)*($G$6-$F$6))))</f>
        <v>0.972883348082718</v>
      </c>
      <c r="C153" s="37" t="n">
        <f aca="false">1+IF($G$7=$E$7,$F$7,IF(Q153&lt;($F$7-$E$7)/($G$7-$E$7),$E$7+SQRT(Q153*($G$7-$E$7)*($F$7-$E$7)),$G$7-SQRT((1-Q153)*($G$7-$E$7)*($G$7-$F$7))))</f>
        <v>0.849709807739408</v>
      </c>
      <c r="D153" s="37" t="n">
        <f aca="false">1+IF($G$8=$E$8,$F$8,IF(R153&lt;($F$8-$E$8)/($G$8-$E$8),$E$8+SQRT(R153*($G$8-$E$8)*($F$8-$E$8)),$G$8-SQRT((1-R153)*($G$8-$E$8)*($G$8-$F$8))))</f>
        <v>0.994136207292324</v>
      </c>
      <c r="E153" s="37" t="n">
        <f aca="false">1+IF($G$9=$E$9,$F$9,IF(S153&lt;($F$9-$E$9)/($G$9-$E$9),$E$9+SQRT(S153*($G$9-$E$9)*($F$9-$E$9)),$G$9-SQRT((1-S153)*($G$9-$E$9)*($G$9-$F$9))))</f>
        <v>0.999392344632831</v>
      </c>
      <c r="F153" s="37" t="n">
        <f aca="false">1+IF($G$10=$E$10,$F$10,IF(T153&lt;($F$10-$E$10)/($G$10-$E$10),$E$10+SQRT(T153*($G$10-$E$10)*($F$10-$E$10)),$G$10-SQRT((1-T153)*($G$10-$E$10)*($G$10-$F$10))))</f>
        <v>1.20074678884894</v>
      </c>
      <c r="G153" s="38" t="n">
        <f aca="false">IF($G$11=$E$11,$F$11,IF(U153&lt;($F$11-$E$11)/($G$11-$E$11),$E$11+SQRT(U153*($G$11-$E$11)*($F$11-$E$11)),$G$11-SQRT((1-U153)*($G$11-$E$11)*($G$11-$F$11))))</f>
        <v>0.0867965424262702</v>
      </c>
      <c r="H153" s="39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-2401493577.69788</v>
      </c>
      <c r="I153" s="39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-60374518.3466701</v>
      </c>
      <c r="J153" s="39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184293729.812634</v>
      </c>
      <c r="K153" s="39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488999317.414385</v>
      </c>
      <c r="L153" s="39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599125064.277015</v>
      </c>
      <c r="M153" s="39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756258217.062752</v>
      </c>
      <c r="N153" s="39" t="n">
        <f aca="false">IF(COUNT('Business Case'!B11:G11)=0,"",H153+NPV(G153,I153:M153))</f>
        <v>-991803553.903054</v>
      </c>
      <c r="P153" s="40" t="n">
        <f aca="true">RAND()</f>
        <v>0.354132161849771</v>
      </c>
      <c r="Q153" s="40" t="n">
        <f aca="true">RAND()</f>
        <v>0.166022418765707</v>
      </c>
      <c r="R153" s="40" t="n">
        <f aca="true">RAND()</f>
        <v>0.25973397255347</v>
      </c>
      <c r="S153" s="40" t="n">
        <f aca="true">RAND()</f>
        <v>0.395153526864459</v>
      </c>
      <c r="T153" s="40" t="n">
        <f aca="true">RAND()</f>
        <v>0.967654949217452</v>
      </c>
      <c r="U153" s="40" t="n">
        <f aca="true">RAND()</f>
        <v>0.0461929889520912</v>
      </c>
    </row>
    <row r="154" customFormat="false" ht="15" hidden="false" customHeight="false" outlineLevel="0" collapsed="false">
      <c r="A154" s="36" t="n">
        <v>74</v>
      </c>
      <c r="B154" s="37" t="n">
        <f aca="false">1+IF($G$6=$E$6,$F$6,IF(P154&lt;($F$6-$E$6)/($G$6-$E$6),$E$6+SQRT(P154*($G$6-$E$6)*($F$6-$E$6)),$G$6-SQRT((1-P154)*($G$6-$E$6)*($G$6-$F$6))))</f>
        <v>1.03688360961845</v>
      </c>
      <c r="C154" s="37" t="n">
        <f aca="false">1+IF($G$7=$E$7,$F$7,IF(Q154&lt;($F$7-$E$7)/($G$7-$E$7),$E$7+SQRT(Q154*($G$7-$E$7)*($F$7-$E$7)),$G$7-SQRT((1-Q154)*($G$7-$E$7)*($G$7-$F$7))))</f>
        <v>1.00719840773918</v>
      </c>
      <c r="D154" s="37" t="n">
        <f aca="false">1+IF($G$8=$E$8,$F$8,IF(R154&lt;($F$8-$E$8)/($G$8-$E$8),$E$8+SQRT(R154*($G$8-$E$8)*($F$8-$E$8)),$G$8-SQRT((1-R154)*($G$8-$E$8)*($G$8-$F$8))))</f>
        <v>1.02974087412872</v>
      </c>
      <c r="E154" s="37" t="n">
        <f aca="false">1+IF($G$9=$E$9,$F$9,IF(S154&lt;($F$9-$E$9)/($G$9-$E$9),$E$9+SQRT(S154*($G$9-$E$9)*($F$9-$E$9)),$G$9-SQRT((1-S154)*($G$9-$E$9)*($G$9-$F$9))))</f>
        <v>1.11133340534342</v>
      </c>
      <c r="F154" s="37" t="n">
        <f aca="false">1+IF($G$10=$E$10,$F$10,IF(T154&lt;($F$10-$E$10)/($G$10-$E$10),$E$10+SQRT(T154*($G$10-$E$10)*($F$10-$E$10)),$G$10-SQRT((1-T154)*($G$10-$E$10)*($G$10-$F$10))))</f>
        <v>1.15830227899171</v>
      </c>
      <c r="G154" s="38" t="n">
        <f aca="false">IF($G$11=$E$11,$F$11,IF(U154&lt;($F$11-$E$11)/($G$11-$E$11),$E$11+SQRT(U154*($G$11-$E$11)*($F$11-$E$11)),$G$11-SQRT((1-U154)*($G$11-$E$11)*($G$11-$F$11))))</f>
        <v>0.118422676126067</v>
      </c>
      <c r="H154" s="39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-2316604557.98342</v>
      </c>
      <c r="I154" s="39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-3544553.75916402</v>
      </c>
      <c r="J154" s="39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320911706.089544</v>
      </c>
      <c r="K154" s="39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703283079.887837</v>
      </c>
      <c r="L154" s="39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847527816.81665</v>
      </c>
      <c r="M154" s="39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1046037393.53582</v>
      </c>
      <c r="N154" s="39" t="n">
        <f aca="false">IF(COUNT('Business Case'!B11:G11)=0,"",H154+NPV(G154,I154:M154))</f>
        <v>-421107776.135351</v>
      </c>
      <c r="P154" s="40" t="n">
        <f aca="true">RAND()</f>
        <v>0.977061373781158</v>
      </c>
      <c r="Q154" s="40" t="n">
        <f aca="true">RAND()</f>
        <v>0.697891929596649</v>
      </c>
      <c r="R154" s="40" t="n">
        <f aca="true">RAND()</f>
        <v>0.670910348786896</v>
      </c>
      <c r="S154" s="40" t="n">
        <f aca="true">RAND()</f>
        <v>0.960130518871041</v>
      </c>
      <c r="T154" s="40" t="n">
        <f aca="true">RAND()</f>
        <v>0.887887039491814</v>
      </c>
      <c r="U154" s="40" t="n">
        <f aca="true">RAND()</f>
        <v>0.910643714612044</v>
      </c>
    </row>
    <row r="155" customFormat="false" ht="15" hidden="false" customHeight="false" outlineLevel="0" collapsed="false">
      <c r="A155" s="36" t="n">
        <v>75</v>
      </c>
      <c r="B155" s="37" t="n">
        <f aca="false">1+IF($G$6=$E$6,$F$6,IF(P155&lt;($F$6-$E$6)/($G$6-$E$6),$E$6+SQRT(P155*($G$6-$E$6)*($F$6-$E$6)),$G$6-SQRT((1-P155)*($G$6-$E$6)*($G$6-$F$6))))</f>
        <v>0.989482767202977</v>
      </c>
      <c r="C155" s="37" t="n">
        <f aca="false">1+IF($G$7=$E$7,$F$7,IF(Q155&lt;($F$7-$E$7)/($G$7-$E$7),$E$7+SQRT(Q155*($G$7-$E$7)*($F$7-$E$7)),$G$7-SQRT((1-Q155)*($G$7-$E$7)*($G$7-$F$7))))</f>
        <v>0.933249570323778</v>
      </c>
      <c r="D155" s="37" t="n">
        <f aca="false">1+IF($G$8=$E$8,$F$8,IF(R155&lt;($F$8-$E$8)/($G$8-$E$8),$E$8+SQRT(R155*($G$8-$E$8)*($F$8-$E$8)),$G$8-SQRT((1-R155)*($G$8-$E$8)*($G$8-$F$8))))</f>
        <v>1.04632566082838</v>
      </c>
      <c r="E155" s="37" t="n">
        <f aca="false">1+IF($G$9=$E$9,$F$9,IF(S155&lt;($F$9-$E$9)/($G$9-$E$9),$E$9+SQRT(S155*($G$9-$E$9)*($F$9-$E$9)),$G$9-SQRT((1-S155)*($G$9-$E$9)*($G$9-$F$9))))</f>
        <v>1.08150780949491</v>
      </c>
      <c r="F155" s="37" t="n">
        <f aca="false">1+IF($G$10=$E$10,$F$10,IF(T155&lt;($F$10-$E$10)/($G$10-$E$10),$E$10+SQRT(T155*($G$10-$E$10)*($F$10-$E$10)),$G$10-SQRT((1-T155)*($G$10-$E$10)*($G$10-$F$10))))</f>
        <v>1.01080683738492</v>
      </c>
      <c r="G155" s="38" t="n">
        <f aca="false">IF($G$11=$E$11,$F$11,IF(U155&lt;($F$11-$E$11)/($G$11-$E$11),$E$11+SQRT(U155*($G$11-$E$11)*($F$11-$E$11)),$G$11-SQRT((1-U155)*($G$11-$E$11)*($G$11-$F$11))))</f>
        <v>0.0984787454140558</v>
      </c>
      <c r="H155" s="39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-2021613674.76984</v>
      </c>
      <c r="I155" s="39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-46263861.4657179</v>
      </c>
      <c r="J155" s="39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210214208.919877</v>
      </c>
      <c r="K155" s="39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517232621.174719</v>
      </c>
      <c r="L155" s="39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634639203.038347</v>
      </c>
      <c r="M155" s="39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810165607.581376</v>
      </c>
      <c r="N155" s="39" t="n">
        <f aca="false">IF(COUNT('Business Case'!B11:G11)=0,"",H155+NPV(G155,I155:M155))</f>
        <v>-556881078.485883</v>
      </c>
      <c r="P155" s="40" t="n">
        <f aca="true">RAND()</f>
        <v>0.533811041753479</v>
      </c>
      <c r="Q155" s="40" t="n">
        <f aca="true">RAND()</f>
        <v>0.403002681897978</v>
      </c>
      <c r="R155" s="40" t="n">
        <f aca="true">RAND()</f>
        <v>0.80793768763267</v>
      </c>
      <c r="S155" s="40" t="n">
        <f aca="true">RAND()</f>
        <v>0.874901862395069</v>
      </c>
      <c r="T155" s="40" t="n">
        <f aca="true">RAND()</f>
        <v>0.237155079442609</v>
      </c>
      <c r="U155" s="40" t="n">
        <f aca="true">RAND()</f>
        <v>0.341464032077486</v>
      </c>
    </row>
    <row r="156" customFormat="false" ht="15" hidden="false" customHeight="false" outlineLevel="0" collapsed="false">
      <c r="A156" s="36" t="n">
        <v>76</v>
      </c>
      <c r="B156" s="37" t="n">
        <f aca="false">1+IF($G$6=$E$6,$F$6,IF(P156&lt;($F$6-$E$6)/($G$6-$E$6),$E$6+SQRT(P156*($G$6-$E$6)*($F$6-$E$6)),$G$6-SQRT((1-P156)*($G$6-$E$6)*($G$6-$F$6))))</f>
        <v>0.927015954796756</v>
      </c>
      <c r="C156" s="37" t="n">
        <f aca="false">1+IF($G$7=$E$7,$F$7,IF(Q156&lt;($F$7-$E$7)/($G$7-$E$7),$E$7+SQRT(Q156*($G$7-$E$7)*($F$7-$E$7)),$G$7-SQRT((1-Q156)*($G$7-$E$7)*($G$7-$F$7))))</f>
        <v>1.10410379410321</v>
      </c>
      <c r="D156" s="37" t="n">
        <f aca="false">1+IF($G$8=$E$8,$F$8,IF(R156&lt;($F$8-$E$8)/($G$8-$E$8),$E$8+SQRT(R156*($G$8-$E$8)*($F$8-$E$8)),$G$8-SQRT((1-R156)*($G$8-$E$8)*($G$8-$F$8))))</f>
        <v>0.983060940324477</v>
      </c>
      <c r="E156" s="37" t="n">
        <f aca="false">1+IF($G$9=$E$9,$F$9,IF(S156&lt;($F$9-$E$9)/($G$9-$E$9),$E$9+SQRT(S156*($G$9-$E$9)*($F$9-$E$9)),$G$9-SQRT((1-S156)*($G$9-$E$9)*($G$9-$F$9))))</f>
        <v>1.11981216895115</v>
      </c>
      <c r="F156" s="37" t="n">
        <f aca="false">1+IF($G$10=$E$10,$F$10,IF(T156&lt;($F$10-$E$10)/($G$10-$E$10),$E$10+SQRT(T156*($G$10-$E$10)*($F$10-$E$10)),$G$10-SQRT((1-T156)*($G$10-$E$10)*($G$10-$F$10))))</f>
        <v>0.992696289210539</v>
      </c>
      <c r="G156" s="38" t="n">
        <f aca="false">IF($G$11=$E$11,$F$11,IF(U156&lt;($F$11-$E$11)/($G$11-$E$11),$E$11+SQRT(U156*($G$11-$E$11)*($F$11-$E$11)),$G$11-SQRT((1-U156)*($G$11-$E$11)*($G$11-$F$11))))</f>
        <v>0.0983990825636402</v>
      </c>
      <c r="H156" s="39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-1985392578.42108</v>
      </c>
      <c r="I156" s="39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-28866857.1445474</v>
      </c>
      <c r="J156" s="39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253832576.873588</v>
      </c>
      <c r="K156" s="39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586166825.35225</v>
      </c>
      <c r="L156" s="39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715772884.569478</v>
      </c>
      <c r="M156" s="39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910323914.564318</v>
      </c>
      <c r="N156" s="39" t="n">
        <f aca="false">IF(COUNT('Business Case'!B11:G11)=0,"",H156+NPV(G156,I156:M156))</f>
        <v>-297848558.026853</v>
      </c>
      <c r="P156" s="40" t="n">
        <f aca="true">RAND()</f>
        <v>0.0486574542386918</v>
      </c>
      <c r="Q156" s="40" t="n">
        <f aca="true">RAND()</f>
        <v>0.968793159767109</v>
      </c>
      <c r="R156" s="40" t="n">
        <f aca="true">RAND()</f>
        <v>0.145736770018482</v>
      </c>
      <c r="S156" s="40" t="n">
        <f aca="true">RAND()</f>
        <v>0.975698529508433</v>
      </c>
      <c r="T156" s="40" t="n">
        <f aca="true">RAND()</f>
        <v>0.121531540823332</v>
      </c>
      <c r="U156" s="40" t="n">
        <f aca="true">RAND()</f>
        <v>0.338526239183648</v>
      </c>
    </row>
    <row r="157" customFormat="false" ht="15" hidden="false" customHeight="false" outlineLevel="0" collapsed="false">
      <c r="A157" s="36" t="n">
        <v>77</v>
      </c>
      <c r="B157" s="37" t="n">
        <f aca="false">1+IF($G$6=$E$6,$F$6,IF(P157&lt;($F$6-$E$6)/($G$6-$E$6),$E$6+SQRT(P157*($G$6-$E$6)*($F$6-$E$6)),$G$6-SQRT((1-P157)*($G$6-$E$6)*($G$6-$F$6))))</f>
        <v>0.903134474761589</v>
      </c>
      <c r="C157" s="37" t="n">
        <f aca="false">1+IF($G$7=$E$7,$F$7,IF(Q157&lt;($F$7-$E$7)/($G$7-$E$7),$E$7+SQRT(Q157*($G$7-$E$7)*($F$7-$E$7)),$G$7-SQRT((1-Q157)*($G$7-$E$7)*($G$7-$F$7))))</f>
        <v>0.93287468752154</v>
      </c>
      <c r="D157" s="37" t="n">
        <f aca="false">1+IF($G$8=$E$8,$F$8,IF(R157&lt;($F$8-$E$8)/($G$8-$E$8),$E$8+SQRT(R157*($G$8-$E$8)*($F$8-$E$8)),$G$8-SQRT((1-R157)*($G$8-$E$8)*($G$8-$F$8))))</f>
        <v>0.990547940735978</v>
      </c>
      <c r="E157" s="37" t="n">
        <f aca="false">1+IF($G$9=$E$9,$F$9,IF(S157&lt;($F$9-$E$9)/($G$9-$E$9),$E$9+SQRT(S157*($G$9-$E$9)*($F$9-$E$9)),$G$9-SQRT((1-S157)*($G$9-$E$9)*($G$9-$F$9))))</f>
        <v>1.0167269299606</v>
      </c>
      <c r="F157" s="37" t="n">
        <f aca="false">1+IF($G$10=$E$10,$F$10,IF(T157&lt;($F$10-$E$10)/($G$10-$E$10),$E$10+SQRT(T157*($G$10-$E$10)*($F$10-$E$10)),$G$10-SQRT((1-T157)*($G$10-$E$10)*($G$10-$F$10))))</f>
        <v>1.06639833417537</v>
      </c>
      <c r="G157" s="38" t="n">
        <f aca="false">IF($G$11=$E$11,$F$11,IF(U157&lt;($F$11-$E$11)/($G$11-$E$11),$E$11+SQRT(U157*($G$11-$E$11)*($F$11-$E$11)),$G$11-SQRT((1-U157)*($G$11-$E$11)*($G$11-$F$11))))</f>
        <v>0.0969285967473728</v>
      </c>
      <c r="H157" s="39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-2132796668.35075</v>
      </c>
      <c r="I157" s="39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-77860091.0775191</v>
      </c>
      <c r="J157" s="39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139174006.02487</v>
      </c>
      <c r="K157" s="39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409528019.836029</v>
      </c>
      <c r="L157" s="39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510989909.084808</v>
      </c>
      <c r="M157" s="39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671134455.265381</v>
      </c>
      <c r="N157" s="39" t="n">
        <f aca="false">IF(COUNT('Business Case'!B11:G11)=0,"",H157+NPV(G157,I157:M157))</f>
        <v>-1002308699.75754</v>
      </c>
      <c r="P157" s="40" t="n">
        <f aca="true">RAND()</f>
        <v>0.00065499546873566</v>
      </c>
      <c r="Q157" s="40" t="n">
        <f aca="true">RAND()</f>
        <v>0.401708296950037</v>
      </c>
      <c r="R157" s="40" t="n">
        <f aca="true">RAND()</f>
        <v>0.219218066390449</v>
      </c>
      <c r="S157" s="40" t="n">
        <f aca="true">RAND()</f>
        <v>0.526354368060594</v>
      </c>
      <c r="T157" s="40" t="n">
        <f aca="true">RAND()</f>
        <v>0.550539044085631</v>
      </c>
      <c r="U157" s="40" t="n">
        <f aca="true">RAND()</f>
        <v>0.286577387835159</v>
      </c>
    </row>
    <row r="158" customFormat="false" ht="15" hidden="false" customHeight="false" outlineLevel="0" collapsed="false">
      <c r="A158" s="36" t="n">
        <v>78</v>
      </c>
      <c r="B158" s="37" t="n">
        <f aca="false">1+IF($G$6=$E$6,$F$6,IF(P158&lt;($F$6-$E$6)/($G$6-$E$6),$E$6+SQRT(P158*($G$6-$E$6)*($F$6-$E$6)),$G$6-SQRT((1-P158)*($G$6-$E$6)*($G$6-$F$6))))</f>
        <v>1.02569260369951</v>
      </c>
      <c r="C158" s="37" t="n">
        <f aca="false">1+IF($G$7=$E$7,$F$7,IF(Q158&lt;($F$7-$E$7)/($G$7-$E$7),$E$7+SQRT(Q158*($G$7-$E$7)*($F$7-$E$7)),$G$7-SQRT((1-Q158)*($G$7-$E$7)*($G$7-$F$7))))</f>
        <v>0.934747693692235</v>
      </c>
      <c r="D158" s="37" t="n">
        <f aca="false">1+IF($G$8=$E$8,$F$8,IF(R158&lt;($F$8-$E$8)/($G$8-$E$8),$E$8+SQRT(R158*($G$8-$E$8)*($F$8-$E$8)),$G$8-SQRT((1-R158)*($G$8-$E$8)*($G$8-$F$8))))</f>
        <v>1.00698011776257</v>
      </c>
      <c r="E158" s="37" t="n">
        <f aca="false">1+IF($G$9=$E$9,$F$9,IF(S158&lt;($F$9-$E$9)/($G$9-$E$9),$E$9+SQRT(S158*($G$9-$E$9)*($F$9-$E$9)),$G$9-SQRT((1-S158)*($G$9-$E$9)*($G$9-$F$9))))</f>
        <v>1.06255542886256</v>
      </c>
      <c r="F158" s="37" t="n">
        <f aca="false">1+IF($G$10=$E$10,$F$10,IF(T158&lt;($F$10-$E$10)/($G$10-$E$10),$E$10+SQRT(T158*($G$10-$E$10)*($F$10-$E$10)),$G$10-SQRT((1-T158)*($G$10-$E$10)*($G$10-$F$10))))</f>
        <v>1.03064357221148</v>
      </c>
      <c r="G158" s="38" t="n">
        <f aca="false">IF($G$11=$E$11,$F$11,IF(U158&lt;($F$11-$E$11)/($G$11-$E$11),$E$11+SQRT(U158*($G$11-$E$11)*($F$11-$E$11)),$G$11-SQRT((1-U158)*($G$11-$E$11)*($G$11-$F$11))))</f>
        <v>0.099590898229581</v>
      </c>
      <c r="H158" s="39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-2061287144.42297</v>
      </c>
      <c r="I158" s="39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-421612.329054743</v>
      </c>
      <c r="J158" s="39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303018829.718731</v>
      </c>
      <c r="K158" s="39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657991450.377092</v>
      </c>
      <c r="L158" s="39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792273141.173978</v>
      </c>
      <c r="M158" s="39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974514963.469244</v>
      </c>
      <c r="N158" s="39" t="n">
        <f aca="false">IF(COUNT('Business Case'!B11:G11)=0,"",H158+NPV(G158,I158:M158))</f>
        <v>-167982144.691364</v>
      </c>
      <c r="P158" s="40" t="n">
        <f aca="true">RAND()</f>
        <v>0.921220064678767</v>
      </c>
      <c r="Q158" s="40" t="n">
        <f aca="true">RAND()</f>
        <v>0.408196145880172</v>
      </c>
      <c r="R158" s="40" t="n">
        <f aca="true">RAND()</f>
        <v>0.423153433902335</v>
      </c>
      <c r="S158" s="40" t="n">
        <f aca="true">RAND()</f>
        <v>0.796091919429055</v>
      </c>
      <c r="T158" s="40" t="n">
        <f aca="true">RAND()</f>
        <v>0.358436767838154</v>
      </c>
      <c r="U158" s="40" t="n">
        <f aca="true">RAND()</f>
        <v>0.383803293441798</v>
      </c>
    </row>
    <row r="159" customFormat="false" ht="15" hidden="false" customHeight="false" outlineLevel="0" collapsed="false">
      <c r="A159" s="36" t="n">
        <v>79</v>
      </c>
      <c r="B159" s="37" t="n">
        <f aca="false">1+IF($G$6=$E$6,$F$6,IF(P159&lt;($F$6-$E$6)/($G$6-$E$6),$E$6+SQRT(P159*($G$6-$E$6)*($F$6-$E$6)),$G$6-SQRT((1-P159)*($G$6-$E$6)*($G$6-$F$6))))</f>
        <v>1.01813321757127</v>
      </c>
      <c r="C159" s="37" t="n">
        <f aca="false">1+IF($G$7=$E$7,$F$7,IF(Q159&lt;($F$7-$E$7)/($G$7-$E$7),$E$7+SQRT(Q159*($G$7-$E$7)*($F$7-$E$7)),$G$7-SQRT((1-Q159)*($G$7-$E$7)*($G$7-$F$7))))</f>
        <v>0.888707378464348</v>
      </c>
      <c r="D159" s="37" t="n">
        <f aca="false">1+IF($G$8=$E$8,$F$8,IF(R159&lt;($F$8-$E$8)/($G$8-$E$8),$E$8+SQRT(R159*($G$8-$E$8)*($F$8-$E$8)),$G$8-SQRT((1-R159)*($G$8-$E$8)*($G$8-$F$8))))</f>
        <v>1.01874600031749</v>
      </c>
      <c r="E159" s="37" t="n">
        <f aca="false">1+IF($G$9=$E$9,$F$9,IF(S159&lt;($F$9-$E$9)/($G$9-$E$9),$E$9+SQRT(S159*($G$9-$E$9)*($F$9-$E$9)),$G$9-SQRT((1-S159)*($G$9-$E$9)*($G$9-$F$9))))</f>
        <v>0.961472942929658</v>
      </c>
      <c r="F159" s="37" t="n">
        <f aca="false">1+IF($G$10=$E$10,$F$10,IF(T159&lt;($F$10-$E$10)/($G$10-$E$10),$E$10+SQRT(T159*($G$10-$E$10)*($F$10-$E$10)),$G$10-SQRT((1-T159)*($G$10-$E$10)*($G$10-$F$10))))</f>
        <v>1.00273492168899</v>
      </c>
      <c r="G159" s="38" t="n">
        <f aca="false">IF($G$11=$E$11,$F$11,IF(U159&lt;($F$11-$E$11)/($G$11-$E$11),$E$11+SQRT(U159*($G$11-$E$11)*($F$11-$E$11)),$G$11-SQRT((1-U159)*($G$11-$E$11)*($G$11-$F$11))))</f>
        <v>0.0837790459763664</v>
      </c>
      <c r="H159" s="39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-2005469843.37798</v>
      </c>
      <c r="I159" s="39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-6261685.56205539</v>
      </c>
      <c r="J159" s="39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271377572.070143</v>
      </c>
      <c r="K159" s="39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599153575.786792</v>
      </c>
      <c r="L159" s="39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722970660.691363</v>
      </c>
      <c r="M159" s="39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894959322.007475</v>
      </c>
      <c r="N159" s="39" t="n">
        <f aca="false">IF(COUNT('Business Case'!B11:G11)=0,"",H159+NPV(G159,I159:M159))</f>
        <v>-186954728.027721</v>
      </c>
      <c r="P159" s="40" t="n">
        <f aca="true">RAND()</f>
        <v>0.864601090352008</v>
      </c>
      <c r="Q159" s="40" t="n">
        <f aca="true">RAND()</f>
        <v>0.263781293976938</v>
      </c>
      <c r="R159" s="40" t="n">
        <f aca="true">RAND()</f>
        <v>0.559852502372963</v>
      </c>
      <c r="S159" s="40" t="n">
        <f aca="true">RAND()</f>
        <v>0.151156908497321</v>
      </c>
      <c r="T159" s="40" t="n">
        <f aca="true">RAND()</f>
        <v>0.184799747304671</v>
      </c>
      <c r="U159" s="40" t="n">
        <f aca="true">RAND()</f>
        <v>0.0142811884914912</v>
      </c>
    </row>
    <row r="160" customFormat="false" ht="15" hidden="false" customHeight="false" outlineLevel="0" collapsed="false">
      <c r="A160" s="36" t="n">
        <v>80</v>
      </c>
      <c r="B160" s="37" t="n">
        <f aca="false">1+IF($G$6=$E$6,$F$6,IF(P160&lt;($F$6-$E$6)/($G$6-$E$6),$E$6+SQRT(P160*($G$6-$E$6)*($F$6-$E$6)),$G$6-SQRT((1-P160)*($G$6-$E$6)*($G$6-$F$6))))</f>
        <v>0.957029582084387</v>
      </c>
      <c r="C160" s="37" t="n">
        <f aca="false">1+IF($G$7=$E$7,$F$7,IF(Q160&lt;($F$7-$E$7)/($G$7-$E$7),$E$7+SQRT(Q160*($G$7-$E$7)*($F$7-$E$7)),$G$7-SQRT((1-Q160)*($G$7-$E$7)*($G$7-$F$7))))</f>
        <v>0.900724114502197</v>
      </c>
      <c r="D160" s="37" t="n">
        <f aca="false">1+IF($G$8=$E$8,$F$8,IF(R160&lt;($F$8-$E$8)/($G$8-$E$8),$E$8+SQRT(R160*($G$8-$E$8)*($F$8-$E$8)),$G$8-SQRT((1-R160)*($G$8-$E$8)*($G$8-$F$8))))</f>
        <v>1.05398410348646</v>
      </c>
      <c r="E160" s="37" t="n">
        <f aca="false">1+IF($G$9=$E$9,$F$9,IF(S160&lt;($F$9-$E$9)/($G$9-$E$9),$E$9+SQRT(S160*($G$9-$E$9)*($F$9-$E$9)),$G$9-SQRT((1-S160)*($G$9-$E$9)*($G$9-$F$9))))</f>
        <v>1.06173307664737</v>
      </c>
      <c r="F160" s="37" t="n">
        <f aca="false">1+IF($G$10=$E$10,$F$10,IF(T160&lt;($F$10-$E$10)/($G$10-$E$10),$E$10+SQRT(T160*($G$10-$E$10)*($F$10-$E$10)),$G$10-SQRT((1-T160)*($G$10-$E$10)*($G$10-$F$10))))</f>
        <v>0.991730361396194</v>
      </c>
      <c r="G160" s="38" t="n">
        <f aca="false">IF($G$11=$E$11,$F$11,IF(U160&lt;($F$11-$E$11)/($G$11-$E$11),$E$11+SQRT(U160*($G$11-$E$11)*($F$11-$E$11)),$G$11-SQRT((1-U160)*($G$11-$E$11)*($G$11-$F$11))))</f>
        <v>0.0975965659956203</v>
      </c>
      <c r="H160" s="39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-1983460722.79239</v>
      </c>
      <c r="I160" s="39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-74773128.3649596</v>
      </c>
      <c r="J160" s="39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145292320.158816</v>
      </c>
      <c r="K160" s="39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414944286.752401</v>
      </c>
      <c r="L160" s="39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518090834.426899</v>
      </c>
      <c r="M160" s="39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681943524.343048</v>
      </c>
      <c r="N160" s="39" t="n">
        <f aca="false">IF(COUNT('Business Case'!B11:G11)=0,"",H160+NPV(G160,I160:M160))</f>
        <v>-832113873.645544</v>
      </c>
      <c r="P160" s="40" t="n">
        <f aca="true">RAND()</f>
        <v>0.216824882181324</v>
      </c>
      <c r="Q160" s="40" t="n">
        <f aca="true">RAND()</f>
        <v>0.298445704760673</v>
      </c>
      <c r="R160" s="40" t="n">
        <f aca="true">RAND()</f>
        <v>0.858835817870328</v>
      </c>
      <c r="S160" s="40" t="n">
        <f aca="true">RAND()</f>
        <v>0.792238673116311</v>
      </c>
      <c r="T160" s="40" t="n">
        <f aca="true">RAND()</f>
        <v>0.116094870817132</v>
      </c>
      <c r="U160" s="40" t="n">
        <f aca="true">RAND()</f>
        <v>0.309639134838219</v>
      </c>
    </row>
    <row r="161" customFormat="false" ht="15" hidden="false" customHeight="false" outlineLevel="0" collapsed="false">
      <c r="A161" s="36" t="n">
        <v>81</v>
      </c>
      <c r="B161" s="37" t="n">
        <f aca="false">1+IF($G$6=$E$6,$F$6,IF(P161&lt;($F$6-$E$6)/($G$6-$E$6),$E$6+SQRT(P161*($G$6-$E$6)*($F$6-$E$6)),$G$6-SQRT((1-P161)*($G$6-$E$6)*($G$6-$F$6))))</f>
        <v>0.922367601461836</v>
      </c>
      <c r="C161" s="37" t="n">
        <f aca="false">1+IF($G$7=$E$7,$F$7,IF(Q161&lt;($F$7-$E$7)/($G$7-$E$7),$E$7+SQRT(Q161*($G$7-$E$7)*($F$7-$E$7)),$G$7-SQRT((1-Q161)*($G$7-$E$7)*($G$7-$F$7))))</f>
        <v>0.883371963155527</v>
      </c>
      <c r="D161" s="37" t="n">
        <f aca="false">1+IF($G$8=$E$8,$F$8,IF(R161&lt;($F$8-$E$8)/($G$8-$E$8),$E$8+SQRT(R161*($G$8-$E$8)*($F$8-$E$8)),$G$8-SQRT((1-R161)*($G$8-$E$8)*($G$8-$F$8))))</f>
        <v>0.979991023942628</v>
      </c>
      <c r="E161" s="37" t="n">
        <f aca="false">1+IF($G$9=$E$9,$F$9,IF(S161&lt;($F$9-$E$9)/($G$9-$E$9),$E$9+SQRT(S161*($G$9-$E$9)*($F$9-$E$9)),$G$9-SQRT((1-S161)*($G$9-$E$9)*($G$9-$F$9))))</f>
        <v>0.977326302121301</v>
      </c>
      <c r="F161" s="37" t="n">
        <f aca="false">1+IF($G$10=$E$10,$F$10,IF(T161&lt;($F$10-$E$10)/($G$10-$E$10),$E$10+SQRT(T161*($G$10-$E$10)*($F$10-$E$10)),$G$10-SQRT((1-T161)*($G$10-$E$10)*($G$10-$F$10))))</f>
        <v>1.20113285130219</v>
      </c>
      <c r="G161" s="38" t="n">
        <f aca="false">IF($G$11=$E$11,$F$11,IF(U161&lt;($F$11-$E$11)/($G$11-$E$11),$E$11+SQRT(U161*($G$11-$E$11)*($F$11-$E$11)),$G$11-SQRT((1-U161)*($G$11-$E$11)*($G$11-$F$11))))</f>
        <v>0.111510740438207</v>
      </c>
      <c r="H161" s="39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-2402265702.60437</v>
      </c>
      <c r="I161" s="39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-77120702.2333127</v>
      </c>
      <c r="J161" s="39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147086585.137054</v>
      </c>
      <c r="K161" s="39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431350515.072531</v>
      </c>
      <c r="L161" s="39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534245547.070527</v>
      </c>
      <c r="M161" s="39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689121529.547171</v>
      </c>
      <c r="N161" s="39" t="n">
        <f aca="false">IF(COUNT('Business Case'!B11:G11)=0,"",H161+NPV(G161,I161:M161))</f>
        <v>-1282276365.21351</v>
      </c>
      <c r="P161" s="40" t="n">
        <f aca="true">RAND()</f>
        <v>0.0333539730103684</v>
      </c>
      <c r="Q161" s="40" t="n">
        <f aca="true">RAND()</f>
        <v>0.249076124974162</v>
      </c>
      <c r="R161" s="40" t="n">
        <f aca="true">RAND()</f>
        <v>0.11992820228364</v>
      </c>
      <c r="S161" s="40" t="n">
        <f aca="true">RAND()</f>
        <v>0.239174279990189</v>
      </c>
      <c r="T161" s="40" t="n">
        <f aca="true">RAND()</f>
        <v>0.968160023708609</v>
      </c>
      <c r="U161" s="40" t="n">
        <f aca="true">RAND()</f>
        <v>0.772098187237763</v>
      </c>
    </row>
    <row r="162" customFormat="false" ht="15" hidden="false" customHeight="false" outlineLevel="0" collapsed="false">
      <c r="A162" s="36" t="n">
        <v>82</v>
      </c>
      <c r="B162" s="37" t="n">
        <f aca="false">1+IF($G$6=$E$6,$F$6,IF(P162&lt;($F$6-$E$6)/($G$6-$E$6),$E$6+SQRT(P162*($G$6-$E$6)*($F$6-$E$6)),$G$6-SQRT((1-P162)*($G$6-$E$6)*($G$6-$F$6))))</f>
        <v>0.943472332628065</v>
      </c>
      <c r="C162" s="37" t="n">
        <f aca="false">1+IF($G$7=$E$7,$F$7,IF(Q162&lt;($F$7-$E$7)/($G$7-$E$7),$E$7+SQRT(Q162*($G$7-$E$7)*($F$7-$E$7)),$G$7-SQRT((1-Q162)*($G$7-$E$7)*($G$7-$F$7))))</f>
        <v>1.11043869221915</v>
      </c>
      <c r="D162" s="37" t="n">
        <f aca="false">1+IF($G$8=$E$8,$F$8,IF(R162&lt;($F$8-$E$8)/($G$8-$E$8),$E$8+SQRT(R162*($G$8-$E$8)*($F$8-$E$8)),$G$8-SQRT((1-R162)*($G$8-$E$8)*($G$8-$F$8))))</f>
        <v>1.01652062640378</v>
      </c>
      <c r="E162" s="37" t="n">
        <f aca="false">1+IF($G$9=$E$9,$F$9,IF(S162&lt;($F$9-$E$9)/($G$9-$E$9),$E$9+SQRT(S162*($G$9-$E$9)*($F$9-$E$9)),$G$9-SQRT((1-S162)*($G$9-$E$9)*($G$9-$F$9))))</f>
        <v>0.938114371204412</v>
      </c>
      <c r="F162" s="37" t="n">
        <f aca="false">1+IF($G$10=$E$10,$F$10,IF(T162&lt;($F$10-$E$10)/($G$10-$E$10),$E$10+SQRT(T162*($G$10-$E$10)*($F$10-$E$10)),$G$10-SQRT((1-T162)*($G$10-$E$10)*($G$10-$F$10))))</f>
        <v>1.04720201383492</v>
      </c>
      <c r="G162" s="38" t="n">
        <f aca="false">IF($G$11=$E$11,$F$11,IF(U162&lt;($F$11-$E$11)/($G$11-$E$11),$E$11+SQRT(U162*($G$11-$E$11)*($F$11-$E$11)),$G$11-SQRT((1-U162)*($G$11-$E$11)*($G$11-$F$11))))</f>
        <v>0.0831736069663245</v>
      </c>
      <c r="H162" s="39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-2094404027.66984</v>
      </c>
      <c r="I162" s="39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-12162530.2566866</v>
      </c>
      <c r="J162" s="39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268106123.071876</v>
      </c>
      <c r="K162" s="39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600734877.092184</v>
      </c>
      <c r="L162" s="39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730365173.946031</v>
      </c>
      <c r="M162" s="39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929505942.206492</v>
      </c>
      <c r="N162" s="39" t="n">
        <f aca="false">IF(COUNT('Business Case'!B11:G11)=0,"",H162+NPV(G162,I162:M162))</f>
        <v>-250447418.337885</v>
      </c>
      <c r="P162" s="40" t="n">
        <f aca="true">RAND()</f>
        <v>0.125989580275008</v>
      </c>
      <c r="Q162" s="40" t="n">
        <f aca="true">RAND()</f>
        <v>0.976813376691385</v>
      </c>
      <c r="R162" s="40" t="n">
        <f aca="true">RAND()</f>
        <v>0.53541294559886</v>
      </c>
      <c r="S162" s="40" t="n">
        <f aca="true">RAND()</f>
        <v>0.0581082116923073</v>
      </c>
      <c r="T162" s="40" t="n">
        <f aca="true">RAND()</f>
        <v>0.451639690765167</v>
      </c>
      <c r="U162" s="40" t="n">
        <f aca="true">RAND()</f>
        <v>0.0100717811767034</v>
      </c>
    </row>
    <row r="163" customFormat="false" ht="15" hidden="false" customHeight="false" outlineLevel="0" collapsed="false">
      <c r="A163" s="36" t="n">
        <v>83</v>
      </c>
      <c r="B163" s="37" t="n">
        <f aca="false">1+IF($G$6=$E$6,$F$6,IF(P163&lt;($F$6-$E$6)/($G$6-$E$6),$E$6+SQRT(P163*($G$6-$E$6)*($F$6-$E$6)),$G$6-SQRT((1-P163)*($G$6-$E$6)*($G$6-$F$6))))</f>
        <v>0.924409109116468</v>
      </c>
      <c r="C163" s="37" t="n">
        <f aca="false">1+IF($G$7=$E$7,$F$7,IF(Q163&lt;($F$7-$E$7)/($G$7-$E$7),$E$7+SQRT(Q163*($G$7-$E$7)*($F$7-$E$7)),$G$7-SQRT((1-Q163)*($G$7-$E$7)*($G$7-$F$7))))</f>
        <v>0.805325226148814</v>
      </c>
      <c r="D163" s="37" t="n">
        <f aca="false">1+IF($G$8=$E$8,$F$8,IF(R163&lt;($F$8-$E$8)/($G$8-$E$8),$E$8+SQRT(R163*($G$8-$E$8)*($F$8-$E$8)),$G$8-SQRT((1-R163)*($G$8-$E$8)*($G$8-$F$8))))</f>
        <v>1.06841285510774</v>
      </c>
      <c r="E163" s="37" t="n">
        <f aca="false">1+IF($G$9=$E$9,$F$9,IF(S163&lt;($F$9-$E$9)/($G$9-$E$9),$E$9+SQRT(S163*($G$9-$E$9)*($F$9-$E$9)),$G$9-SQRT((1-S163)*($G$9-$E$9)*($G$9-$F$9))))</f>
        <v>0.940418029250694</v>
      </c>
      <c r="F163" s="37" t="n">
        <f aca="false">1+IF($G$10=$E$10,$F$10,IF(T163&lt;($F$10-$E$10)/($G$10-$E$10),$E$10+SQRT(T163*($G$10-$E$10)*($F$10-$E$10)),$G$10-SQRT((1-T163)*($G$10-$E$10)*($G$10-$F$10))))</f>
        <v>1.13870163342705</v>
      </c>
      <c r="G163" s="38" t="n">
        <f aca="false">IF($G$11=$E$11,$F$11,IF(U163&lt;($F$11-$E$11)/($G$11-$E$11),$E$11+SQRT(U163*($G$11-$E$11)*($F$11-$E$11)),$G$11-SQRT((1-U163)*($G$11-$E$11)*($G$11-$F$11))))</f>
        <v>0.0999223412661034</v>
      </c>
      <c r="H163" s="39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-2277403266.8541</v>
      </c>
      <c r="I163" s="39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-116897880.379507</v>
      </c>
      <c r="J163" s="39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52394133.0395324</v>
      </c>
      <c r="K163" s="39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278621228.129924</v>
      </c>
      <c r="L163" s="39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360780090.400532</v>
      </c>
      <c r="M163" s="39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502285141.620636</v>
      </c>
      <c r="N163" s="39" t="n">
        <f aca="false">IF(COUNT('Business Case'!B11:G11)=0,"",H163+NPV(G163,I163:M163))</f>
        <v>-1572520999.27661</v>
      </c>
      <c r="P163" s="40" t="n">
        <f aca="true">RAND()</f>
        <v>0.0397203071906411</v>
      </c>
      <c r="Q163" s="40" t="n">
        <f aca="true">RAND()</f>
        <v>0.0821733575059177</v>
      </c>
      <c r="R163" s="40" t="n">
        <f aca="true">RAND()</f>
        <v>0.933483485170353</v>
      </c>
      <c r="S163" s="40" t="n">
        <f aca="true">RAND()</f>
        <v>0.0653446835403971</v>
      </c>
      <c r="T163" s="40" t="n">
        <f aca="true">RAND()</f>
        <v>0.834835647975908</v>
      </c>
      <c r="U163" s="40" t="n">
        <f aca="true">RAND()</f>
        <v>0.396899681523085</v>
      </c>
    </row>
    <row r="164" customFormat="false" ht="15" hidden="false" customHeight="false" outlineLevel="0" collapsed="false">
      <c r="A164" s="36" t="n">
        <v>84</v>
      </c>
      <c r="B164" s="37" t="n">
        <f aca="false">1+IF($G$6=$E$6,$F$6,IF(P164&lt;($F$6-$E$6)/($G$6-$E$6),$E$6+SQRT(P164*($G$6-$E$6)*($F$6-$E$6)),$G$6-SQRT((1-P164)*($G$6-$E$6)*($G$6-$F$6))))</f>
        <v>0.956370605598291</v>
      </c>
      <c r="C164" s="37" t="n">
        <f aca="false">1+IF($G$7=$E$7,$F$7,IF(Q164&lt;($F$7-$E$7)/($G$7-$E$7),$E$7+SQRT(Q164*($G$7-$E$7)*($F$7-$E$7)),$G$7-SQRT((1-Q164)*($G$7-$E$7)*($G$7-$F$7))))</f>
        <v>1.08667910487536</v>
      </c>
      <c r="D164" s="37" t="n">
        <f aca="false">1+IF($G$8=$E$8,$F$8,IF(R164&lt;($F$8-$E$8)/($G$8-$E$8),$E$8+SQRT(R164*($G$8-$E$8)*($F$8-$E$8)),$G$8-SQRT((1-R164)*($G$8-$E$8)*($G$8-$F$8))))</f>
        <v>1.00291902353199</v>
      </c>
      <c r="E164" s="37" t="n">
        <f aca="false">1+IF($G$9=$E$9,$F$9,IF(S164&lt;($F$9-$E$9)/($G$9-$E$9),$E$9+SQRT(S164*($G$9-$E$9)*($F$9-$E$9)),$G$9-SQRT((1-S164)*($G$9-$E$9)*($G$9-$F$9))))</f>
        <v>1.02713163398282</v>
      </c>
      <c r="F164" s="37" t="n">
        <f aca="false">1+IF($G$10=$E$10,$F$10,IF(T164&lt;($F$10-$E$10)/($G$10-$E$10),$E$10+SQRT(T164*($G$10-$E$10)*($F$10-$E$10)),$G$10-SQRT((1-T164)*($G$10-$E$10)*($G$10-$F$10))))</f>
        <v>1.12849442748438</v>
      </c>
      <c r="G164" s="38" t="n">
        <f aca="false">IF($G$11=$E$11,$F$11,IF(U164&lt;($F$11-$E$11)/($G$11-$E$11),$E$11+SQRT(U164*($G$11-$E$11)*($F$11-$E$11)),$G$11-SQRT((1-U164)*($G$11-$E$11)*($G$11-$F$11))))</f>
        <v>0.106400834641299</v>
      </c>
      <c r="H164" s="39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-2256988854.96876</v>
      </c>
      <c r="I164" s="39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-19464529.5549239</v>
      </c>
      <c r="J164" s="39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273854152.706642</v>
      </c>
      <c r="K164" s="39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623597556.342427</v>
      </c>
      <c r="L164" s="39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757287550.906746</v>
      </c>
      <c r="M164" s="39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954831603.530962</v>
      </c>
      <c r="N164" s="39" t="n">
        <f aca="false">IF(COUNT('Business Case'!B11:G11)=0,"",H164+NPV(G164,I164:M164))</f>
        <v>-509138938.191948</v>
      </c>
      <c r="P164" s="40" t="n">
        <f aca="true">RAND()</f>
        <v>0.211843011701206</v>
      </c>
      <c r="Q164" s="40" t="n">
        <f aca="true">RAND()</f>
        <v>0.940599470231333</v>
      </c>
      <c r="R164" s="40" t="n">
        <f aca="true">RAND()</f>
        <v>0.371685600534448</v>
      </c>
      <c r="S164" s="40" t="n">
        <f aca="true">RAND()</f>
        <v>0.597423056860471</v>
      </c>
      <c r="T164" s="40" t="n">
        <f aca="true">RAND()</f>
        <v>0.803151944635357</v>
      </c>
      <c r="U164" s="40" t="n">
        <f aca="true">RAND()</f>
        <v>0.628719596248445</v>
      </c>
    </row>
    <row r="165" customFormat="false" ht="15" hidden="false" customHeight="false" outlineLevel="0" collapsed="false">
      <c r="A165" s="36" t="n">
        <v>85</v>
      </c>
      <c r="B165" s="37" t="n">
        <f aca="false">1+IF($G$6=$E$6,$F$6,IF(P165&lt;($F$6-$E$6)/($G$6-$E$6),$E$6+SQRT(P165*($G$6-$E$6)*($F$6-$E$6)),$G$6-SQRT((1-P165)*($G$6-$E$6)*($G$6-$F$6))))</f>
        <v>0.981306802506953</v>
      </c>
      <c r="C165" s="37" t="n">
        <f aca="false">1+IF($G$7=$E$7,$F$7,IF(Q165&lt;($F$7-$E$7)/($G$7-$E$7),$E$7+SQRT(Q165*($G$7-$E$7)*($F$7-$E$7)),$G$7-SQRT((1-Q165)*($G$7-$E$7)*($G$7-$F$7))))</f>
        <v>0.781100909069876</v>
      </c>
      <c r="D165" s="37" t="n">
        <f aca="false">1+IF($G$8=$E$8,$F$8,IF(R165&lt;($F$8-$E$8)/($G$8-$E$8),$E$8+SQRT(R165*($G$8-$E$8)*($F$8-$E$8)),$G$8-SQRT((1-R165)*($G$8-$E$8)*($G$8-$F$8))))</f>
        <v>1.0302837810931</v>
      </c>
      <c r="E165" s="37" t="n">
        <f aca="false">1+IF($G$9=$E$9,$F$9,IF(S165&lt;($F$9-$E$9)/($G$9-$E$9),$E$9+SQRT(S165*($G$9-$E$9)*($F$9-$E$9)),$G$9-SQRT((1-S165)*($G$9-$E$9)*($G$9-$F$9))))</f>
        <v>0.94683492950168</v>
      </c>
      <c r="F165" s="37" t="n">
        <f aca="false">1+IF($G$10=$E$10,$F$10,IF(T165&lt;($F$10-$E$10)/($G$10-$E$10),$E$10+SQRT(T165*($G$10-$E$10)*($F$10-$E$10)),$G$10-SQRT((1-T165)*($G$10-$E$10)*($G$10-$F$10))))</f>
        <v>0.992745533926195</v>
      </c>
      <c r="G165" s="38" t="n">
        <f aca="false">IF($G$11=$E$11,$F$11,IF(U165&lt;($F$11-$E$11)/($G$11-$E$11),$E$11+SQRT(U165*($G$11-$E$11)*($F$11-$E$11)),$G$11-SQRT((1-U165)*($G$11-$E$11)*($G$11-$F$11))))</f>
        <v>0.101202475080135</v>
      </c>
      <c r="H165" s="39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-1985491067.85239</v>
      </c>
      <c r="I165" s="39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-57801917.7467796</v>
      </c>
      <c r="J165" s="39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158045985.979278</v>
      </c>
      <c r="K165" s="39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423531166.401645</v>
      </c>
      <c r="L165" s="39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521970695.047049</v>
      </c>
      <c r="M165" s="39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667666945.765671</v>
      </c>
      <c r="N165" s="39" t="n">
        <f aca="false">IF(COUNT('Business Case'!B11:G11)=0,"",H165+NPV(G165,I165:M165))</f>
        <v>-823217040.833598</v>
      </c>
      <c r="P165" s="40" t="n">
        <f aca="true">RAND()</f>
        <v>0.44071974226031</v>
      </c>
      <c r="Q165" s="40" t="n">
        <f aca="true">RAND()</f>
        <v>0.0487211663108169</v>
      </c>
      <c r="R165" s="40" t="n">
        <f aca="true">RAND()</f>
        <v>0.675976588088349</v>
      </c>
      <c r="S165" s="40" t="n">
        <f aca="true">RAND()</f>
        <v>0.0877404248570913</v>
      </c>
      <c r="T165" s="40" t="n">
        <f aca="true">RAND()</f>
        <v>0.12181204470903</v>
      </c>
      <c r="U165" s="40" t="n">
        <f aca="true">RAND()</f>
        <v>0.447135038993187</v>
      </c>
    </row>
    <row r="166" customFormat="false" ht="15" hidden="false" customHeight="false" outlineLevel="0" collapsed="false">
      <c r="A166" s="36" t="n">
        <v>86</v>
      </c>
      <c r="B166" s="37" t="n">
        <f aca="false">1+IF($G$6=$E$6,$F$6,IF(P166&lt;($F$6-$E$6)/($G$6-$E$6),$E$6+SQRT(P166*($G$6-$E$6)*($F$6-$E$6)),$G$6-SQRT((1-P166)*($G$6-$E$6)*($G$6-$F$6))))</f>
        <v>1.02980278288139</v>
      </c>
      <c r="C166" s="37" t="n">
        <f aca="false">1+IF($G$7=$E$7,$F$7,IF(Q166&lt;($F$7-$E$7)/($G$7-$E$7),$E$7+SQRT(Q166*($G$7-$E$7)*($F$7-$E$7)),$G$7-SQRT((1-Q166)*($G$7-$E$7)*($G$7-$F$7))))</f>
        <v>1.02782695240474</v>
      </c>
      <c r="D166" s="37" t="n">
        <f aca="false">1+IF($G$8=$E$8,$F$8,IF(R166&lt;($F$8-$E$8)/($G$8-$E$8),$E$8+SQRT(R166*($G$8-$E$8)*($F$8-$E$8)),$G$8-SQRT((1-R166)*($G$8-$E$8)*($G$8-$F$8))))</f>
        <v>1.03089050846751</v>
      </c>
      <c r="E166" s="37" t="n">
        <f aca="false">1+IF($G$9=$E$9,$F$9,IF(S166&lt;($F$9-$E$9)/($G$9-$E$9),$E$9+SQRT(S166*($G$9-$E$9)*($F$9-$E$9)),$G$9-SQRT((1-S166)*($G$9-$E$9)*($G$9-$F$9))))</f>
        <v>1.09137831099617</v>
      </c>
      <c r="F166" s="37" t="n">
        <f aca="false">1+IF($G$10=$E$10,$F$10,IF(T166&lt;($F$10-$E$10)/($G$10-$E$10),$E$10+SQRT(T166*($G$10-$E$10)*($F$10-$E$10)),$G$10-SQRT((1-T166)*($G$10-$E$10)*($G$10-$F$10))))</f>
        <v>1.09227476002318</v>
      </c>
      <c r="G166" s="38" t="n">
        <f aca="false">IF($G$11=$E$11,$F$11,IF(U166&lt;($F$11-$E$11)/($G$11-$E$11),$E$11+SQRT(U166*($G$11-$E$11)*($F$11-$E$11)),$G$11-SQRT((1-U166)*($G$11-$E$11)*($G$11-$F$11))))</f>
        <v>0.103635853428704</v>
      </c>
      <c r="H166" s="39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-2184549520.04637</v>
      </c>
      <c r="I166" s="39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5243503.33401088</v>
      </c>
      <c r="J166" s="39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329778995.952208</v>
      </c>
      <c r="K166" s="39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708928226.571565</v>
      </c>
      <c r="L166" s="39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853687069.083106</v>
      </c>
      <c r="M166" s="39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1054878966.42989</v>
      </c>
      <c r="N166" s="39" t="n">
        <f aca="false">IF(COUNT('Business Case'!B11:G11)=0,"",H166+NPV(G166,I166:M166))</f>
        <v>-161952650.160087</v>
      </c>
      <c r="P166" s="40" t="n">
        <f aca="true">RAND()</f>
        <v>0.945609656088475</v>
      </c>
      <c r="Q166" s="40" t="n">
        <f aca="true">RAND()</f>
        <v>0.778870317648668</v>
      </c>
      <c r="R166" s="40" t="n">
        <f aca="true">RAND()</f>
        <v>0.681591878674703</v>
      </c>
      <c r="S166" s="40" t="n">
        <f aca="true">RAND()</f>
        <v>0.908359935422345</v>
      </c>
      <c r="T166" s="40" t="n">
        <f aca="true">RAND()</f>
        <v>0.668303315656743</v>
      </c>
      <c r="U166" s="40" t="n">
        <f aca="true">RAND()</f>
        <v>0.536621183711477</v>
      </c>
    </row>
    <row r="167" customFormat="false" ht="15" hidden="false" customHeight="false" outlineLevel="0" collapsed="false">
      <c r="A167" s="36" t="n">
        <v>87</v>
      </c>
      <c r="B167" s="37" t="n">
        <f aca="false">1+IF($G$6=$E$6,$F$6,IF(P167&lt;($F$6-$E$6)/($G$6-$E$6),$E$6+SQRT(P167*($G$6-$E$6)*($F$6-$E$6)),$G$6-SQRT((1-P167)*($G$6-$E$6)*($G$6-$F$6))))</f>
        <v>0.966040060282906</v>
      </c>
      <c r="C167" s="37" t="n">
        <f aca="false">1+IF($G$7=$E$7,$F$7,IF(Q167&lt;($F$7-$E$7)/($G$7-$E$7),$E$7+SQRT(Q167*($G$7-$E$7)*($F$7-$E$7)),$G$7-SQRT((1-Q167)*($G$7-$E$7)*($G$7-$F$7))))</f>
        <v>0.883661685014157</v>
      </c>
      <c r="D167" s="37" t="n">
        <f aca="false">1+IF($G$8=$E$8,$F$8,IF(R167&lt;($F$8-$E$8)/($G$8-$E$8),$E$8+SQRT(R167*($G$8-$E$8)*($F$8-$E$8)),$G$8-SQRT((1-R167)*($G$8-$E$8)*($G$8-$F$8))))</f>
        <v>1.02890118890317</v>
      </c>
      <c r="E167" s="37" t="n">
        <f aca="false">1+IF($G$9=$E$9,$F$9,IF(S167&lt;($F$9-$E$9)/($G$9-$E$9),$E$9+SQRT(S167*($G$9-$E$9)*($F$9-$E$9)),$G$9-SQRT((1-S167)*($G$9-$E$9)*($G$9-$F$9))))</f>
        <v>0.991679936299507</v>
      </c>
      <c r="F167" s="37" t="n">
        <f aca="false">1+IF($G$10=$E$10,$F$10,IF(T167&lt;($F$10-$E$10)/($G$10-$E$10),$E$10+SQRT(T167*($G$10-$E$10)*($F$10-$E$10)),$G$10-SQRT((1-T167)*($G$10-$E$10)*($G$10-$F$10))))</f>
        <v>1.03689059599351</v>
      </c>
      <c r="G167" s="38" t="n">
        <f aca="false">IF($G$11=$E$11,$F$11,IF(U167&lt;($F$11-$E$11)/($G$11-$E$11),$E$11+SQRT(U167*($G$11-$E$11)*($F$11-$E$11)),$G$11-SQRT((1-U167)*($G$11-$E$11)*($G$11-$F$11))))</f>
        <v>0.102661375003855</v>
      </c>
      <c r="H167" s="39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-2073781191.98702</v>
      </c>
      <c r="I167" s="39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-55194314.3629867</v>
      </c>
      <c r="J167" s="39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178570667.949134</v>
      </c>
      <c r="K167" s="39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464180180.06093</v>
      </c>
      <c r="L167" s="39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571604074.254281</v>
      </c>
      <c r="M167" s="39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733866358.078824</v>
      </c>
      <c r="N167" s="39" t="n">
        <f aca="false">IF(COUNT('Business Case'!B11:G11)=0,"",H167+NPV(G167,I167:M167))</f>
        <v>-793884453.747088</v>
      </c>
      <c r="P167" s="40" t="n">
        <f aca="true">RAND()</f>
        <v>0.290752637477993</v>
      </c>
      <c r="Q167" s="40" t="n">
        <f aca="true">RAND()</f>
        <v>0.249863811423996</v>
      </c>
      <c r="R167" s="40" t="n">
        <f aca="true">RAND()</f>
        <v>0.662997270707791</v>
      </c>
      <c r="S167" s="40" t="n">
        <f aca="true">RAND()</f>
        <v>0.336208428795265</v>
      </c>
      <c r="T167" s="40" t="n">
        <f aca="true">RAND()</f>
        <v>0.394458425653308</v>
      </c>
      <c r="U167" s="40" t="n">
        <f aca="true">RAND()</f>
        <v>0.501733055546777</v>
      </c>
    </row>
    <row r="168" customFormat="false" ht="15" hidden="false" customHeight="false" outlineLevel="0" collapsed="false">
      <c r="A168" s="36" t="n">
        <v>88</v>
      </c>
      <c r="B168" s="37" t="n">
        <f aca="false">1+IF($G$6=$E$6,$F$6,IF(P168&lt;($F$6-$E$6)/($G$6-$E$6),$E$6+SQRT(P168*($G$6-$E$6)*($F$6-$E$6)),$G$6-SQRT((1-P168)*($G$6-$E$6)*($G$6-$F$6))))</f>
        <v>0.973742312297701</v>
      </c>
      <c r="C168" s="37" t="n">
        <f aca="false">1+IF($G$7=$E$7,$F$7,IF(Q168&lt;($F$7-$E$7)/($G$7-$E$7),$E$7+SQRT(Q168*($G$7-$E$7)*($F$7-$E$7)),$G$7-SQRT((1-Q168)*($G$7-$E$7)*($G$7-$F$7))))</f>
        <v>1.00314879935261</v>
      </c>
      <c r="D168" s="37" t="n">
        <f aca="false">1+IF($G$8=$E$8,$F$8,IF(R168&lt;($F$8-$E$8)/($G$8-$E$8),$E$8+SQRT(R168*($G$8-$E$8)*($F$8-$E$8)),$G$8-SQRT((1-R168)*($G$8-$E$8)*($G$8-$F$8))))</f>
        <v>1.01114799519432</v>
      </c>
      <c r="E168" s="37" t="n">
        <f aca="false">1+IF($G$9=$E$9,$F$9,IF(S168&lt;($F$9-$E$9)/($G$9-$E$9),$E$9+SQRT(S168*($G$9-$E$9)*($F$9-$E$9)),$G$9-SQRT((1-S168)*($G$9-$E$9)*($G$9-$F$9))))</f>
        <v>1.01502555568902</v>
      </c>
      <c r="F168" s="37" t="n">
        <f aca="false">1+IF($G$10=$E$10,$F$10,IF(T168&lt;($F$10-$E$10)/($G$10-$E$10),$E$10+SQRT(T168*($G$10-$E$10)*($F$10-$E$10)),$G$10-SQRT((1-T168)*($G$10-$E$10)*($G$10-$F$10))))</f>
        <v>1.00432753359928</v>
      </c>
      <c r="G168" s="38" t="n">
        <f aca="false">IF($G$11=$E$11,$F$11,IF(U168&lt;($F$11-$E$11)/($G$11-$E$11),$E$11+SQRT(U168*($G$11-$E$11)*($F$11-$E$11)),$G$11-SQRT((1-U168)*($G$11-$E$11)*($G$11-$F$11))))</f>
        <v>0.104813959891987</v>
      </c>
      <c r="H168" s="39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-2008655067.19856</v>
      </c>
      <c r="I168" s="39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-14587485.7826426</v>
      </c>
      <c r="J168" s="39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266232164.900522</v>
      </c>
      <c r="K168" s="39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597268192.26365</v>
      </c>
      <c r="L168" s="39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724633241.882638</v>
      </c>
      <c r="M168" s="39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910304988.534607</v>
      </c>
      <c r="N168" s="39" t="n">
        <f aca="false">IF(COUNT('Business Case'!B11:G11)=0,"",H168+NPV(G168,I168:M168))</f>
        <v>-321464475.889772</v>
      </c>
      <c r="P168" s="40" t="n">
        <f aca="true">RAND()</f>
        <v>0.362528574867445</v>
      </c>
      <c r="Q168" s="40" t="n">
        <f aca="true">RAND()</f>
        <v>0.680514442495107</v>
      </c>
      <c r="R168" s="40" t="n">
        <f aca="true">RAND()</f>
        <v>0.473688082800713</v>
      </c>
      <c r="S168" s="40" t="n">
        <f aca="true">RAND()</f>
        <v>0.51418398354511</v>
      </c>
      <c r="T168" s="40" t="n">
        <f aca="true">RAND()</f>
        <v>0.195267190034494</v>
      </c>
      <c r="U168" s="40" t="n">
        <f aca="true">RAND()</f>
        <v>0.57710892245169</v>
      </c>
    </row>
    <row r="169" customFormat="false" ht="15" hidden="false" customHeight="false" outlineLevel="0" collapsed="false">
      <c r="A169" s="36" t="n">
        <v>89</v>
      </c>
      <c r="B169" s="37" t="n">
        <f aca="false">1+IF($G$6=$E$6,$F$6,IF(P169&lt;($F$6-$E$6)/($G$6-$E$6),$E$6+SQRT(P169*($G$6-$E$6)*($F$6-$E$6)),$G$6-SQRT((1-P169)*($G$6-$E$6)*($G$6-$F$6))))</f>
        <v>0.932460797334664</v>
      </c>
      <c r="C169" s="37" t="n">
        <f aca="false">1+IF($G$7=$E$7,$F$7,IF(Q169&lt;($F$7-$E$7)/($G$7-$E$7),$E$7+SQRT(Q169*($G$7-$E$7)*($F$7-$E$7)),$G$7-SQRT((1-Q169)*($G$7-$E$7)*($G$7-$F$7))))</f>
        <v>1.00034537655857</v>
      </c>
      <c r="D169" s="37" t="n">
        <f aca="false">1+IF($G$8=$E$8,$F$8,IF(R169&lt;($F$8-$E$8)/($G$8-$E$8),$E$8+SQRT(R169*($G$8-$E$8)*($F$8-$E$8)),$G$8-SQRT((1-R169)*($G$8-$E$8)*($G$8-$F$8))))</f>
        <v>1.06685130845431</v>
      </c>
      <c r="E169" s="37" t="n">
        <f aca="false">1+IF($G$9=$E$9,$F$9,IF(S169&lt;($F$9-$E$9)/($G$9-$E$9),$E$9+SQRT(S169*($G$9-$E$9)*($F$9-$E$9)),$G$9-SQRT((1-S169)*($G$9-$E$9)*($G$9-$F$9))))</f>
        <v>1.07393176106586</v>
      </c>
      <c r="F169" s="37" t="n">
        <f aca="false">1+IF($G$10=$E$10,$F$10,IF(T169&lt;($F$10-$E$10)/($G$10-$E$10),$E$10+SQRT(T169*($G$10-$E$10)*($F$10-$E$10)),$G$10-SQRT((1-T169)*($G$10-$E$10)*($G$10-$F$10))))</f>
        <v>1.22630704676407</v>
      </c>
      <c r="G169" s="38" t="n">
        <f aca="false">IF($G$11=$E$11,$F$11,IF(U169&lt;($F$11-$E$11)/($G$11-$E$11),$E$11+SQRT(U169*($G$11-$E$11)*($F$11-$E$11)),$G$11-SQRT((1-U169)*($G$11-$E$11)*($G$11-$F$11))))</f>
        <v>0.0848959083441765</v>
      </c>
      <c r="H169" s="39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-2452614093.52814</v>
      </c>
      <c r="I169" s="39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-106014098.144675</v>
      </c>
      <c r="J169" s="39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111671067.621697</v>
      </c>
      <c r="K169" s="39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390671585.726272</v>
      </c>
      <c r="L169" s="39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495470282.855779</v>
      </c>
      <c r="M169" s="39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672773646.496386</v>
      </c>
      <c r="N169" s="39" t="n">
        <f aca="false">IF(COUNT('Business Case'!B11:G11)=0,"",H169+NPV(G169,I169:M169))</f>
        <v>-1344210972.90104</v>
      </c>
      <c r="P169" s="40" t="n">
        <f aca="true">RAND()</f>
        <v>0.0702468909068084</v>
      </c>
      <c r="Q169" s="40" t="n">
        <f aca="true">RAND()</f>
        <v>0.66819990640896</v>
      </c>
      <c r="R169" s="40" t="n">
        <f aca="true">RAND()</f>
        <v>0.926744283253895</v>
      </c>
      <c r="S169" s="40" t="n">
        <f aca="true">RAND()</f>
        <v>0.845696614012233</v>
      </c>
      <c r="T169" s="40" t="n">
        <f aca="true">RAND()</f>
        <v>0.9925152528928</v>
      </c>
      <c r="U169" s="40" t="n">
        <f aca="true">RAND()</f>
        <v>0.0239699185145773</v>
      </c>
    </row>
    <row r="170" customFormat="false" ht="15" hidden="false" customHeight="false" outlineLevel="0" collapsed="false">
      <c r="A170" s="36" t="n">
        <v>90</v>
      </c>
      <c r="B170" s="37" t="n">
        <f aca="false">1+IF($G$6=$E$6,$F$6,IF(P170&lt;($F$6-$E$6)/($G$6-$E$6),$E$6+SQRT(P170*($G$6-$E$6)*($F$6-$E$6)),$G$6-SQRT((1-P170)*($G$6-$E$6)*($G$6-$F$6))))</f>
        <v>0.949458026422427</v>
      </c>
      <c r="C170" s="37" t="n">
        <f aca="false">1+IF($G$7=$E$7,$F$7,IF(Q170&lt;($F$7-$E$7)/($G$7-$E$7),$E$7+SQRT(Q170*($G$7-$E$7)*($F$7-$E$7)),$G$7-SQRT((1-Q170)*($G$7-$E$7)*($G$7-$F$7))))</f>
        <v>1.06756182345299</v>
      </c>
      <c r="D170" s="37" t="n">
        <f aca="false">1+IF($G$8=$E$8,$F$8,IF(R170&lt;($F$8-$E$8)/($G$8-$E$8),$E$8+SQRT(R170*($G$8-$E$8)*($F$8-$E$8)),$G$8-SQRT((1-R170)*($G$8-$E$8)*($G$8-$F$8))))</f>
        <v>1.04338248570721</v>
      </c>
      <c r="E170" s="37" t="n">
        <f aca="false">1+IF($G$9=$E$9,$F$9,IF(S170&lt;($F$9-$E$9)/($G$9-$E$9),$E$9+SQRT(S170*($G$9-$E$9)*($F$9-$E$9)),$G$9-SQRT((1-S170)*($G$9-$E$9)*($G$9-$F$9))))</f>
        <v>1.02791086383478</v>
      </c>
      <c r="F170" s="37" t="n">
        <f aca="false">1+IF($G$10=$E$10,$F$10,IF(T170&lt;($F$10-$E$10)/($G$10-$E$10),$E$10+SQRT(T170*($G$10-$E$10)*($F$10-$E$10)),$G$10-SQRT((1-T170)*($G$10-$E$10)*($G$10-$F$10))))</f>
        <v>1.07168926273658</v>
      </c>
      <c r="G170" s="38" t="n">
        <f aca="false">IF($G$11=$E$11,$F$11,IF(U170&lt;($F$11-$E$11)/($G$11-$E$11),$E$11+SQRT(U170*($G$11-$E$11)*($F$11-$E$11)),$G$11-SQRT((1-U170)*($G$11-$E$11)*($G$11-$F$11))))</f>
        <v>0.0923754724530309</v>
      </c>
      <c r="H170" s="39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-2143378525.47316</v>
      </c>
      <c r="I170" s="39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-45882599.003203</v>
      </c>
      <c r="J170" s="39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214117943.664781</v>
      </c>
      <c r="K170" s="39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527702949.469593</v>
      </c>
      <c r="L170" s="39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649399990.732403</v>
      </c>
      <c r="M170" s="39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842066056.119887</v>
      </c>
      <c r="N170" s="39" t="n">
        <f aca="false">IF(COUNT('Business Case'!B11:G11)=0,"",H170+NPV(G170,I170:M170))</f>
        <v>-603691303.734246</v>
      </c>
      <c r="P170" s="40" t="n">
        <f aca="true">RAND()</f>
        <v>0.163073091840102</v>
      </c>
      <c r="Q170" s="40" t="n">
        <f aca="true">RAND()</f>
        <v>0.899317734038584</v>
      </c>
      <c r="R170" s="40" t="n">
        <f aca="true">RAND()</f>
        <v>0.786297138353682</v>
      </c>
      <c r="S170" s="40" t="n">
        <f aca="true">RAND()</f>
        <v>0.602513142144834</v>
      </c>
      <c r="T170" s="40" t="n">
        <f aca="true">RAND()</f>
        <v>0.576070413021003</v>
      </c>
      <c r="U170" s="40" t="n">
        <f aca="true">RAND()</f>
        <v>0.153152318435725</v>
      </c>
    </row>
    <row r="171" customFormat="false" ht="15" hidden="false" customHeight="false" outlineLevel="0" collapsed="false">
      <c r="A171" s="36" t="n">
        <v>91</v>
      </c>
      <c r="B171" s="37" t="n">
        <f aca="false">1+IF($G$6=$E$6,$F$6,IF(P171&lt;($F$6-$E$6)/($G$6-$E$6),$E$6+SQRT(P171*($G$6-$E$6)*($F$6-$E$6)),$G$6-SQRT((1-P171)*($G$6-$E$6)*($G$6-$F$6))))</f>
        <v>1.00452575151844</v>
      </c>
      <c r="C171" s="37" t="n">
        <f aca="false">1+IF($G$7=$E$7,$F$7,IF(Q171&lt;($F$7-$E$7)/($G$7-$E$7),$E$7+SQRT(Q171*($G$7-$E$7)*($F$7-$E$7)),$G$7-SQRT((1-Q171)*($G$7-$E$7)*($G$7-$F$7))))</f>
        <v>0.991992365951377</v>
      </c>
      <c r="D171" s="37" t="n">
        <f aca="false">1+IF($G$8=$E$8,$F$8,IF(R171&lt;($F$8-$E$8)/($G$8-$E$8),$E$8+SQRT(R171*($G$8-$E$8)*($F$8-$E$8)),$G$8-SQRT((1-R171)*($G$8-$E$8)*($G$8-$F$8))))</f>
        <v>0.992102819853431</v>
      </c>
      <c r="E171" s="37" t="n">
        <f aca="false">1+IF($G$9=$E$9,$F$9,IF(S171&lt;($F$9-$E$9)/($G$9-$E$9),$E$9+SQRT(S171*($G$9-$E$9)*($F$9-$E$9)),$G$9-SQRT((1-S171)*($G$9-$E$9)*($G$9-$F$9))))</f>
        <v>0.993440943460283</v>
      </c>
      <c r="F171" s="37" t="n">
        <f aca="false">1+IF($G$10=$E$10,$F$10,IF(T171&lt;($F$10-$E$10)/($G$10-$E$10),$E$10+SQRT(T171*($G$10-$E$10)*($F$10-$E$10)),$G$10-SQRT((1-T171)*($G$10-$E$10)*($G$10-$F$10))))</f>
        <v>1.0515719510416</v>
      </c>
      <c r="G171" s="38" t="n">
        <f aca="false">IF($G$11=$E$11,$F$11,IF(U171&lt;($F$11-$E$11)/($G$11-$E$11),$E$11+SQRT(U171*($G$11-$E$11)*($F$11-$E$11)),$G$11-SQRT((1-U171)*($G$11-$E$11)*($G$11-$F$11))))</f>
        <v>0.090489903121196</v>
      </c>
      <c r="H171" s="39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-2103143902.08321</v>
      </c>
      <c r="I171" s="39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14297905.9443198</v>
      </c>
      <c r="J171" s="39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326677929.651756</v>
      </c>
      <c r="K171" s="39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691636550.911272</v>
      </c>
      <c r="L171" s="39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830201639.146353</v>
      </c>
      <c r="M171" s="39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1019612914.309</v>
      </c>
      <c r="N171" s="39" t="n">
        <f aca="false">IF(COUNT('Business Case'!B11:G11)=0,"",H171+NPV(G171,I171:M171))</f>
        <v>-33699488.2334263</v>
      </c>
      <c r="P171" s="40" t="n">
        <f aca="true">RAND()</f>
        <v>0.724279030004931</v>
      </c>
      <c r="Q171" s="40" t="n">
        <f aca="true">RAND()</f>
        <v>0.63155216128802</v>
      </c>
      <c r="R171" s="40" t="n">
        <f aca="true">RAND()</f>
        <v>0.236352991948062</v>
      </c>
      <c r="S171" s="40" t="n">
        <f aca="true">RAND()</f>
        <v>0.349248396589913</v>
      </c>
      <c r="T171" s="40" t="n">
        <f aca="true">RAND()</f>
        <v>0.47501745848753</v>
      </c>
      <c r="U171" s="40" t="n">
        <f aca="true">RAND()</f>
        <v>0.110038067492078</v>
      </c>
    </row>
    <row r="172" customFormat="false" ht="15" hidden="false" customHeight="false" outlineLevel="0" collapsed="false">
      <c r="A172" s="36" t="n">
        <v>92</v>
      </c>
      <c r="B172" s="37" t="n">
        <f aca="false">1+IF($G$6=$E$6,$F$6,IF(P172&lt;($F$6-$E$6)/($G$6-$E$6),$E$6+SQRT(P172*($G$6-$E$6)*($F$6-$E$6)),$G$6-SQRT((1-P172)*($G$6-$E$6)*($G$6-$F$6))))</f>
        <v>1.04122809443488</v>
      </c>
      <c r="C172" s="37" t="n">
        <f aca="false">1+IF($G$7=$E$7,$F$7,IF(Q172&lt;($F$7-$E$7)/($G$7-$E$7),$E$7+SQRT(Q172*($G$7-$E$7)*($F$7-$E$7)),$G$7-SQRT((1-Q172)*($G$7-$E$7)*($G$7-$F$7))))</f>
        <v>0.951376596295356</v>
      </c>
      <c r="D172" s="37" t="n">
        <f aca="false">1+IF($G$8=$E$8,$F$8,IF(R172&lt;($F$8-$E$8)/($G$8-$E$8),$E$8+SQRT(R172*($G$8-$E$8)*($F$8-$E$8)),$G$8-SQRT((1-R172)*($G$8-$E$8)*($G$8-$F$8))))</f>
        <v>1.05586857814118</v>
      </c>
      <c r="E172" s="37" t="n">
        <f aca="false">1+IF($G$9=$E$9,$F$9,IF(S172&lt;($F$9-$E$9)/($G$9-$E$9),$E$9+SQRT(S172*($G$9-$E$9)*($F$9-$E$9)),$G$9-SQRT((1-S172)*($G$9-$E$9)*($G$9-$F$9))))</f>
        <v>1.11188319765018</v>
      </c>
      <c r="F172" s="37" t="n">
        <f aca="false">1+IF($G$10=$E$10,$F$10,IF(T172&lt;($F$10-$E$10)/($G$10-$E$10),$E$10+SQRT(T172*($G$10-$E$10)*($F$10-$E$10)),$G$10-SQRT((1-T172)*($G$10-$E$10)*($G$10-$F$10))))</f>
        <v>0.990905021872805</v>
      </c>
      <c r="G172" s="38" t="n">
        <f aca="false">IF($G$11=$E$11,$F$11,IF(U172&lt;($F$11-$E$11)/($G$11-$E$11),$E$11+SQRT(U172*($G$11-$E$11)*($F$11-$E$11)),$G$11-SQRT((1-U172)*($G$11-$E$11)*($G$11-$F$11))))</f>
        <v>0.113354932502486</v>
      </c>
      <c r="H172" s="39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-1981810043.74561</v>
      </c>
      <c r="I172" s="39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-11418551.2175282</v>
      </c>
      <c r="J172" s="39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285715896.555036</v>
      </c>
      <c r="K172" s="39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632395595.42124</v>
      </c>
      <c r="L172" s="39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765675548.743399</v>
      </c>
      <c r="M172" s="39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953968804.43224</v>
      </c>
      <c r="N172" s="39" t="n">
        <f aca="false">IF(COUNT('Business Case'!B11:G11)=0,"",H172+NPV(G172,I172:M172))</f>
        <v>-247355711.072889</v>
      </c>
      <c r="P172" s="40" t="n">
        <f aca="true">RAND()</f>
        <v>0.989740489700878</v>
      </c>
      <c r="Q172" s="40" t="n">
        <f aca="true">RAND()</f>
        <v>0.468075504926209</v>
      </c>
      <c r="R172" s="40" t="n">
        <f aca="true">RAND()</f>
        <v>0.870161173647925</v>
      </c>
      <c r="S172" s="40" t="n">
        <f aca="true">RAND()</f>
        <v>0.961256250096651</v>
      </c>
      <c r="T172" s="40" t="n">
        <f aca="true">RAND()</f>
        <v>0.111548054294308</v>
      </c>
      <c r="U172" s="40" t="n">
        <f aca="true">RAND()</f>
        <v>0.815294485335475</v>
      </c>
    </row>
    <row r="173" customFormat="false" ht="15" hidden="false" customHeight="false" outlineLevel="0" collapsed="false">
      <c r="A173" s="36" t="n">
        <v>93</v>
      </c>
      <c r="B173" s="37" t="n">
        <f aca="false">1+IF($G$6=$E$6,$F$6,IF(P173&lt;($F$6-$E$6)/($G$6-$E$6),$E$6+SQRT(P173*($G$6-$E$6)*($F$6-$E$6)),$G$6-SQRT((1-P173)*($G$6-$E$6)*($G$6-$F$6))))</f>
        <v>0.970987833552046</v>
      </c>
      <c r="C173" s="37" t="n">
        <f aca="false">1+IF($G$7=$E$7,$F$7,IF(Q173&lt;($F$7-$E$7)/($G$7-$E$7),$E$7+SQRT(Q173*($G$7-$E$7)*($F$7-$E$7)),$G$7-SQRT((1-Q173)*($G$7-$E$7)*($G$7-$F$7))))</f>
        <v>0.9655564668493</v>
      </c>
      <c r="D173" s="37" t="n">
        <f aca="false">1+IF($G$8=$E$8,$F$8,IF(R173&lt;($F$8-$E$8)/($G$8-$E$8),$E$8+SQRT(R173*($G$8-$E$8)*($F$8-$E$8)),$G$8-SQRT((1-R173)*($G$8-$E$8)*($G$8-$F$8))))</f>
        <v>0.984347481818761</v>
      </c>
      <c r="E173" s="37" t="n">
        <f aca="false">1+IF($G$9=$E$9,$F$9,IF(S173&lt;($F$9-$E$9)/($G$9-$E$9),$E$9+SQRT(S173*($G$9-$E$9)*($F$9-$E$9)),$G$9-SQRT((1-S173)*($G$9-$E$9)*($G$9-$F$9))))</f>
        <v>1.0533267399836</v>
      </c>
      <c r="F173" s="37" t="n">
        <f aca="false">1+IF($G$10=$E$10,$F$10,IF(T173&lt;($F$10-$E$10)/($G$10-$E$10),$E$10+SQRT(T173*($G$10-$E$10)*($F$10-$E$10)),$G$10-SQRT((1-T173)*($G$10-$E$10)*($G$10-$F$10))))</f>
        <v>0.972645156207341</v>
      </c>
      <c r="G173" s="38" t="n">
        <f aca="false">IF($G$11=$E$11,$F$11,IF(U173&lt;($F$11-$E$11)/($G$11-$E$11),$E$11+SQRT(U173*($G$11-$E$11)*($F$11-$E$11)),$G$11-SQRT((1-U173)*($G$11-$E$11)*($G$11-$F$11))))</f>
        <v>0.0948285541132134</v>
      </c>
      <c r="H173" s="39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-1945290312.41468</v>
      </c>
      <c r="I173" s="39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-14284960.4268518</v>
      </c>
      <c r="J173" s="39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267079916.479336</v>
      </c>
      <c r="K173" s="39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597077051.195892</v>
      </c>
      <c r="L173" s="39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723266849.689046</v>
      </c>
      <c r="M173" s="39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901475133.740052</v>
      </c>
      <c r="N173" s="39" t="n">
        <f aca="false">IF(COUNT('Business Case'!B11:G11)=0,"",H173+NPV(G173,I173:M173))</f>
        <v>-204049441.117988</v>
      </c>
      <c r="P173" s="40" t="n">
        <f aca="true">RAND()</f>
        <v>0.335951500827536</v>
      </c>
      <c r="Q173" s="40" t="n">
        <f aca="true">RAND()</f>
        <v>0.522372126559137</v>
      </c>
      <c r="R173" s="40" t="n">
        <f aca="true">RAND()</f>
        <v>0.157299934305345</v>
      </c>
      <c r="S173" s="40" t="n">
        <f aca="true">RAND()</f>
        <v>0.750780821274702</v>
      </c>
      <c r="T173" s="40" t="n">
        <f aca="true">RAND()</f>
        <v>0.0341868733103251</v>
      </c>
      <c r="U173" s="40" t="n">
        <f aca="true">RAND()</f>
        <v>0.219886017088497</v>
      </c>
    </row>
    <row r="174" customFormat="false" ht="15" hidden="false" customHeight="false" outlineLevel="0" collapsed="false">
      <c r="A174" s="36" t="n">
        <v>94</v>
      </c>
      <c r="B174" s="37" t="n">
        <f aca="false">1+IF($G$6=$E$6,$F$6,IF(P174&lt;($F$6-$E$6)/($G$6-$E$6),$E$6+SQRT(P174*($G$6-$E$6)*($F$6-$E$6)),$G$6-SQRT((1-P174)*($G$6-$E$6)*($G$6-$F$6))))</f>
        <v>0.963727719382937</v>
      </c>
      <c r="C174" s="37" t="n">
        <f aca="false">1+IF($G$7=$E$7,$F$7,IF(Q174&lt;($F$7-$E$7)/($G$7-$E$7),$E$7+SQRT(Q174*($G$7-$E$7)*($F$7-$E$7)),$G$7-SQRT((1-Q174)*($G$7-$E$7)*($G$7-$F$7))))</f>
        <v>0.963343221677821</v>
      </c>
      <c r="D174" s="37" t="n">
        <f aca="false">1+IF($G$8=$E$8,$F$8,IF(R174&lt;($F$8-$E$8)/($G$8-$E$8),$E$8+SQRT(R174*($G$8-$E$8)*($F$8-$E$8)),$G$8-SQRT((1-R174)*($G$8-$E$8)*($G$8-$F$8))))</f>
        <v>1.00806240607538</v>
      </c>
      <c r="E174" s="37" t="n">
        <f aca="false">1+IF($G$9=$E$9,$F$9,IF(S174&lt;($F$9-$E$9)/($G$9-$E$9),$E$9+SQRT(S174*($G$9-$E$9)*($F$9-$E$9)),$G$9-SQRT((1-S174)*($G$9-$E$9)*($G$9-$F$9))))</f>
        <v>0.984765518643465</v>
      </c>
      <c r="F174" s="37" t="n">
        <f aca="false">1+IF($G$10=$E$10,$F$10,IF(T174&lt;($F$10-$E$10)/($G$10-$E$10),$E$10+SQRT(T174*($G$10-$E$10)*($F$10-$E$10)),$G$10-SQRT((1-T174)*($G$10-$E$10)*($G$10-$F$10))))</f>
        <v>1.08296084351212</v>
      </c>
      <c r="G174" s="38" t="n">
        <f aca="false">IF($G$11=$E$11,$F$11,IF(U174&lt;($F$11-$E$11)/($G$11-$E$11),$E$11+SQRT(U174*($G$11-$E$11)*($F$11-$E$11)),$G$11-SQRT((1-U174)*($G$11-$E$11)*($G$11-$F$11))))</f>
        <v>0.108407201135142</v>
      </c>
      <c r="H174" s="39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-2165921687.02424</v>
      </c>
      <c r="I174" s="39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-33161793.22554</v>
      </c>
      <c r="J174" s="39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230134439.993221</v>
      </c>
      <c r="K174" s="39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547578715.387588</v>
      </c>
      <c r="L174" s="39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667429650.021834</v>
      </c>
      <c r="M174" s="39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843900029.609124</v>
      </c>
      <c r="N174" s="39" t="n">
        <f aca="false">IF(COUNT('Business Case'!B11:G11)=0,"",H174+NPV(G174,I174:M174))</f>
        <v>-659795686.728267</v>
      </c>
      <c r="P174" s="40" t="n">
        <f aca="true">RAND()</f>
        <v>0.270748147850027</v>
      </c>
      <c r="Q174" s="40" t="n">
        <f aca="true">RAND()</f>
        <v>0.513701128915955</v>
      </c>
      <c r="R174" s="40" t="n">
        <f aca="true">RAND()</f>
        <v>0.436498588223471</v>
      </c>
      <c r="S174" s="40" t="n">
        <f aca="true">RAND()</f>
        <v>0.287407726035822</v>
      </c>
      <c r="T174" s="40" t="n">
        <f aca="true">RAND()</f>
        <v>0.627972269330899</v>
      </c>
      <c r="U174" s="40" t="n">
        <f aca="true">RAND()</f>
        <v>0.689167358121184</v>
      </c>
    </row>
    <row r="175" customFormat="false" ht="15" hidden="false" customHeight="false" outlineLevel="0" collapsed="false">
      <c r="A175" s="36" t="n">
        <v>95</v>
      </c>
      <c r="B175" s="37" t="n">
        <f aca="false">1+IF($G$6=$E$6,$F$6,IF(P175&lt;($F$6-$E$6)/($G$6-$E$6),$E$6+SQRT(P175*($G$6-$E$6)*($F$6-$E$6)),$G$6-SQRT((1-P175)*($G$6-$E$6)*($G$6-$F$6))))</f>
        <v>0.966357809222083</v>
      </c>
      <c r="C175" s="37" t="n">
        <f aca="false">1+IF($G$7=$E$7,$F$7,IF(Q175&lt;($F$7-$E$7)/($G$7-$E$7),$E$7+SQRT(Q175*($G$7-$E$7)*($F$7-$E$7)),$G$7-SQRT((1-Q175)*($G$7-$E$7)*($G$7-$F$7))))</f>
        <v>0.838478444088304</v>
      </c>
      <c r="D175" s="37" t="n">
        <f aca="false">1+IF($G$8=$E$8,$F$8,IF(R175&lt;($F$8-$E$8)/($G$8-$E$8),$E$8+SQRT(R175*($G$8-$E$8)*($F$8-$E$8)),$G$8-SQRT((1-R175)*($G$8-$E$8)*($G$8-$F$8))))</f>
        <v>1.04934404996213</v>
      </c>
      <c r="E175" s="37" t="n">
        <f aca="false">1+IF($G$9=$E$9,$F$9,IF(S175&lt;($F$9-$E$9)/($G$9-$E$9),$E$9+SQRT(S175*($G$9-$E$9)*($F$9-$E$9)),$G$9-SQRT((1-S175)*($G$9-$E$9)*($G$9-$F$9))))</f>
        <v>1.01536241064117</v>
      </c>
      <c r="F175" s="37" t="n">
        <f aca="false">1+IF($G$10=$E$10,$F$10,IF(T175&lt;($F$10-$E$10)/($G$10-$E$10),$E$10+SQRT(T175*($G$10-$E$10)*($F$10-$E$10)),$G$10-SQRT((1-T175)*($G$10-$E$10)*($G$10-$F$10))))</f>
        <v>1.06918009635213</v>
      </c>
      <c r="G175" s="38" t="n">
        <f aca="false">IF($G$11=$E$11,$F$11,IF(U175&lt;($F$11-$E$11)/($G$11-$E$11),$E$11+SQRT(U175*($G$11-$E$11)*($F$11-$E$11)),$G$11-SQRT((1-U175)*($G$11-$E$11)*($G$11-$F$11))))</f>
        <v>0.10289854151036</v>
      </c>
      <c r="H175" s="39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-2138360192.70425</v>
      </c>
      <c r="I175" s="39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-80051347.6120661</v>
      </c>
      <c r="J175" s="39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133204255.97356</v>
      </c>
      <c r="K175" s="39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399918864.376792</v>
      </c>
      <c r="L175" s="39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499007003.418203</v>
      </c>
      <c r="M175" s="39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653023161.57232</v>
      </c>
      <c r="N175" s="39" t="n">
        <f aca="false">IF(COUNT('Business Case'!B11:G11)=0,"",H175+NPV(G175,I175:M175))</f>
        <v>-1065896977.01914</v>
      </c>
      <c r="P175" s="40" t="n">
        <f aca="true">RAND()</f>
        <v>0.293557256316956</v>
      </c>
      <c r="Q175" s="40" t="n">
        <f aca="true">RAND()</f>
        <v>0.142046514645315</v>
      </c>
      <c r="R175" s="40" t="n">
        <f aca="true">RAND()</f>
        <v>0.828931648384071</v>
      </c>
      <c r="S175" s="40" t="n">
        <f aca="true">RAND()</f>
        <v>0.516605854177168</v>
      </c>
      <c r="T175" s="40" t="n">
        <f aca="true">RAND()</f>
        <v>0.564055499263647</v>
      </c>
      <c r="U175" s="40" t="n">
        <f aca="true">RAND()</f>
        <v>0.510340631822873</v>
      </c>
    </row>
    <row r="176" customFormat="false" ht="15" hidden="false" customHeight="false" outlineLevel="0" collapsed="false">
      <c r="A176" s="36" t="n">
        <v>96</v>
      </c>
      <c r="B176" s="37" t="n">
        <f aca="false">1+IF($G$6=$E$6,$F$6,IF(P176&lt;($F$6-$E$6)/($G$6-$E$6),$E$6+SQRT(P176*($G$6-$E$6)*($F$6-$E$6)),$G$6-SQRT((1-P176)*($G$6-$E$6)*($G$6-$F$6))))</f>
        <v>1.03904994073441</v>
      </c>
      <c r="C176" s="37" t="n">
        <f aca="false">1+IF($G$7=$E$7,$F$7,IF(Q176&lt;($F$7-$E$7)/($G$7-$E$7),$E$7+SQRT(Q176*($G$7-$E$7)*($F$7-$E$7)),$G$7-SQRT((1-Q176)*($G$7-$E$7)*($G$7-$F$7))))</f>
        <v>0.829236188433793</v>
      </c>
      <c r="D176" s="37" t="n">
        <f aca="false">1+IF($G$8=$E$8,$F$8,IF(R176&lt;($F$8-$E$8)/($G$8-$E$8),$E$8+SQRT(R176*($G$8-$E$8)*($F$8-$E$8)),$G$8-SQRT((1-R176)*($G$8-$E$8)*($G$8-$F$8))))</f>
        <v>1.00413655867865</v>
      </c>
      <c r="E176" s="37" t="n">
        <f aca="false">1+IF($G$9=$E$9,$F$9,IF(S176&lt;($F$9-$E$9)/($G$9-$E$9),$E$9+SQRT(S176*($G$9-$E$9)*($F$9-$E$9)),$G$9-SQRT((1-S176)*($G$9-$E$9)*($G$9-$F$9))))</f>
        <v>0.960876213302671</v>
      </c>
      <c r="F176" s="37" t="n">
        <f aca="false">1+IF($G$10=$E$10,$F$10,IF(T176&lt;($F$10-$E$10)/($G$10-$E$10),$E$10+SQRT(T176*($G$10-$E$10)*($F$10-$E$10)),$G$10-SQRT((1-T176)*($G$10-$E$10)*($G$10-$F$10))))</f>
        <v>0.995344193128286</v>
      </c>
      <c r="G176" s="38" t="n">
        <f aca="false">IF($G$11=$E$11,$F$11,IF(U176&lt;($F$11-$E$11)/($G$11-$E$11),$E$11+SQRT(U176*($G$11-$E$11)*($F$11-$E$11)),$G$11-SQRT((1-U176)*($G$11-$E$11)*($G$11-$F$11))))</f>
        <v>0.0861736778680384</v>
      </c>
      <c r="H176" s="39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-1990688386.25657</v>
      </c>
      <c r="I176" s="39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-1368828.81924105</v>
      </c>
      <c r="J176" s="39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278099626.603236</v>
      </c>
      <c r="K176" s="39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607335291.682129</v>
      </c>
      <c r="L176" s="39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730268955.087788</v>
      </c>
      <c r="M176" s="39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894045268.877706</v>
      </c>
      <c r="N176" s="39" t="n">
        <f aca="false">IF(COUNT('Business Case'!B11:G11)=0,"",H176+NPV(G176,I176:M176))</f>
        <v>-166233019.008177</v>
      </c>
      <c r="P176" s="40" t="n">
        <f aca="true">RAND()</f>
        <v>0.984012826943997</v>
      </c>
      <c r="Q176" s="40" t="n">
        <f aca="true">RAND()</f>
        <v>0.123718462228851</v>
      </c>
      <c r="R176" s="40" t="n">
        <f aca="true">RAND()</f>
        <v>0.387346707868543</v>
      </c>
      <c r="S176" s="40" t="n">
        <f aca="true">RAND()</f>
        <v>0.14823653384289</v>
      </c>
      <c r="T176" s="40" t="n">
        <f aca="true">RAND()</f>
        <v>0.137073056697017</v>
      </c>
      <c r="U176" s="40" t="n">
        <f aca="true">RAND()</f>
        <v>0.0381142984183067</v>
      </c>
    </row>
    <row r="177" customFormat="false" ht="15" hidden="false" customHeight="false" outlineLevel="0" collapsed="false">
      <c r="A177" s="36" t="n">
        <v>97</v>
      </c>
      <c r="B177" s="37" t="n">
        <f aca="false">1+IF($G$6=$E$6,$F$6,IF(P177&lt;($F$6-$E$6)/($G$6-$E$6),$E$6+SQRT(P177*($G$6-$E$6)*($F$6-$E$6)),$G$6-SQRT((1-P177)*($G$6-$E$6)*($G$6-$F$6))))</f>
        <v>0.954799353706936</v>
      </c>
      <c r="C177" s="37" t="n">
        <f aca="false">1+IF($G$7=$E$7,$F$7,IF(Q177&lt;($F$7-$E$7)/($G$7-$E$7),$E$7+SQRT(Q177*($G$7-$E$7)*($F$7-$E$7)),$G$7-SQRT((1-Q177)*($G$7-$E$7)*($G$7-$F$7))))</f>
        <v>1.06425245442991</v>
      </c>
      <c r="D177" s="37" t="n">
        <f aca="false">1+IF($G$8=$E$8,$F$8,IF(R177&lt;($F$8-$E$8)/($G$8-$E$8),$E$8+SQRT(R177*($G$8-$E$8)*($F$8-$E$8)),$G$8-SQRT((1-R177)*($G$8-$E$8)*($G$8-$F$8))))</f>
        <v>1.039795882774</v>
      </c>
      <c r="E177" s="37" t="n">
        <f aca="false">1+IF($G$9=$E$9,$F$9,IF(S177&lt;($F$9-$E$9)/($G$9-$E$9),$E$9+SQRT(S177*($G$9-$E$9)*($F$9-$E$9)),$G$9-SQRT((1-S177)*($G$9-$E$9)*($G$9-$F$9))))</f>
        <v>1.0196380255088</v>
      </c>
      <c r="F177" s="37" t="n">
        <f aca="false">1+IF($G$10=$E$10,$F$10,IF(T177&lt;($F$10-$E$10)/($G$10-$E$10),$E$10+SQRT(T177*($G$10-$E$10)*($F$10-$E$10)),$G$10-SQRT((1-T177)*($G$10-$E$10)*($G$10-$F$10))))</f>
        <v>1.07510610490687</v>
      </c>
      <c r="G177" s="38" t="n">
        <f aca="false">IF($G$11=$E$11,$F$11,IF(U177&lt;($F$11-$E$11)/($G$11-$E$11),$E$11+SQRT(U177*($G$11-$E$11)*($F$11-$E$11)),$G$11-SQRT((1-U177)*($G$11-$E$11)*($G$11-$F$11))))</f>
        <v>0.0996711363943476</v>
      </c>
      <c r="H177" s="39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-2150212209.81375</v>
      </c>
      <c r="I177" s="39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-39375611.8784219</v>
      </c>
      <c r="J177" s="39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226429003.247164</v>
      </c>
      <c r="K177" s="39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545988923.618094</v>
      </c>
      <c r="L177" s="39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669708521.517268</v>
      </c>
      <c r="M177" s="39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862857848.899154</v>
      </c>
      <c r="N177" s="39" t="n">
        <f aca="false">IF(COUNT('Business Case'!B11:G11)=0,"",H177+NPV(G177,I177:M177))</f>
        <v>-593662085.878281</v>
      </c>
      <c r="P177" s="40" t="n">
        <f aca="true">RAND()</f>
        <v>0.200197944446528</v>
      </c>
      <c r="Q177" s="40" t="n">
        <f aca="true">RAND()</f>
        <v>0.891071976721551</v>
      </c>
      <c r="R177" s="40" t="n">
        <f aca="true">RAND()</f>
        <v>0.758364284602527</v>
      </c>
      <c r="S177" s="40" t="n">
        <f aca="true">RAND()</f>
        <v>0.546820149513482</v>
      </c>
      <c r="T177" s="40" t="n">
        <f aca="true">RAND()</f>
        <v>0.59216167278873</v>
      </c>
      <c r="U177" s="40" t="n">
        <f aca="true">RAND()</f>
        <v>0.386953607045025</v>
      </c>
    </row>
    <row r="178" customFormat="false" ht="15" hidden="false" customHeight="false" outlineLevel="0" collapsed="false">
      <c r="A178" s="36" t="n">
        <v>98</v>
      </c>
      <c r="B178" s="37" t="n">
        <f aca="false">1+IF($G$6=$E$6,$F$6,IF(P178&lt;($F$6-$E$6)/($G$6-$E$6),$E$6+SQRT(P178*($G$6-$E$6)*($F$6-$E$6)),$G$6-SQRT((1-P178)*($G$6-$E$6)*($G$6-$F$6))))</f>
        <v>0.971457897442261</v>
      </c>
      <c r="C178" s="37" t="n">
        <f aca="false">1+IF($G$7=$E$7,$F$7,IF(Q178&lt;($F$7-$E$7)/($G$7-$E$7),$E$7+SQRT(Q178*($G$7-$E$7)*($F$7-$E$7)),$G$7-SQRT((1-Q178)*($G$7-$E$7)*($G$7-$F$7))))</f>
        <v>0.880660193834861</v>
      </c>
      <c r="D178" s="37" t="n">
        <f aca="false">1+IF($G$8=$E$8,$F$8,IF(R178&lt;($F$8-$E$8)/($G$8-$E$8),$E$8+SQRT(R178*($G$8-$E$8)*($F$8-$E$8)),$G$8-SQRT((1-R178)*($G$8-$E$8)*($G$8-$F$8))))</f>
        <v>1.01817677788057</v>
      </c>
      <c r="E178" s="37" t="n">
        <f aca="false">1+IF($G$9=$E$9,$F$9,IF(S178&lt;($F$9-$E$9)/($G$9-$E$9),$E$9+SQRT(S178*($G$9-$E$9)*($F$9-$E$9)),$G$9-SQRT((1-S178)*($G$9-$E$9)*($G$9-$F$9))))</f>
        <v>1.08116353398184</v>
      </c>
      <c r="F178" s="37" t="n">
        <f aca="false">1+IF($G$10=$E$10,$F$10,IF(T178&lt;($F$10-$E$10)/($G$10-$E$10),$E$10+SQRT(T178*($G$10-$E$10)*($F$10-$E$10)),$G$10-SQRT((1-T178)*($G$10-$E$10)*($G$10-$F$10))))</f>
        <v>1.10247707633164</v>
      </c>
      <c r="G178" s="38" t="n">
        <f aca="false">IF($G$11=$E$11,$F$11,IF(U178&lt;($F$11-$E$11)/($G$11-$E$11),$E$11+SQRT(U178*($G$11-$E$11)*($F$11-$E$11)),$G$11-SQRT((1-U178)*($G$11-$E$11)*($G$11-$F$11))))</f>
        <v>0.0876267149107848</v>
      </c>
      <c r="H178" s="39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-2204954152.66329</v>
      </c>
      <c r="I178" s="39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-66625701.1906455</v>
      </c>
      <c r="J178" s="39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175088139.509772</v>
      </c>
      <c r="K178" s="39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471925834.026771</v>
      </c>
      <c r="L178" s="39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582064034.077364</v>
      </c>
      <c r="M178" s="39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744682093.071528</v>
      </c>
      <c r="N178" s="39" t="n">
        <f aca="false">IF(COUNT('Business Case'!B11:G11)=0,"",H178+NPV(G178,I178:M178))</f>
        <v>-846140285.371707</v>
      </c>
      <c r="P178" s="40" t="n">
        <f aca="true">RAND()</f>
        <v>0.34041540712458</v>
      </c>
      <c r="Q178" s="40" t="n">
        <f aca="true">RAND()</f>
        <v>0.241763745455183</v>
      </c>
      <c r="R178" s="40" t="n">
        <f aca="true">RAND()</f>
        <v>0.553664021466346</v>
      </c>
      <c r="S178" s="40" t="n">
        <f aca="true">RAND()</f>
        <v>0.873641091896809</v>
      </c>
      <c r="T178" s="40" t="n">
        <f aca="true">RAND()</f>
        <v>0.709826493231201</v>
      </c>
      <c r="U178" s="40" t="n">
        <f aca="true">RAND()</f>
        <v>0.0581667803303865</v>
      </c>
    </row>
    <row r="179" customFormat="false" ht="15" hidden="false" customHeight="false" outlineLevel="0" collapsed="false">
      <c r="A179" s="36" t="n">
        <v>99</v>
      </c>
      <c r="B179" s="37" t="n">
        <f aca="false">1+IF($G$6=$E$6,$F$6,IF(P179&lt;($F$6-$E$6)/($G$6-$E$6),$E$6+SQRT(P179*($G$6-$E$6)*($F$6-$E$6)),$G$6-SQRT((1-P179)*($G$6-$E$6)*($G$6-$F$6))))</f>
        <v>0.955021416039966</v>
      </c>
      <c r="C179" s="37" t="n">
        <f aca="false">1+IF($G$7=$E$7,$F$7,IF(Q179&lt;($F$7-$E$7)/($G$7-$E$7),$E$7+SQRT(Q179*($G$7-$E$7)*($F$7-$E$7)),$G$7-SQRT((1-Q179)*($G$7-$E$7)*($G$7-$F$7))))</f>
        <v>0.977441633394118</v>
      </c>
      <c r="D179" s="37" t="n">
        <f aca="false">1+IF($G$8=$E$8,$F$8,IF(R179&lt;($F$8-$E$8)/($G$8-$E$8),$E$8+SQRT(R179*($G$8-$E$8)*($F$8-$E$8)),$G$8-SQRT((1-R179)*($G$8-$E$8)*($G$8-$F$8))))</f>
        <v>0.999599975997522</v>
      </c>
      <c r="E179" s="37" t="n">
        <f aca="false">1+IF($G$9=$E$9,$F$9,IF(S179&lt;($F$9-$E$9)/($G$9-$E$9),$E$9+SQRT(S179*($G$9-$E$9)*($F$9-$E$9)),$G$9-SQRT((1-S179)*($G$9-$E$9)*($G$9-$F$9))))</f>
        <v>0.982171427039396</v>
      </c>
      <c r="F179" s="37" t="n">
        <f aca="false">1+IF($G$10=$E$10,$F$10,IF(T179&lt;($F$10-$E$10)/($G$10-$E$10),$E$10+SQRT(T179*($G$10-$E$10)*($F$10-$E$10)),$G$10-SQRT((1-T179)*($G$10-$E$10)*($G$10-$F$10))))</f>
        <v>1.01463914497008</v>
      </c>
      <c r="G179" s="38" t="n">
        <f aca="false">IF($G$11=$E$11,$F$11,IF(U179&lt;($F$11-$E$11)/($G$11-$E$11),$E$11+SQRT(U179*($G$11-$E$11)*($F$11-$E$11)),$G$11-SQRT((1-U179)*($G$11-$E$11)*($G$11-$F$11))))</f>
        <v>0.0991869385132674</v>
      </c>
      <c r="H179" s="39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-2029278289.94017</v>
      </c>
      <c r="I179" s="39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-25106494.3925415</v>
      </c>
      <c r="J179" s="39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239307186.23274</v>
      </c>
      <c r="K179" s="39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554452824.106527</v>
      </c>
      <c r="L179" s="39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674851706.712163</v>
      </c>
      <c r="M179" s="39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852287146.563477</v>
      </c>
      <c r="N179" s="39" t="n">
        <f aca="false">IF(COUNT('Business Case'!B11:G11)=0,"",H179+NPV(G179,I179:M179))</f>
        <v>-443096827.176948</v>
      </c>
      <c r="P179" s="40" t="n">
        <f aca="true">RAND()</f>
        <v>0.201823748202868</v>
      </c>
      <c r="Q179" s="40" t="n">
        <f aca="true">RAND()</f>
        <v>0.570176740299231</v>
      </c>
      <c r="R179" s="40" t="n">
        <f aca="true">RAND()</f>
        <v>0.328021015860637</v>
      </c>
      <c r="S179" s="40" t="n">
        <f aca="true">RAND()</f>
        <v>0.270085736867628</v>
      </c>
      <c r="T179" s="40" t="n">
        <f aca="true">RAND()</f>
        <v>0.26140357226116</v>
      </c>
      <c r="U179" s="40" t="n">
        <f aca="true">RAND()</f>
        <v>0.368138609511904</v>
      </c>
    </row>
    <row r="180" customFormat="false" ht="15" hidden="false" customHeight="false" outlineLevel="0" collapsed="false">
      <c r="A180" s="36" t="n">
        <v>100</v>
      </c>
      <c r="B180" s="37" t="n">
        <f aca="false">1+IF($G$6=$E$6,$F$6,IF(P180&lt;($F$6-$E$6)/($G$6-$E$6),$E$6+SQRT(P180*($G$6-$E$6)*($F$6-$E$6)),$G$6-SQRT((1-P180)*($G$6-$E$6)*($G$6-$F$6))))</f>
        <v>0.976368940219156</v>
      </c>
      <c r="C180" s="37" t="n">
        <f aca="false">1+IF($G$7=$E$7,$F$7,IF(Q180&lt;($F$7-$E$7)/($G$7-$E$7),$E$7+SQRT(Q180*($G$7-$E$7)*($F$7-$E$7)),$G$7-SQRT((1-Q180)*($G$7-$E$7)*($G$7-$F$7))))</f>
        <v>0.927075331768041</v>
      </c>
      <c r="D180" s="37" t="n">
        <f aca="false">1+IF($G$8=$E$8,$F$8,IF(R180&lt;($F$8-$E$8)/($G$8-$E$8),$E$8+SQRT(R180*($G$8-$E$8)*($F$8-$E$8)),$G$8-SQRT((1-R180)*($G$8-$E$8)*($G$8-$F$8))))</f>
        <v>0.976647170432372</v>
      </c>
      <c r="E180" s="37" t="n">
        <f aca="false">1+IF($G$9=$E$9,$F$9,IF(S180&lt;($F$9-$E$9)/($G$9-$E$9),$E$9+SQRT(S180*($G$9-$E$9)*($F$9-$E$9)),$G$9-SQRT((1-S180)*($G$9-$E$9)*($G$9-$F$9))))</f>
        <v>1.06575641292341</v>
      </c>
      <c r="F180" s="37" t="n">
        <f aca="false">1+IF($G$10=$E$10,$F$10,IF(T180&lt;($F$10-$E$10)/($G$10-$E$10),$E$10+SQRT(T180*($G$10-$E$10)*($F$10-$E$10)),$G$10-SQRT((1-T180)*($G$10-$E$10)*($G$10-$F$10))))</f>
        <v>1.00661782995839</v>
      </c>
      <c r="G180" s="38" t="n">
        <f aca="false">IF($G$11=$E$11,$F$11,IF(U180&lt;($F$11-$E$11)/($G$11-$E$11),$E$11+SQRT(U180*($G$11-$E$11)*($F$11-$E$11)),$G$11-SQRT((1-U180)*($G$11-$E$11)*($G$11-$F$11))))</f>
        <v>0.11098503812376</v>
      </c>
      <c r="H180" s="39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-2013235659.91678</v>
      </c>
      <c r="I180" s="39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-21244249.8765435</v>
      </c>
      <c r="J180" s="39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256647731.42844</v>
      </c>
      <c r="K180" s="39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584870604.231342</v>
      </c>
      <c r="L180" s="39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708783855.511655</v>
      </c>
      <c r="M180" s="39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880838105.16091</v>
      </c>
      <c r="N180" s="39" t="n">
        <f aca="false">IF(COUNT('Business Case'!B11:G11)=0,"",H180+NPV(G180,I180:M180))</f>
        <v>-412244485.50594</v>
      </c>
      <c r="P180" s="40" t="n">
        <f aca="true">RAND()</f>
        <v>0.388814335346468</v>
      </c>
      <c r="Q180" s="40" t="n">
        <f aca="true">RAND()</f>
        <v>0.381949676278266</v>
      </c>
      <c r="R180" s="40" t="n">
        <f aca="true">RAND()</f>
        <v>0.0946762256069137</v>
      </c>
      <c r="S180" s="40" t="n">
        <f aca="true">RAND()</f>
        <v>0.810747147639179</v>
      </c>
      <c r="T180" s="40" t="n">
        <f aca="true">RAND()</f>
        <v>0.210201590744501</v>
      </c>
      <c r="U180" s="40" t="n">
        <f aca="true">RAND()</f>
        <v>0.758954149896757</v>
      </c>
    </row>
    <row r="181" customFormat="false" ht="15" hidden="false" customHeight="false" outlineLevel="0" collapsed="false">
      <c r="A181" s="36" t="n">
        <v>101</v>
      </c>
      <c r="B181" s="37" t="n">
        <f aca="false">1+IF($G$6=$E$6,$F$6,IF(P181&lt;($F$6-$E$6)/($G$6-$E$6),$E$6+SQRT(P181*($G$6-$E$6)*($F$6-$E$6)),$G$6-SQRT((1-P181)*($G$6-$E$6)*($G$6-$F$6))))</f>
        <v>0.990631563779702</v>
      </c>
      <c r="C181" s="37" t="n">
        <f aca="false">1+IF($G$7=$E$7,$F$7,IF(Q181&lt;($F$7-$E$7)/($G$7-$E$7),$E$7+SQRT(Q181*($G$7-$E$7)*($F$7-$E$7)),$G$7-SQRT((1-Q181)*($G$7-$E$7)*($G$7-$F$7))))</f>
        <v>0.920164429443014</v>
      </c>
      <c r="D181" s="37" t="n">
        <f aca="false">1+IF($G$8=$E$8,$F$8,IF(R181&lt;($F$8-$E$8)/($G$8-$E$8),$E$8+SQRT(R181*($G$8-$E$8)*($F$8-$E$8)),$G$8-SQRT((1-R181)*($G$8-$E$8)*($G$8-$F$8))))</f>
        <v>1.01296384345568</v>
      </c>
      <c r="E181" s="37" t="n">
        <f aca="false">1+IF($G$9=$E$9,$F$9,IF(S181&lt;($F$9-$E$9)/($G$9-$E$9),$E$9+SQRT(S181*($G$9-$E$9)*($F$9-$E$9)),$G$9-SQRT((1-S181)*($G$9-$E$9)*($G$9-$F$9))))</f>
        <v>0.943210320655949</v>
      </c>
      <c r="F181" s="37" t="n">
        <f aca="false">1+IF($G$10=$E$10,$F$10,IF(T181&lt;($F$10-$E$10)/($G$10-$E$10),$E$10+SQRT(T181*($G$10-$E$10)*($F$10-$E$10)),$G$10-SQRT((1-T181)*($G$10-$E$10)*($G$10-$F$10))))</f>
        <v>1.15885971887769</v>
      </c>
      <c r="G181" s="38" t="n">
        <f aca="false">IF($G$11=$E$11,$F$11,IF(U181&lt;($F$11-$E$11)/($G$11-$E$11),$E$11+SQRT(U181*($G$11-$E$11)*($F$11-$E$11)),$G$11-SQRT((1-U181)*($G$11-$E$11)*($G$11-$F$11))))</f>
        <v>0.091908943689687</v>
      </c>
      <c r="H181" s="39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-2317719437.75537</v>
      </c>
      <c r="I181" s="39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-27802009.3990319</v>
      </c>
      <c r="J181" s="39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241660897.89758</v>
      </c>
      <c r="K181" s="39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569066791.138076</v>
      </c>
      <c r="L181" s="39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690390718.377346</v>
      </c>
      <c r="M181" s="39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863656988.149542</v>
      </c>
      <c r="N181" s="39" t="n">
        <f aca="false">IF(COUNT('Business Case'!B11:G11)=0,"",H181+NPV(G181,I181:M181))</f>
        <v>-661260221.075799</v>
      </c>
      <c r="P181" s="40" t="n">
        <f aca="true">RAND()</f>
        <v>0.547605356876948</v>
      </c>
      <c r="Q181" s="40" t="n">
        <f aca="true">RAND()</f>
        <v>0.359054636977541</v>
      </c>
      <c r="R181" s="40" t="n">
        <f aca="true">RAND()</f>
        <v>0.494980496932829</v>
      </c>
      <c r="S181" s="40" t="n">
        <f aca="true">RAND()</f>
        <v>0.074685272447596</v>
      </c>
      <c r="T181" s="40" t="n">
        <f aca="true">RAND()</f>
        <v>0.889245988759277</v>
      </c>
      <c r="U181" s="40" t="n">
        <f aca="true">RAND()</f>
        <v>0.141822939804136</v>
      </c>
    </row>
    <row r="182" customFormat="false" ht="15" hidden="false" customHeight="false" outlineLevel="0" collapsed="false">
      <c r="A182" s="36" t="n">
        <v>102</v>
      </c>
      <c r="B182" s="37" t="n">
        <f aca="false">1+IF($G$6=$E$6,$F$6,IF(P182&lt;($F$6-$E$6)/($G$6-$E$6),$E$6+SQRT(P182*($G$6-$E$6)*($F$6-$E$6)),$G$6-SQRT((1-P182)*($G$6-$E$6)*($G$6-$F$6))))</f>
        <v>0.977933035793425</v>
      </c>
      <c r="C182" s="37" t="n">
        <f aca="false">1+IF($G$7=$E$7,$F$7,IF(Q182&lt;($F$7-$E$7)/($G$7-$E$7),$E$7+SQRT(Q182*($G$7-$E$7)*($F$7-$E$7)),$G$7-SQRT((1-Q182)*($G$7-$E$7)*($G$7-$F$7))))</f>
        <v>0.972387536930495</v>
      </c>
      <c r="D182" s="37" t="n">
        <f aca="false">1+IF($G$8=$E$8,$F$8,IF(R182&lt;($F$8-$E$8)/($G$8-$E$8),$E$8+SQRT(R182*($G$8-$E$8)*($F$8-$E$8)),$G$8-SQRT((1-R182)*($G$8-$E$8)*($G$8-$F$8))))</f>
        <v>1.01508814211555</v>
      </c>
      <c r="E182" s="37" t="n">
        <f aca="false">1+IF($G$9=$E$9,$F$9,IF(S182&lt;($F$9-$E$9)/($G$9-$E$9),$E$9+SQRT(S182*($G$9-$E$9)*($F$9-$E$9)),$G$9-SQRT((1-S182)*($G$9-$E$9)*($G$9-$F$9))))</f>
        <v>0.937130959342547</v>
      </c>
      <c r="F182" s="37" t="n">
        <f aca="false">1+IF($G$10=$E$10,$F$10,IF(T182&lt;($F$10-$E$10)/($G$10-$E$10),$E$10+SQRT(T182*($G$10-$E$10)*($F$10-$E$10)),$G$10-SQRT((1-T182)*($G$10-$E$10)*($G$10-$F$10))))</f>
        <v>1.036922862958</v>
      </c>
      <c r="G182" s="38" t="n">
        <f aca="false">IF($G$11=$E$11,$F$11,IF(U182&lt;($F$11-$E$11)/($G$11-$E$11),$E$11+SQRT(U182*($G$11-$E$11)*($F$11-$E$11)),$G$11-SQRT((1-U182)*($G$11-$E$11)*($G$11-$F$11))))</f>
        <v>0.107059707870077</v>
      </c>
      <c r="H182" s="39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-2073845725.91601</v>
      </c>
      <c r="I182" s="39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-12663735.8927967</v>
      </c>
      <c r="J182" s="39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260921042.735187</v>
      </c>
      <c r="K182" s="39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586351964.51107</v>
      </c>
      <c r="L182" s="39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710411027.924711</v>
      </c>
      <c r="M182" s="39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891163782.548432</v>
      </c>
      <c r="N182" s="39" t="n">
        <f aca="false">IF(COUNT('Business Case'!B11:G11)=0,"",H182+NPV(G182,I182:M182))</f>
        <v>-431344265.995498</v>
      </c>
      <c r="P182" s="40" t="n">
        <f aca="true">RAND()</f>
        <v>0.404903871198613</v>
      </c>
      <c r="Q182" s="40" t="n">
        <f aca="true">RAND()</f>
        <v>0.549592372407863</v>
      </c>
      <c r="R182" s="40" t="n">
        <f aca="true">RAND()</f>
        <v>0.51933175937409</v>
      </c>
      <c r="S182" s="40" t="n">
        <f aca="true">RAND()</f>
        <v>0.0551483256679144</v>
      </c>
      <c r="T182" s="40" t="n">
        <f aca="true">RAND()</f>
        <v>0.394641782266485</v>
      </c>
      <c r="U182" s="40" t="n">
        <f aca="true">RAND()</f>
        <v>0.649161997995851</v>
      </c>
    </row>
    <row r="183" customFormat="false" ht="15" hidden="false" customHeight="false" outlineLevel="0" collapsed="false">
      <c r="A183" s="36" t="n">
        <v>103</v>
      </c>
      <c r="B183" s="37" t="n">
        <f aca="false">1+IF($G$6=$E$6,$F$6,IF(P183&lt;($F$6-$E$6)/($G$6-$E$6),$E$6+SQRT(P183*($G$6-$E$6)*($F$6-$E$6)),$G$6-SQRT((1-P183)*($G$6-$E$6)*($G$6-$F$6))))</f>
        <v>0.95062089714775</v>
      </c>
      <c r="C183" s="37" t="n">
        <f aca="false">1+IF($G$7=$E$7,$F$7,IF(Q183&lt;($F$7-$E$7)/($G$7-$E$7),$E$7+SQRT(Q183*($G$7-$E$7)*($F$7-$E$7)),$G$7-SQRT((1-Q183)*($G$7-$E$7)*($G$7-$F$7))))</f>
        <v>0.924463014333477</v>
      </c>
      <c r="D183" s="37" t="n">
        <f aca="false">1+IF($G$8=$E$8,$F$8,IF(R183&lt;($F$8-$E$8)/($G$8-$E$8),$E$8+SQRT(R183*($G$8-$E$8)*($F$8-$E$8)),$G$8-SQRT((1-R183)*($G$8-$E$8)*($G$8-$F$8))))</f>
        <v>1.05274445795272</v>
      </c>
      <c r="E183" s="37" t="n">
        <f aca="false">1+IF($G$9=$E$9,$F$9,IF(S183&lt;($F$9-$E$9)/($G$9-$E$9),$E$9+SQRT(S183*($G$9-$E$9)*($F$9-$E$9)),$G$9-SQRT((1-S183)*($G$9-$E$9)*($G$9-$F$9))))</f>
        <v>1.0070969624472</v>
      </c>
      <c r="F183" s="37" t="n">
        <f aca="false">1+IF($G$10=$E$10,$F$10,IF(T183&lt;($F$10-$E$10)/($G$10-$E$10),$E$10+SQRT(T183*($G$10-$E$10)*($F$10-$E$10)),$G$10-SQRT((1-T183)*($G$10-$E$10)*($G$10-$F$10))))</f>
        <v>0.993254666819535</v>
      </c>
      <c r="G183" s="38" t="n">
        <f aca="false">IF($G$11=$E$11,$F$11,IF(U183&lt;($F$11-$E$11)/($G$11-$E$11),$E$11+SQRT(U183*($G$11-$E$11)*($F$11-$E$11)),$G$11-SQRT((1-U183)*($G$11-$E$11)*($G$11-$F$11))))</f>
        <v>0.10481850407927</v>
      </c>
      <c r="H183" s="39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-1986509333.63907</v>
      </c>
      <c r="I183" s="39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-66493018.6308778</v>
      </c>
      <c r="J183" s="39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155106327.985991</v>
      </c>
      <c r="K183" s="39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426368407.943837</v>
      </c>
      <c r="L183" s="39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530606663.819994</v>
      </c>
      <c r="M183" s="39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697651602.341264</v>
      </c>
      <c r="N183" s="39" t="n">
        <f aca="false">IF(COUNT('Business Case'!B11:G11)=0,"",H183+NPV(G183,I183:M183))</f>
        <v>-823506000.566276</v>
      </c>
      <c r="P183" s="40" t="n">
        <f aca="true">RAND()</f>
        <v>0.170831681869537</v>
      </c>
      <c r="Q183" s="40" t="n">
        <f aca="true">RAND()</f>
        <v>0.373212183730894</v>
      </c>
      <c r="R183" s="40" t="n">
        <f aca="true">RAND()</f>
        <v>0.851127583054508</v>
      </c>
      <c r="S183" s="40" t="n">
        <f aca="true">RAND()</f>
        <v>0.455432582884909</v>
      </c>
      <c r="T183" s="40" t="n">
        <f aca="true">RAND()</f>
        <v>0.124731080111266</v>
      </c>
      <c r="U183" s="40" t="n">
        <f aca="true">RAND()</f>
        <v>0.577261508796181</v>
      </c>
    </row>
    <row r="184" customFormat="false" ht="15" hidden="false" customHeight="false" outlineLevel="0" collapsed="false">
      <c r="A184" s="36" t="n">
        <v>104</v>
      </c>
      <c r="B184" s="37" t="n">
        <f aca="false">1+IF($G$6=$E$6,$F$6,IF(P184&lt;($F$6-$E$6)/($G$6-$E$6),$E$6+SQRT(P184*($G$6-$E$6)*($F$6-$E$6)),$G$6-SQRT((1-P184)*($G$6-$E$6)*($G$6-$F$6))))</f>
        <v>0.988845449261844</v>
      </c>
      <c r="C184" s="37" t="n">
        <f aca="false">1+IF($G$7=$E$7,$F$7,IF(Q184&lt;($F$7-$E$7)/($G$7-$E$7),$E$7+SQRT(Q184*($G$7-$E$7)*($F$7-$E$7)),$G$7-SQRT((1-Q184)*($G$7-$E$7)*($G$7-$F$7))))</f>
        <v>1.04338565729638</v>
      </c>
      <c r="D184" s="37" t="n">
        <f aca="false">1+IF($G$8=$E$8,$F$8,IF(R184&lt;($F$8-$E$8)/($G$8-$E$8),$E$8+SQRT(R184*($G$8-$E$8)*($F$8-$E$8)),$G$8-SQRT((1-R184)*($G$8-$E$8)*($G$8-$F$8))))</f>
        <v>1.03001362895661</v>
      </c>
      <c r="E184" s="37" t="n">
        <f aca="false">1+IF($G$9=$E$9,$F$9,IF(S184&lt;($F$9-$E$9)/($G$9-$E$9),$E$9+SQRT(S184*($G$9-$E$9)*($F$9-$E$9)),$G$9-SQRT((1-S184)*($G$9-$E$9)*($G$9-$F$9))))</f>
        <v>1.08362373562115</v>
      </c>
      <c r="F184" s="37" t="n">
        <f aca="false">1+IF($G$10=$E$10,$F$10,IF(T184&lt;($F$10-$E$10)/($G$10-$E$10),$E$10+SQRT(T184*($G$10-$E$10)*($F$10-$E$10)),$G$10-SQRT((1-T184)*($G$10-$E$10)*($G$10-$F$10))))</f>
        <v>1.02797952094504</v>
      </c>
      <c r="G184" s="38" t="n">
        <f aca="false">IF($G$11=$E$11,$F$11,IF(U184&lt;($F$11-$E$11)/($G$11-$E$11),$E$11+SQRT(U184*($G$11-$E$11)*($F$11-$E$11)),$G$11-SQRT((1-U184)*($G$11-$E$11)*($G$11-$F$11))))</f>
        <v>0.119432702050333</v>
      </c>
      <c r="H184" s="39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-2055959041.89008</v>
      </c>
      <c r="I184" s="39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-15460975.8613152</v>
      </c>
      <c r="J184" s="39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279453068.301969</v>
      </c>
      <c r="K184" s="39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625766088.512504</v>
      </c>
      <c r="L184" s="39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759727951.716778</v>
      </c>
      <c r="M184" s="39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955842451.707595</v>
      </c>
      <c r="N184" s="39" t="n">
        <f aca="false">IF(COUNT('Business Case'!B11:G11)=0,"",H184+NPV(G184,I184:M184))</f>
        <v>-373134227.752709</v>
      </c>
      <c r="P184" s="40" t="n">
        <f aca="true">RAND()</f>
        <v>0.526234256969258</v>
      </c>
      <c r="Q184" s="40" t="n">
        <f aca="true">RAND()</f>
        <v>0.831605658220361</v>
      </c>
      <c r="R184" s="40" t="n">
        <f aca="true">RAND()</f>
        <v>0.673460524545156</v>
      </c>
      <c r="S184" s="40" t="n">
        <f aca="true">RAND()</f>
        <v>0.882511774056223</v>
      </c>
      <c r="T184" s="40" t="n">
        <f aca="true">RAND()</f>
        <v>0.342758758402737</v>
      </c>
      <c r="U184" s="40" t="n">
        <f aca="true">RAND()</f>
        <v>0.925554809361976</v>
      </c>
    </row>
    <row r="185" customFormat="false" ht="15" hidden="false" customHeight="false" outlineLevel="0" collapsed="false">
      <c r="A185" s="36" t="n">
        <v>105</v>
      </c>
      <c r="B185" s="37" t="n">
        <f aca="false">1+IF($G$6=$E$6,$F$6,IF(P185&lt;($F$6-$E$6)/($G$6-$E$6),$E$6+SQRT(P185*($G$6-$E$6)*($F$6-$E$6)),$G$6-SQRT((1-P185)*($G$6-$E$6)*($G$6-$F$6))))</f>
        <v>0.997095037729177</v>
      </c>
      <c r="C185" s="37" t="n">
        <f aca="false">1+IF($G$7=$E$7,$F$7,IF(Q185&lt;($F$7-$E$7)/($G$7-$E$7),$E$7+SQRT(Q185*($G$7-$E$7)*($F$7-$E$7)),$G$7-SQRT((1-Q185)*($G$7-$E$7)*($G$7-$F$7))))</f>
        <v>1.0457581503725</v>
      </c>
      <c r="D185" s="37" t="n">
        <f aca="false">1+IF($G$8=$E$8,$F$8,IF(R185&lt;($F$8-$E$8)/($G$8-$E$8),$E$8+SQRT(R185*($G$8-$E$8)*($F$8-$E$8)),$G$8-SQRT((1-R185)*($G$8-$E$8)*($G$8-$F$8))))</f>
        <v>1.02353590172606</v>
      </c>
      <c r="E185" s="37" t="n">
        <f aca="false">1+IF($G$9=$E$9,$F$9,IF(S185&lt;($F$9-$E$9)/($G$9-$E$9),$E$9+SQRT(S185*($G$9-$E$9)*($F$9-$E$9)),$G$9-SQRT((1-S185)*($G$9-$E$9)*($G$9-$F$9))))</f>
        <v>1.01716438330048</v>
      </c>
      <c r="F185" s="37" t="n">
        <f aca="false">1+IF($G$10=$E$10,$F$10,IF(T185&lt;($F$10-$E$10)/($G$10-$E$10),$E$10+SQRT(T185*($G$10-$E$10)*($F$10-$E$10)),$G$10-SQRT((1-T185)*($G$10-$E$10)*($G$10-$F$10))))</f>
        <v>1.05821171066767</v>
      </c>
      <c r="G185" s="38" t="n">
        <f aca="false">IF($G$11=$E$11,$F$11,IF(U185&lt;($F$11-$E$11)/($G$11-$E$11),$E$11+SQRT(U185*($G$11-$E$11)*($F$11-$E$11)),$G$11-SQRT((1-U185)*($G$11-$E$11)*($G$11-$F$11))))</f>
        <v>0.113192845371807</v>
      </c>
      <c r="H185" s="39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-2116423421.33534</v>
      </c>
      <c r="I185" s="39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1602077.81987108</v>
      </c>
      <c r="J185" s="39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307720720.414718</v>
      </c>
      <c r="K185" s="39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666749948.542949</v>
      </c>
      <c r="L185" s="39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804825908.343153</v>
      </c>
      <c r="M185" s="39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1003026175.82038</v>
      </c>
      <c r="N185" s="39" t="n">
        <f aca="false">IF(COUNT('Business Case'!B11:G11)=0,"",H185+NPV(G185,I185:M185))</f>
        <v>-272455825.873441</v>
      </c>
      <c r="P185" s="40" t="n">
        <f aca="true">RAND()</f>
        <v>0.628496423442025</v>
      </c>
      <c r="Q185" s="40" t="n">
        <f aca="true">RAND()</f>
        <v>0.839016841277595</v>
      </c>
      <c r="R185" s="40" t="n">
        <f aca="true">RAND()</f>
        <v>0.610216111676895</v>
      </c>
      <c r="S185" s="40" t="n">
        <f aca="true">RAND()</f>
        <v>0.529458638294865</v>
      </c>
      <c r="T185" s="40" t="n">
        <f aca="true">RAND()</f>
        <v>0.509563360999701</v>
      </c>
      <c r="U185" s="40" t="n">
        <f aca="true">RAND()</f>
        <v>0.811679702202678</v>
      </c>
    </row>
    <row r="186" customFormat="false" ht="15" hidden="false" customHeight="false" outlineLevel="0" collapsed="false">
      <c r="A186" s="36" t="n">
        <v>106</v>
      </c>
      <c r="B186" s="37" t="n">
        <f aca="false">1+IF($G$6=$E$6,$F$6,IF(P186&lt;($F$6-$E$6)/($G$6-$E$6),$E$6+SQRT(P186*($G$6-$E$6)*($F$6-$E$6)),$G$6-SQRT((1-P186)*($G$6-$E$6)*($G$6-$F$6))))</f>
        <v>0.990386912219671</v>
      </c>
      <c r="C186" s="37" t="n">
        <f aca="false">1+IF($G$7=$E$7,$F$7,IF(Q186&lt;($F$7-$E$7)/($G$7-$E$7),$E$7+SQRT(Q186*($G$7-$E$7)*($F$7-$E$7)),$G$7-SQRT((1-Q186)*($G$7-$E$7)*($G$7-$F$7))))</f>
        <v>0.94592974376711</v>
      </c>
      <c r="D186" s="37" t="n">
        <f aca="false">1+IF($G$8=$E$8,$F$8,IF(R186&lt;($F$8-$E$8)/($G$8-$E$8),$E$8+SQRT(R186*($G$8-$E$8)*($F$8-$E$8)),$G$8-SQRT((1-R186)*($G$8-$E$8)*($G$8-$F$8))))</f>
        <v>0.995158082992034</v>
      </c>
      <c r="E186" s="37" t="n">
        <f aca="false">1+IF($G$9=$E$9,$F$9,IF(S186&lt;($F$9-$E$9)/($G$9-$E$9),$E$9+SQRT(S186*($G$9-$E$9)*($F$9-$E$9)),$G$9-SQRT((1-S186)*($G$9-$E$9)*($G$9-$F$9))))</f>
        <v>0.981454050075375</v>
      </c>
      <c r="F186" s="37" t="n">
        <f aca="false">1+IF($G$10=$E$10,$F$10,IF(T186&lt;($F$10-$E$10)/($G$10-$E$10),$E$10+SQRT(T186*($G$10-$E$10)*($F$10-$E$10)),$G$10-SQRT((1-T186)*($G$10-$E$10)*($G$10-$F$10))))</f>
        <v>1.0613342383676</v>
      </c>
      <c r="G186" s="38" t="n">
        <f aca="false">IF($G$11=$E$11,$F$11,IF(U186&lt;($F$11-$E$11)/($G$11-$E$11),$E$11+SQRT(U186*($G$11-$E$11)*($F$11-$E$11)),$G$11-SQRT((1-U186)*($G$11-$E$11)*($G$11-$F$11))))</f>
        <v>0.110156491979556</v>
      </c>
      <c r="H186" s="39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-2122668476.7352</v>
      </c>
      <c r="I186" s="39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-8820998.49754672</v>
      </c>
      <c r="J186" s="39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276619793.713813</v>
      </c>
      <c r="K186" s="39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615127297.843554</v>
      </c>
      <c r="L186" s="39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742651295.881626</v>
      </c>
      <c r="M186" s="39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920725166.036862</v>
      </c>
      <c r="N186" s="39" t="n">
        <f aca="false">IF(COUNT('Business Case'!B11:G11)=0,"",H186+NPV(G186,I186:M186))</f>
        <v>-421628872.94206</v>
      </c>
      <c r="P186" s="40" t="n">
        <f aca="true">RAND()</f>
        <v>0.5446529267071</v>
      </c>
      <c r="Q186" s="40" t="n">
        <f aca="true">RAND()</f>
        <v>0.448010658291527</v>
      </c>
      <c r="R186" s="40" t="n">
        <f aca="true">RAND()</f>
        <v>0.271900327935386</v>
      </c>
      <c r="S186" s="40" t="n">
        <f aca="true">RAND()</f>
        <v>0.265390490947268</v>
      </c>
      <c r="T186" s="40" t="n">
        <f aca="true">RAND()</f>
        <v>0.525403071835563</v>
      </c>
      <c r="U186" s="40" t="n">
        <f aca="true">RAND()</f>
        <v>0.737490126295045</v>
      </c>
    </row>
    <row r="187" customFormat="false" ht="15" hidden="false" customHeight="false" outlineLevel="0" collapsed="false">
      <c r="A187" s="36" t="n">
        <v>107</v>
      </c>
      <c r="B187" s="37" t="n">
        <f aca="false">1+IF($G$6=$E$6,$F$6,IF(P187&lt;($F$6-$E$6)/($G$6-$E$6),$E$6+SQRT(P187*($G$6-$E$6)*($F$6-$E$6)),$G$6-SQRT((1-P187)*($G$6-$E$6)*($G$6-$F$6))))</f>
        <v>1.00687793134064</v>
      </c>
      <c r="C187" s="37" t="n">
        <f aca="false">1+IF($G$7=$E$7,$F$7,IF(Q187&lt;($F$7-$E$7)/($G$7-$E$7),$E$7+SQRT(Q187*($G$7-$E$7)*($F$7-$E$7)),$G$7-SQRT((1-Q187)*($G$7-$E$7)*($G$7-$F$7))))</f>
        <v>0.950881723149611</v>
      </c>
      <c r="D187" s="37" t="n">
        <f aca="false">1+IF($G$8=$E$8,$F$8,IF(R187&lt;($F$8-$E$8)/($G$8-$E$8),$E$8+SQRT(R187*($G$8-$E$8)*($F$8-$E$8)),$G$8-SQRT((1-R187)*($G$8-$E$8)*($G$8-$F$8))))</f>
        <v>1.08249401505718</v>
      </c>
      <c r="E187" s="37" t="n">
        <f aca="false">1+IF($G$9=$E$9,$F$9,IF(S187&lt;($F$9-$E$9)/($G$9-$E$9),$E$9+SQRT(S187*($G$9-$E$9)*($F$9-$E$9)),$G$9-SQRT((1-S187)*($G$9-$E$9)*($G$9-$F$9))))</f>
        <v>0.992698556228246</v>
      </c>
      <c r="F187" s="37" t="n">
        <f aca="false">1+IF($G$10=$E$10,$F$10,IF(T187&lt;($F$10-$E$10)/($G$10-$E$10),$E$10+SQRT(T187*($G$10-$E$10)*($F$10-$E$10)),$G$10-SQRT((1-T187)*($G$10-$E$10)*($G$10-$F$10))))</f>
        <v>1.05533750160234</v>
      </c>
      <c r="G187" s="38" t="n">
        <f aca="false">IF($G$11=$E$11,$F$11,IF(U187&lt;($F$11-$E$11)/($G$11-$E$11),$E$11+SQRT(U187*($G$11-$E$11)*($F$11-$E$11)),$G$11-SQRT((1-U187)*($G$11-$E$11)*($G$11-$F$11))))</f>
        <v>0.0999927595823646</v>
      </c>
      <c r="H187" s="39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-2110675003.20468</v>
      </c>
      <c r="I187" s="39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-39062251.8056504</v>
      </c>
      <c r="J187" s="39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218203728.515447</v>
      </c>
      <c r="K187" s="39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528236583.916662</v>
      </c>
      <c r="L187" s="39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647080408.870932</v>
      </c>
      <c r="M187" s="39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829067148.864076</v>
      </c>
      <c r="N187" s="39" t="n">
        <f aca="false">IF(COUNT('Business Case'!B11:G11)=0,"",H187+NPV(G187,I187:M187))</f>
        <v>-612191864.209537</v>
      </c>
      <c r="P187" s="40" t="n">
        <f aca="true">RAND()</f>
        <v>0.752064959271629</v>
      </c>
      <c r="Q187" s="40" t="n">
        <f aca="true">RAND()</f>
        <v>0.466234363040875</v>
      </c>
      <c r="R187" s="40" t="n">
        <f aca="true">RAND()</f>
        <v>0.979569366078777</v>
      </c>
      <c r="S187" s="40" t="n">
        <f aca="true">RAND()</f>
        <v>0.343720893072054</v>
      </c>
      <c r="T187" s="40" t="n">
        <f aca="true">RAND()</f>
        <v>0.494753489567742</v>
      </c>
      <c r="U187" s="40" t="n">
        <f aca="true">RAND()</f>
        <v>0.39971043571823</v>
      </c>
    </row>
    <row r="188" customFormat="false" ht="15" hidden="false" customHeight="false" outlineLevel="0" collapsed="false">
      <c r="A188" s="36" t="n">
        <v>108</v>
      </c>
      <c r="B188" s="37" t="n">
        <f aca="false">1+IF($G$6=$E$6,$F$6,IF(P188&lt;($F$6-$E$6)/($G$6-$E$6),$E$6+SQRT(P188*($G$6-$E$6)*($F$6-$E$6)),$G$6-SQRT((1-P188)*($G$6-$E$6)*($G$6-$F$6))))</f>
        <v>1.01012552961263</v>
      </c>
      <c r="C188" s="37" t="n">
        <f aca="false">1+IF($G$7=$E$7,$F$7,IF(Q188&lt;($F$7-$E$7)/($G$7-$E$7),$E$7+SQRT(Q188*($G$7-$E$7)*($F$7-$E$7)),$G$7-SQRT((1-Q188)*($G$7-$E$7)*($G$7-$F$7))))</f>
        <v>0.922746388896807</v>
      </c>
      <c r="D188" s="37" t="n">
        <f aca="false">1+IF($G$8=$E$8,$F$8,IF(R188&lt;($F$8-$E$8)/($G$8-$E$8),$E$8+SQRT(R188*($G$8-$E$8)*($F$8-$E$8)),$G$8-SQRT((1-R188)*($G$8-$E$8)*($G$8-$F$8))))</f>
        <v>1.00363409546436</v>
      </c>
      <c r="E188" s="37" t="n">
        <f aca="false">1+IF($G$9=$E$9,$F$9,IF(S188&lt;($F$9-$E$9)/($G$9-$E$9),$E$9+SQRT(S188*($G$9-$E$9)*($F$9-$E$9)),$G$9-SQRT((1-S188)*($G$9-$E$9)*($G$9-$F$9))))</f>
        <v>1.08572769735357</v>
      </c>
      <c r="F188" s="37" t="n">
        <f aca="false">1+IF($G$10=$E$10,$F$10,IF(T188&lt;($F$10-$E$10)/($G$10-$E$10),$E$10+SQRT(T188*($G$10-$E$10)*($F$10-$E$10)),$G$10-SQRT((1-T188)*($G$10-$E$10)*($G$10-$F$10))))</f>
        <v>1.06995567573501</v>
      </c>
      <c r="G188" s="38" t="n">
        <f aca="false">IF($G$11=$E$11,$F$11,IF(U188&lt;($F$11-$E$11)/($G$11-$E$11),$E$11+SQRT(U188*($G$11-$E$11)*($F$11-$E$11)),$G$11-SQRT((1-U188)*($G$11-$E$11)*($G$11-$F$11))))</f>
        <v>0.0916495844328456</v>
      </c>
      <c r="H188" s="39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-2139911351.47002</v>
      </c>
      <c r="I188" s="39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-20345990.653209</v>
      </c>
      <c r="J188" s="39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269013594.089887</v>
      </c>
      <c r="K188" s="39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611870962.619734</v>
      </c>
      <c r="L188" s="39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740537177.040183</v>
      </c>
      <c r="M188" s="39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917708784.323646</v>
      </c>
      <c r="N188" s="39" t="n">
        <f aca="false">IF(COUNT('Business Case'!B11:G11)=0,"",H188+NPV(G188,I188:M188))</f>
        <v>-349065277.165463</v>
      </c>
      <c r="P188" s="40" t="n">
        <f aca="true">RAND()</f>
        <v>0.788003548176867</v>
      </c>
      <c r="Q188" s="40" t="n">
        <f aca="true">RAND()</f>
        <v>0.367525583456055</v>
      </c>
      <c r="R188" s="40" t="n">
        <f aca="true">RAND()</f>
        <v>0.380907496201829</v>
      </c>
      <c r="S188" s="40" t="n">
        <f aca="true">RAND()</f>
        <v>0.889841896334034</v>
      </c>
      <c r="T188" s="40" t="n">
        <f aca="true">RAND()</f>
        <v>0.567787217332831</v>
      </c>
      <c r="U188" s="40" t="n">
        <f aca="true">RAND()</f>
        <v>0.135712817457998</v>
      </c>
    </row>
    <row r="189" customFormat="false" ht="15" hidden="false" customHeight="false" outlineLevel="0" collapsed="false">
      <c r="A189" s="36" t="n">
        <v>109</v>
      </c>
      <c r="B189" s="37" t="n">
        <f aca="false">1+IF($G$6=$E$6,$F$6,IF(P189&lt;($F$6-$E$6)/($G$6-$E$6),$E$6+SQRT(P189*($G$6-$E$6)*($F$6-$E$6)),$G$6-SQRT((1-P189)*($G$6-$E$6)*($G$6-$F$6))))</f>
        <v>1.01742115042409</v>
      </c>
      <c r="C189" s="37" t="n">
        <f aca="false">1+IF($G$7=$E$7,$F$7,IF(Q189&lt;($F$7-$E$7)/($G$7-$E$7),$E$7+SQRT(Q189*($G$7-$E$7)*($F$7-$E$7)),$G$7-SQRT((1-Q189)*($G$7-$E$7)*($G$7-$F$7))))</f>
        <v>0.980686298064296</v>
      </c>
      <c r="D189" s="37" t="n">
        <f aca="false">1+IF($G$8=$E$8,$F$8,IF(R189&lt;($F$8-$E$8)/($G$8-$E$8),$E$8+SQRT(R189*($G$8-$E$8)*($F$8-$E$8)),$G$8-SQRT((1-R189)*($G$8-$E$8)*($G$8-$F$8))))</f>
        <v>0.999900693569927</v>
      </c>
      <c r="E189" s="37" t="n">
        <f aca="false">1+IF($G$9=$E$9,$F$9,IF(S189&lt;($F$9-$E$9)/($G$9-$E$9),$E$9+SQRT(S189*($G$9-$E$9)*($F$9-$E$9)),$G$9-SQRT((1-S189)*($G$9-$E$9)*($G$9-$F$9))))</f>
        <v>1.00642476139752</v>
      </c>
      <c r="F189" s="37" t="n">
        <f aca="false">1+IF($G$10=$E$10,$F$10,IF(T189&lt;($F$10-$E$10)/($G$10-$E$10),$E$10+SQRT(T189*($G$10-$E$10)*($F$10-$E$10)),$G$10-SQRT((1-T189)*($G$10-$E$10)*($G$10-$F$10))))</f>
        <v>1.09669817036689</v>
      </c>
      <c r="G189" s="38" t="n">
        <f aca="false">IF($G$11=$E$11,$F$11,IF(U189&lt;($F$11-$E$11)/($G$11-$E$11),$E$11+SQRT(U189*($G$11-$E$11)*($F$11-$E$11)),$G$11-SQRT((1-U189)*($G$11-$E$11)*($G$11-$F$11))))</f>
        <v>0.116731390083903</v>
      </c>
      <c r="H189" s="39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-2193396340.73377</v>
      </c>
      <c r="I189" s="39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10755333.0264452</v>
      </c>
      <c r="J189" s="39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326018531.845503</v>
      </c>
      <c r="K189" s="39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696116639.182906</v>
      </c>
      <c r="L189" s="39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835687337.246056</v>
      </c>
      <c r="M189" s="39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1025343645.42511</v>
      </c>
      <c r="N189" s="39" t="n">
        <f aca="false">IF(COUNT('Business Case'!B11:G11)=0,"",H189+NPV(G189,I189:M189))</f>
        <v>-294784266.224054</v>
      </c>
      <c r="P189" s="40" t="n">
        <f aca="true">RAND()</f>
        <v>0.85848247470807</v>
      </c>
      <c r="Q189" s="40" t="n">
        <f aca="true">RAND()</f>
        <v>0.583591095711397</v>
      </c>
      <c r="R189" s="40" t="n">
        <f aca="true">RAND()</f>
        <v>0.332010562501302</v>
      </c>
      <c r="S189" s="40" t="n">
        <f aca="true">RAND()</f>
        <v>0.450297356273113</v>
      </c>
      <c r="T189" s="40" t="n">
        <f aca="true">RAND()</f>
        <v>0.686647320415195</v>
      </c>
      <c r="U189" s="40" t="n">
        <f aca="true">RAND()</f>
        <v>0.882629327262968</v>
      </c>
    </row>
    <row r="190" customFormat="false" ht="15" hidden="false" customHeight="false" outlineLevel="0" collapsed="false">
      <c r="A190" s="36" t="n">
        <v>110</v>
      </c>
      <c r="B190" s="37" t="n">
        <f aca="false">1+IF($G$6=$E$6,$F$6,IF(P190&lt;($F$6-$E$6)/($G$6-$E$6),$E$6+SQRT(P190*($G$6-$E$6)*($F$6-$E$6)),$G$6-SQRT((1-P190)*($G$6-$E$6)*($G$6-$F$6))))</f>
        <v>1.01418298068487</v>
      </c>
      <c r="C190" s="37" t="n">
        <f aca="false">1+IF($G$7=$E$7,$F$7,IF(Q190&lt;($F$7-$E$7)/($G$7-$E$7),$E$7+SQRT(Q190*($G$7-$E$7)*($F$7-$E$7)),$G$7-SQRT((1-Q190)*($G$7-$E$7)*($G$7-$F$7))))</f>
        <v>0.841008240831205</v>
      </c>
      <c r="D190" s="37" t="n">
        <f aca="false">1+IF($G$8=$E$8,$F$8,IF(R190&lt;($F$8-$E$8)/($G$8-$E$8),$E$8+SQRT(R190*($G$8-$E$8)*($F$8-$E$8)),$G$8-SQRT((1-R190)*($G$8-$E$8)*($G$8-$F$8))))</f>
        <v>1.00798729864979</v>
      </c>
      <c r="E190" s="37" t="n">
        <f aca="false">1+IF($G$9=$E$9,$F$9,IF(S190&lt;($F$9-$E$9)/($G$9-$E$9),$E$9+SQRT(S190*($G$9-$E$9)*($F$9-$E$9)),$G$9-SQRT((1-S190)*($G$9-$E$9)*($G$9-$F$9))))</f>
        <v>1.1130316745532</v>
      </c>
      <c r="F190" s="37" t="n">
        <f aca="false">1+IF($G$10=$E$10,$F$10,IF(T190&lt;($F$10-$E$10)/($G$10-$E$10),$E$10+SQRT(T190*($G$10-$E$10)*($F$10-$E$10)),$G$10-SQRT((1-T190)*($G$10-$E$10)*($G$10-$F$10))))</f>
        <v>0.96164145669347</v>
      </c>
      <c r="G190" s="38" t="n">
        <f aca="false">IF($G$11=$E$11,$F$11,IF(U190&lt;($F$11-$E$11)/($G$11-$E$11),$E$11+SQRT(U190*($G$11-$E$11)*($F$11-$E$11)),$G$11-SQRT((1-U190)*($G$11-$E$11)*($G$11-$F$11))))</f>
        <v>0.0985816047718525</v>
      </c>
      <c r="H190" s="39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-1923282913.38694</v>
      </c>
      <c r="I190" s="39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-34004970.9327655</v>
      </c>
      <c r="J190" s="39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230643522.838436</v>
      </c>
      <c r="K190" s="39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543374089.444312</v>
      </c>
      <c r="L190" s="39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661067730.643483</v>
      </c>
      <c r="M190" s="39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823193851.99172</v>
      </c>
      <c r="N190" s="39" t="n">
        <f aca="false">IF(COUNT('Business Case'!B11:G11)=0,"",H190+NPV(G190,I190:M190))</f>
        <v>-384999750.986065</v>
      </c>
      <c r="P190" s="40" t="n">
        <f aca="true">RAND()</f>
        <v>0.828952150317327</v>
      </c>
      <c r="Q190" s="40" t="n">
        <f aca="true">RAND()</f>
        <v>0.147283881350453</v>
      </c>
      <c r="R190" s="40" t="n">
        <f aca="true">RAND()</f>
        <v>0.435577519349132</v>
      </c>
      <c r="S190" s="40" t="n">
        <f aca="true">RAND()</f>
        <v>0.963555811030914</v>
      </c>
      <c r="T190" s="40" t="n">
        <f aca="true">RAND()</f>
        <v>0.00903490092972951</v>
      </c>
      <c r="U190" s="40" t="n">
        <f aca="true">RAND()</f>
        <v>0.34527603589733</v>
      </c>
    </row>
    <row r="191" customFormat="false" ht="15" hidden="false" customHeight="false" outlineLevel="0" collapsed="false">
      <c r="A191" s="36" t="n">
        <v>111</v>
      </c>
      <c r="B191" s="37" t="n">
        <f aca="false">1+IF($G$6=$E$6,$F$6,IF(P191&lt;($F$6-$E$6)/($G$6-$E$6),$E$6+SQRT(P191*($G$6-$E$6)*($F$6-$E$6)),$G$6-SQRT((1-P191)*($G$6-$E$6)*($G$6-$F$6))))</f>
        <v>0.939037040822985</v>
      </c>
      <c r="C191" s="37" t="n">
        <f aca="false">1+IF($G$7=$E$7,$F$7,IF(Q191&lt;($F$7-$E$7)/($G$7-$E$7),$E$7+SQRT(Q191*($G$7-$E$7)*($F$7-$E$7)),$G$7-SQRT((1-Q191)*($G$7-$E$7)*($G$7-$F$7))))</f>
        <v>0.754706226010551</v>
      </c>
      <c r="D191" s="37" t="n">
        <f aca="false">1+IF($G$8=$E$8,$F$8,IF(R191&lt;($F$8-$E$8)/($G$8-$E$8),$E$8+SQRT(R191*($G$8-$E$8)*($F$8-$E$8)),$G$8-SQRT((1-R191)*($G$8-$E$8)*($G$8-$F$8))))</f>
        <v>1.03750156164142</v>
      </c>
      <c r="E191" s="37" t="n">
        <f aca="false">1+IF($G$9=$E$9,$F$9,IF(S191&lt;($F$9-$E$9)/($G$9-$E$9),$E$9+SQRT(S191*($G$9-$E$9)*($F$9-$E$9)),$G$9-SQRT((1-S191)*($G$9-$E$9)*($G$9-$F$9))))</f>
        <v>1.00167260179218</v>
      </c>
      <c r="F191" s="37" t="n">
        <f aca="false">1+IF($G$10=$E$10,$F$10,IF(T191&lt;($F$10-$E$10)/($G$10-$E$10),$E$10+SQRT(T191*($G$10-$E$10)*($F$10-$E$10)),$G$10-SQRT((1-T191)*($G$10-$E$10)*($G$10-$F$10))))</f>
        <v>1.16141568901733</v>
      </c>
      <c r="G191" s="38" t="n">
        <f aca="false">IF($G$11=$E$11,$F$11,IF(U191&lt;($F$11-$E$11)/($G$11-$E$11),$E$11+SQRT(U191*($G$11-$E$11)*($F$11-$E$11)),$G$11-SQRT((1-U191)*($G$11-$E$11)*($G$11-$F$11))))</f>
        <v>0.0941554974968834</v>
      </c>
      <c r="H191" s="39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-2322831378.03467</v>
      </c>
      <c r="I191" s="39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-115682228.535582</v>
      </c>
      <c r="J191" s="39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63953813.5297403</v>
      </c>
      <c r="K191" s="39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301660640.045929</v>
      </c>
      <c r="L191" s="39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386031892.550585</v>
      </c>
      <c r="M191" s="39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520741037.539768</v>
      </c>
      <c r="N191" s="39" t="n">
        <f aca="false">IF(COUNT('Business Case'!B11:G11)=0,"",H191+NPV(G191,I191:M191))</f>
        <v>-1543433370.28046</v>
      </c>
      <c r="P191" s="40" t="n">
        <f aca="true">RAND()</f>
        <v>0.101592703747694</v>
      </c>
      <c r="Q191" s="40" t="n">
        <f aca="true">RAND()</f>
        <v>0.0221686752912407</v>
      </c>
      <c r="R191" s="40" t="n">
        <f aca="true">RAND()</f>
        <v>0.739596346849226</v>
      </c>
      <c r="S191" s="40" t="n">
        <f aca="true">RAND()</f>
        <v>0.413306211757278</v>
      </c>
      <c r="T191" s="40" t="n">
        <f aca="true">RAND()</f>
        <v>0.895370931303016</v>
      </c>
      <c r="U191" s="40" t="n">
        <f aca="true">RAND()</f>
        <v>0.200378109384271</v>
      </c>
    </row>
    <row r="192" customFormat="false" ht="15" hidden="false" customHeight="false" outlineLevel="0" collapsed="false">
      <c r="A192" s="36" t="n">
        <v>112</v>
      </c>
      <c r="B192" s="37" t="n">
        <f aca="false">1+IF($G$6=$E$6,$F$6,IF(P192&lt;($F$6-$E$6)/($G$6-$E$6),$E$6+SQRT(P192*($G$6-$E$6)*($F$6-$E$6)),$G$6-SQRT((1-P192)*($G$6-$E$6)*($G$6-$F$6))))</f>
        <v>0.987970672773438</v>
      </c>
      <c r="C192" s="37" t="n">
        <f aca="false">1+IF($G$7=$E$7,$F$7,IF(Q192&lt;($F$7-$E$7)/($G$7-$E$7),$E$7+SQRT(Q192*($G$7-$E$7)*($F$7-$E$7)),$G$7-SQRT((1-Q192)*($G$7-$E$7)*($G$7-$F$7))))</f>
        <v>1.10208798082964</v>
      </c>
      <c r="D192" s="37" t="n">
        <f aca="false">1+IF($G$8=$E$8,$F$8,IF(R192&lt;($F$8-$E$8)/($G$8-$E$8),$E$8+SQRT(R192*($G$8-$E$8)*($F$8-$E$8)),$G$8-SQRT((1-R192)*($G$8-$E$8)*($G$8-$F$8))))</f>
        <v>1.0584101560616</v>
      </c>
      <c r="E192" s="37" t="n">
        <f aca="false">1+IF($G$9=$E$9,$F$9,IF(S192&lt;($F$9-$E$9)/($G$9-$E$9),$E$9+SQRT(S192*($G$9-$E$9)*($F$9-$E$9)),$G$9-SQRT((1-S192)*($G$9-$E$9)*($G$9-$F$9))))</f>
        <v>1.03062860362939</v>
      </c>
      <c r="F192" s="37" t="n">
        <f aca="false">1+IF($G$10=$E$10,$F$10,IF(T192&lt;($F$10-$E$10)/($G$10-$E$10),$E$10+SQRT(T192*($G$10-$E$10)*($F$10-$E$10)),$G$10-SQRT((1-T192)*($G$10-$E$10)*($G$10-$F$10))))</f>
        <v>1.17342713444196</v>
      </c>
      <c r="G192" s="38" t="n">
        <f aca="false">IF($G$11=$E$11,$F$11,IF(U192&lt;($F$11-$E$11)/($G$11-$E$11),$E$11+SQRT(U192*($G$11-$E$11)*($F$11-$E$11)),$G$11-SQRT((1-U192)*($G$11-$E$11)*($G$11-$F$11))))</f>
        <v>0.087108199393986</v>
      </c>
      <c r="H192" s="39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-2346854268.88391</v>
      </c>
      <c r="I192" s="39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-25647191.3516893</v>
      </c>
      <c r="J192" s="39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269048696.681836</v>
      </c>
      <c r="K192" s="39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622415941.43746</v>
      </c>
      <c r="L192" s="39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758277889.785248</v>
      </c>
      <c r="M192" s="39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965242810.969956</v>
      </c>
      <c r="N192" s="39" t="n">
        <f aca="false">IF(COUNT('Business Case'!B11:G11)=0,"",H192+NPV(G192,I192:M192))</f>
        <v>-479670280.184397</v>
      </c>
      <c r="P192" s="40" t="n">
        <f aca="true">RAND()</f>
        <v>0.515922617880749</v>
      </c>
      <c r="Q192" s="40" t="n">
        <f aca="true">RAND()</f>
        <v>0.965991680281758</v>
      </c>
      <c r="R192" s="40" t="n">
        <f aca="true">RAND()</f>
        <v>0.884685658745296</v>
      </c>
      <c r="S192" s="40" t="n">
        <f aca="true">RAND()</f>
        <v>0.620012526094147</v>
      </c>
      <c r="T192" s="40" t="n">
        <f aca="true">RAND()</f>
        <v>0.921821283469729</v>
      </c>
      <c r="U192" s="40" t="n">
        <f aca="true">RAND()</f>
        <v>0.0505264986246631</v>
      </c>
    </row>
    <row r="193" customFormat="false" ht="15" hidden="false" customHeight="false" outlineLevel="0" collapsed="false">
      <c r="A193" s="36" t="n">
        <v>113</v>
      </c>
      <c r="B193" s="37" t="n">
        <f aca="false">1+IF($G$6=$E$6,$F$6,IF(P193&lt;($F$6-$E$6)/($G$6-$E$6),$E$6+SQRT(P193*($G$6-$E$6)*($F$6-$E$6)),$G$6-SQRT((1-P193)*($G$6-$E$6)*($G$6-$F$6))))</f>
        <v>0.963088217141697</v>
      </c>
      <c r="C193" s="37" t="n">
        <f aca="false">1+IF($G$7=$E$7,$F$7,IF(Q193&lt;($F$7-$E$7)/($G$7-$E$7),$E$7+SQRT(Q193*($G$7-$E$7)*($F$7-$E$7)),$G$7-SQRT((1-Q193)*($G$7-$E$7)*($G$7-$F$7))))</f>
        <v>0.99521758900601</v>
      </c>
      <c r="D193" s="37" t="n">
        <f aca="false">1+IF($G$8=$E$8,$F$8,IF(R193&lt;($F$8-$E$8)/($G$8-$E$8),$E$8+SQRT(R193*($G$8-$E$8)*($F$8-$E$8)),$G$8-SQRT((1-R193)*($G$8-$E$8)*($G$8-$F$8))))</f>
        <v>1.04033489637417</v>
      </c>
      <c r="E193" s="37" t="n">
        <f aca="false">1+IF($G$9=$E$9,$F$9,IF(S193&lt;($F$9-$E$9)/($G$9-$E$9),$E$9+SQRT(S193*($G$9-$E$9)*($F$9-$E$9)),$G$9-SQRT((1-S193)*($G$9-$E$9)*($G$9-$F$9))))</f>
        <v>1.04053647139436</v>
      </c>
      <c r="F193" s="37" t="n">
        <f aca="false">1+IF($G$10=$E$10,$F$10,IF(T193&lt;($F$10-$E$10)/($G$10-$E$10),$E$10+SQRT(T193*($G$10-$E$10)*($F$10-$E$10)),$G$10-SQRT((1-T193)*($G$10-$E$10)*($G$10-$F$10))))</f>
        <v>1.08250258562764</v>
      </c>
      <c r="G193" s="38" t="n">
        <f aca="false">IF($G$11=$E$11,$F$11,IF(U193&lt;($F$11-$E$11)/($G$11-$E$11),$E$11+SQRT(U193*($G$11-$E$11)*($F$11-$E$11)),$G$11-SQRT((1-U193)*($G$11-$E$11)*($G$11-$F$11))))</f>
        <v>0.0981159029333823</v>
      </c>
      <c r="H193" s="39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-2165005171.25528</v>
      </c>
      <c r="I193" s="39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-50857507.0720109</v>
      </c>
      <c r="J193" s="39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204187254.817786</v>
      </c>
      <c r="K193" s="39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513357145.988966</v>
      </c>
      <c r="L193" s="39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631497216.063409</v>
      </c>
      <c r="M193" s="39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813685538.008219</v>
      </c>
      <c r="N193" s="39" t="n">
        <f aca="false">IF(COUNT('Business Case'!B11:G11)=0,"",H193+NPV(G193,I193:M193))</f>
        <v>-710434962.69957</v>
      </c>
      <c r="P193" s="40" t="n">
        <f aca="true">RAND()</f>
        <v>0.265341542807859</v>
      </c>
      <c r="Q193" s="40" t="n">
        <f aca="true">RAND()</f>
        <v>0.645580924877939</v>
      </c>
      <c r="R193" s="40" t="n">
        <f aca="true">RAND()</f>
        <v>0.76267169395456</v>
      </c>
      <c r="S193" s="40" t="n">
        <f aca="true">RAND()</f>
        <v>0.680472957472056</v>
      </c>
      <c r="T193" s="40" t="n">
        <f aca="true">RAND()</f>
        <v>0.625928215714316</v>
      </c>
      <c r="U193" s="40" t="n">
        <f aca="true">RAND()</f>
        <v>0.328185939091729</v>
      </c>
    </row>
    <row r="194" customFormat="false" ht="15" hidden="false" customHeight="false" outlineLevel="0" collapsed="false">
      <c r="A194" s="36" t="n">
        <v>114</v>
      </c>
      <c r="B194" s="37" t="n">
        <f aca="false">1+IF($G$6=$E$6,$F$6,IF(P194&lt;($F$6-$E$6)/($G$6-$E$6),$E$6+SQRT(P194*($G$6-$E$6)*($F$6-$E$6)),$G$6-SQRT((1-P194)*($G$6-$E$6)*($G$6-$F$6))))</f>
        <v>0.991940645744361</v>
      </c>
      <c r="C194" s="37" t="n">
        <f aca="false">1+IF($G$7=$E$7,$F$7,IF(Q194&lt;($F$7-$E$7)/($G$7-$E$7),$E$7+SQRT(Q194*($G$7-$E$7)*($F$7-$E$7)),$G$7-SQRT((1-Q194)*($G$7-$E$7)*($G$7-$F$7))))</f>
        <v>0.801214967130133</v>
      </c>
      <c r="D194" s="37" t="n">
        <f aca="false">1+IF($G$8=$E$8,$F$8,IF(R194&lt;($F$8-$E$8)/($G$8-$E$8),$E$8+SQRT(R194*($G$8-$E$8)*($F$8-$E$8)),$G$8-SQRT((1-R194)*($G$8-$E$8)*($G$8-$F$8))))</f>
        <v>0.986459245415155</v>
      </c>
      <c r="E194" s="37" t="n">
        <f aca="false">1+IF($G$9=$E$9,$F$9,IF(S194&lt;($F$9-$E$9)/($G$9-$E$9),$E$9+SQRT(S194*($G$9-$E$9)*($F$9-$E$9)),$G$9-SQRT((1-S194)*($G$9-$E$9)*($G$9-$F$9))))</f>
        <v>1.02415876221395</v>
      </c>
      <c r="F194" s="37" t="n">
        <f aca="false">1+IF($G$10=$E$10,$F$10,IF(T194&lt;($F$10-$E$10)/($G$10-$E$10),$E$10+SQRT(T194*($G$10-$E$10)*($F$10-$E$10)),$G$10-SQRT((1-T194)*($G$10-$E$10)*($G$10-$F$10))))</f>
        <v>1.11840853312147</v>
      </c>
      <c r="G194" s="38" t="n">
        <f aca="false">IF($G$11=$E$11,$F$11,IF(U194&lt;($F$11-$E$11)/($G$11-$E$11),$E$11+SQRT(U194*($G$11-$E$11)*($F$11-$E$11)),$G$11-SQRT((1-U194)*($G$11-$E$11)*($G$11-$F$11))))</f>
        <v>0.102205013860174</v>
      </c>
      <c r="H194" s="39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-2236817066.24294</v>
      </c>
      <c r="I194" s="39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-52316813.46124</v>
      </c>
      <c r="J194" s="39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194042841.123296</v>
      </c>
      <c r="K194" s="39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496322922.363906</v>
      </c>
      <c r="L194" s="39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605909633.056622</v>
      </c>
      <c r="M194" s="39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756977175.128243</v>
      </c>
      <c r="N194" s="39" t="n">
        <f aca="false">IF(COUNT('Business Case'!B11:G11)=0,"",H194+NPV(G194,I194:M194))</f>
        <v>-878013204.457447</v>
      </c>
      <c r="P194" s="40" t="n">
        <f aca="true">RAND()</f>
        <v>0.563538822659337</v>
      </c>
      <c r="Q194" s="40" t="n">
        <f aca="true">RAND()</f>
        <v>0.0758849597863251</v>
      </c>
      <c r="R194" s="40" t="n">
        <f aca="true">RAND()</f>
        <v>0.177236876832332</v>
      </c>
      <c r="S194" s="40" t="n">
        <f aca="true">RAND()</f>
        <v>0.577706209932656</v>
      </c>
      <c r="T194" s="40" t="n">
        <f aca="true">RAND()</f>
        <v>0.769115811263423</v>
      </c>
      <c r="U194" s="40" t="n">
        <f aca="true">RAND()</f>
        <v>0.484959163657902</v>
      </c>
    </row>
    <row r="195" customFormat="false" ht="15" hidden="false" customHeight="false" outlineLevel="0" collapsed="false">
      <c r="A195" s="36" t="n">
        <v>115</v>
      </c>
      <c r="B195" s="37" t="n">
        <f aca="false">1+IF($G$6=$E$6,$F$6,IF(P195&lt;($F$6-$E$6)/($G$6-$E$6),$E$6+SQRT(P195*($G$6-$E$6)*($F$6-$E$6)),$G$6-SQRT((1-P195)*($G$6-$E$6)*($G$6-$F$6))))</f>
        <v>0.925729122279246</v>
      </c>
      <c r="C195" s="37" t="n">
        <f aca="false">1+IF($G$7=$E$7,$F$7,IF(Q195&lt;($F$7-$E$7)/($G$7-$E$7),$E$7+SQRT(Q195*($G$7-$E$7)*($F$7-$E$7)),$G$7-SQRT((1-Q195)*($G$7-$E$7)*($G$7-$F$7))))</f>
        <v>0.848950503802351</v>
      </c>
      <c r="D195" s="37" t="n">
        <f aca="false">1+IF($G$8=$E$8,$F$8,IF(R195&lt;($F$8-$E$8)/($G$8-$E$8),$E$8+SQRT(R195*($G$8-$E$8)*($F$8-$E$8)),$G$8-SQRT((1-R195)*($G$8-$E$8)*($G$8-$F$8))))</f>
        <v>0.999372810989989</v>
      </c>
      <c r="E195" s="37" t="n">
        <f aca="false">1+IF($G$9=$E$9,$F$9,IF(S195&lt;($F$9-$E$9)/($G$9-$E$9),$E$9+SQRT(S195*($G$9-$E$9)*($F$9-$E$9)),$G$9-SQRT((1-S195)*($G$9-$E$9)*($G$9-$F$9))))</f>
        <v>1.07961596315241</v>
      </c>
      <c r="F195" s="37" t="n">
        <f aca="false">1+IF($G$10=$E$10,$F$10,IF(T195&lt;($F$10-$E$10)/($G$10-$E$10),$E$10+SQRT(T195*($G$10-$E$10)*($F$10-$E$10)),$G$10-SQRT((1-T195)*($G$10-$E$10)*($G$10-$F$10))))</f>
        <v>0.977056564782841</v>
      </c>
      <c r="G195" s="38" t="n">
        <f aca="false">IF($G$11=$E$11,$F$11,IF(U195&lt;($F$11-$E$11)/($G$11-$E$11),$E$11+SQRT(U195*($G$11-$E$11)*($F$11-$E$11)),$G$11-SQRT((1-U195)*($G$11-$E$11)*($G$11-$F$11))))</f>
        <v>0.0943898432190505</v>
      </c>
      <c r="H195" s="39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-1954113129.56568</v>
      </c>
      <c r="I195" s="39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-82582963.8773791</v>
      </c>
      <c r="J195" s="39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126802081.6177</v>
      </c>
      <c r="K195" s="39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385039955.351922</v>
      </c>
      <c r="L195" s="39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481995612.472883</v>
      </c>
      <c r="M195" s="39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631379143.230522</v>
      </c>
      <c r="N195" s="39" t="n">
        <f aca="false">IF(COUNT('Business Case'!B11:G11)=0,"",H195+NPV(G195,I195:M195))</f>
        <v>-891742317.338202</v>
      </c>
      <c r="P195" s="40" t="n">
        <f aca="true">RAND()</f>
        <v>0.044132515550692</v>
      </c>
      <c r="Q195" s="40" t="n">
        <f aca="true">RAND()</f>
        <v>0.164342611725734</v>
      </c>
      <c r="R195" s="40" t="n">
        <f aca="true">RAND()</f>
        <v>0.325023262007089</v>
      </c>
      <c r="S195" s="40" t="n">
        <f aca="true">RAND()</f>
        <v>0.867895662854321</v>
      </c>
      <c r="T195" s="40" t="n">
        <f aca="true">RAND()</f>
        <v>0.0488038465232052</v>
      </c>
      <c r="U195" s="40" t="n">
        <f aca="true">RAND()</f>
        <v>0.207067587868853</v>
      </c>
    </row>
    <row r="196" customFormat="false" ht="15" hidden="false" customHeight="false" outlineLevel="0" collapsed="false">
      <c r="A196" s="36" t="n">
        <v>116</v>
      </c>
      <c r="B196" s="37" t="n">
        <f aca="false">1+IF($G$6=$E$6,$F$6,IF(P196&lt;($F$6-$E$6)/($G$6-$E$6),$E$6+SQRT(P196*($G$6-$E$6)*($F$6-$E$6)),$G$6-SQRT((1-P196)*($G$6-$E$6)*($G$6-$F$6))))</f>
        <v>0.997831750307962</v>
      </c>
      <c r="C196" s="37" t="n">
        <f aca="false">1+IF($G$7=$E$7,$F$7,IF(Q196&lt;($F$7-$E$7)/($G$7-$E$7),$E$7+SQRT(Q196*($G$7-$E$7)*($F$7-$E$7)),$G$7-SQRT((1-Q196)*($G$7-$E$7)*($G$7-$F$7))))</f>
        <v>1.05498624549252</v>
      </c>
      <c r="D196" s="37" t="n">
        <f aca="false">1+IF($G$8=$E$8,$F$8,IF(R196&lt;($F$8-$E$8)/($G$8-$E$8),$E$8+SQRT(R196*($G$8-$E$8)*($F$8-$E$8)),$G$8-SQRT((1-R196)*($G$8-$E$8)*($G$8-$F$8))))</f>
        <v>1.03364386460887</v>
      </c>
      <c r="E196" s="37" t="n">
        <f aca="false">1+IF($G$9=$E$9,$F$9,IF(S196&lt;($F$9-$E$9)/($G$9-$E$9),$E$9+SQRT(S196*($G$9-$E$9)*($F$9-$E$9)),$G$9-SQRT((1-S196)*($G$9-$E$9)*($G$9-$F$9))))</f>
        <v>1.0367580624974</v>
      </c>
      <c r="F196" s="37" t="n">
        <f aca="false">1+IF($G$10=$E$10,$F$10,IF(T196&lt;($F$10-$E$10)/($G$10-$E$10),$E$10+SQRT(T196*($G$10-$E$10)*($F$10-$E$10)),$G$10-SQRT((1-T196)*($G$10-$E$10)*($G$10-$F$10))))</f>
        <v>1.03699901319871</v>
      </c>
      <c r="G196" s="38" t="n">
        <f aca="false">IF($G$11=$E$11,$F$11,IF(U196&lt;($F$11-$E$11)/($G$11-$E$11),$E$11+SQRT(U196*($G$11-$E$11)*($F$11-$E$11)),$G$11-SQRT((1-U196)*($G$11-$E$11)*($G$11-$F$11))))</f>
        <v>0.087609203853534</v>
      </c>
      <c r="H196" s="39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-2073998026.39742</v>
      </c>
      <c r="I196" s="39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-1701265.91586684</v>
      </c>
      <c r="J196" s="39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302296270.310078</v>
      </c>
      <c r="K196" s="39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658143757.195958</v>
      </c>
      <c r="L196" s="39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795857538.827813</v>
      </c>
      <c r="M196" s="39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995954521.388784</v>
      </c>
      <c r="N196" s="39" t="n">
        <f aca="false">IF(COUNT('Business Case'!B11:G11)=0,"",H196+NPV(G196,I196:M196))</f>
        <v>-85211771.5740674</v>
      </c>
      <c r="P196" s="40" t="n">
        <f aca="true">RAND()</f>
        <v>0.638070091221291</v>
      </c>
      <c r="Q196" s="40" t="n">
        <f aca="true">RAND()</f>
        <v>0.866257577102115</v>
      </c>
      <c r="R196" s="40" t="n">
        <f aca="true">RAND()</f>
        <v>0.70645755306361</v>
      </c>
      <c r="S196" s="40" t="n">
        <f aca="true">RAND()</f>
        <v>0.658033695750874</v>
      </c>
      <c r="T196" s="40" t="n">
        <f aca="true">RAND()</f>
        <v>0.395074394955678</v>
      </c>
      <c r="U196" s="40" t="n">
        <f aca="true">RAND()</f>
        <v>0.0578999832846368</v>
      </c>
    </row>
    <row r="197" customFormat="false" ht="15" hidden="false" customHeight="false" outlineLevel="0" collapsed="false">
      <c r="A197" s="36" t="n">
        <v>117</v>
      </c>
      <c r="B197" s="37" t="n">
        <f aca="false">1+IF($G$6=$E$6,$F$6,IF(P197&lt;($F$6-$E$6)/($G$6-$E$6),$E$6+SQRT(P197*($G$6-$E$6)*($F$6-$E$6)),$G$6-SQRT((1-P197)*($G$6-$E$6)*($G$6-$F$6))))</f>
        <v>1.03269654833527</v>
      </c>
      <c r="C197" s="37" t="n">
        <f aca="false">1+IF($G$7=$E$7,$F$7,IF(Q197&lt;($F$7-$E$7)/($G$7-$E$7),$E$7+SQRT(Q197*($G$7-$E$7)*($F$7-$E$7)),$G$7-SQRT((1-Q197)*($G$7-$E$7)*($G$7-$F$7))))</f>
        <v>0.888948824359017</v>
      </c>
      <c r="D197" s="37" t="n">
        <f aca="false">1+IF($G$8=$E$8,$F$8,IF(R197&lt;($F$8-$E$8)/($G$8-$E$8),$E$8+SQRT(R197*($G$8-$E$8)*($F$8-$E$8)),$G$8-SQRT((1-R197)*($G$8-$E$8)*($G$8-$F$8))))</f>
        <v>1.0223635736989</v>
      </c>
      <c r="E197" s="37" t="n">
        <f aca="false">1+IF($G$9=$E$9,$F$9,IF(S197&lt;($F$9-$E$9)/($G$9-$E$9),$E$9+SQRT(S197*($G$9-$E$9)*($F$9-$E$9)),$G$9-SQRT((1-S197)*($G$9-$E$9)*($G$9-$F$9))))</f>
        <v>1.08336501219847</v>
      </c>
      <c r="F197" s="37" t="n">
        <f aca="false">1+IF($G$10=$E$10,$F$10,IF(T197&lt;($F$10-$E$10)/($G$10-$E$10),$E$10+SQRT(T197*($G$10-$E$10)*($F$10-$E$10)),$G$10-SQRT((1-T197)*($G$10-$E$10)*($G$10-$F$10))))</f>
        <v>1.04318655119569</v>
      </c>
      <c r="G197" s="38" t="n">
        <f aca="false">IF($G$11=$E$11,$F$11,IF(U197&lt;($F$11-$E$11)/($G$11-$E$11),$E$11+SQRT(U197*($G$11-$E$11)*($F$11-$E$11)),$G$11-SQRT((1-U197)*($G$11-$E$11)*($G$11-$F$11))))</f>
        <v>0.118336216580111</v>
      </c>
      <c r="H197" s="39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-2086373102.39139</v>
      </c>
      <c r="I197" s="39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-19290837.9968802</v>
      </c>
      <c r="J197" s="39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267381349.452458</v>
      </c>
      <c r="K197" s="39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606212864.461582</v>
      </c>
      <c r="L197" s="39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733496837.33938</v>
      </c>
      <c r="M197" s="39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907993011.176813</v>
      </c>
      <c r="N197" s="39" t="n">
        <f aca="false">IF(COUNT('Business Case'!B11:G11)=0,"",H197+NPV(G197,I197:M197))</f>
        <v>-468419870.81191</v>
      </c>
      <c r="P197" s="40" t="n">
        <f aca="true">RAND()</f>
        <v>0.960078741398179</v>
      </c>
      <c r="Q197" s="40" t="n">
        <f aca="true">RAND()</f>
        <v>0.264456727604849</v>
      </c>
      <c r="R197" s="40" t="n">
        <f aca="true">RAND()</f>
        <v>0.59817235407954</v>
      </c>
      <c r="S197" s="40" t="n">
        <f aca="true">RAND()</f>
        <v>0.881594090685063</v>
      </c>
      <c r="T197" s="40" t="n">
        <f aca="true">RAND()</f>
        <v>0.429709298582248</v>
      </c>
      <c r="U197" s="40" t="n">
        <f aca="true">RAND()</f>
        <v>0.909304104222613</v>
      </c>
    </row>
    <row r="198" customFormat="false" ht="15" hidden="false" customHeight="false" outlineLevel="0" collapsed="false">
      <c r="A198" s="36" t="n">
        <v>118</v>
      </c>
      <c r="B198" s="37" t="n">
        <f aca="false">1+IF($G$6=$E$6,$F$6,IF(P198&lt;($F$6-$E$6)/($G$6-$E$6),$E$6+SQRT(P198*($G$6-$E$6)*($F$6-$E$6)),$G$6-SQRT((1-P198)*($G$6-$E$6)*($G$6-$F$6))))</f>
        <v>0.960781823447651</v>
      </c>
      <c r="C198" s="37" t="n">
        <f aca="false">1+IF($G$7=$E$7,$F$7,IF(Q198&lt;($F$7-$E$7)/($G$7-$E$7),$E$7+SQRT(Q198*($G$7-$E$7)*($F$7-$E$7)),$G$7-SQRT((1-Q198)*($G$7-$E$7)*($G$7-$F$7))))</f>
        <v>0.950968882344502</v>
      </c>
      <c r="D198" s="37" t="n">
        <f aca="false">1+IF($G$8=$E$8,$F$8,IF(R198&lt;($F$8-$E$8)/($G$8-$E$8),$E$8+SQRT(R198*($G$8-$E$8)*($F$8-$E$8)),$G$8-SQRT((1-R198)*($G$8-$E$8)*($G$8-$F$8))))</f>
        <v>0.996572620470065</v>
      </c>
      <c r="E198" s="37" t="n">
        <f aca="false">1+IF($G$9=$E$9,$F$9,IF(S198&lt;($F$9-$E$9)/($G$9-$E$9),$E$9+SQRT(S198*($G$9-$E$9)*($F$9-$E$9)),$G$9-SQRT((1-S198)*($G$9-$E$9)*($G$9-$F$9))))</f>
        <v>0.953575898132662</v>
      </c>
      <c r="F198" s="37" t="n">
        <f aca="false">1+IF($G$10=$E$10,$F$10,IF(T198&lt;($F$10-$E$10)/($G$10-$E$10),$E$10+SQRT(T198*($G$10-$E$10)*($F$10-$E$10)),$G$10-SQRT((1-T198)*($G$10-$E$10)*($G$10-$F$10))))</f>
        <v>1.16529147934536</v>
      </c>
      <c r="G198" s="38" t="n">
        <f aca="false">IF($G$11=$E$11,$F$11,IF(U198&lt;($F$11-$E$11)/($G$11-$E$11),$E$11+SQRT(U198*($G$11-$E$11)*($F$11-$E$11)),$G$11-SQRT((1-U198)*($G$11-$E$11)*($G$11-$F$11))))</f>
        <v>0.119266341219231</v>
      </c>
      <c r="H198" s="39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-2330582958.69071</v>
      </c>
      <c r="I198" s="39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-36279477.6487</v>
      </c>
      <c r="J198" s="39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226933525.647597</v>
      </c>
      <c r="K198" s="39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548411102.911162</v>
      </c>
      <c r="L198" s="39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667725330.873925</v>
      </c>
      <c r="M198" s="39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841396411.959247</v>
      </c>
      <c r="N198" s="39" t="n">
        <f aca="false">IF(COUNT('Business Case'!B11:G11)=0,"",H198+NPV(G198,I198:M198))</f>
        <v>-886270086.014939</v>
      </c>
      <c r="P198" s="40" t="n">
        <f aca="true">RAND()</f>
        <v>0.246295337441431</v>
      </c>
      <c r="Q198" s="40" t="n">
        <f aca="true">RAND()</f>
        <v>0.466558369668506</v>
      </c>
      <c r="R198" s="40" t="n">
        <f aca="true">RAND()</f>
        <v>0.289201196993162</v>
      </c>
      <c r="S198" s="40" t="n">
        <f aca="true">RAND()</f>
        <v>0.114815074428855</v>
      </c>
      <c r="T198" s="40" t="n">
        <f aca="true">RAND()</f>
        <v>0.904326220380023</v>
      </c>
      <c r="U198" s="40" t="n">
        <f aca="true">RAND()</f>
        <v>0.923192379452014</v>
      </c>
    </row>
    <row r="199" customFormat="false" ht="15" hidden="false" customHeight="false" outlineLevel="0" collapsed="false">
      <c r="A199" s="36" t="n">
        <v>119</v>
      </c>
      <c r="B199" s="37" t="n">
        <f aca="false">1+IF($G$6=$E$6,$F$6,IF(P199&lt;($F$6-$E$6)/($G$6-$E$6),$E$6+SQRT(P199*($G$6-$E$6)*($F$6-$E$6)),$G$6-SQRT((1-P199)*($G$6-$E$6)*($G$6-$F$6))))</f>
        <v>0.994345622414601</v>
      </c>
      <c r="C199" s="37" t="n">
        <f aca="false">1+IF($G$7=$E$7,$F$7,IF(Q199&lt;($F$7-$E$7)/($G$7-$E$7),$E$7+SQRT(Q199*($G$7-$E$7)*($F$7-$E$7)),$G$7-SQRT((1-Q199)*($G$7-$E$7)*($G$7-$F$7))))</f>
        <v>0.857111394980822</v>
      </c>
      <c r="D199" s="37" t="n">
        <f aca="false">1+IF($G$8=$E$8,$F$8,IF(R199&lt;($F$8-$E$8)/($G$8-$E$8),$E$8+SQRT(R199*($G$8-$E$8)*($F$8-$E$8)),$G$8-SQRT((1-R199)*($G$8-$E$8)*($G$8-$F$8))))</f>
        <v>1.01961967074724</v>
      </c>
      <c r="E199" s="37" t="n">
        <f aca="false">1+IF($G$9=$E$9,$F$9,IF(S199&lt;($F$9-$E$9)/($G$9-$E$9),$E$9+SQRT(S199*($G$9-$E$9)*($F$9-$E$9)),$G$9-SQRT((1-S199)*($G$9-$E$9)*($G$9-$F$9))))</f>
        <v>1.12360126121646</v>
      </c>
      <c r="F199" s="37" t="n">
        <f aca="false">1+IF($G$10=$E$10,$F$10,IF(T199&lt;($F$10-$E$10)/($G$10-$E$10),$E$10+SQRT(T199*($G$10-$E$10)*($F$10-$E$10)),$G$10-SQRT((1-T199)*($G$10-$E$10)*($G$10-$F$10))))</f>
        <v>0.965210206044995</v>
      </c>
      <c r="G199" s="38" t="n">
        <f aca="false">IF($G$11=$E$11,$F$11,IF(U199&lt;($F$11-$E$11)/($G$11-$E$11),$E$11+SQRT(U199*($G$11-$E$11)*($F$11-$E$11)),$G$11-SQRT((1-U199)*($G$11-$E$11)*($G$11-$F$11))))</f>
        <v>0.0991912329631648</v>
      </c>
      <c r="H199" s="39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-1930420412.08999</v>
      </c>
      <c r="I199" s="39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-49793204.0785376</v>
      </c>
      <c r="J199" s="39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200892127.501325</v>
      </c>
      <c r="K199" s="39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499837969.383437</v>
      </c>
      <c r="L199" s="39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612854023.716006</v>
      </c>
      <c r="M199" s="39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774852547.982049</v>
      </c>
      <c r="N199" s="39" t="n">
        <f aca="false">IF(COUNT('Business Case'!B11:G11)=0,"",H199+NPV(G199,I199:M199))</f>
        <v>-530368142.518372</v>
      </c>
      <c r="P199" s="40" t="n">
        <f aca="true">RAND()</f>
        <v>0.593406431253227</v>
      </c>
      <c r="Q199" s="40" t="n">
        <f aca="true">RAND()</f>
        <v>0.182844373576443</v>
      </c>
      <c r="R199" s="40" t="n">
        <f aca="true">RAND()</f>
        <v>0.569266844614546</v>
      </c>
      <c r="S199" s="40" t="n">
        <f aca="true">RAND()</f>
        <v>0.981416175750351</v>
      </c>
      <c r="T199" s="40" t="n">
        <f aca="true">RAND()</f>
        <v>0.0154233578620803</v>
      </c>
      <c r="U199" s="40" t="n">
        <f aca="true">RAND()</f>
        <v>0.368303422646464</v>
      </c>
    </row>
    <row r="200" customFormat="false" ht="15" hidden="false" customHeight="false" outlineLevel="0" collapsed="false">
      <c r="A200" s="36" t="n">
        <v>120</v>
      </c>
      <c r="B200" s="37" t="n">
        <f aca="false">1+IF($G$6=$E$6,$F$6,IF(P200&lt;($F$6-$E$6)/($G$6-$E$6),$E$6+SQRT(P200*($G$6-$E$6)*($F$6-$E$6)),$G$6-SQRT((1-P200)*($G$6-$E$6)*($G$6-$F$6))))</f>
        <v>0.990385183983171</v>
      </c>
      <c r="C200" s="37" t="n">
        <f aca="false">1+IF($G$7=$E$7,$F$7,IF(Q200&lt;($F$7-$E$7)/($G$7-$E$7),$E$7+SQRT(Q200*($G$7-$E$7)*($F$7-$E$7)),$G$7-SQRT((1-Q200)*($G$7-$E$7)*($G$7-$F$7))))</f>
        <v>0.844414969871967</v>
      </c>
      <c r="D200" s="37" t="n">
        <f aca="false">1+IF($G$8=$E$8,$F$8,IF(R200&lt;($F$8-$E$8)/($G$8-$E$8),$E$8+SQRT(R200*($G$8-$E$8)*($F$8-$E$8)),$G$8-SQRT((1-R200)*($G$8-$E$8)*($G$8-$F$8))))</f>
        <v>0.97119351123734</v>
      </c>
      <c r="E200" s="37" t="n">
        <f aca="false">1+IF($G$9=$E$9,$F$9,IF(S200&lt;($F$9-$E$9)/($G$9-$E$9),$E$9+SQRT(S200*($G$9-$E$9)*($F$9-$E$9)),$G$9-SQRT((1-S200)*($G$9-$E$9)*($G$9-$F$9))))</f>
        <v>0.983831858737991</v>
      </c>
      <c r="F200" s="37" t="n">
        <f aca="false">1+IF($G$10=$E$10,$F$10,IF(T200&lt;($F$10-$E$10)/($G$10-$E$10),$E$10+SQRT(T200*($G$10-$E$10)*($F$10-$E$10)),$G$10-SQRT((1-T200)*($G$10-$E$10)*($G$10-$F$10))))</f>
        <v>1.21941247056075</v>
      </c>
      <c r="G200" s="38" t="n">
        <f aca="false">IF($G$11=$E$11,$F$11,IF(U200&lt;($F$11-$E$11)/($G$11-$E$11),$E$11+SQRT(U200*($G$11-$E$11)*($F$11-$E$11)),$G$11-SQRT((1-U200)*($G$11-$E$11)*($G$11-$F$11))))</f>
        <v>0.107020951719253</v>
      </c>
      <c r="H200" s="39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-2438824941.12151</v>
      </c>
      <c r="I200" s="39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-40029673.5409217</v>
      </c>
      <c r="J200" s="39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225136378.830056</v>
      </c>
      <c r="K200" s="39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551273054.729072</v>
      </c>
      <c r="L200" s="39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668564131.214919</v>
      </c>
      <c r="M200" s="39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827527289.206954</v>
      </c>
      <c r="N200" s="39" t="n">
        <f aca="false">IF(COUNT('Business Case'!B11:G11)=0,"",H200+NPV(G200,I200:M200))</f>
        <v>-942020875.101261</v>
      </c>
      <c r="P200" s="40" t="n">
        <f aca="true">RAND()</f>
        <v>0.544632098911446</v>
      </c>
      <c r="Q200" s="40" t="n">
        <f aca="true">RAND()</f>
        <v>0.154486544615711</v>
      </c>
      <c r="R200" s="40" t="n">
        <f aca="true">RAND()</f>
        <v>0.0598886558089678</v>
      </c>
      <c r="S200" s="40" t="n">
        <f aca="true">RAND()</f>
        <v>0.281111221578661</v>
      </c>
      <c r="T200" s="40" t="n">
        <f aca="true">RAND()</f>
        <v>0.987525373904044</v>
      </c>
      <c r="U200" s="40" t="n">
        <f aca="true">RAND()</f>
        <v>0.647975560074078</v>
      </c>
    </row>
    <row r="201" customFormat="false" ht="15" hidden="false" customHeight="false" outlineLevel="0" collapsed="false">
      <c r="A201" s="36" t="n">
        <v>121</v>
      </c>
      <c r="B201" s="37" t="n">
        <f aca="false">1+IF($G$6=$E$6,$F$6,IF(P201&lt;($F$6-$E$6)/($G$6-$E$6),$E$6+SQRT(P201*($G$6-$E$6)*($F$6-$E$6)),$G$6-SQRT((1-P201)*($G$6-$E$6)*($G$6-$F$6))))</f>
        <v>0.975666516437938</v>
      </c>
      <c r="C201" s="37" t="n">
        <f aca="false">1+IF($G$7=$E$7,$F$7,IF(Q201&lt;($F$7-$E$7)/($G$7-$E$7),$E$7+SQRT(Q201*($G$7-$E$7)*($F$7-$E$7)),$G$7-SQRT((1-Q201)*($G$7-$E$7)*($G$7-$F$7))))</f>
        <v>0.978075880405588</v>
      </c>
      <c r="D201" s="37" t="n">
        <f aca="false">1+IF($G$8=$E$8,$F$8,IF(R201&lt;($F$8-$E$8)/($G$8-$E$8),$E$8+SQRT(R201*($G$8-$E$8)*($F$8-$E$8)),$G$8-SQRT((1-R201)*($G$8-$E$8)*($G$8-$F$8))))</f>
        <v>1.00169703019346</v>
      </c>
      <c r="E201" s="37" t="n">
        <f aca="false">1+IF($G$9=$E$9,$F$9,IF(S201&lt;($F$9-$E$9)/($G$9-$E$9),$E$9+SQRT(S201*($G$9-$E$9)*($F$9-$E$9)),$G$9-SQRT((1-S201)*($G$9-$E$9)*($G$9-$F$9))))</f>
        <v>1.0066928386634</v>
      </c>
      <c r="F201" s="37" t="n">
        <f aca="false">1+IF($G$10=$E$10,$F$10,IF(T201&lt;($F$10-$E$10)/($G$10-$E$10),$E$10+SQRT(T201*($G$10-$E$10)*($F$10-$E$10)),$G$10-SQRT((1-T201)*($G$10-$E$10)*($G$10-$F$10))))</f>
        <v>1.09065575464198</v>
      </c>
      <c r="G201" s="38" t="n">
        <f aca="false">IF($G$11=$E$11,$F$11,IF(U201&lt;($F$11-$E$11)/($G$11-$E$11),$E$11+SQRT(U201*($G$11-$E$11)*($F$11-$E$11)),$G$11-SQRT((1-U201)*($G$11-$E$11)*($G$11-$F$11))))</f>
        <v>0.0890346067920778</v>
      </c>
      <c r="H201" s="39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-2181311509.28396</v>
      </c>
      <c r="I201" s="39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-21612601.7042304</v>
      </c>
      <c r="J201" s="39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258461755.698204</v>
      </c>
      <c r="K201" s="39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593068900.832738</v>
      </c>
      <c r="L201" s="39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719406794.623238</v>
      </c>
      <c r="M201" s="39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900795555.233186</v>
      </c>
      <c r="N201" s="39" t="n">
        <f aca="false">IF(COUNT('Business Case'!B11:G11)=0,"",H201+NPV(G201,I201:M201))</f>
        <v>-424541937.617905</v>
      </c>
      <c r="P201" s="40" t="n">
        <f aca="true">RAND()</f>
        <v>0.381694780656846</v>
      </c>
      <c r="Q201" s="40" t="n">
        <f aca="true">RAND()</f>
        <v>0.572786631580319</v>
      </c>
      <c r="R201" s="40" t="n">
        <f aca="true">RAND()</f>
        <v>0.355768408480957</v>
      </c>
      <c r="S201" s="40" t="n">
        <f aca="true">RAND()</f>
        <v>0.45234820025722</v>
      </c>
      <c r="T201" s="40" t="n">
        <f aca="true">RAND()</f>
        <v>0.66145881961711</v>
      </c>
      <c r="U201" s="40" t="n">
        <f aca="true">RAND()</f>
        <v>0.0816241198874585</v>
      </c>
    </row>
    <row r="202" customFormat="false" ht="15" hidden="false" customHeight="false" outlineLevel="0" collapsed="false">
      <c r="A202" s="36" t="n">
        <v>122</v>
      </c>
      <c r="B202" s="37" t="n">
        <f aca="false">1+IF($G$6=$E$6,$F$6,IF(P202&lt;($F$6-$E$6)/($G$6-$E$6),$E$6+SQRT(P202*($G$6-$E$6)*($F$6-$E$6)),$G$6-SQRT((1-P202)*($G$6-$E$6)*($G$6-$F$6))))</f>
        <v>0.992252836832236</v>
      </c>
      <c r="C202" s="37" t="n">
        <f aca="false">1+IF($G$7=$E$7,$F$7,IF(Q202&lt;($F$7-$E$7)/($G$7-$E$7),$E$7+SQRT(Q202*($G$7-$E$7)*($F$7-$E$7)),$G$7-SQRT((1-Q202)*($G$7-$E$7)*($G$7-$F$7))))</f>
        <v>1.01139197588038</v>
      </c>
      <c r="D202" s="37" t="n">
        <f aca="false">1+IF($G$8=$E$8,$F$8,IF(R202&lt;($F$8-$E$8)/($G$8-$E$8),$E$8+SQRT(R202*($G$8-$E$8)*($F$8-$E$8)),$G$8-SQRT((1-R202)*($G$8-$E$8)*($G$8-$F$8))))</f>
        <v>0.982376103758817</v>
      </c>
      <c r="E202" s="37" t="n">
        <f aca="false">1+IF($G$9=$E$9,$F$9,IF(S202&lt;($F$9-$E$9)/($G$9-$E$9),$E$9+SQRT(S202*($G$9-$E$9)*($F$9-$E$9)),$G$9-SQRT((1-S202)*($G$9-$E$9)*($G$9-$F$9))))</f>
        <v>0.928763668829478</v>
      </c>
      <c r="F202" s="37" t="n">
        <f aca="false">1+IF($G$10=$E$10,$F$10,IF(T202&lt;($F$10-$E$10)/($G$10-$E$10),$E$10+SQRT(T202*($G$10-$E$10)*($F$10-$E$10)),$G$10-SQRT((1-T202)*($G$10-$E$10)*($G$10-$F$10))))</f>
        <v>1.07199642018294</v>
      </c>
      <c r="G202" s="38" t="n">
        <f aca="false">IF($G$11=$E$11,$F$11,IF(U202&lt;($F$11-$E$11)/($G$11-$E$11),$E$11+SQRT(U202*($G$11-$E$11)*($F$11-$E$11)),$G$11-SQRT((1-U202)*($G$11-$E$11)*($G$11-$F$11))))</f>
        <v>0.0979816970777829</v>
      </c>
      <c r="H202" s="39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-2143992840.36587</v>
      </c>
      <c r="I202" s="39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22063892.1424939</v>
      </c>
      <c r="J202" s="39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335421991.936945</v>
      </c>
      <c r="K202" s="39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702379912.740543</v>
      </c>
      <c r="L202" s="39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841515527.289435</v>
      </c>
      <c r="M202" s="39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1032271557.68518</v>
      </c>
      <c r="N202" s="39" t="n">
        <f aca="false">IF(COUNT('Business Case'!B11:G11)=0,"",H202+NPV(G202,I202:M202))</f>
        <v>-89169319.676532</v>
      </c>
      <c r="P202" s="40" t="n">
        <f aca="true">RAND()</f>
        <v>0.567372393573014</v>
      </c>
      <c r="Q202" s="40" t="n">
        <f aca="true">RAND()</f>
        <v>0.715375046661536</v>
      </c>
      <c r="R202" s="40" t="n">
        <f aca="true">RAND()</f>
        <v>0.139761612613557</v>
      </c>
      <c r="S202" s="40" t="n">
        <f aca="true">RAND()</f>
        <v>0.0330939457812741</v>
      </c>
      <c r="T202" s="40" t="n">
        <f aca="true">RAND()</f>
        <v>0.577529674297472</v>
      </c>
      <c r="U202" s="40" t="n">
        <f aca="true">RAND()</f>
        <v>0.323341429797147</v>
      </c>
    </row>
    <row r="203" customFormat="false" ht="15" hidden="false" customHeight="false" outlineLevel="0" collapsed="false">
      <c r="A203" s="36" t="n">
        <v>123</v>
      </c>
      <c r="B203" s="37" t="n">
        <f aca="false">1+IF($G$6=$E$6,$F$6,IF(P203&lt;($F$6-$E$6)/($G$6-$E$6),$E$6+SQRT(P203*($G$6-$E$6)*($F$6-$E$6)),$G$6-SQRT((1-P203)*($G$6-$E$6)*($G$6-$F$6))))</f>
        <v>1.00645209883079</v>
      </c>
      <c r="C203" s="37" t="n">
        <f aca="false">1+IF($G$7=$E$7,$F$7,IF(Q203&lt;($F$7-$E$7)/($G$7-$E$7),$E$7+SQRT(Q203*($G$7-$E$7)*($F$7-$E$7)),$G$7-SQRT((1-Q203)*($G$7-$E$7)*($G$7-$F$7))))</f>
        <v>1.00159589320605</v>
      </c>
      <c r="D203" s="37" t="n">
        <f aca="false">1+IF($G$8=$E$8,$F$8,IF(R203&lt;($F$8-$E$8)/($G$8-$E$8),$E$8+SQRT(R203*($G$8-$E$8)*($F$8-$E$8)),$G$8-SQRT((1-R203)*($G$8-$E$8)*($G$8-$F$8))))</f>
        <v>0.978494254344843</v>
      </c>
      <c r="E203" s="37" t="n">
        <f aca="false">1+IF($G$9=$E$9,$F$9,IF(S203&lt;($F$9-$E$9)/($G$9-$E$9),$E$9+SQRT(S203*($G$9-$E$9)*($F$9-$E$9)),$G$9-SQRT((1-S203)*($G$9-$E$9)*($G$9-$F$9))))</f>
        <v>1.09559128962554</v>
      </c>
      <c r="F203" s="37" t="n">
        <f aca="false">1+IF($G$10=$E$10,$F$10,IF(T203&lt;($F$10-$E$10)/($G$10-$E$10),$E$10+SQRT(T203*($G$10-$E$10)*($F$10-$E$10)),$G$10-SQRT((1-T203)*($G$10-$E$10)*($G$10-$F$10))))</f>
        <v>1.19228956183148</v>
      </c>
      <c r="G203" s="38" t="n">
        <f aca="false">IF($G$11=$E$11,$F$11,IF(U203&lt;($F$11-$E$11)/($G$11-$E$11),$E$11+SQRT(U203*($G$11-$E$11)*($F$11-$E$11)),$G$11-SQRT((1-U203)*($G$11-$E$11)*($G$11-$F$11))))</f>
        <v>0.0969371041579483</v>
      </c>
      <c r="H203" s="39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-2384579123.66296</v>
      </c>
      <c r="I203" s="39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-3317639.25322408</v>
      </c>
      <c r="J203" s="39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320644500.7579</v>
      </c>
      <c r="K203" s="39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704221118.860598</v>
      </c>
      <c r="L203" s="39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847046993.328605</v>
      </c>
      <c r="M203" s="39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1038658712.88225</v>
      </c>
      <c r="N203" s="39" t="n">
        <f aca="false">IF(COUNT('Business Case'!B11:G11)=0,"",H203+NPV(G203,I203:M203))</f>
        <v>-348577073.711247</v>
      </c>
      <c r="P203" s="40" t="n">
        <f aca="true">RAND()</f>
        <v>0.74714404050085</v>
      </c>
      <c r="Q203" s="40" t="n">
        <f aca="true">RAND()</f>
        <v>0.673721793876907</v>
      </c>
      <c r="R203" s="40" t="n">
        <f aca="true">RAND()</f>
        <v>0.108256337422478</v>
      </c>
      <c r="S203" s="40" t="n">
        <f aca="true">RAND()</f>
        <v>0.921058459610347</v>
      </c>
      <c r="T203" s="40" t="n">
        <f aca="true">RAND()</f>
        <v>0.955593404351969</v>
      </c>
      <c r="U203" s="40" t="n">
        <f aca="true">RAND()</f>
        <v>0.28686549725719</v>
      </c>
    </row>
    <row r="204" customFormat="false" ht="15" hidden="false" customHeight="false" outlineLevel="0" collapsed="false">
      <c r="A204" s="36" t="n">
        <v>124</v>
      </c>
      <c r="B204" s="37" t="n">
        <f aca="false">1+IF($G$6=$E$6,$F$6,IF(P204&lt;($F$6-$E$6)/($G$6-$E$6),$E$6+SQRT(P204*($G$6-$E$6)*($F$6-$E$6)),$G$6-SQRT((1-P204)*($G$6-$E$6)*($G$6-$F$6))))</f>
        <v>1.04541301981975</v>
      </c>
      <c r="C204" s="37" t="n">
        <f aca="false">1+IF($G$7=$E$7,$F$7,IF(Q204&lt;($F$7-$E$7)/($G$7-$E$7),$E$7+SQRT(Q204*($G$7-$E$7)*($F$7-$E$7)),$G$7-SQRT((1-Q204)*($G$7-$E$7)*($G$7-$F$7))))</f>
        <v>1.05861001045119</v>
      </c>
      <c r="D204" s="37" t="n">
        <f aca="false">1+IF($G$8=$E$8,$F$8,IF(R204&lt;($F$8-$E$8)/($G$8-$E$8),$E$8+SQRT(R204*($G$8-$E$8)*($F$8-$E$8)),$G$8-SQRT((1-R204)*($G$8-$E$8)*($G$8-$F$8))))</f>
        <v>1.05308905601278</v>
      </c>
      <c r="E204" s="37" t="n">
        <f aca="false">1+IF($G$9=$E$9,$F$9,IF(S204&lt;($F$9-$E$9)/($G$9-$E$9),$E$9+SQRT(S204*($G$9-$E$9)*($F$9-$E$9)),$G$9-SQRT((1-S204)*($G$9-$E$9)*($G$9-$F$9))))</f>
        <v>1.03363642697674</v>
      </c>
      <c r="F204" s="37" t="n">
        <f aca="false">1+IF($G$10=$E$10,$F$10,IF(T204&lt;($F$10-$E$10)/($G$10-$E$10),$E$10+SQRT(T204*($G$10-$E$10)*($F$10-$E$10)),$G$10-SQRT((1-T204)*($G$10-$E$10)*($G$10-$F$10))))</f>
        <v>1.1400702339754</v>
      </c>
      <c r="G204" s="38" t="n">
        <f aca="false">IF($G$11=$E$11,$F$11,IF(U204&lt;($F$11-$E$11)/($G$11-$E$11),$E$11+SQRT(U204*($G$11-$E$11)*($F$11-$E$11)),$G$11-SQRT((1-U204)*($G$11-$E$11)*($G$11-$F$11))))</f>
        <v>0.110000180029342</v>
      </c>
      <c r="H204" s="39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-2280140467.95079</v>
      </c>
      <c r="I204" s="39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17399932.2594411</v>
      </c>
      <c r="J204" s="39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353160522.049995</v>
      </c>
      <c r="K204" s="39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745924623.53932</v>
      </c>
      <c r="L204" s="39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896091842.947824</v>
      </c>
      <c r="M204" s="39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1106450468.41192</v>
      </c>
      <c r="N204" s="39" t="n">
        <f aca="false">IF(COUNT('Business Case'!B11:G11)=0,"",H204+NPV(G204,I204:M204))</f>
        <v>-185511519.032836</v>
      </c>
      <c r="P204" s="40" t="n">
        <f aca="true">RAND()</f>
        <v>0.997194615043463</v>
      </c>
      <c r="Q204" s="40" t="n">
        <f aca="true">RAND()</f>
        <v>0.876264737929914</v>
      </c>
      <c r="R204" s="40" t="n">
        <f aca="true">RAND()</f>
        <v>0.853290888948507</v>
      </c>
      <c r="S204" s="40" t="n">
        <f aca="true">RAND()</f>
        <v>0.638920503286975</v>
      </c>
      <c r="T204" s="40" t="n">
        <f aca="true">RAND()</f>
        <v>0.838872620557015</v>
      </c>
      <c r="U204" s="40" t="n">
        <f aca="true">RAND()</f>
        <v>0.733338134094184</v>
      </c>
    </row>
    <row r="205" customFormat="false" ht="15" hidden="false" customHeight="false" outlineLevel="0" collapsed="false">
      <c r="A205" s="36" t="n">
        <v>125</v>
      </c>
      <c r="B205" s="37" t="n">
        <f aca="false">1+IF($G$6=$E$6,$F$6,IF(P205&lt;($F$6-$E$6)/($G$6-$E$6),$E$6+SQRT(P205*($G$6-$E$6)*($F$6-$E$6)),$G$6-SQRT((1-P205)*($G$6-$E$6)*($G$6-$F$6))))</f>
        <v>0.967619152062066</v>
      </c>
      <c r="C205" s="37" t="n">
        <f aca="false">1+IF($G$7=$E$7,$F$7,IF(Q205&lt;($F$7-$E$7)/($G$7-$E$7),$E$7+SQRT(Q205*($G$7-$E$7)*($F$7-$E$7)),$G$7-SQRT((1-Q205)*($G$7-$E$7)*($G$7-$F$7))))</f>
        <v>0.9903424702418</v>
      </c>
      <c r="D205" s="37" t="n">
        <f aca="false">1+IF($G$8=$E$8,$F$8,IF(R205&lt;($F$8-$E$8)/($G$8-$E$8),$E$8+SQRT(R205*($G$8-$E$8)*($F$8-$E$8)),$G$8-SQRT((1-R205)*($G$8-$E$8)*($G$8-$F$8))))</f>
        <v>1.05750595727215</v>
      </c>
      <c r="E205" s="37" t="n">
        <f aca="false">1+IF($G$9=$E$9,$F$9,IF(S205&lt;($F$9-$E$9)/($G$9-$E$9),$E$9+SQRT(S205*($G$9-$E$9)*($F$9-$E$9)),$G$9-SQRT((1-S205)*($G$9-$E$9)*($G$9-$F$9))))</f>
        <v>1.10313984137017</v>
      </c>
      <c r="F205" s="37" t="n">
        <f aca="false">1+IF($G$10=$E$10,$F$10,IF(T205&lt;($F$10-$E$10)/($G$10-$E$10),$E$10+SQRT(T205*($G$10-$E$10)*($F$10-$E$10)),$G$10-SQRT((1-T205)*($G$10-$E$10)*($G$10-$F$10))))</f>
        <v>1.03801801138441</v>
      </c>
      <c r="G205" s="38" t="n">
        <f aca="false">IF($G$11=$E$11,$F$11,IF(U205&lt;($F$11-$E$11)/($G$11-$E$11),$E$11+SQRT(U205*($G$11-$E$11)*($F$11-$E$11)),$G$11-SQRT((1-U205)*($G$11-$E$11)*($G$11-$F$11))))</f>
        <v>0.0982428006603619</v>
      </c>
      <c r="H205" s="39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-2076036022.76883</v>
      </c>
      <c r="I205" s="39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-61579811.4615143</v>
      </c>
      <c r="J205" s="39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187185605.511576</v>
      </c>
      <c r="K205" s="39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487851923.053887</v>
      </c>
      <c r="L205" s="39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603891689.947134</v>
      </c>
      <c r="M205" s="39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786040476.742659</v>
      </c>
      <c r="N205" s="39" t="n">
        <f aca="false">IF(COUNT('Business Case'!B11:G11)=0,"",H205+NPV(G205,I205:M205))</f>
        <v>-701521736.415693</v>
      </c>
      <c r="P205" s="40" t="n">
        <f aca="true">RAND()</f>
        <v>0.304823315039524</v>
      </c>
      <c r="Q205" s="40" t="n">
        <f aca="true">RAND()</f>
        <v>0.624435185378595</v>
      </c>
      <c r="R205" s="40" t="n">
        <f aca="true">RAND()</f>
        <v>0.879617088842925</v>
      </c>
      <c r="S205" s="40" t="n">
        <f aca="true">RAND()</f>
        <v>0.941443347551663</v>
      </c>
      <c r="T205" s="40" t="n">
        <f aca="true">RAND()</f>
        <v>0.400848486701087</v>
      </c>
      <c r="U205" s="40" t="n">
        <f aca="true">RAND()</f>
        <v>0.332799775933701</v>
      </c>
    </row>
    <row r="206" customFormat="false" ht="15" hidden="false" customHeight="false" outlineLevel="0" collapsed="false">
      <c r="A206" s="36" t="n">
        <v>126</v>
      </c>
      <c r="B206" s="37" t="n">
        <f aca="false">1+IF($G$6=$E$6,$F$6,IF(P206&lt;($F$6-$E$6)/($G$6-$E$6),$E$6+SQRT(P206*($G$6-$E$6)*($F$6-$E$6)),$G$6-SQRT((1-P206)*($G$6-$E$6)*($G$6-$F$6))))</f>
        <v>1.02565005762969</v>
      </c>
      <c r="C206" s="37" t="n">
        <f aca="false">1+IF($G$7=$E$7,$F$7,IF(Q206&lt;($F$7-$E$7)/($G$7-$E$7),$E$7+SQRT(Q206*($G$7-$E$7)*($F$7-$E$7)),$G$7-SQRT((1-Q206)*($G$7-$E$7)*($G$7-$F$7))))</f>
        <v>0.849037453293825</v>
      </c>
      <c r="D206" s="37" t="n">
        <f aca="false">1+IF($G$8=$E$8,$F$8,IF(R206&lt;($F$8-$E$8)/($G$8-$E$8),$E$8+SQRT(R206*($G$8-$E$8)*($F$8-$E$8)),$G$8-SQRT((1-R206)*($G$8-$E$8)*($G$8-$F$8))))</f>
        <v>1.04179226373083</v>
      </c>
      <c r="E206" s="37" t="n">
        <f aca="false">1+IF($G$9=$E$9,$F$9,IF(S206&lt;($F$9-$E$9)/($G$9-$E$9),$E$9+SQRT(S206*($G$9-$E$9)*($F$9-$E$9)),$G$9-SQRT((1-S206)*($G$9-$E$9)*($G$9-$F$9))))</f>
        <v>0.977015256438901</v>
      </c>
      <c r="F206" s="37" t="n">
        <f aca="false">1+IF($G$10=$E$10,$F$10,IF(T206&lt;($F$10-$E$10)/($G$10-$E$10),$E$10+SQRT(T206*($G$10-$E$10)*($F$10-$E$10)),$G$10-SQRT((1-T206)*($G$10-$E$10)*($G$10-$F$10))))</f>
        <v>1.08129520694859</v>
      </c>
      <c r="G206" s="38" t="n">
        <f aca="false">IF($G$11=$E$11,$F$11,IF(U206&lt;($F$11-$E$11)/($G$11-$E$11),$E$11+SQRT(U206*($G$11-$E$11)*($F$11-$E$11)),$G$11-SQRT((1-U206)*($G$11-$E$11)*($G$11-$F$11))))</f>
        <v>0.105566446289262</v>
      </c>
      <c r="H206" s="39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-2162590413.89719</v>
      </c>
      <c r="I206" s="39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-31747527.3962295</v>
      </c>
      <c r="J206" s="39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228709101.188778</v>
      </c>
      <c r="K206" s="39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543230490.121216</v>
      </c>
      <c r="L206" s="39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660144743.530062</v>
      </c>
      <c r="M206" s="39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825669318.206203</v>
      </c>
      <c r="N206" s="39" t="n">
        <f aca="false">IF(COUNT('Business Case'!B11:G11)=0,"",H206+NPV(G206,I206:M206))</f>
        <v>-660412075.93746</v>
      </c>
      <c r="P206" s="40" t="n">
        <f aca="true">RAND()</f>
        <v>0.920944040874997</v>
      </c>
      <c r="Q206" s="40" t="n">
        <f aca="true">RAND()</f>
        <v>0.164534536920808</v>
      </c>
      <c r="R206" s="40" t="n">
        <f aca="true">RAND()</f>
        <v>0.774123962561281</v>
      </c>
      <c r="S206" s="40" t="n">
        <f aca="true">RAND()</f>
        <v>0.237253988973989</v>
      </c>
      <c r="T206" s="40" t="n">
        <f aca="true">RAND()</f>
        <v>0.620515904019765</v>
      </c>
      <c r="U206" s="40" t="n">
        <f aca="true">RAND()</f>
        <v>0.602000968709668</v>
      </c>
    </row>
    <row r="207" customFormat="false" ht="15" hidden="false" customHeight="false" outlineLevel="0" collapsed="false">
      <c r="A207" s="36" t="n">
        <v>127</v>
      </c>
      <c r="B207" s="37" t="n">
        <f aca="false">1+IF($G$6=$E$6,$F$6,IF(P207&lt;($F$6-$E$6)/($G$6-$E$6),$E$6+SQRT(P207*($G$6-$E$6)*($F$6-$E$6)),$G$6-SQRT((1-P207)*($G$6-$E$6)*($G$6-$F$6))))</f>
        <v>1.01300995607256</v>
      </c>
      <c r="C207" s="37" t="n">
        <f aca="false">1+IF($G$7=$E$7,$F$7,IF(Q207&lt;($F$7-$E$7)/($G$7-$E$7),$E$7+SQRT(Q207*($G$7-$E$7)*($F$7-$E$7)),$G$7-SQRT((1-Q207)*($G$7-$E$7)*($G$7-$F$7))))</f>
        <v>0.871745191928126</v>
      </c>
      <c r="D207" s="37" t="n">
        <f aca="false">1+IF($G$8=$E$8,$F$8,IF(R207&lt;($F$8-$E$8)/($G$8-$E$8),$E$8+SQRT(R207*($G$8-$E$8)*($F$8-$E$8)),$G$8-SQRT((1-R207)*($G$8-$E$8)*($G$8-$F$8))))</f>
        <v>0.995132273839962</v>
      </c>
      <c r="E207" s="37" t="n">
        <f aca="false">1+IF($G$9=$E$9,$F$9,IF(S207&lt;($F$9-$E$9)/($G$9-$E$9),$E$9+SQRT(S207*($G$9-$E$9)*($F$9-$E$9)),$G$9-SQRT((1-S207)*($G$9-$E$9)*($G$9-$F$9))))</f>
        <v>1.00882642986893</v>
      </c>
      <c r="F207" s="37" t="n">
        <f aca="false">1+IF($G$10=$E$10,$F$10,IF(T207&lt;($F$10-$E$10)/($G$10-$E$10),$E$10+SQRT(T207*($G$10-$E$10)*($F$10-$E$10)),$G$10-SQRT((1-T207)*($G$10-$E$10)*($G$10-$F$10))))</f>
        <v>1.18424948591917</v>
      </c>
      <c r="G207" s="38" t="n">
        <f aca="false">IF($G$11=$E$11,$F$11,IF(U207&lt;($F$11-$E$11)/($G$11-$E$11),$E$11+SQRT(U207*($G$11-$E$11)*($F$11-$E$11)),$G$11-SQRT((1-U207)*($G$11-$E$11)*($G$11-$F$11))))</f>
        <v>0.118930151319619</v>
      </c>
      <c r="H207" s="39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-2368498971.83834</v>
      </c>
      <c r="I207" s="39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-28439309.0904882</v>
      </c>
      <c r="J207" s="39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250780655.935171</v>
      </c>
      <c r="K207" s="39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589213095.25679</v>
      </c>
      <c r="L207" s="39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712805888.396589</v>
      </c>
      <c r="M207" s="39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880662981.451775</v>
      </c>
      <c r="N207" s="39" t="n">
        <f aca="false">IF(COUNT('Business Case'!B11:G11)=0,"",H207+NPV(G207,I207:M207))</f>
        <v>-816176430.481193</v>
      </c>
      <c r="P207" s="40" t="n">
        <f aca="true">RAND()</f>
        <v>0.817564886699493</v>
      </c>
      <c r="Q207" s="40" t="n">
        <f aca="true">RAND()</f>
        <v>0.218491932966139</v>
      </c>
      <c r="R207" s="40" t="n">
        <f aca="true">RAND()</f>
        <v>0.271589618928705</v>
      </c>
      <c r="S207" s="40" t="n">
        <f aca="true">RAND()</f>
        <v>0.468533949238591</v>
      </c>
      <c r="T207" s="40" t="n">
        <f aca="true">RAND()</f>
        <v>0.942358265308091</v>
      </c>
      <c r="U207" s="40" t="n">
        <f aca="true">RAND()</f>
        <v>0.918305633462308</v>
      </c>
    </row>
    <row r="208" customFormat="false" ht="15" hidden="false" customHeight="false" outlineLevel="0" collapsed="false">
      <c r="A208" s="36" t="n">
        <v>128</v>
      </c>
      <c r="B208" s="37" t="n">
        <f aca="false">1+IF($G$6=$E$6,$F$6,IF(P208&lt;($F$6-$E$6)/($G$6-$E$6),$E$6+SQRT(P208*($G$6-$E$6)*($F$6-$E$6)),$G$6-SQRT((1-P208)*($G$6-$E$6)*($G$6-$F$6))))</f>
        <v>1.01979055711706</v>
      </c>
      <c r="C208" s="37" t="n">
        <f aca="false">1+IF($G$7=$E$7,$F$7,IF(Q208&lt;($F$7-$E$7)/($G$7-$E$7),$E$7+SQRT(Q208*($G$7-$E$7)*($F$7-$E$7)),$G$7-SQRT((1-Q208)*($G$7-$E$7)*($G$7-$F$7))))</f>
        <v>1.0892516489885</v>
      </c>
      <c r="D208" s="37" t="n">
        <f aca="false">1+IF($G$8=$E$8,$F$8,IF(R208&lt;($F$8-$E$8)/($G$8-$E$8),$E$8+SQRT(R208*($G$8-$E$8)*($F$8-$E$8)),$G$8-SQRT((1-R208)*($G$8-$E$8)*($G$8-$F$8))))</f>
        <v>1.00587797131156</v>
      </c>
      <c r="E208" s="37" t="n">
        <f aca="false">1+IF($G$9=$E$9,$F$9,IF(S208&lt;($F$9-$E$9)/($G$9-$E$9),$E$9+SQRT(S208*($G$9-$E$9)*($F$9-$E$9)),$G$9-SQRT((1-S208)*($G$9-$E$9)*($G$9-$F$9))))</f>
        <v>1.04446528717251</v>
      </c>
      <c r="F208" s="37" t="n">
        <f aca="false">1+IF($G$10=$E$10,$F$10,IF(T208&lt;($F$10-$E$10)/($G$10-$E$10),$E$10+SQRT(T208*($G$10-$E$10)*($F$10-$E$10)),$G$10-SQRT((1-T208)*($G$10-$E$10)*($G$10-$F$10))))</f>
        <v>1.02815104917663</v>
      </c>
      <c r="G208" s="38" t="n">
        <f aca="false">IF($G$11=$E$11,$F$11,IF(U208&lt;($F$11-$E$11)/($G$11-$E$11),$E$11+SQRT(U208*($G$11-$E$11)*($F$11-$E$11)),$G$11-SQRT((1-U208)*($G$11-$E$11)*($G$11-$F$11))))</f>
        <v>0.100391626241689</v>
      </c>
      <c r="H208" s="39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-2056302098.35325</v>
      </c>
      <c r="I208" s="39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40022475.5881907</v>
      </c>
      <c r="J208" s="39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388967334.952679</v>
      </c>
      <c r="K208" s="39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789319746.775999</v>
      </c>
      <c r="L208" s="39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944024243.245964</v>
      </c>
      <c r="M208" s="39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1155166731.66255</v>
      </c>
      <c r="N208" s="39" t="n">
        <f aca="false">IF(COUNT('Business Case'!B11:G11)=0,"",H208+NPV(G208,I208:M208))</f>
        <v>253551561.859424</v>
      </c>
      <c r="P208" s="40" t="n">
        <f aca="true">RAND()</f>
        <v>0.878318608093661</v>
      </c>
      <c r="Q208" s="40" t="n">
        <f aca="true">RAND()</f>
        <v>0.945327968139007</v>
      </c>
      <c r="R208" s="40" t="n">
        <f aca="true">RAND()</f>
        <v>0.409402914371558</v>
      </c>
      <c r="S208" s="40" t="n">
        <f aca="true">RAND()</f>
        <v>0.702997983691181</v>
      </c>
      <c r="T208" s="40" t="n">
        <f aca="true">RAND()</f>
        <v>0.343773906914248</v>
      </c>
      <c r="U208" s="40" t="n">
        <f aca="true">RAND()</f>
        <v>0.41556280225879</v>
      </c>
    </row>
    <row r="209" customFormat="false" ht="15" hidden="false" customHeight="false" outlineLevel="0" collapsed="false">
      <c r="A209" s="36" t="n">
        <v>129</v>
      </c>
      <c r="B209" s="37" t="n">
        <f aca="false">1+IF($G$6=$E$6,$F$6,IF(P209&lt;($F$6-$E$6)/($G$6-$E$6),$E$6+SQRT(P209*($G$6-$E$6)*($F$6-$E$6)),$G$6-SQRT((1-P209)*($G$6-$E$6)*($G$6-$F$6))))</f>
        <v>0.945081475521795</v>
      </c>
      <c r="C209" s="37" t="n">
        <f aca="false">1+IF($G$7=$E$7,$F$7,IF(Q209&lt;($F$7-$E$7)/($G$7-$E$7),$E$7+SQRT(Q209*($G$7-$E$7)*($F$7-$E$7)),$G$7-SQRT((1-Q209)*($G$7-$E$7)*($G$7-$F$7))))</f>
        <v>1.0527036081993</v>
      </c>
      <c r="D209" s="37" t="n">
        <f aca="false">1+IF($G$8=$E$8,$F$8,IF(R209&lt;($F$8-$E$8)/($G$8-$E$8),$E$8+SQRT(R209*($G$8-$E$8)*($F$8-$E$8)),$G$8-SQRT((1-R209)*($G$8-$E$8)*($G$8-$F$8))))</f>
        <v>1.04730691480568</v>
      </c>
      <c r="E209" s="37" t="n">
        <f aca="false">1+IF($G$9=$E$9,$F$9,IF(S209&lt;($F$9-$E$9)/($G$9-$E$9),$E$9+SQRT(S209*($G$9-$E$9)*($F$9-$E$9)),$G$9-SQRT((1-S209)*($G$9-$E$9)*($G$9-$F$9))))</f>
        <v>1.06932476735066</v>
      </c>
      <c r="F209" s="37" t="n">
        <f aca="false">1+IF($G$10=$E$10,$F$10,IF(T209&lt;($F$10-$E$10)/($G$10-$E$10),$E$10+SQRT(T209*($G$10-$E$10)*($F$10-$E$10)),$G$10-SQRT((1-T209)*($G$10-$E$10)*($G$10-$F$10))))</f>
        <v>1.00846895751699</v>
      </c>
      <c r="G209" s="38" t="n">
        <f aca="false">IF($G$11=$E$11,$F$11,IF(U209&lt;($F$11-$E$11)/($G$11-$E$11),$E$11+SQRT(U209*($G$11-$E$11)*($F$11-$E$11)),$G$11-SQRT((1-U209)*($G$11-$E$11)*($G$11-$F$11))))</f>
        <v>0.0825070983682261</v>
      </c>
      <c r="H209" s="39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-2016937915.03397</v>
      </c>
      <c r="I209" s="39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-53986640.9596198</v>
      </c>
      <c r="J209" s="39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196506728.565885</v>
      </c>
      <c r="K209" s="39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497423545.96724</v>
      </c>
      <c r="L209" s="39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615304757.686516</v>
      </c>
      <c r="M209" s="39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804413578.012444</v>
      </c>
      <c r="N209" s="39" t="n">
        <f aca="false">IF(COUNT('Business Case'!B11:G11)=0,"",H209+NPV(G209,I209:M209))</f>
        <v>-517730772.033091</v>
      </c>
      <c r="P209" s="40" t="n">
        <f aca="true">RAND()</f>
        <v>0.135489295681478</v>
      </c>
      <c r="Q209" s="40" t="n">
        <f aca="true">RAND()</f>
        <v>0.859754253963924</v>
      </c>
      <c r="R209" s="40" t="n">
        <f aca="true">RAND()</f>
        <v>0.814895918180254</v>
      </c>
      <c r="S209" s="40" t="n">
        <f aca="true">RAND()</f>
        <v>0.826440182319338</v>
      </c>
      <c r="T209" s="40" t="n">
        <f aca="true">RAND()</f>
        <v>0.222170073560915</v>
      </c>
      <c r="U209" s="40" t="n">
        <f aca="true">RAND()</f>
        <v>0.00628554222796195</v>
      </c>
    </row>
    <row r="210" customFormat="false" ht="15" hidden="false" customHeight="false" outlineLevel="0" collapsed="false">
      <c r="A210" s="36" t="n">
        <v>130</v>
      </c>
      <c r="B210" s="37" t="n">
        <f aca="false">1+IF($G$6=$E$6,$F$6,IF(P210&lt;($F$6-$E$6)/($G$6-$E$6),$E$6+SQRT(P210*($G$6-$E$6)*($F$6-$E$6)),$G$6-SQRT((1-P210)*($G$6-$E$6)*($G$6-$F$6))))</f>
        <v>0.995788180885435</v>
      </c>
      <c r="C210" s="37" t="n">
        <f aca="false">1+IF($G$7=$E$7,$F$7,IF(Q210&lt;($F$7-$E$7)/($G$7-$E$7),$E$7+SQRT(Q210*($G$7-$E$7)*($F$7-$E$7)),$G$7-SQRT((1-Q210)*($G$7-$E$7)*($G$7-$F$7))))</f>
        <v>0.9267914282729</v>
      </c>
      <c r="D210" s="37" t="n">
        <f aca="false">1+IF($G$8=$E$8,$F$8,IF(R210&lt;($F$8-$E$8)/($G$8-$E$8),$E$8+SQRT(R210*($G$8-$E$8)*($F$8-$E$8)),$G$8-SQRT((1-R210)*($G$8-$E$8)*($G$8-$F$8))))</f>
        <v>1.00914130957272</v>
      </c>
      <c r="E210" s="37" t="n">
        <f aca="false">1+IF($G$9=$E$9,$F$9,IF(S210&lt;($F$9-$E$9)/($G$9-$E$9),$E$9+SQRT(S210*($G$9-$E$9)*($F$9-$E$9)),$G$9-SQRT((1-S210)*($G$9-$E$9)*($G$9-$F$9))))</f>
        <v>1.02437391929923</v>
      </c>
      <c r="F210" s="37" t="n">
        <f aca="false">1+IF($G$10=$E$10,$F$10,IF(T210&lt;($F$10-$E$10)/($G$10-$E$10),$E$10+SQRT(T210*($G$10-$E$10)*($F$10-$E$10)),$G$10-SQRT((1-T210)*($G$10-$E$10)*($G$10-$F$10))))</f>
        <v>0.978775430849637</v>
      </c>
      <c r="G210" s="38" t="n">
        <f aca="false">IF($G$11=$E$11,$F$11,IF(U210&lt;($F$11-$E$11)/($G$11-$E$11),$E$11+SQRT(U210*($G$11-$E$11)*($F$11-$E$11)),$G$11-SQRT((1-U210)*($G$11-$E$11)*($G$11-$F$11))))</f>
        <v>0.113544864992665</v>
      </c>
      <c r="H210" s="39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-1957550861.69927</v>
      </c>
      <c r="I210" s="39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-14254445.3529408</v>
      </c>
      <c r="J210" s="39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262877135.05321</v>
      </c>
      <c r="K210" s="39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588947487.001843</v>
      </c>
      <c r="L210" s="39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713219688.037079</v>
      </c>
      <c r="M210" s="39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888642229.652928</v>
      </c>
      <c r="N210" s="39" t="n">
        <f aca="false">IF(COUNT('Business Case'!B11:G11)=0,"",H210+NPV(G210,I210:M210))</f>
        <v>-348926337.587824</v>
      </c>
      <c r="P210" s="40" t="n">
        <f aca="true">RAND()</f>
        <v>0.611691706489388</v>
      </c>
      <c r="Q210" s="40" t="n">
        <f aca="true">RAND()</f>
        <v>0.380995199541199</v>
      </c>
      <c r="R210" s="40" t="n">
        <f aca="true">RAND()</f>
        <v>0.449646558255956</v>
      </c>
      <c r="S210" s="40" t="n">
        <f aca="true">RAND()</f>
        <v>0.579149009273723</v>
      </c>
      <c r="T210" s="40" t="n">
        <f aca="true">RAND()</f>
        <v>0.0552016947054834</v>
      </c>
      <c r="U210" s="40" t="n">
        <f aca="true">RAND()</f>
        <v>0.819485687926915</v>
      </c>
    </row>
    <row r="211" customFormat="false" ht="15" hidden="false" customHeight="false" outlineLevel="0" collapsed="false">
      <c r="A211" s="36" t="n">
        <v>131</v>
      </c>
      <c r="B211" s="37" t="n">
        <f aca="false">1+IF($G$6=$E$6,$F$6,IF(P211&lt;($F$6-$E$6)/($G$6-$E$6),$E$6+SQRT(P211*($G$6-$E$6)*($F$6-$E$6)),$G$6-SQRT((1-P211)*($G$6-$E$6)*($G$6-$F$6))))</f>
        <v>0.925833794828349</v>
      </c>
      <c r="C211" s="37" t="n">
        <f aca="false">1+IF($G$7=$E$7,$F$7,IF(Q211&lt;($F$7-$E$7)/($G$7-$E$7),$E$7+SQRT(Q211*($G$7-$E$7)*($F$7-$E$7)),$G$7-SQRT((1-Q211)*($G$7-$E$7)*($G$7-$F$7))))</f>
        <v>0.788276746663222</v>
      </c>
      <c r="D211" s="37" t="n">
        <f aca="false">1+IF($G$8=$E$8,$F$8,IF(R211&lt;($F$8-$E$8)/($G$8-$E$8),$E$8+SQRT(R211*($G$8-$E$8)*($F$8-$E$8)),$G$8-SQRT((1-R211)*($G$8-$E$8)*($G$8-$F$8))))</f>
        <v>1.0324121478479</v>
      </c>
      <c r="E211" s="37" t="n">
        <f aca="false">1+IF($G$9=$E$9,$F$9,IF(S211&lt;($F$9-$E$9)/($G$9-$E$9),$E$9+SQRT(S211*($G$9-$E$9)*($F$9-$E$9)),$G$9-SQRT((1-S211)*($G$9-$E$9)*($G$9-$F$9))))</f>
        <v>1.04906409622098</v>
      </c>
      <c r="F211" s="37" t="n">
        <f aca="false">1+IF($G$10=$E$10,$F$10,IF(T211&lt;($F$10-$E$10)/($G$10-$E$10),$E$10+SQRT(T211*($G$10-$E$10)*($F$10-$E$10)),$G$10-SQRT((1-T211)*($G$10-$E$10)*($G$10-$F$10))))</f>
        <v>1.08327718245324</v>
      </c>
      <c r="G211" s="38" t="n">
        <f aca="false">IF($G$11=$E$11,$F$11,IF(U211&lt;($F$11-$E$11)/($G$11-$E$11),$E$11+SQRT(U211*($G$11-$E$11)*($F$11-$E$11)),$G$11-SQRT((1-U211)*($G$11-$E$11)*($G$11-$F$11))))</f>
        <v>0.12012351073664</v>
      </c>
      <c r="H211" s="39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-2166554364.90649</v>
      </c>
      <c r="I211" s="39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-114182608.281269</v>
      </c>
      <c r="J211" s="39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66972935.1355156</v>
      </c>
      <c r="K211" s="39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302292337.674963</v>
      </c>
      <c r="L211" s="39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387899864.793962</v>
      </c>
      <c r="M211" s="39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526622767.68435</v>
      </c>
      <c r="N211" s="39" t="n">
        <f aca="false">IF(COUNT('Business Case'!B11:G11)=0,"",H211+NPV(G211,I211:M211))</f>
        <v>-1454954837.99008</v>
      </c>
      <c r="P211" s="40" t="n">
        <f aca="true">RAND()</f>
        <v>0.0444923303488823</v>
      </c>
      <c r="Q211" s="40" t="n">
        <f aca="true">RAND()</f>
        <v>0.0577243259366125</v>
      </c>
      <c r="R211" s="40" t="n">
        <f aca="true">RAND()</f>
        <v>0.695458816097731</v>
      </c>
      <c r="S211" s="40" t="n">
        <f aca="true">RAND()</f>
        <v>0.728318488754999</v>
      </c>
      <c r="T211" s="40" t="n">
        <f aca="true">RAND()</f>
        <v>0.629380028123615</v>
      </c>
      <c r="U211" s="40" t="n">
        <f aca="true">RAND()</f>
        <v>0.934969973220493</v>
      </c>
    </row>
    <row r="212" customFormat="false" ht="15" hidden="false" customHeight="false" outlineLevel="0" collapsed="false">
      <c r="A212" s="36" t="n">
        <v>132</v>
      </c>
      <c r="B212" s="37" t="n">
        <f aca="false">1+IF($G$6=$E$6,$F$6,IF(P212&lt;($F$6-$E$6)/($G$6-$E$6),$E$6+SQRT(P212*($G$6-$E$6)*($F$6-$E$6)),$G$6-SQRT((1-P212)*($G$6-$E$6)*($G$6-$F$6))))</f>
        <v>0.953814172151599</v>
      </c>
      <c r="C212" s="37" t="n">
        <f aca="false">1+IF($G$7=$E$7,$F$7,IF(Q212&lt;($F$7-$E$7)/($G$7-$E$7),$E$7+SQRT(Q212*($G$7-$E$7)*($F$7-$E$7)),$G$7-SQRT((1-Q212)*($G$7-$E$7)*($G$7-$F$7))))</f>
        <v>1.07511607924749</v>
      </c>
      <c r="D212" s="37" t="n">
        <f aca="false">1+IF($G$8=$E$8,$F$8,IF(R212&lt;($F$8-$E$8)/($G$8-$E$8),$E$8+SQRT(R212*($G$8-$E$8)*($F$8-$E$8)),$G$8-SQRT((1-R212)*($G$8-$E$8)*($G$8-$F$8))))</f>
        <v>0.985634874728409</v>
      </c>
      <c r="E212" s="37" t="n">
        <f aca="false">1+IF($G$9=$E$9,$F$9,IF(S212&lt;($F$9-$E$9)/($G$9-$E$9),$E$9+SQRT(S212*($G$9-$E$9)*($F$9-$E$9)),$G$9-SQRT((1-S212)*($G$9-$E$9)*($G$9-$F$9))))</f>
        <v>0.944847527256715</v>
      </c>
      <c r="F212" s="37" t="n">
        <f aca="false">1+IF($G$10=$E$10,$F$10,IF(T212&lt;($F$10-$E$10)/($G$10-$E$10),$E$10+SQRT(T212*($G$10-$E$10)*($F$10-$E$10)),$G$10-SQRT((1-T212)*($G$10-$E$10)*($G$10-$F$10))))</f>
        <v>1.05085118774304</v>
      </c>
      <c r="G212" s="38" t="n">
        <f aca="false">IF($G$11=$E$11,$F$11,IF(U212&lt;($F$11-$E$11)/($G$11-$E$11),$E$11+SQRT(U212*($G$11-$E$11)*($F$11-$E$11)),$G$11-SQRT((1-U212)*($G$11-$E$11)*($G$11-$F$11))))</f>
        <v>0.112667454737132</v>
      </c>
      <c r="H212" s="39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-2101702375.48608</v>
      </c>
      <c r="I212" s="39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4856780.69756766</v>
      </c>
      <c r="J212" s="39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302315894.353754</v>
      </c>
      <c r="K212" s="39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652317567.397092</v>
      </c>
      <c r="L212" s="39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786910535.821427</v>
      </c>
      <c r="M212" s="39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981830153.785595</v>
      </c>
      <c r="N212" s="39" t="n">
        <f aca="false">IF(COUNT('Business Case'!B11:G11)=0,"",H212+NPV(G212,I212:M212))</f>
        <v>-290472344.075691</v>
      </c>
      <c r="P212" s="40" t="n">
        <f aca="true">RAND()</f>
        <v>0.193064341624126</v>
      </c>
      <c r="Q212" s="40" t="n">
        <f aca="true">RAND()</f>
        <v>0.916924420929366</v>
      </c>
      <c r="R212" s="40" t="n">
        <f aca="true">RAND()</f>
        <v>0.169312572921254</v>
      </c>
      <c r="S212" s="40" t="n">
        <f aca="true">RAND()</f>
        <v>0.0804520280416715</v>
      </c>
      <c r="T212" s="40" t="n">
        <f aca="true">RAND()</f>
        <v>0.471196674355227</v>
      </c>
      <c r="U212" s="40" t="n">
        <f aca="true">RAND()</f>
        <v>0.799721916473753</v>
      </c>
    </row>
    <row r="213" customFormat="false" ht="15" hidden="false" customHeight="false" outlineLevel="0" collapsed="false">
      <c r="A213" s="36" t="n">
        <v>133</v>
      </c>
      <c r="B213" s="37" t="n">
        <f aca="false">1+IF($G$6=$E$6,$F$6,IF(P213&lt;($F$6-$E$6)/($G$6-$E$6),$E$6+SQRT(P213*($G$6-$E$6)*($F$6-$E$6)),$G$6-SQRT((1-P213)*($G$6-$E$6)*($G$6-$F$6))))</f>
        <v>0.973755686167386</v>
      </c>
      <c r="C213" s="37" t="n">
        <f aca="false">1+IF($G$7=$E$7,$F$7,IF(Q213&lt;($F$7-$E$7)/($G$7-$E$7),$E$7+SQRT(Q213*($G$7-$E$7)*($F$7-$E$7)),$G$7-SQRT((1-Q213)*($G$7-$E$7)*($G$7-$F$7))))</f>
        <v>0.991928308821503</v>
      </c>
      <c r="D213" s="37" t="n">
        <f aca="false">1+IF($G$8=$E$8,$F$8,IF(R213&lt;($F$8-$E$8)/($G$8-$E$8),$E$8+SQRT(R213*($G$8-$E$8)*($F$8-$E$8)),$G$8-SQRT((1-R213)*($G$8-$E$8)*($G$8-$F$8))))</f>
        <v>0.991542037157273</v>
      </c>
      <c r="E213" s="37" t="n">
        <f aca="false">1+IF($G$9=$E$9,$F$9,IF(S213&lt;($F$9-$E$9)/($G$9-$E$9),$E$9+SQRT(S213*($G$9-$E$9)*($F$9-$E$9)),$G$9-SQRT((1-S213)*($G$9-$E$9)*($G$9-$F$9))))</f>
        <v>0.946995177812154</v>
      </c>
      <c r="F213" s="37" t="n">
        <f aca="false">1+IF($G$10=$E$10,$F$10,IF(T213&lt;($F$10-$E$10)/($G$10-$E$10),$E$10+SQRT(T213*($G$10-$E$10)*($F$10-$E$10)),$G$10-SQRT((1-T213)*($G$10-$E$10)*($G$10-$F$10))))</f>
        <v>1.23294260787717</v>
      </c>
      <c r="G213" s="38" t="n">
        <f aca="false">IF($G$11=$E$11,$F$11,IF(U213&lt;($F$11-$E$11)/($G$11-$E$11),$E$11+SQRT(U213*($G$11-$E$11)*($F$11-$E$11)),$G$11-SQRT((1-U213)*($G$11-$E$11)*($G$11-$F$11))))</f>
        <v>0.0992783337084772</v>
      </c>
      <c r="H213" s="39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-2465885215.75435</v>
      </c>
      <c r="I213" s="39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-20383873.198715</v>
      </c>
      <c r="J213" s="39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267261268.553455</v>
      </c>
      <c r="K213" s="39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616553540.699485</v>
      </c>
      <c r="L213" s="39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745816614.535728</v>
      </c>
      <c r="M213" s="39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929414094.089421</v>
      </c>
      <c r="N213" s="39" t="n">
        <f aca="false">IF(COUNT('Business Case'!B11:G11)=0,"",H213+NPV(G213,I213:M213))</f>
        <v>-709390706.583539</v>
      </c>
      <c r="P213" s="40" t="n">
        <f aca="true">RAND()</f>
        <v>0.362660082801459</v>
      </c>
      <c r="Q213" s="40" t="n">
        <f aca="true">RAND()</f>
        <v>0.63127509252876</v>
      </c>
      <c r="R213" s="40" t="n">
        <f aca="true">RAND()</f>
        <v>0.230098780156832</v>
      </c>
      <c r="S213" s="40" t="n">
        <f aca="true">RAND()</f>
        <v>0.0883418695038371</v>
      </c>
      <c r="T213" s="40" t="n">
        <f aca="true">RAND()</f>
        <v>0.996120604986242</v>
      </c>
      <c r="U213" s="40" t="n">
        <f aca="true">RAND()</f>
        <v>0.371654150575408</v>
      </c>
    </row>
    <row r="214" customFormat="false" ht="15" hidden="false" customHeight="false" outlineLevel="0" collapsed="false">
      <c r="A214" s="36" t="n">
        <v>134</v>
      </c>
      <c r="B214" s="37" t="n">
        <f aca="false">1+IF($G$6=$E$6,$F$6,IF(P214&lt;($F$6-$E$6)/($G$6-$E$6),$E$6+SQRT(P214*($G$6-$E$6)*($F$6-$E$6)),$G$6-SQRT((1-P214)*($G$6-$E$6)*($G$6-$F$6))))</f>
        <v>0.968422577825616</v>
      </c>
      <c r="C214" s="37" t="n">
        <f aca="false">1+IF($G$7=$E$7,$F$7,IF(Q214&lt;($F$7-$E$7)/($G$7-$E$7),$E$7+SQRT(Q214*($G$7-$E$7)*($F$7-$E$7)),$G$7-SQRT((1-Q214)*($G$7-$E$7)*($G$7-$F$7))))</f>
        <v>1.07671364484581</v>
      </c>
      <c r="D214" s="37" t="n">
        <f aca="false">1+IF($G$8=$E$8,$F$8,IF(R214&lt;($F$8-$E$8)/($G$8-$E$8),$E$8+SQRT(R214*($G$8-$E$8)*($F$8-$E$8)),$G$8-SQRT((1-R214)*($G$8-$E$8)*($G$8-$F$8))))</f>
        <v>1.02036176523836</v>
      </c>
      <c r="E214" s="37" t="n">
        <f aca="false">1+IF($G$9=$E$9,$F$9,IF(S214&lt;($F$9-$E$9)/($G$9-$E$9),$E$9+SQRT(S214*($G$9-$E$9)*($F$9-$E$9)),$G$9-SQRT((1-S214)*($G$9-$E$9)*($G$9-$F$9))))</f>
        <v>0.962840528958237</v>
      </c>
      <c r="F214" s="37" t="n">
        <f aca="false">1+IF($G$10=$E$10,$F$10,IF(T214&lt;($F$10-$E$10)/($G$10-$E$10),$E$10+SQRT(T214*($G$10-$E$10)*($F$10-$E$10)),$G$10-SQRT((1-T214)*($G$10-$E$10)*($G$10-$F$10))))</f>
        <v>1.00140099006283</v>
      </c>
      <c r="G214" s="38" t="n">
        <f aca="false">IF($G$11=$E$11,$F$11,IF(U214&lt;($F$11-$E$11)/($G$11-$E$11),$E$11+SQRT(U214*($G$11-$E$11)*($F$11-$E$11)),$G$11-SQRT((1-U214)*($G$11-$E$11)*($G$11-$F$11))))</f>
        <v>0.0955955082138688</v>
      </c>
      <c r="H214" s="39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-2002801980.12566</v>
      </c>
      <c r="I214" s="39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532898.794877976</v>
      </c>
      <c r="J214" s="39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292176103.388459</v>
      </c>
      <c r="K214" s="39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633889357.485182</v>
      </c>
      <c r="L214" s="39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767139948.066083</v>
      </c>
      <c r="M214" s="39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965338987.839467</v>
      </c>
      <c r="N214" s="39" t="n">
        <f aca="false">IF(COUNT('Business Case'!B11:G11)=0,"",H214+NPV(G214,I214:M214))</f>
        <v>-132895999.393959</v>
      </c>
      <c r="P214" s="40" t="n">
        <f aca="true">RAND()</f>
        <v>0.312109943753495</v>
      </c>
      <c r="Q214" s="40" t="n">
        <f aca="true">RAND()</f>
        <v>0.920431261455016</v>
      </c>
      <c r="R214" s="40" t="n">
        <f aca="true">RAND()</f>
        <v>0.577183437603303</v>
      </c>
      <c r="S214" s="40" t="n">
        <f aca="true">RAND()</f>
        <v>0.157957283190039</v>
      </c>
      <c r="T214" s="40" t="n">
        <f aca="true">RAND()</f>
        <v>0.175980430110115</v>
      </c>
      <c r="U214" s="40" t="n">
        <f aca="true">RAND()</f>
        <v>0.243219876448848</v>
      </c>
    </row>
    <row r="215" customFormat="false" ht="15" hidden="false" customHeight="false" outlineLevel="0" collapsed="false">
      <c r="A215" s="36" t="n">
        <v>135</v>
      </c>
      <c r="B215" s="37" t="n">
        <f aca="false">1+IF($G$6=$E$6,$F$6,IF(P215&lt;($F$6-$E$6)/($G$6-$E$6),$E$6+SQRT(P215*($G$6-$E$6)*($F$6-$E$6)),$G$6-SQRT((1-P215)*($G$6-$E$6)*($G$6-$F$6))))</f>
        <v>0.995187721887824</v>
      </c>
      <c r="C215" s="37" t="n">
        <f aca="false">1+IF($G$7=$E$7,$F$7,IF(Q215&lt;($F$7-$E$7)/($G$7-$E$7),$E$7+SQRT(Q215*($G$7-$E$7)*($F$7-$E$7)),$G$7-SQRT((1-Q215)*($G$7-$E$7)*($G$7-$F$7))))</f>
        <v>0.780402983162434</v>
      </c>
      <c r="D215" s="37" t="n">
        <f aca="false">1+IF($G$8=$E$8,$F$8,IF(R215&lt;($F$8-$E$8)/($G$8-$E$8),$E$8+SQRT(R215*($G$8-$E$8)*($F$8-$E$8)),$G$8-SQRT((1-R215)*($G$8-$E$8)*($G$8-$F$8))))</f>
        <v>0.978567732121148</v>
      </c>
      <c r="E215" s="37" t="n">
        <f aca="false">1+IF($G$9=$E$9,$F$9,IF(S215&lt;($F$9-$E$9)/($G$9-$E$9),$E$9+SQRT(S215*($G$9-$E$9)*($F$9-$E$9)),$G$9-SQRT((1-S215)*($G$9-$E$9)*($G$9-$F$9))))</f>
        <v>1.08523386854482</v>
      </c>
      <c r="F215" s="37" t="n">
        <f aca="false">1+IF($G$10=$E$10,$F$10,IF(T215&lt;($F$10-$E$10)/($G$10-$E$10),$E$10+SQRT(T215*($G$10-$E$10)*($F$10-$E$10)),$G$10-SQRT((1-T215)*($G$10-$E$10)*($G$10-$F$10))))</f>
        <v>1.09482343125388</v>
      </c>
      <c r="G215" s="38" t="n">
        <f aca="false">IF($G$11=$E$11,$F$11,IF(U215&lt;($F$11-$E$11)/($G$11-$E$11),$E$11+SQRT(U215*($G$11-$E$11)*($F$11-$E$11)),$G$11-SQRT((1-U215)*($G$11-$E$11)*($G$11-$F$11))))</f>
        <v>0.0893014739650912</v>
      </c>
      <c r="H215" s="39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-2189646862.50776</v>
      </c>
      <c r="I215" s="39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-58875430.4969744</v>
      </c>
      <c r="J215" s="39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186313142.926128</v>
      </c>
      <c r="K215" s="39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486242887.911924</v>
      </c>
      <c r="L215" s="39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594813348.844702</v>
      </c>
      <c r="M215" s="39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742438499.365957</v>
      </c>
      <c r="N215" s="39" t="n">
        <f aca="false">IF(COUNT('Business Case'!B11:G11)=0,"",H215+NPV(G215,I215:M215))</f>
        <v>-803941027.68317</v>
      </c>
      <c r="P215" s="40" t="n">
        <f aca="true">RAND()</f>
        <v>0.604046826546249</v>
      </c>
      <c r="Q215" s="40" t="n">
        <f aca="true">RAND()</f>
        <v>0.0478862200105082</v>
      </c>
      <c r="R215" s="40" t="n">
        <f aca="true">RAND()</f>
        <v>0.108815375806088</v>
      </c>
      <c r="S215" s="40" t="n">
        <f aca="true">RAND()</f>
        <v>0.888142619102147</v>
      </c>
      <c r="T215" s="40" t="n">
        <f aca="true">RAND()</f>
        <v>0.678936433495737</v>
      </c>
      <c r="U215" s="40" t="n">
        <f aca="true">RAND()</f>
        <v>0.086517417923269</v>
      </c>
    </row>
    <row r="216" customFormat="false" ht="15" hidden="false" customHeight="false" outlineLevel="0" collapsed="false">
      <c r="A216" s="36" t="n">
        <v>136</v>
      </c>
      <c r="B216" s="37" t="n">
        <f aca="false">1+IF($G$6=$E$6,$F$6,IF(P216&lt;($F$6-$E$6)/($G$6-$E$6),$E$6+SQRT(P216*($G$6-$E$6)*($F$6-$E$6)),$G$6-SQRT((1-P216)*($G$6-$E$6)*($G$6-$F$6))))</f>
        <v>0.988557765354931</v>
      </c>
      <c r="C216" s="37" t="n">
        <f aca="false">1+IF($G$7=$E$7,$F$7,IF(Q216&lt;($F$7-$E$7)/($G$7-$E$7),$E$7+SQRT(Q216*($G$7-$E$7)*($F$7-$E$7)),$G$7-SQRT((1-Q216)*($G$7-$E$7)*($G$7-$F$7))))</f>
        <v>1.07401389596828</v>
      </c>
      <c r="D216" s="37" t="n">
        <f aca="false">1+IF($G$8=$E$8,$F$8,IF(R216&lt;($F$8-$E$8)/($G$8-$E$8),$E$8+SQRT(R216*($G$8-$E$8)*($F$8-$E$8)),$G$8-SQRT((1-R216)*($G$8-$E$8)*($G$8-$F$8))))</f>
        <v>1.02518012763548</v>
      </c>
      <c r="E216" s="37" t="n">
        <f aca="false">1+IF($G$9=$E$9,$F$9,IF(S216&lt;($F$9-$E$9)/($G$9-$E$9),$E$9+SQRT(S216*($G$9-$E$9)*($F$9-$E$9)),$G$9-SQRT((1-S216)*($G$9-$E$9)*($G$9-$F$9))))</f>
        <v>1.00899805287017</v>
      </c>
      <c r="F216" s="37" t="n">
        <f aca="false">1+IF($G$10=$E$10,$F$10,IF(T216&lt;($F$10-$E$10)/($G$10-$E$10),$E$10+SQRT(T216*($G$10-$E$10)*($F$10-$E$10)),$G$10-SQRT((1-T216)*($G$10-$E$10)*($G$10-$F$10))))</f>
        <v>1.05797767667638</v>
      </c>
      <c r="G216" s="38" t="n">
        <f aca="false">IF($G$11=$E$11,$F$11,IF(U216&lt;($F$11-$E$11)/($G$11-$E$11),$E$11+SQRT(U216*($G$11-$E$11)*($F$11-$E$11)),$G$11-SQRT((1-U216)*($G$11-$E$11)*($G$11-$F$11))))</f>
        <v>0.109063040927456</v>
      </c>
      <c r="H216" s="39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-2115955353.35276</v>
      </c>
      <c r="I216" s="39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1658473.99498433</v>
      </c>
      <c r="J216" s="39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307634051.213276</v>
      </c>
      <c r="K216" s="39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666508512.265387</v>
      </c>
      <c r="L216" s="39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805193579.629839</v>
      </c>
      <c r="M216" s="39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1007006225.23412</v>
      </c>
      <c r="N216" s="39" t="n">
        <f aca="false">IF(COUNT('Business Case'!B11:G11)=0,"",H216+NPV(G216,I216:M216))</f>
        <v>-243435312.200351</v>
      </c>
      <c r="P216" s="40" t="n">
        <f aca="true">RAND()</f>
        <v>0.522831853643937</v>
      </c>
      <c r="Q216" s="40" t="n">
        <f aca="true">RAND()</f>
        <v>0.914460918430825</v>
      </c>
      <c r="R216" s="40" t="n">
        <f aca="true">RAND()</f>
        <v>0.626799113290497</v>
      </c>
      <c r="S216" s="40" t="n">
        <f aca="true">RAND()</f>
        <v>0.469825357482608</v>
      </c>
      <c r="T216" s="40" t="n">
        <f aca="true">RAND()</f>
        <v>0.508365697938655</v>
      </c>
      <c r="U216" s="40" t="n">
        <f aca="true">RAND()</f>
        <v>0.707762496529754</v>
      </c>
    </row>
    <row r="217" customFormat="false" ht="15" hidden="false" customHeight="false" outlineLevel="0" collapsed="false">
      <c r="A217" s="36" t="n">
        <v>137</v>
      </c>
      <c r="B217" s="37" t="n">
        <f aca="false">1+IF($G$6=$E$6,$F$6,IF(P217&lt;($F$6-$E$6)/($G$6-$E$6),$E$6+SQRT(P217*($G$6-$E$6)*($F$6-$E$6)),$G$6-SQRT((1-P217)*($G$6-$E$6)*($G$6-$F$6))))</f>
        <v>0.969665604876801</v>
      </c>
      <c r="C217" s="37" t="n">
        <f aca="false">1+IF($G$7=$E$7,$F$7,IF(Q217&lt;($F$7-$E$7)/($G$7-$E$7),$E$7+SQRT(Q217*($G$7-$E$7)*($F$7-$E$7)),$G$7-SQRT((1-Q217)*($G$7-$E$7)*($G$7-$F$7))))</f>
        <v>0.983734392249492</v>
      </c>
      <c r="D217" s="37" t="n">
        <f aca="false">1+IF($G$8=$E$8,$F$8,IF(R217&lt;($F$8-$E$8)/($G$8-$E$8),$E$8+SQRT(R217*($G$8-$E$8)*($F$8-$E$8)),$G$8-SQRT((1-R217)*($G$8-$E$8)*($G$8-$F$8))))</f>
        <v>0.98775294302601</v>
      </c>
      <c r="E217" s="37" t="n">
        <f aca="false">1+IF($G$9=$E$9,$F$9,IF(S217&lt;($F$9-$E$9)/($G$9-$E$9),$E$9+SQRT(S217*($G$9-$E$9)*($F$9-$E$9)),$G$9-SQRT((1-S217)*($G$9-$E$9)*($G$9-$F$9))))</f>
        <v>1.02548229395168</v>
      </c>
      <c r="F217" s="37" t="n">
        <f aca="false">1+IF($G$10=$E$10,$F$10,IF(T217&lt;($F$10-$E$10)/($G$10-$E$10),$E$10+SQRT(T217*($G$10-$E$10)*($F$10-$E$10)),$G$10-SQRT((1-T217)*($G$10-$E$10)*($G$10-$F$10))))</f>
        <v>1.05857518526789</v>
      </c>
      <c r="G217" s="38" t="n">
        <f aca="false">IF($G$11=$E$11,$F$11,IF(U217&lt;($F$11-$E$11)/($G$11-$E$11),$E$11+SQRT(U217*($G$11-$E$11)*($F$11-$E$11)),$G$11-SQRT((1-U217)*($G$11-$E$11)*($G$11-$F$11))))</f>
        <v>0.102462438900771</v>
      </c>
      <c r="H217" s="39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-2117150370.53578</v>
      </c>
      <c r="I217" s="39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-17249330.3264446</v>
      </c>
      <c r="J217" s="39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266632274.163042</v>
      </c>
      <c r="K217" s="39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603442637.915922</v>
      </c>
      <c r="L217" s="39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731036395.471894</v>
      </c>
      <c r="M217" s="39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912352453.799009</v>
      </c>
      <c r="N217" s="39" t="n">
        <f aca="false">IF(COUNT('Business Case'!B11:G11)=0,"",H217+NPV(G217,I217:M217))</f>
        <v>-408016035.069696</v>
      </c>
      <c r="P217" s="40" t="n">
        <f aca="true">RAND()</f>
        <v>0.323553100190036</v>
      </c>
      <c r="Q217" s="40" t="n">
        <f aca="true">RAND()</f>
        <v>0.596334854408803</v>
      </c>
      <c r="R217" s="40" t="n">
        <f aca="true">RAND()</f>
        <v>0.190037960950021</v>
      </c>
      <c r="S217" s="40" t="n">
        <f aca="true">RAND()</f>
        <v>0.586542423479049</v>
      </c>
      <c r="T217" s="40" t="n">
        <f aca="true">RAND()</f>
        <v>0.51142053739702</v>
      </c>
      <c r="U217" s="40" t="n">
        <f aca="true">RAND()</f>
        <v>0.494455152470823</v>
      </c>
    </row>
    <row r="218" customFormat="false" ht="15" hidden="false" customHeight="false" outlineLevel="0" collapsed="false">
      <c r="A218" s="36" t="n">
        <v>138</v>
      </c>
      <c r="B218" s="37" t="n">
        <f aca="false">1+IF($G$6=$E$6,$F$6,IF(P218&lt;($F$6-$E$6)/($G$6-$E$6),$E$6+SQRT(P218*($G$6-$E$6)*($F$6-$E$6)),$G$6-SQRT((1-P218)*($G$6-$E$6)*($G$6-$F$6))))</f>
        <v>1.00071557499559</v>
      </c>
      <c r="C218" s="37" t="n">
        <f aca="false">1+IF($G$7=$E$7,$F$7,IF(Q218&lt;($F$7-$E$7)/($G$7-$E$7),$E$7+SQRT(Q218*($G$7-$E$7)*($F$7-$E$7)),$G$7-SQRT((1-Q218)*($G$7-$E$7)*($G$7-$F$7))))</f>
        <v>0.967186962908775</v>
      </c>
      <c r="D218" s="37" t="n">
        <f aca="false">1+IF($G$8=$E$8,$F$8,IF(R218&lt;($F$8-$E$8)/($G$8-$E$8),$E$8+SQRT(R218*($G$8-$E$8)*($F$8-$E$8)),$G$8-SQRT((1-R218)*($G$8-$E$8)*($G$8-$F$8))))</f>
        <v>0.962711172200089</v>
      </c>
      <c r="E218" s="37" t="n">
        <f aca="false">1+IF($G$9=$E$9,$F$9,IF(S218&lt;($F$9-$E$9)/($G$9-$E$9),$E$9+SQRT(S218*($G$9-$E$9)*($F$9-$E$9)),$G$9-SQRT((1-S218)*($G$9-$E$9)*($G$9-$F$9))))</f>
        <v>1.03993456094201</v>
      </c>
      <c r="F218" s="37" t="n">
        <f aca="false">1+IF($G$10=$E$10,$F$10,IF(T218&lt;($F$10-$E$10)/($G$10-$E$10),$E$10+SQRT(T218*($G$10-$E$10)*($F$10-$E$10)),$G$10-SQRT((1-T218)*($G$10-$E$10)*($G$10-$F$10))))</f>
        <v>0.995190617046795</v>
      </c>
      <c r="G218" s="38" t="n">
        <f aca="false">IF($G$11=$E$11,$F$11,IF(U218&lt;($F$11-$E$11)/($G$11-$E$11),$E$11+SQRT(U218*($G$11-$E$11)*($F$11-$E$11)),$G$11-SQRT((1-U218)*($G$11-$E$11)*($G$11-$F$11))))</f>
        <v>0.108302505303442</v>
      </c>
      <c r="H218" s="39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-1990381234.09359</v>
      </c>
      <c r="I218" s="39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18530210.9372629</v>
      </c>
      <c r="J218" s="39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334633028.497131</v>
      </c>
      <c r="K218" s="39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700495376.909339</v>
      </c>
      <c r="L218" s="39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839312882.997276</v>
      </c>
      <c r="M218" s="39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1023287334.28784</v>
      </c>
      <c r="N218" s="39" t="n">
        <f aca="false">IF(COUNT('Business Case'!B11:G11)=0,"",H218+NPV(G218,I218:M218))</f>
        <v>-18467835.8808739</v>
      </c>
      <c r="P218" s="40" t="n">
        <f aca="true">RAND()</f>
        <v>0.676139393597916</v>
      </c>
      <c r="Q218" s="40" t="n">
        <f aca="true">RAND()</f>
        <v>0.528806467766037</v>
      </c>
      <c r="R218" s="40" t="n">
        <f aca="true">RAND()</f>
        <v>0.0215431864933736</v>
      </c>
      <c r="S218" s="40" t="n">
        <f aca="true">RAND()</f>
        <v>0.676949309999274</v>
      </c>
      <c r="T218" s="40" t="n">
        <f aca="true">RAND()</f>
        <v>0.136146124604672</v>
      </c>
      <c r="U218" s="40" t="n">
        <f aca="true">RAND()</f>
        <v>0.686145815928572</v>
      </c>
    </row>
    <row r="219" customFormat="false" ht="15" hidden="false" customHeight="false" outlineLevel="0" collapsed="false">
      <c r="A219" s="36" t="n">
        <v>139</v>
      </c>
      <c r="B219" s="37" t="n">
        <f aca="false">1+IF($G$6=$E$6,$F$6,IF(P219&lt;($F$6-$E$6)/($G$6-$E$6),$E$6+SQRT(P219*($G$6-$E$6)*($F$6-$E$6)),$G$6-SQRT((1-P219)*($G$6-$E$6)*($G$6-$F$6))))</f>
        <v>1.01006897060602</v>
      </c>
      <c r="C219" s="37" t="n">
        <f aca="false">1+IF($G$7=$E$7,$F$7,IF(Q219&lt;($F$7-$E$7)/($G$7-$E$7),$E$7+SQRT(Q219*($G$7-$E$7)*($F$7-$E$7)),$G$7-SQRT((1-Q219)*($G$7-$E$7)*($G$7-$F$7))))</f>
        <v>0.897867671660963</v>
      </c>
      <c r="D219" s="37" t="n">
        <f aca="false">1+IF($G$8=$E$8,$F$8,IF(R219&lt;($F$8-$E$8)/($G$8-$E$8),$E$8+SQRT(R219*($G$8-$E$8)*($F$8-$E$8)),$G$8-SQRT((1-R219)*($G$8-$E$8)*($G$8-$F$8))))</f>
        <v>0.987424972730769</v>
      </c>
      <c r="E219" s="37" t="n">
        <f aca="false">1+IF($G$9=$E$9,$F$9,IF(S219&lt;($F$9-$E$9)/($G$9-$E$9),$E$9+SQRT(S219*($G$9-$E$9)*($F$9-$E$9)),$G$9-SQRT((1-S219)*($G$9-$E$9)*($G$9-$F$9))))</f>
        <v>1.05191559764126</v>
      </c>
      <c r="F219" s="37" t="n">
        <f aca="false">1+IF($G$10=$E$10,$F$10,IF(T219&lt;($F$10-$E$10)/($G$10-$E$10),$E$10+SQRT(T219*($G$10-$E$10)*($F$10-$E$10)),$G$10-SQRT((1-T219)*($G$10-$E$10)*($G$10-$F$10))))</f>
        <v>1.11340420302669</v>
      </c>
      <c r="G219" s="38" t="n">
        <f aca="false">IF($G$11=$E$11,$F$11,IF(U219&lt;($F$11-$E$11)/($G$11-$E$11),$E$11+SQRT(U219*($G$11-$E$11)*($F$11-$E$11)),$G$11-SQRT((1-U219)*($G$11-$E$11)*($G$11-$F$11))))</f>
        <v>0.0924097382905417</v>
      </c>
      <c r="H219" s="39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-2226808406.05337</v>
      </c>
      <c r="I219" s="39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-18970246.7340995</v>
      </c>
      <c r="J219" s="39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269996449.78754</v>
      </c>
      <c r="K219" s="39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614633356.460514</v>
      </c>
      <c r="L219" s="39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742298338.613384</v>
      </c>
      <c r="M219" s="39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914683463.497824</v>
      </c>
      <c r="N219" s="39" t="n">
        <f aca="false">IF(COUNT('Business Case'!B11:G11)=0,"",H219+NPV(G219,I219:M219))</f>
        <v>-437257198.234817</v>
      </c>
      <c r="P219" s="40" t="n">
        <f aca="true">RAND()</f>
        <v>0.787401718871602</v>
      </c>
      <c r="Q219" s="40" t="n">
        <f aca="true">RAND()</f>
        <v>0.290011966581709</v>
      </c>
      <c r="R219" s="40" t="n">
        <f aca="true">RAND()</f>
        <v>0.186750477853178</v>
      </c>
      <c r="S219" s="40" t="n">
        <f aca="true">RAND()</f>
        <v>0.743452000371428</v>
      </c>
      <c r="T219" s="40" t="n">
        <f aca="true">RAND()</f>
        <v>0.751221176656336</v>
      </c>
      <c r="U219" s="40" t="n">
        <f aca="true">RAND()</f>
        <v>0.154001604439736</v>
      </c>
    </row>
    <row r="220" customFormat="false" ht="15" hidden="false" customHeight="false" outlineLevel="0" collapsed="false">
      <c r="A220" s="36" t="n">
        <v>140</v>
      </c>
      <c r="B220" s="37" t="n">
        <f aca="false">1+IF($G$6=$E$6,$F$6,IF(P220&lt;($F$6-$E$6)/($G$6-$E$6),$E$6+SQRT(P220*($G$6-$E$6)*($F$6-$E$6)),$G$6-SQRT((1-P220)*($G$6-$E$6)*($G$6-$F$6))))</f>
        <v>1.01853055741885</v>
      </c>
      <c r="C220" s="37" t="n">
        <f aca="false">1+IF($G$7=$E$7,$F$7,IF(Q220&lt;($F$7-$E$7)/($G$7-$E$7),$E$7+SQRT(Q220*($G$7-$E$7)*($F$7-$E$7)),$G$7-SQRT((1-Q220)*($G$7-$E$7)*($G$7-$F$7))))</f>
        <v>1.07519463406353</v>
      </c>
      <c r="D220" s="37" t="n">
        <f aca="false">1+IF($G$8=$E$8,$F$8,IF(R220&lt;($F$8-$E$8)/($G$8-$E$8),$E$8+SQRT(R220*($G$8-$E$8)*($F$8-$E$8)),$G$8-SQRT((1-R220)*($G$8-$E$8)*($G$8-$F$8))))</f>
        <v>0.994071411392908</v>
      </c>
      <c r="E220" s="37" t="n">
        <f aca="false">1+IF($G$9=$E$9,$F$9,IF(S220&lt;($F$9-$E$9)/($G$9-$E$9),$E$9+SQRT(S220*($G$9-$E$9)*($F$9-$E$9)),$G$9-SQRT((1-S220)*($G$9-$E$9)*($G$9-$F$9))))</f>
        <v>1.01788120528189</v>
      </c>
      <c r="F220" s="37" t="n">
        <f aca="false">1+IF($G$10=$E$10,$F$10,IF(T220&lt;($F$10-$E$10)/($G$10-$E$10),$E$10+SQRT(T220*($G$10-$E$10)*($F$10-$E$10)),$G$10-SQRT((1-T220)*($G$10-$E$10)*($G$10-$F$10))))</f>
        <v>1.14384455042096</v>
      </c>
      <c r="G220" s="38" t="n">
        <f aca="false">IF($G$11=$E$11,$F$11,IF(U220&lt;($F$11-$E$11)/($G$11-$E$11),$E$11+SQRT(U220*($G$11-$E$11)*($F$11-$E$11)),$G$11-SQRT((1-U220)*($G$11-$E$11)*($G$11-$F$11))))</f>
        <v>0.100410823208263</v>
      </c>
      <c r="H220" s="39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-2287689100.84193</v>
      </c>
      <c r="I220" s="39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33932402.5321038</v>
      </c>
      <c r="J220" s="39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383762915.201252</v>
      </c>
      <c r="K220" s="39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790785655.391448</v>
      </c>
      <c r="L220" s="39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945243124.750406</v>
      </c>
      <c r="M220" s="39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1153403266.33124</v>
      </c>
      <c r="N220" s="39" t="n">
        <f aca="false">IF(COUNT('Business Case'!B11:G11)=0,"",H220+NPV(G220,I220:M220))</f>
        <v>13020473.9686518</v>
      </c>
      <c r="P220" s="40" t="n">
        <f aca="true">RAND()</f>
        <v>0.86795655781759</v>
      </c>
      <c r="Q220" s="40" t="n">
        <f aca="true">RAND()</f>
        <v>0.917098625586822</v>
      </c>
      <c r="R220" s="40" t="n">
        <f aca="true">RAND()</f>
        <v>0.258971906955054</v>
      </c>
      <c r="S220" s="40" t="n">
        <f aca="true">RAND()</f>
        <v>0.534523308859596</v>
      </c>
      <c r="T220" s="40" t="n">
        <f aca="true">RAND()</f>
        <v>0.849746940328971</v>
      </c>
      <c r="U220" s="40" t="n">
        <f aca="true">RAND()</f>
        <v>0.416320411191572</v>
      </c>
    </row>
    <row r="221" customFormat="false" ht="15" hidden="false" customHeight="false" outlineLevel="0" collapsed="false">
      <c r="A221" s="36" t="n">
        <v>141</v>
      </c>
      <c r="B221" s="37" t="n">
        <f aca="false">1+IF($G$6=$E$6,$F$6,IF(P221&lt;($F$6-$E$6)/($G$6-$E$6),$E$6+SQRT(P221*($G$6-$E$6)*($F$6-$E$6)),$G$6-SQRT((1-P221)*($G$6-$E$6)*($G$6-$F$6))))</f>
        <v>0.996820240995609</v>
      </c>
      <c r="C221" s="37" t="n">
        <f aca="false">1+IF($G$7=$E$7,$F$7,IF(Q221&lt;($F$7-$E$7)/($G$7-$E$7),$E$7+SQRT(Q221*($G$7-$E$7)*($F$7-$E$7)),$G$7-SQRT((1-Q221)*($G$7-$E$7)*($G$7-$F$7))))</f>
        <v>0.804151595252136</v>
      </c>
      <c r="D221" s="37" t="n">
        <f aca="false">1+IF($G$8=$E$8,$F$8,IF(R221&lt;($F$8-$E$8)/($G$8-$E$8),$E$8+SQRT(R221*($G$8-$E$8)*($F$8-$E$8)),$G$8-SQRT((1-R221)*($G$8-$E$8)*($G$8-$F$8))))</f>
        <v>0.99614578771641</v>
      </c>
      <c r="E221" s="37" t="n">
        <f aca="false">1+IF($G$9=$E$9,$F$9,IF(S221&lt;($F$9-$E$9)/($G$9-$E$9),$E$9+SQRT(S221*($G$9-$E$9)*($F$9-$E$9)),$G$9-SQRT((1-S221)*($G$9-$E$9)*($G$9-$F$9))))</f>
        <v>1.09636013328298</v>
      </c>
      <c r="F221" s="37" t="n">
        <f aca="false">1+IF($G$10=$E$10,$F$10,IF(T221&lt;($F$10-$E$10)/($G$10-$E$10),$E$10+SQRT(T221*($G$10-$E$10)*($F$10-$E$10)),$G$10-SQRT((1-T221)*($G$10-$E$10)*($G$10-$F$10))))</f>
        <v>1.04595696324218</v>
      </c>
      <c r="G221" s="38" t="n">
        <f aca="false">IF($G$11=$E$11,$F$11,IF(U221&lt;($F$11-$E$11)/($G$11-$E$11),$E$11+SQRT(U221*($G$11-$E$11)*($F$11-$E$11)),$G$11-SQRT((1-U221)*($G$11-$E$11)*($G$11-$F$11))))</f>
        <v>0.091111222616375</v>
      </c>
      <c r="H221" s="39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-2091913926.48435</v>
      </c>
      <c r="I221" s="39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-55563743.7836346</v>
      </c>
      <c r="J221" s="39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190925283.098636</v>
      </c>
      <c r="K221" s="39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489712158.143016</v>
      </c>
      <c r="L221" s="39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599578276.029672</v>
      </c>
      <c r="M221" s="39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751945375.122115</v>
      </c>
      <c r="N221" s="39" t="n">
        <f aca="false">IF(COUNT('Business Case'!B11:G11)=0,"",H221+NPV(G221,I221:M221))</f>
        <v>-696215597.389593</v>
      </c>
      <c r="P221" s="40" t="n">
        <f aca="true">RAND()</f>
        <v>0.624943937763188</v>
      </c>
      <c r="Q221" s="40" t="n">
        <f aca="true">RAND()</f>
        <v>0.0803522577301091</v>
      </c>
      <c r="R221" s="40" t="n">
        <f aca="true">RAND()</f>
        <v>0.283924496529068</v>
      </c>
      <c r="S221" s="40" t="n">
        <f aca="true">RAND()</f>
        <v>0.923273725295472</v>
      </c>
      <c r="T221" s="40" t="n">
        <f aca="true">RAND()</f>
        <v>0.444885855341943</v>
      </c>
      <c r="U221" s="40" t="n">
        <f aca="true">RAND()</f>
        <v>0.123459268030643</v>
      </c>
    </row>
    <row r="222" customFormat="false" ht="15" hidden="false" customHeight="false" outlineLevel="0" collapsed="false">
      <c r="A222" s="36" t="n">
        <v>142</v>
      </c>
      <c r="B222" s="37" t="n">
        <f aca="false">1+IF($G$6=$E$6,$F$6,IF(P222&lt;($F$6-$E$6)/($G$6-$E$6),$E$6+SQRT(P222*($G$6-$E$6)*($F$6-$E$6)),$G$6-SQRT((1-P222)*($G$6-$E$6)*($G$6-$F$6))))</f>
        <v>0.979484728309249</v>
      </c>
      <c r="C222" s="37" t="n">
        <f aca="false">1+IF($G$7=$E$7,$F$7,IF(Q222&lt;($F$7-$E$7)/($G$7-$E$7),$E$7+SQRT(Q222*($G$7-$E$7)*($F$7-$E$7)),$G$7-SQRT((1-Q222)*($G$7-$E$7)*($G$7-$F$7))))</f>
        <v>1.02976507485214</v>
      </c>
      <c r="D222" s="37" t="n">
        <f aca="false">1+IF($G$8=$E$8,$F$8,IF(R222&lt;($F$8-$E$8)/($G$8-$E$8),$E$8+SQRT(R222*($G$8-$E$8)*($F$8-$E$8)),$G$8-SQRT((1-R222)*($G$8-$E$8)*($G$8-$F$8))))</f>
        <v>1.01572769056349</v>
      </c>
      <c r="E222" s="37" t="n">
        <f aca="false">1+IF($G$9=$E$9,$F$9,IF(S222&lt;($F$9-$E$9)/($G$9-$E$9),$E$9+SQRT(S222*($G$9-$E$9)*($F$9-$E$9)),$G$9-SQRT((1-S222)*($G$9-$E$9)*($G$9-$F$9))))</f>
        <v>1.06377099756276</v>
      </c>
      <c r="F222" s="37" t="n">
        <f aca="false">1+IF($G$10=$E$10,$F$10,IF(T222&lt;($F$10-$E$10)/($G$10-$E$10),$E$10+SQRT(T222*($G$10-$E$10)*($F$10-$E$10)),$G$10-SQRT((1-T222)*($G$10-$E$10)*($G$10-$F$10))))</f>
        <v>1.06694712742938</v>
      </c>
      <c r="G222" s="38" t="n">
        <f aca="false">IF($G$11=$E$11,$F$11,IF(U222&lt;($F$11-$E$11)/($G$11-$E$11),$E$11+SQRT(U222*($G$11-$E$11)*($F$11-$E$11)),$G$11-SQRT((1-U222)*($G$11-$E$11)*($G$11-$F$11))))</f>
        <v>0.0890053843090186</v>
      </c>
      <c r="H222" s="39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-2133894254.85877</v>
      </c>
      <c r="I222" s="39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-19551009.6844481</v>
      </c>
      <c r="J222" s="39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271148783.518459</v>
      </c>
      <c r="K222" s="39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615195933.092835</v>
      </c>
      <c r="L222" s="39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746954433.687799</v>
      </c>
      <c r="M222" s="39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938676566.088105</v>
      </c>
      <c r="N222" s="39" t="n">
        <f aca="false">IF(COUNT('Business Case'!B11:G11)=0,"",H222+NPV(G222,I222:M222))</f>
        <v>-302899205.105795</v>
      </c>
      <c r="P222" s="40" t="n">
        <f aca="true">RAND()</f>
        <v>0.42118813562634</v>
      </c>
      <c r="Q222" s="40" t="n">
        <f aca="true">RAND()</f>
        <v>0.78583055962501</v>
      </c>
      <c r="R222" s="40" t="n">
        <f aca="true">RAND()</f>
        <v>0.526545190815782</v>
      </c>
      <c r="S222" s="40" t="n">
        <f aca="true">RAND()</f>
        <v>0.801721577031418</v>
      </c>
      <c r="T222" s="40" t="n">
        <f aca="true">RAND()</f>
        <v>0.553221944581946</v>
      </c>
      <c r="U222" s="40" t="n">
        <f aca="true">RAND()</f>
        <v>0.0810969465531187</v>
      </c>
    </row>
    <row r="223" customFormat="false" ht="15" hidden="false" customHeight="false" outlineLevel="0" collapsed="false">
      <c r="A223" s="36" t="n">
        <v>143</v>
      </c>
      <c r="B223" s="37" t="n">
        <f aca="false">1+IF($G$6=$E$6,$F$6,IF(P223&lt;($F$6-$E$6)/($G$6-$E$6),$E$6+SQRT(P223*($G$6-$E$6)*($F$6-$E$6)),$G$6-SQRT((1-P223)*($G$6-$E$6)*($G$6-$F$6))))</f>
        <v>0.954598061382561</v>
      </c>
      <c r="C223" s="37" t="n">
        <f aca="false">1+IF($G$7=$E$7,$F$7,IF(Q223&lt;($F$7-$E$7)/($G$7-$E$7),$E$7+SQRT(Q223*($G$7-$E$7)*($F$7-$E$7)),$G$7-SQRT((1-Q223)*($G$7-$E$7)*($G$7-$F$7))))</f>
        <v>1.06227944944974</v>
      </c>
      <c r="D223" s="37" t="n">
        <f aca="false">1+IF($G$8=$E$8,$F$8,IF(R223&lt;($F$8-$E$8)/($G$8-$E$8),$E$8+SQRT(R223*($G$8-$E$8)*($F$8-$E$8)),$G$8-SQRT((1-R223)*($G$8-$E$8)*($G$8-$F$8))))</f>
        <v>1.00219856954216</v>
      </c>
      <c r="E223" s="37" t="n">
        <f aca="false">1+IF($G$9=$E$9,$F$9,IF(S223&lt;($F$9-$E$9)/($G$9-$E$9),$E$9+SQRT(S223*($G$9-$E$9)*($F$9-$E$9)),$G$9-SQRT((1-S223)*($G$9-$E$9)*($G$9-$F$9))))</f>
        <v>0.952299169111082</v>
      </c>
      <c r="F223" s="37" t="n">
        <f aca="false">1+IF($G$10=$E$10,$F$10,IF(T223&lt;($F$10-$E$10)/($G$10-$E$10),$E$10+SQRT(T223*($G$10-$E$10)*($F$10-$E$10)),$G$10-SQRT((1-T223)*($G$10-$E$10)*($G$10-$F$10))))</f>
        <v>1.10519885560674</v>
      </c>
      <c r="G223" s="38" t="n">
        <f aca="false">IF($G$11=$E$11,$F$11,IF(U223&lt;($F$11-$E$11)/($G$11-$E$11),$E$11+SQRT(U223*($G$11-$E$11)*($F$11-$E$11)),$G$11-SQRT((1-U223)*($G$11-$E$11)*($G$11-$F$11))))</f>
        <v>0.110204461486197</v>
      </c>
      <c r="H223" s="39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-2210397711.21348</v>
      </c>
      <c r="I223" s="39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-12922974.646776</v>
      </c>
      <c r="J223" s="39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272659225.090968</v>
      </c>
      <c r="K223" s="39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613501367.609049</v>
      </c>
      <c r="L223" s="39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743740998.839131</v>
      </c>
      <c r="M223" s="39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936491604.418717</v>
      </c>
      <c r="N223" s="39" t="n">
        <f aca="false">IF(COUNT('Business Case'!B11:G11)=0,"",H223+NPV(G223,I223:M223))</f>
        <v>-507668894.292383</v>
      </c>
      <c r="P223" s="40" t="n">
        <f aca="true">RAND()</f>
        <v>0.198729887115591</v>
      </c>
      <c r="Q223" s="40" t="n">
        <f aca="true">RAND()</f>
        <v>0.886001555720872</v>
      </c>
      <c r="R223" s="40" t="n">
        <f aca="true">RAND()</f>
        <v>0.362325346693334</v>
      </c>
      <c r="S223" s="40" t="n">
        <f aca="true">RAND()</f>
        <v>0.109408123588383</v>
      </c>
      <c r="T223" s="40" t="n">
        <f aca="true">RAND()</f>
        <v>0.720435047765359</v>
      </c>
      <c r="U223" s="40" t="n">
        <f aca="true">RAND()</f>
        <v>0.738757769965685</v>
      </c>
    </row>
    <row r="224" customFormat="false" ht="15" hidden="false" customHeight="false" outlineLevel="0" collapsed="false">
      <c r="A224" s="36" t="n">
        <v>144</v>
      </c>
      <c r="B224" s="37" t="n">
        <f aca="false">1+IF($G$6=$E$6,$F$6,IF(P224&lt;($F$6-$E$6)/($G$6-$E$6),$E$6+SQRT(P224*($G$6-$E$6)*($F$6-$E$6)),$G$6-SQRT((1-P224)*($G$6-$E$6)*($G$6-$F$6))))</f>
        <v>1.00224855735791</v>
      </c>
      <c r="C224" s="37" t="n">
        <f aca="false">1+IF($G$7=$E$7,$F$7,IF(Q224&lt;($F$7-$E$7)/($G$7-$E$7),$E$7+SQRT(Q224*($G$7-$E$7)*($F$7-$E$7)),$G$7-SQRT((1-Q224)*($G$7-$E$7)*($G$7-$F$7))))</f>
        <v>0.972902146479471</v>
      </c>
      <c r="D224" s="37" t="n">
        <f aca="false">1+IF($G$8=$E$8,$F$8,IF(R224&lt;($F$8-$E$8)/($G$8-$E$8),$E$8+SQRT(R224*($G$8-$E$8)*($F$8-$E$8)),$G$8-SQRT((1-R224)*($G$8-$E$8)*($G$8-$F$8))))</f>
        <v>1.00468666368913</v>
      </c>
      <c r="E224" s="37" t="n">
        <f aca="false">1+IF($G$9=$E$9,$F$9,IF(S224&lt;($F$9-$E$9)/($G$9-$E$9),$E$9+SQRT(S224*($G$9-$E$9)*($F$9-$E$9)),$G$9-SQRT((1-S224)*($G$9-$E$9)*($G$9-$F$9))))</f>
        <v>1.04799577182154</v>
      </c>
      <c r="F224" s="37" t="n">
        <f aca="false">1+IF($G$10=$E$10,$F$10,IF(T224&lt;($F$10-$E$10)/($G$10-$E$10),$E$10+SQRT(T224*($G$10-$E$10)*($F$10-$E$10)),$G$10-SQRT((1-T224)*($G$10-$E$10)*($G$10-$F$10))))</f>
        <v>1.07809349243533</v>
      </c>
      <c r="G224" s="38" t="n">
        <f aca="false">IF($G$11=$E$11,$F$11,IF(U224&lt;($F$11-$E$11)/($G$11-$E$11),$E$11+SQRT(U224*($G$11-$E$11)*($F$11-$E$11)),$G$11-SQRT((1-U224)*($G$11-$E$11)*($G$11-$F$11))))</f>
        <v>0.101350210585941</v>
      </c>
      <c r="H224" s="39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-2156186984.87067</v>
      </c>
      <c r="I224" s="39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-9096522.078775</v>
      </c>
      <c r="J224" s="39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289189957.658857</v>
      </c>
      <c r="K224" s="39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641381112.018256</v>
      </c>
      <c r="L224" s="39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774509041.144033</v>
      </c>
      <c r="M224" s="39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959854105.150152</v>
      </c>
      <c r="N224" s="39" t="n">
        <f aca="false">IF(COUNT('Business Case'!B11:G11)=0,"",H224+NPV(G224,I224:M224))</f>
        <v>-327162856.066822</v>
      </c>
      <c r="P224" s="40" t="n">
        <f aca="true">RAND()</f>
        <v>0.695973296746525</v>
      </c>
      <c r="Q224" s="40" t="n">
        <f aca="true">RAND()</f>
        <v>0.551670974467427</v>
      </c>
      <c r="R224" s="40" t="n">
        <f aca="true">RAND()</f>
        <v>0.394357861419424</v>
      </c>
      <c r="S224" s="40" t="n">
        <f aca="true">RAND()</f>
        <v>0.722536998232461</v>
      </c>
      <c r="T224" s="40" t="n">
        <f aca="true">RAND()</f>
        <v>0.605975368758921</v>
      </c>
      <c r="U224" s="40" t="n">
        <f aca="true">RAND()</f>
        <v>0.452793044353379</v>
      </c>
    </row>
    <row r="225" customFormat="false" ht="15" hidden="false" customHeight="false" outlineLevel="0" collapsed="false">
      <c r="A225" s="36" t="n">
        <v>145</v>
      </c>
      <c r="B225" s="37" t="n">
        <f aca="false">1+IF($G$6=$E$6,$F$6,IF(P225&lt;($F$6-$E$6)/($G$6-$E$6),$E$6+SQRT(P225*($G$6-$E$6)*($F$6-$E$6)),$G$6-SQRT((1-P225)*($G$6-$E$6)*($G$6-$F$6))))</f>
        <v>0.957070238479124</v>
      </c>
      <c r="C225" s="37" t="n">
        <f aca="false">1+IF($G$7=$E$7,$F$7,IF(Q225&lt;($F$7-$E$7)/($G$7-$E$7),$E$7+SQRT(Q225*($G$7-$E$7)*($F$7-$E$7)),$G$7-SQRT((1-Q225)*($G$7-$E$7)*($G$7-$F$7))))</f>
        <v>0.891233095104678</v>
      </c>
      <c r="D225" s="37" t="n">
        <f aca="false">1+IF($G$8=$E$8,$F$8,IF(R225&lt;($F$8-$E$8)/($G$8-$E$8),$E$8+SQRT(R225*($G$8-$E$8)*($F$8-$E$8)),$G$8-SQRT((1-R225)*($G$8-$E$8)*($G$8-$F$8))))</f>
        <v>1.00916349904398</v>
      </c>
      <c r="E225" s="37" t="n">
        <f aca="false">1+IF($G$9=$E$9,$F$9,IF(S225&lt;($F$9-$E$9)/($G$9-$E$9),$E$9+SQRT(S225*($G$9-$E$9)*($F$9-$E$9)),$G$9-SQRT((1-S225)*($G$9-$E$9)*($G$9-$F$9))))</f>
        <v>0.992254164042423</v>
      </c>
      <c r="F225" s="37" t="n">
        <f aca="false">1+IF($G$10=$E$10,$F$10,IF(T225&lt;($F$10-$E$10)/($G$10-$E$10),$E$10+SQRT(T225*($G$10-$E$10)*($F$10-$E$10)),$G$10-SQRT((1-T225)*($G$10-$E$10)*($G$10-$F$10))))</f>
        <v>1.06676610808308</v>
      </c>
      <c r="G225" s="38" t="n">
        <f aca="false">IF($G$11=$E$11,$F$11,IF(U225&lt;($F$11-$E$11)/($G$11-$E$11),$E$11+SQRT(U225*($G$11-$E$11)*($F$11-$E$11)),$G$11-SQRT((1-U225)*($G$11-$E$11)*($G$11-$F$11))))</f>
        <v>0.103765810890219</v>
      </c>
      <c r="H225" s="39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-2133532216.16616</v>
      </c>
      <c r="I225" s="39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-53768025.9881823</v>
      </c>
      <c r="J225" s="39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184457204.216797</v>
      </c>
      <c r="K225" s="39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476020739.82593</v>
      </c>
      <c r="L225" s="39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584907885.399604</v>
      </c>
      <c r="M225" s="39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747040930.679015</v>
      </c>
      <c r="N225" s="39" t="n">
        <f aca="false">IF(COUNT('Business Case'!B11:G11)=0,"",H225+NPV(G225,I225:M225))</f>
        <v>-826776249.130206</v>
      </c>
      <c r="P225" s="40" t="n">
        <f aca="true">RAND()</f>
        <v>0.217134141337604</v>
      </c>
      <c r="Q225" s="40" t="n">
        <f aca="true">RAND()</f>
        <v>0.270889604913443</v>
      </c>
      <c r="R225" s="40" t="n">
        <f aca="true">RAND()</f>
        <v>0.449915339604476</v>
      </c>
      <c r="S225" s="40" t="n">
        <f aca="true">RAND()</f>
        <v>0.340433231326651</v>
      </c>
      <c r="T225" s="40" t="n">
        <f aca="true">RAND()</f>
        <v>0.55233787803971</v>
      </c>
      <c r="U225" s="40" t="n">
        <f aca="true">RAND()</f>
        <v>0.541178214501482</v>
      </c>
    </row>
    <row r="226" customFormat="false" ht="15" hidden="false" customHeight="false" outlineLevel="0" collapsed="false">
      <c r="A226" s="36" t="n">
        <v>146</v>
      </c>
      <c r="B226" s="37" t="n">
        <f aca="false">1+IF($G$6=$E$6,$F$6,IF(P226&lt;($F$6-$E$6)/($G$6-$E$6),$E$6+SQRT(P226*($G$6-$E$6)*($F$6-$E$6)),$G$6-SQRT((1-P226)*($G$6-$E$6)*($G$6-$F$6))))</f>
        <v>0.973020088315718</v>
      </c>
      <c r="C226" s="37" t="n">
        <f aca="false">1+IF($G$7=$E$7,$F$7,IF(Q226&lt;($F$7-$E$7)/($G$7-$E$7),$E$7+SQRT(Q226*($G$7-$E$7)*($F$7-$E$7)),$G$7-SQRT((1-Q226)*($G$7-$E$7)*($G$7-$F$7))))</f>
        <v>1.01773884392945</v>
      </c>
      <c r="D226" s="37" t="n">
        <f aca="false">1+IF($G$8=$E$8,$F$8,IF(R226&lt;($F$8-$E$8)/($G$8-$E$8),$E$8+SQRT(R226*($G$8-$E$8)*($F$8-$E$8)),$G$8-SQRT((1-R226)*($G$8-$E$8)*($G$8-$F$8))))</f>
        <v>1.03974228952465</v>
      </c>
      <c r="E226" s="37" t="n">
        <f aca="false">1+IF($G$9=$E$9,$F$9,IF(S226&lt;($F$9-$E$9)/($G$9-$E$9),$E$9+SQRT(S226*($G$9-$E$9)*($F$9-$E$9)),$G$9-SQRT((1-S226)*($G$9-$E$9)*($G$9-$F$9))))</f>
        <v>0.95539727583337</v>
      </c>
      <c r="F226" s="37" t="n">
        <f aca="false">1+IF($G$10=$E$10,$F$10,IF(T226&lt;($F$10-$E$10)/($G$10-$E$10),$E$10+SQRT(T226*($G$10-$E$10)*($F$10-$E$10)),$G$10-SQRT((1-T226)*($G$10-$E$10)*($G$10-$F$10))))</f>
        <v>1.21152092799211</v>
      </c>
      <c r="G226" s="38" t="n">
        <f aca="false">IF($G$11=$E$11,$F$11,IF(U226&lt;($F$11-$E$11)/($G$11-$E$11),$E$11+SQRT(U226*($G$11-$E$11)*($F$11-$E$11)),$G$11-SQRT((1-U226)*($G$11-$E$11)*($G$11-$F$11))))</f>
        <v>0.107251477313276</v>
      </c>
      <c r="H226" s="39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-2423041855.98421</v>
      </c>
      <c r="I226" s="39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-38941456.1174449</v>
      </c>
      <c r="J226" s="39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230462806.003191</v>
      </c>
      <c r="K226" s="39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560443114.523433</v>
      </c>
      <c r="L226" s="39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684468623.773888</v>
      </c>
      <c r="M226" s="39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872701110.76356</v>
      </c>
      <c r="N226" s="39" t="n">
        <f aca="false">IF(COUNT('Business Case'!B11:G11)=0,"",H226+NPV(G226,I226:M226))</f>
        <v>-877642511.235865</v>
      </c>
      <c r="P226" s="40" t="n">
        <f aca="true">RAND()</f>
        <v>0.355462219842348</v>
      </c>
      <c r="Q226" s="40" t="n">
        <f aca="true">RAND()</f>
        <v>0.74084424585009</v>
      </c>
      <c r="R226" s="40" t="n">
        <f aca="true">RAND()</f>
        <v>0.757933888551247</v>
      </c>
      <c r="S226" s="40" t="n">
        <f aca="true">RAND()</f>
        <v>0.122754326790341</v>
      </c>
      <c r="T226" s="40" t="n">
        <f aca="true">RAND()</f>
        <v>0.980258146898817</v>
      </c>
      <c r="U226" s="40" t="n">
        <f aca="true">RAND()</f>
        <v>0.655003143714391</v>
      </c>
    </row>
    <row r="227" customFormat="false" ht="15" hidden="false" customHeight="false" outlineLevel="0" collapsed="false">
      <c r="A227" s="36" t="n">
        <v>147</v>
      </c>
      <c r="B227" s="37" t="n">
        <f aca="false">1+IF($G$6=$E$6,$F$6,IF(P227&lt;($F$6-$E$6)/($G$6-$E$6),$E$6+SQRT(P227*($G$6-$E$6)*($F$6-$E$6)),$G$6-SQRT((1-P227)*($G$6-$E$6)*($G$6-$F$6))))</f>
        <v>0.999892349205983</v>
      </c>
      <c r="C227" s="37" t="n">
        <f aca="false">1+IF($G$7=$E$7,$F$7,IF(Q227&lt;($F$7-$E$7)/($G$7-$E$7),$E$7+SQRT(Q227*($G$7-$E$7)*($F$7-$E$7)),$G$7-SQRT((1-Q227)*($G$7-$E$7)*($G$7-$F$7))))</f>
        <v>0.954278355823035</v>
      </c>
      <c r="D227" s="37" t="n">
        <f aca="false">1+IF($G$8=$E$8,$F$8,IF(R227&lt;($F$8-$E$8)/($G$8-$E$8),$E$8+SQRT(R227*($G$8-$E$8)*($F$8-$E$8)),$G$8-SQRT((1-R227)*($G$8-$E$8)*($G$8-$F$8))))</f>
        <v>1.00581048655528</v>
      </c>
      <c r="E227" s="37" t="n">
        <f aca="false">1+IF($G$9=$E$9,$F$9,IF(S227&lt;($F$9-$E$9)/($G$9-$E$9),$E$9+SQRT(S227*($G$9-$E$9)*($F$9-$E$9)),$G$9-SQRT((1-S227)*($G$9-$E$9)*($G$9-$F$9))))</f>
        <v>0.966706559299399</v>
      </c>
      <c r="F227" s="37" t="n">
        <f aca="false">1+IF($G$10=$E$10,$F$10,IF(T227&lt;($F$10-$E$10)/($G$10-$E$10),$E$10+SQRT(T227*($G$10-$E$10)*($F$10-$E$10)),$G$10-SQRT((1-T227)*($G$10-$E$10)*($G$10-$F$10))))</f>
        <v>1.06355745510607</v>
      </c>
      <c r="G227" s="38" t="n">
        <f aca="false">IF($G$11=$E$11,$F$11,IF(U227&lt;($F$11-$E$11)/($G$11-$E$11),$E$11+SQRT(U227*($G$11-$E$11)*($F$11-$E$11)),$G$11-SQRT((1-U227)*($G$11-$E$11)*($G$11-$F$11))))</f>
        <v>0.0922695238579072</v>
      </c>
      <c r="H227" s="39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-2127114910.21215</v>
      </c>
      <c r="I227" s="39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-3100024.5524078</v>
      </c>
      <c r="J227" s="39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287085833.641863</v>
      </c>
      <c r="K227" s="39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630449564.591437</v>
      </c>
      <c r="L227" s="39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760154493.658658</v>
      </c>
      <c r="M227" s="39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941524196.838878</v>
      </c>
      <c r="N227" s="39" t="n">
        <f aca="false">IF(COUNT('Business Case'!B11:G11)=0,"",H227+NPV(G227,I227:M227))</f>
        <v>-265881270.889111</v>
      </c>
      <c r="P227" s="40" t="n">
        <f aca="true">RAND()</f>
        <v>0.665232095326003</v>
      </c>
      <c r="Q227" s="40" t="n">
        <f aca="true">RAND()</f>
        <v>0.47894431288938</v>
      </c>
      <c r="R227" s="40" t="n">
        <f aca="true">RAND()</f>
        <v>0.408555703803121</v>
      </c>
      <c r="S227" s="40" t="n">
        <f aca="true">RAND()</f>
        <v>0.177990602142569</v>
      </c>
      <c r="T227" s="40" t="n">
        <f aca="true">RAND()</f>
        <v>0.536522366046346</v>
      </c>
      <c r="U227" s="40" t="n">
        <f aca="true">RAND()</f>
        <v>0.150541215699755</v>
      </c>
    </row>
    <row r="228" customFormat="false" ht="15" hidden="false" customHeight="false" outlineLevel="0" collapsed="false">
      <c r="A228" s="36" t="n">
        <v>148</v>
      </c>
      <c r="B228" s="37" t="n">
        <f aca="false">1+IF($G$6=$E$6,$F$6,IF(P228&lt;($F$6-$E$6)/($G$6-$E$6),$E$6+SQRT(P228*($G$6-$E$6)*($F$6-$E$6)),$G$6-SQRT((1-P228)*($G$6-$E$6)*($G$6-$F$6))))</f>
        <v>0.970104255365636</v>
      </c>
      <c r="C228" s="37" t="n">
        <f aca="false">1+IF($G$7=$E$7,$F$7,IF(Q228&lt;($F$7-$E$7)/($G$7-$E$7),$E$7+SQRT(Q228*($G$7-$E$7)*($F$7-$E$7)),$G$7-SQRT((1-Q228)*($G$7-$E$7)*($G$7-$F$7))))</f>
        <v>0.869936011989875</v>
      </c>
      <c r="D228" s="37" t="n">
        <f aca="false">1+IF($G$8=$E$8,$F$8,IF(R228&lt;($F$8-$E$8)/($G$8-$E$8),$E$8+SQRT(R228*($G$8-$E$8)*($F$8-$E$8)),$G$8-SQRT((1-R228)*($G$8-$E$8)*($G$8-$F$8))))</f>
        <v>0.981429304852259</v>
      </c>
      <c r="E228" s="37" t="n">
        <f aca="false">1+IF($G$9=$E$9,$F$9,IF(S228&lt;($F$9-$E$9)/($G$9-$E$9),$E$9+SQRT(S228*($G$9-$E$9)*($F$9-$E$9)),$G$9-SQRT((1-S228)*($G$9-$E$9)*($G$9-$F$9))))</f>
        <v>0.987196779633647</v>
      </c>
      <c r="F228" s="37" t="n">
        <f aca="false">1+IF($G$10=$E$10,$F$10,IF(T228&lt;($F$10-$E$10)/($G$10-$E$10),$E$10+SQRT(T228*($G$10-$E$10)*($F$10-$E$10)),$G$10-SQRT((1-T228)*($G$10-$E$10)*($G$10-$F$10))))</f>
        <v>1.08061762693687</v>
      </c>
      <c r="G228" s="38" t="n">
        <f aca="false">IF($G$11=$E$11,$F$11,IF(U228&lt;($F$11-$E$11)/($G$11-$E$11),$E$11+SQRT(U228*($G$11-$E$11)*($F$11-$E$11)),$G$11-SQRT((1-U228)*($G$11-$E$11)*($G$11-$F$11))))</f>
        <v>0.0996546958309606</v>
      </c>
      <c r="H228" s="39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-2161235253.87375</v>
      </c>
      <c r="I228" s="39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-38019509.9566466</v>
      </c>
      <c r="J228" s="39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216151384.874572</v>
      </c>
      <c r="K228" s="39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524353161.052634</v>
      </c>
      <c r="L228" s="39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638242966.016556</v>
      </c>
      <c r="M228" s="39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798656919.460892</v>
      </c>
      <c r="N228" s="39" t="n">
        <f aca="false">IF(COUNT('Business Case'!B11:G11)=0,"",H228+NPV(G228,I228:M228))</f>
        <v>-689575523.672073</v>
      </c>
      <c r="P228" s="40" t="n">
        <f aca="true">RAND()</f>
        <v>0.327640441358018</v>
      </c>
      <c r="Q228" s="40" t="n">
        <f aca="true">RAND()</f>
        <v>0.213912949414985</v>
      </c>
      <c r="R228" s="40" t="n">
        <f aca="true">RAND()</f>
        <v>0.131706827132832</v>
      </c>
      <c r="S228" s="40" t="n">
        <f aca="true">RAND()</f>
        <v>0.304131135139152</v>
      </c>
      <c r="T228" s="40" t="n">
        <f aca="true">RAND()</f>
        <v>0.61746148927338</v>
      </c>
      <c r="U228" s="40" t="n">
        <f aca="true">RAND()</f>
        <v>0.38630706820758</v>
      </c>
    </row>
    <row r="229" customFormat="false" ht="15" hidden="false" customHeight="false" outlineLevel="0" collapsed="false">
      <c r="A229" s="36" t="n">
        <v>149</v>
      </c>
      <c r="B229" s="37" t="n">
        <f aca="false">1+IF($G$6=$E$6,$F$6,IF(P229&lt;($F$6-$E$6)/($G$6-$E$6),$E$6+SQRT(P229*($G$6-$E$6)*($F$6-$E$6)),$G$6-SQRT((1-P229)*($G$6-$E$6)*($G$6-$F$6))))</f>
        <v>0.916749201980644</v>
      </c>
      <c r="C229" s="37" t="n">
        <f aca="false">1+IF($G$7=$E$7,$F$7,IF(Q229&lt;($F$7-$E$7)/($G$7-$E$7),$E$7+SQRT(Q229*($G$7-$E$7)*($F$7-$E$7)),$G$7-SQRT((1-Q229)*($G$7-$E$7)*($G$7-$F$7))))</f>
        <v>0.879034178687457</v>
      </c>
      <c r="D229" s="37" t="n">
        <f aca="false">1+IF($G$8=$E$8,$F$8,IF(R229&lt;($F$8-$E$8)/($G$8-$E$8),$E$8+SQRT(R229*($G$8-$E$8)*($F$8-$E$8)),$G$8-SQRT((1-R229)*($G$8-$E$8)*($G$8-$F$8))))</f>
        <v>0.976829820417455</v>
      </c>
      <c r="E229" s="37" t="n">
        <f aca="false">1+IF($G$9=$E$9,$F$9,IF(S229&lt;($F$9-$E$9)/($G$9-$E$9),$E$9+SQRT(S229*($G$9-$E$9)*($F$9-$E$9)),$G$9-SQRT((1-S229)*($G$9-$E$9)*($G$9-$F$9))))</f>
        <v>1.04047022336878</v>
      </c>
      <c r="F229" s="37" t="n">
        <f aca="false">1+IF($G$10=$E$10,$F$10,IF(T229&lt;($F$10-$E$10)/($G$10-$E$10),$E$10+SQRT(T229*($G$10-$E$10)*($F$10-$E$10)),$G$10-SQRT((1-T229)*($G$10-$E$10)*($G$10-$F$10))))</f>
        <v>1.10378519819004</v>
      </c>
      <c r="G229" s="38" t="n">
        <f aca="false">IF($G$11=$E$11,$F$11,IF(U229&lt;($F$11-$E$11)/($G$11-$E$11),$E$11+SQRT(U229*($G$11-$E$11)*($F$11-$E$11)),$G$11-SQRT((1-U229)*($G$11-$E$11)*($G$11-$F$11))))</f>
        <v>0.1093959174295</v>
      </c>
      <c r="H229" s="39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-2207570396.38008</v>
      </c>
      <c r="I229" s="39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-79625207.8183722</v>
      </c>
      <c r="J229" s="39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140858435.179131</v>
      </c>
      <c r="K229" s="39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416531338.086136</v>
      </c>
      <c r="L229" s="39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517876195.907857</v>
      </c>
      <c r="M229" s="39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671052901.765236</v>
      </c>
      <c r="N229" s="39" t="n">
        <f aca="false">IF(COUNT('Business Case'!B11:G11)=0,"",H229+NPV(G229,I229:M229))</f>
        <v>-1118626190.5877</v>
      </c>
      <c r="P229" s="40" t="n">
        <f aca="true">RAND()</f>
        <v>0.018702384465893</v>
      </c>
      <c r="Q229" s="40" t="n">
        <f aca="true">RAND()</f>
        <v>0.237431386209573</v>
      </c>
      <c r="R229" s="40" t="n">
        <f aca="true">RAND()</f>
        <v>0.0959785684843833</v>
      </c>
      <c r="S229" s="40" t="n">
        <f aca="true">RAND()</f>
        <v>0.680086080829746</v>
      </c>
      <c r="T229" s="40" t="n">
        <f aca="true">RAND()</f>
        <v>0.714949756422321</v>
      </c>
      <c r="U229" s="40" t="n">
        <f aca="true">RAND()</f>
        <v>0.716981187618682</v>
      </c>
    </row>
    <row r="230" customFormat="false" ht="15" hidden="false" customHeight="false" outlineLevel="0" collapsed="false">
      <c r="A230" s="36" t="n">
        <v>150</v>
      </c>
      <c r="B230" s="37" t="n">
        <f aca="false">1+IF($G$6=$E$6,$F$6,IF(P230&lt;($F$6-$E$6)/($G$6-$E$6),$E$6+SQRT(P230*($G$6-$E$6)*($F$6-$E$6)),$G$6-SQRT((1-P230)*($G$6-$E$6)*($G$6-$F$6))))</f>
        <v>1.01490487573573</v>
      </c>
      <c r="C230" s="37" t="n">
        <f aca="false">1+IF($G$7=$E$7,$F$7,IF(Q230&lt;($F$7-$E$7)/($G$7-$E$7),$E$7+SQRT(Q230*($G$7-$E$7)*($F$7-$E$7)),$G$7-SQRT((1-Q230)*($G$7-$E$7)*($G$7-$F$7))))</f>
        <v>1.04982081697841</v>
      </c>
      <c r="D230" s="37" t="n">
        <f aca="false">1+IF($G$8=$E$8,$F$8,IF(R230&lt;($F$8-$E$8)/($G$8-$E$8),$E$8+SQRT(R230*($G$8-$E$8)*($F$8-$E$8)),$G$8-SQRT((1-R230)*($G$8-$E$8)*($G$8-$F$8))))</f>
        <v>1.00947555169951</v>
      </c>
      <c r="E230" s="37" t="n">
        <f aca="false">1+IF($G$9=$E$9,$F$9,IF(S230&lt;($F$9-$E$9)/($G$9-$E$9),$E$9+SQRT(S230*($G$9-$E$9)*($F$9-$E$9)),$G$9-SQRT((1-S230)*($G$9-$E$9)*($G$9-$F$9))))</f>
        <v>1.00254134150498</v>
      </c>
      <c r="F230" s="37" t="n">
        <f aca="false">1+IF($G$10=$E$10,$F$10,IF(T230&lt;($F$10-$E$10)/($G$10-$E$10),$E$10+SQRT(T230*($G$10-$E$10)*($F$10-$E$10)),$G$10-SQRT((1-T230)*($G$10-$E$10)*($G$10-$F$10))))</f>
        <v>1.09562448066439</v>
      </c>
      <c r="G230" s="38" t="n">
        <f aca="false">IF($G$11=$E$11,$F$11,IF(U230&lt;($F$11-$E$11)/($G$11-$E$11),$E$11+SQRT(U230*($G$11-$E$11)*($F$11-$E$11)),$G$11-SQRT((1-U230)*($G$11-$E$11)*($G$11-$F$11))))</f>
        <v>0.0881829461790194</v>
      </c>
      <c r="H230" s="39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-2191248961.32878</v>
      </c>
      <c r="I230" s="39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22820857.5705696</v>
      </c>
      <c r="J230" s="39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352999416.868672</v>
      </c>
      <c r="K230" s="39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737959200.199994</v>
      </c>
      <c r="L230" s="39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884841303.232084</v>
      </c>
      <c r="M230" s="39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1087365511.1954</v>
      </c>
      <c r="N230" s="39" t="n">
        <f aca="false">IF(COUNT('Business Case'!B11:G11)=0,"",H230+NPV(G230,I230:M230))</f>
        <v>44201711.3980527</v>
      </c>
      <c r="P230" s="40" t="n">
        <f aca="true">RAND()</f>
        <v>0.835777633716719</v>
      </c>
      <c r="Q230" s="40" t="n">
        <f aca="true">RAND()</f>
        <v>0.851320463542604</v>
      </c>
      <c r="R230" s="40" t="n">
        <f aca="true">RAND()</f>
        <v>0.453688283992811</v>
      </c>
      <c r="S230" s="40" t="n">
        <f aca="true">RAND()</f>
        <v>0.420158507595992</v>
      </c>
      <c r="T230" s="40" t="n">
        <f aca="true">RAND()</f>
        <v>0.682242653731478</v>
      </c>
      <c r="U230" s="40" t="n">
        <f aca="true">RAND()</f>
        <v>0.0669606081687288</v>
      </c>
    </row>
    <row r="231" customFormat="false" ht="15" hidden="false" customHeight="false" outlineLevel="0" collapsed="false">
      <c r="A231" s="36" t="n">
        <v>151</v>
      </c>
      <c r="B231" s="37" t="n">
        <f aca="false">1+IF($G$6=$E$6,$F$6,IF(P231&lt;($F$6-$E$6)/($G$6-$E$6),$E$6+SQRT(P231*($G$6-$E$6)*($F$6-$E$6)),$G$6-SQRT((1-P231)*($G$6-$E$6)*($G$6-$F$6))))</f>
        <v>1.01344940733542</v>
      </c>
      <c r="C231" s="37" t="n">
        <f aca="false">1+IF($G$7=$E$7,$F$7,IF(Q231&lt;($F$7-$E$7)/($G$7-$E$7),$E$7+SQRT(Q231*($G$7-$E$7)*($F$7-$E$7)),$G$7-SQRT((1-Q231)*($G$7-$E$7)*($G$7-$F$7))))</f>
        <v>0.846971600319027</v>
      </c>
      <c r="D231" s="37" t="n">
        <f aca="false">1+IF($G$8=$E$8,$F$8,IF(R231&lt;($F$8-$E$8)/($G$8-$E$8),$E$8+SQRT(R231*($G$8-$E$8)*($F$8-$E$8)),$G$8-SQRT((1-R231)*($G$8-$E$8)*($G$8-$F$8))))</f>
        <v>0.97758129028285</v>
      </c>
      <c r="E231" s="37" t="n">
        <f aca="false">1+IF($G$9=$E$9,$F$9,IF(S231&lt;($F$9-$E$9)/($G$9-$E$9),$E$9+SQRT(S231*($G$9-$E$9)*($F$9-$E$9)),$G$9-SQRT((1-S231)*($G$9-$E$9)*($G$9-$F$9))))</f>
        <v>0.993134166917943</v>
      </c>
      <c r="F231" s="37" t="n">
        <f aca="false">1+IF($G$10=$E$10,$F$10,IF(T231&lt;($F$10-$E$10)/($G$10-$E$10),$E$10+SQRT(T231*($G$10-$E$10)*($F$10-$E$10)),$G$10-SQRT((1-T231)*($G$10-$E$10)*($G$10-$F$10))))</f>
        <v>1.15605544633887</v>
      </c>
      <c r="G231" s="38" t="n">
        <f aca="false">IF($G$11=$E$11,$F$11,IF(U231&lt;($F$11-$E$11)/($G$11-$E$11),$E$11+SQRT(U231*($G$11-$E$11)*($F$11-$E$11)),$G$11-SQRT((1-U231)*($G$11-$E$11)*($G$11-$F$11))))</f>
        <v>0.109647438286862</v>
      </c>
      <c r="H231" s="39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-2312110892.67775</v>
      </c>
      <c r="I231" s="39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-22127123.8040259</v>
      </c>
      <c r="J231" s="39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257072506.554356</v>
      </c>
      <c r="K231" s="39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594074909.229682</v>
      </c>
      <c r="L231" s="39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716806473.344335</v>
      </c>
      <c r="M231" s="39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879964086.984562</v>
      </c>
      <c r="N231" s="39" t="n">
        <f aca="false">IF(COUNT('Business Case'!B11:G11)=0,"",H231+NPV(G231,I231:M231))</f>
        <v>-692647533.928503</v>
      </c>
      <c r="P231" s="40" t="n">
        <f aca="true">RAND()</f>
        <v>0.821873890115696</v>
      </c>
      <c r="Q231" s="40" t="n">
        <f aca="true">RAND()</f>
        <v>0.160004824446931</v>
      </c>
      <c r="R231" s="40" t="n">
        <f aca="true">RAND()</f>
        <v>0.101430343155578</v>
      </c>
      <c r="S231" s="40" t="n">
        <f aca="true">RAND()</f>
        <v>0.346958921899974</v>
      </c>
      <c r="T231" s="40" t="n">
        <f aca="true">RAND()</f>
        <v>0.882325611165492</v>
      </c>
      <c r="U231" s="40" t="n">
        <f aca="true">RAND()</f>
        <v>0.723848821141952</v>
      </c>
    </row>
    <row r="232" customFormat="false" ht="15" hidden="false" customHeight="false" outlineLevel="0" collapsed="false">
      <c r="A232" s="36" t="n">
        <v>152</v>
      </c>
      <c r="B232" s="37" t="n">
        <f aca="false">1+IF($G$6=$E$6,$F$6,IF(P232&lt;($F$6-$E$6)/($G$6-$E$6),$E$6+SQRT(P232*($G$6-$E$6)*($F$6-$E$6)),$G$6-SQRT((1-P232)*($G$6-$E$6)*($G$6-$F$6))))</f>
        <v>0.933788680865159</v>
      </c>
      <c r="C232" s="37" t="n">
        <f aca="false">1+IF($G$7=$E$7,$F$7,IF(Q232&lt;($F$7-$E$7)/($G$7-$E$7),$E$7+SQRT(Q232*($G$7-$E$7)*($F$7-$E$7)),$G$7-SQRT((1-Q232)*($G$7-$E$7)*($G$7-$F$7))))</f>
        <v>1.02791552495917</v>
      </c>
      <c r="D232" s="37" t="n">
        <f aca="false">1+IF($G$8=$E$8,$F$8,IF(R232&lt;($F$8-$E$8)/($G$8-$E$8),$E$8+SQRT(R232*($G$8-$E$8)*($F$8-$E$8)),$G$8-SQRT((1-R232)*($G$8-$E$8)*($G$8-$F$8))))</f>
        <v>1.01806747877296</v>
      </c>
      <c r="E232" s="37" t="n">
        <f aca="false">1+IF($G$9=$E$9,$F$9,IF(S232&lt;($F$9-$E$9)/($G$9-$E$9),$E$9+SQRT(S232*($G$9-$E$9)*($F$9-$E$9)),$G$9-SQRT((1-S232)*($G$9-$E$9)*($G$9-$F$9))))</f>
        <v>1.06625784737016</v>
      </c>
      <c r="F232" s="37" t="n">
        <f aca="false">1+IF($G$10=$E$10,$F$10,IF(T232&lt;($F$10-$E$10)/($G$10-$E$10),$E$10+SQRT(T232*($G$10-$E$10)*($F$10-$E$10)),$G$10-SQRT((1-T232)*($G$10-$E$10)*($G$10-$F$10))))</f>
        <v>1.01363698502264</v>
      </c>
      <c r="G232" s="38" t="n">
        <f aca="false">IF($G$11=$E$11,$F$11,IF(U232&lt;($F$11-$E$11)/($G$11-$E$11),$E$11+SQRT(U232*($G$11-$E$11)*($F$11-$E$11)),$G$11-SQRT((1-U232)*($G$11-$E$11)*($G$11-$F$11))))</f>
        <v>0.103313700385988</v>
      </c>
      <c r="H232" s="39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-2027273970.04528</v>
      </c>
      <c r="I232" s="39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-52271229.1254266</v>
      </c>
      <c r="J232" s="39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198202035.07512</v>
      </c>
      <c r="K232" s="39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499357148.526799</v>
      </c>
      <c r="L232" s="39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616020855.878762</v>
      </c>
      <c r="M232" s="39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798470261.946894</v>
      </c>
      <c r="N232" s="39" t="n">
        <f aca="false">IF(COUNT('Business Case'!B11:G11)=0,"",H232+NPV(G232,I232:M232))</f>
        <v>-635920454.691189</v>
      </c>
      <c r="P232" s="40" t="n">
        <f aca="true">RAND()</f>
        <v>0.0761116636405034</v>
      </c>
      <c r="Q232" s="40" t="n">
        <f aca="true">RAND()</f>
        <v>0.779190828948228</v>
      </c>
      <c r="R232" s="40" t="n">
        <f aca="true">RAND()</f>
        <v>0.552470797692047</v>
      </c>
      <c r="S232" s="40" t="n">
        <f aca="true">RAND()</f>
        <v>0.812993383277896</v>
      </c>
      <c r="T232" s="40" t="n">
        <f aca="true">RAND()</f>
        <v>0.25510033534415</v>
      </c>
      <c r="U232" s="40" t="n">
        <f aca="true">RAND()</f>
        <v>0.52522760860744</v>
      </c>
    </row>
    <row r="233" customFormat="false" ht="15" hidden="false" customHeight="false" outlineLevel="0" collapsed="false">
      <c r="A233" s="36" t="n">
        <v>153</v>
      </c>
      <c r="B233" s="37" t="n">
        <f aca="false">1+IF($G$6=$E$6,$F$6,IF(P233&lt;($F$6-$E$6)/($G$6-$E$6),$E$6+SQRT(P233*($G$6-$E$6)*($F$6-$E$6)),$G$6-SQRT((1-P233)*($G$6-$E$6)*($G$6-$F$6))))</f>
        <v>0.970551493404211</v>
      </c>
      <c r="C233" s="37" t="n">
        <f aca="false">1+IF($G$7=$E$7,$F$7,IF(Q233&lt;($F$7-$E$7)/($G$7-$E$7),$E$7+SQRT(Q233*($G$7-$E$7)*($F$7-$E$7)),$G$7-SQRT((1-Q233)*($G$7-$E$7)*($G$7-$F$7))))</f>
        <v>1.0155818227136</v>
      </c>
      <c r="D233" s="37" t="n">
        <f aca="false">1+IF($G$8=$E$8,$F$8,IF(R233&lt;($F$8-$E$8)/($G$8-$E$8),$E$8+SQRT(R233*($G$8-$E$8)*($F$8-$E$8)),$G$8-SQRT((1-R233)*($G$8-$E$8)*($G$8-$F$8))))</f>
        <v>0.999361837005203</v>
      </c>
      <c r="E233" s="37" t="n">
        <f aca="false">1+IF($G$9=$E$9,$F$9,IF(S233&lt;($F$9-$E$9)/($G$9-$E$9),$E$9+SQRT(S233*($G$9-$E$9)*($F$9-$E$9)),$G$9-SQRT((1-S233)*($G$9-$E$9)*($G$9-$F$9))))</f>
        <v>1.00508602592456</v>
      </c>
      <c r="F233" s="37" t="n">
        <f aca="false">1+IF($G$10=$E$10,$F$10,IF(T233&lt;($F$10-$E$10)/($G$10-$E$10),$E$10+SQRT(T233*($G$10-$E$10)*($F$10-$E$10)),$G$10-SQRT((1-T233)*($G$10-$E$10)*($G$10-$F$10))))</f>
        <v>1.00861096769743</v>
      </c>
      <c r="G233" s="38" t="n">
        <f aca="false">IF($G$11=$E$11,$F$11,IF(U233&lt;($F$11-$E$11)/($G$11-$E$11),$E$11+SQRT(U233*($G$11-$E$11)*($F$11-$E$11)),$G$11-SQRT((1-U233)*($G$11-$E$11)*($G$11-$F$11))))</f>
        <v>0.0960718176102244</v>
      </c>
      <c r="H233" s="39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-2017221935.39486</v>
      </c>
      <c r="I233" s="39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-7108214.30354503</v>
      </c>
      <c r="J233" s="39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280665264.781233</v>
      </c>
      <c r="K233" s="39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618869292.250882</v>
      </c>
      <c r="L233" s="39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748858694.433879</v>
      </c>
      <c r="M233" s="39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936215694.784938</v>
      </c>
      <c r="N233" s="39" t="n">
        <f aca="false">IF(COUNT('Business Case'!B11:G11)=0,"",H233+NPV(G233,I233:M233))</f>
        <v>-209443598.200813</v>
      </c>
      <c r="P233" s="40" t="n">
        <f aca="true">RAND()</f>
        <v>0.331834214770962</v>
      </c>
      <c r="Q233" s="40" t="n">
        <f aca="true">RAND()</f>
        <v>0.732322275777802</v>
      </c>
      <c r="R233" s="40" t="n">
        <f aca="true">RAND()</f>
        <v>0.324878793670431</v>
      </c>
      <c r="S233" s="40" t="n">
        <f aca="true">RAND()</f>
        <v>0.439998403137684</v>
      </c>
      <c r="T233" s="40" t="n">
        <f aca="true">RAND()</f>
        <v>0.223084467787041</v>
      </c>
      <c r="U233" s="40" t="n">
        <f aca="true">RAND()</f>
        <v>0.258303321296317</v>
      </c>
    </row>
    <row r="234" customFormat="false" ht="15" hidden="false" customHeight="false" outlineLevel="0" collapsed="false">
      <c r="A234" s="36" t="n">
        <v>154</v>
      </c>
      <c r="B234" s="37" t="n">
        <f aca="false">1+IF($G$6=$E$6,$F$6,IF(P234&lt;($F$6-$E$6)/($G$6-$E$6),$E$6+SQRT(P234*($G$6-$E$6)*($F$6-$E$6)),$G$6-SQRT((1-P234)*($G$6-$E$6)*($G$6-$F$6))))</f>
        <v>1.0124683145427</v>
      </c>
      <c r="C234" s="37" t="n">
        <f aca="false">1+IF($G$7=$E$7,$F$7,IF(Q234&lt;($F$7-$E$7)/($G$7-$E$7),$E$7+SQRT(Q234*($G$7-$E$7)*($F$7-$E$7)),$G$7-SQRT((1-Q234)*($G$7-$E$7)*($G$7-$F$7))))</f>
        <v>1.03946404852241</v>
      </c>
      <c r="D234" s="37" t="n">
        <f aca="false">1+IF($G$8=$E$8,$F$8,IF(R234&lt;($F$8-$E$8)/($G$8-$E$8),$E$8+SQRT(R234*($G$8-$E$8)*($F$8-$E$8)),$G$8-SQRT((1-R234)*($G$8-$E$8)*($G$8-$F$8))))</f>
        <v>1.02238115859725</v>
      </c>
      <c r="E234" s="37" t="n">
        <f aca="false">1+IF($G$9=$E$9,$F$9,IF(S234&lt;($F$9-$E$9)/($G$9-$E$9),$E$9+SQRT(S234*($G$9-$E$9)*($F$9-$E$9)),$G$9-SQRT((1-S234)*($G$9-$E$9)*($G$9-$F$9))))</f>
        <v>1.00979207803792</v>
      </c>
      <c r="F234" s="37" t="n">
        <f aca="false">1+IF($G$10=$E$10,$F$10,IF(T234&lt;($F$10-$E$10)/($G$10-$E$10),$E$10+SQRT(T234*($G$10-$E$10)*($F$10-$E$10)),$G$10-SQRT((1-T234)*($G$10-$E$10)*($G$10-$F$10))))</f>
        <v>0.999961724564822</v>
      </c>
      <c r="G234" s="38" t="n">
        <f aca="false">IF($G$11=$E$11,$F$11,IF(U234&lt;($F$11-$E$11)/($G$11-$E$11),$E$11+SQRT(U234*($G$11-$E$11)*($F$11-$E$11)),$G$11-SQRT((1-U234)*($G$11-$E$11)*($G$11-$F$11))))</f>
        <v>0.125175036056586</v>
      </c>
      <c r="H234" s="39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-1999923449.12964</v>
      </c>
      <c r="I234" s="39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19833129.1152168</v>
      </c>
      <c r="J234" s="39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337812545.766022</v>
      </c>
      <c r="K234" s="39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705790048.645068</v>
      </c>
      <c r="L234" s="39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848154975.25008</v>
      </c>
      <c r="M234" s="39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1048199807.71783</v>
      </c>
      <c r="N234" s="39" t="n">
        <f aca="false">IF(COUNT('Business Case'!B11:G11)=0,"",H234+NPV(G234,I234:M234))</f>
        <v>-109604858.087974</v>
      </c>
      <c r="P234" s="40" t="n">
        <f aca="true">RAND()</f>
        <v>0.812183011564557</v>
      </c>
      <c r="Q234" s="40" t="n">
        <f aca="true">RAND()</f>
        <v>0.818989680458436</v>
      </c>
      <c r="R234" s="40" t="n">
        <f aca="true">RAND()</f>
        <v>0.598354363953018</v>
      </c>
      <c r="S234" s="40" t="n">
        <f aca="true">RAND()</f>
        <v>0.475779696508684</v>
      </c>
      <c r="T234" s="40" t="n">
        <f aca="true">RAND()</f>
        <v>0.166411594766072</v>
      </c>
      <c r="U234" s="40" t="n">
        <f aca="true">RAND()</f>
        <v>0.984479815296501</v>
      </c>
    </row>
    <row r="235" customFormat="false" ht="15" hidden="false" customHeight="false" outlineLevel="0" collapsed="false">
      <c r="A235" s="36" t="n">
        <v>155</v>
      </c>
      <c r="B235" s="37" t="n">
        <f aca="false">1+IF($G$6=$E$6,$F$6,IF(P235&lt;($F$6-$E$6)/($G$6-$E$6),$E$6+SQRT(P235*($G$6-$E$6)*($F$6-$E$6)),$G$6-SQRT((1-P235)*($G$6-$E$6)*($G$6-$F$6))))</f>
        <v>0.973893797076276</v>
      </c>
      <c r="C235" s="37" t="n">
        <f aca="false">1+IF($G$7=$E$7,$F$7,IF(Q235&lt;($F$7-$E$7)/($G$7-$E$7),$E$7+SQRT(Q235*($G$7-$E$7)*($F$7-$E$7)),$G$7-SQRT((1-Q235)*($G$7-$E$7)*($G$7-$F$7))))</f>
        <v>1.01670579583218</v>
      </c>
      <c r="D235" s="37" t="n">
        <f aca="false">1+IF($G$8=$E$8,$F$8,IF(R235&lt;($F$8-$E$8)/($G$8-$E$8),$E$8+SQRT(R235*($G$8-$E$8)*($F$8-$E$8)),$G$8-SQRT((1-R235)*($G$8-$E$8)*($G$8-$F$8))))</f>
        <v>1.01741644300272</v>
      </c>
      <c r="E235" s="37" t="n">
        <f aca="false">1+IF($G$9=$E$9,$F$9,IF(S235&lt;($F$9-$E$9)/($G$9-$E$9),$E$9+SQRT(S235*($G$9-$E$9)*($F$9-$E$9)),$G$9-SQRT((1-S235)*($G$9-$E$9)*($G$9-$F$9))))</f>
        <v>1.04688830265984</v>
      </c>
      <c r="F235" s="37" t="n">
        <f aca="false">1+IF($G$10=$E$10,$F$10,IF(T235&lt;($F$10-$E$10)/($G$10-$E$10),$E$10+SQRT(T235*($G$10-$E$10)*($F$10-$E$10)),$G$10-SQRT((1-T235)*($G$10-$E$10)*($G$10-$F$10))))</f>
        <v>1.07101259139116</v>
      </c>
      <c r="G235" s="38" t="n">
        <f aca="false">IF($G$11=$E$11,$F$11,IF(U235&lt;($F$11-$E$11)/($G$11-$E$11),$E$11+SQRT(U235*($G$11-$E$11)*($F$11-$E$11)),$G$11-SQRT((1-U235)*($G$11-$E$11)*($G$11-$F$11))))</f>
        <v>0.123355663356535</v>
      </c>
      <c r="H235" s="39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-2142025182.78232</v>
      </c>
      <c r="I235" s="39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-25820480.3520856</v>
      </c>
      <c r="J235" s="39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255657889.25494</v>
      </c>
      <c r="K235" s="39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590686888.431525</v>
      </c>
      <c r="L235" s="39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718733061.088377</v>
      </c>
      <c r="M235" s="39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906943333.088185</v>
      </c>
      <c r="N235" s="39" t="n">
        <f aca="false">IF(COUNT('Business Case'!B11:G11)=0,"",H235+NPV(G235,I235:M235))</f>
        <v>-587416605.026327</v>
      </c>
      <c r="P235" s="40" t="n">
        <f aca="true">RAND()</f>
        <v>0.36401954975666</v>
      </c>
      <c r="Q235" s="40" t="n">
        <f aca="true">RAND()</f>
        <v>0.736780076078024</v>
      </c>
      <c r="R235" s="40" t="n">
        <f aca="true">RAND()</f>
        <v>0.545330407578483</v>
      </c>
      <c r="S235" s="40" t="n">
        <f aca="true">RAND()</f>
        <v>0.716479409910187</v>
      </c>
      <c r="T235" s="40" t="n">
        <f aca="true">RAND()</f>
        <v>0.572846767459904</v>
      </c>
      <c r="U235" s="40" t="n">
        <f aca="true">RAND()</f>
        <v>0.970568527045534</v>
      </c>
    </row>
    <row r="236" customFormat="false" ht="15" hidden="false" customHeight="false" outlineLevel="0" collapsed="false">
      <c r="A236" s="36" t="n">
        <v>156</v>
      </c>
      <c r="B236" s="37" t="n">
        <f aca="false">1+IF($G$6=$E$6,$F$6,IF(P236&lt;($F$6-$E$6)/($G$6-$E$6),$E$6+SQRT(P236*($G$6-$E$6)*($F$6-$E$6)),$G$6-SQRT((1-P236)*($G$6-$E$6)*($G$6-$F$6))))</f>
        <v>0.972332140774363</v>
      </c>
      <c r="C236" s="37" t="n">
        <f aca="false">1+IF($G$7=$E$7,$F$7,IF(Q236&lt;($F$7-$E$7)/($G$7-$E$7),$E$7+SQRT(Q236*($G$7-$E$7)*($F$7-$E$7)),$G$7-SQRT((1-Q236)*($G$7-$E$7)*($G$7-$F$7))))</f>
        <v>0.916992838181791</v>
      </c>
      <c r="D236" s="37" t="n">
        <f aca="false">1+IF($G$8=$E$8,$F$8,IF(R236&lt;($F$8-$E$8)/($G$8-$E$8),$E$8+SQRT(R236*($G$8-$E$8)*($F$8-$E$8)),$G$8-SQRT((1-R236)*($G$8-$E$8)*($G$8-$F$8))))</f>
        <v>1.05386044919853</v>
      </c>
      <c r="E236" s="37" t="n">
        <f aca="false">1+IF($G$9=$E$9,$F$9,IF(S236&lt;($F$9-$E$9)/($G$9-$E$9),$E$9+SQRT(S236*($G$9-$E$9)*($F$9-$E$9)),$G$9-SQRT((1-S236)*($G$9-$E$9)*($G$9-$F$9))))</f>
        <v>0.97379149300411</v>
      </c>
      <c r="F236" s="37" t="n">
        <f aca="false">1+IF($G$10=$E$10,$F$10,IF(T236&lt;($F$10-$E$10)/($G$10-$E$10),$E$10+SQRT(T236*($G$10-$E$10)*($F$10-$E$10)),$G$10-SQRT((1-T236)*($G$10-$E$10)*($G$10-$F$10))))</f>
        <v>1.21822211186752</v>
      </c>
      <c r="G236" s="38" t="n">
        <f aca="false">IF($G$11=$E$11,$F$11,IF(U236&lt;($F$11-$E$11)/($G$11-$E$11),$E$11+SQRT(U236*($G$11-$E$11)*($F$11-$E$11)),$G$11-SQRT((1-U236)*($G$11-$E$11)*($G$11-$F$11))))</f>
        <v>0.102998525241539</v>
      </c>
      <c r="H236" s="39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-2436444223.73504</v>
      </c>
      <c r="I236" s="39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-70925252.2428941</v>
      </c>
      <c r="J236" s="39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164666521.238691</v>
      </c>
      <c r="K236" s="39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461169400.313652</v>
      </c>
      <c r="L236" s="39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570514434.295876</v>
      </c>
      <c r="M236" s="39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739993869.815202</v>
      </c>
      <c r="N236" s="39" t="n">
        <f aca="false">IF(COUNT('Business Case'!B11:G11)=0,"",H236+NPV(G236,I236:M236))</f>
        <v>-1183016693.87077</v>
      </c>
      <c r="P236" s="40" t="n">
        <f aca="true">RAND()</f>
        <v>0.348795905933487</v>
      </c>
      <c r="Q236" s="40" t="n">
        <f aca="true">RAND()</f>
        <v>0.348784383868066</v>
      </c>
      <c r="R236" s="40" t="n">
        <f aca="true">RAND()</f>
        <v>0.858076123455921</v>
      </c>
      <c r="S236" s="40" t="n">
        <f aca="true">RAND()</f>
        <v>0.217807377591022</v>
      </c>
      <c r="T236" s="40" t="n">
        <f aca="true">RAND()</f>
        <v>0.986535544344527</v>
      </c>
      <c r="U236" s="40" t="n">
        <f aca="true">RAND()</f>
        <v>0.513946907245473</v>
      </c>
    </row>
    <row r="237" customFormat="false" ht="15" hidden="false" customHeight="false" outlineLevel="0" collapsed="false">
      <c r="A237" s="36" t="n">
        <v>157</v>
      </c>
      <c r="B237" s="37" t="n">
        <f aca="false">1+IF($G$6=$E$6,$F$6,IF(P237&lt;($F$6-$E$6)/($G$6-$E$6),$E$6+SQRT(P237*($G$6-$E$6)*($F$6-$E$6)),$G$6-SQRT((1-P237)*($G$6-$E$6)*($G$6-$F$6))))</f>
        <v>1.01563249702617</v>
      </c>
      <c r="C237" s="37" t="n">
        <f aca="false">1+IF($G$7=$E$7,$F$7,IF(Q237&lt;($F$7-$E$7)/($G$7-$E$7),$E$7+SQRT(Q237*($G$7-$E$7)*($F$7-$E$7)),$G$7-SQRT((1-Q237)*($G$7-$E$7)*($G$7-$F$7))))</f>
        <v>0.991421506953271</v>
      </c>
      <c r="D237" s="37" t="n">
        <f aca="false">1+IF($G$8=$E$8,$F$8,IF(R237&lt;($F$8-$E$8)/($G$8-$E$8),$E$8+SQRT(R237*($G$8-$E$8)*($F$8-$E$8)),$G$8-SQRT((1-R237)*($G$8-$E$8)*($G$8-$F$8))))</f>
        <v>0.975986151694022</v>
      </c>
      <c r="E237" s="37" t="n">
        <f aca="false">1+IF($G$9=$E$9,$F$9,IF(S237&lt;($F$9-$E$9)/($G$9-$E$9),$E$9+SQRT(S237*($G$9-$E$9)*($F$9-$E$9)),$G$9-SQRT((1-S237)*($G$9-$E$9)*($G$9-$F$9))))</f>
        <v>0.966972087493813</v>
      </c>
      <c r="F237" s="37" t="n">
        <f aca="false">1+IF($G$10=$E$10,$F$10,IF(T237&lt;($F$10-$E$10)/($G$10-$E$10),$E$10+SQRT(T237*($G$10-$E$10)*($F$10-$E$10)),$G$10-SQRT((1-T237)*($G$10-$E$10)*($G$10-$F$10))))</f>
        <v>0.990590777347272</v>
      </c>
      <c r="G237" s="38" t="n">
        <f aca="false">IF($G$11=$E$11,$F$11,IF(U237&lt;($F$11-$E$11)/($G$11-$E$11),$E$11+SQRT(U237*($G$11-$E$11)*($F$11-$E$11)),$G$11-SQRT((1-U237)*($G$11-$E$11)*($G$11-$F$11))))</f>
        <v>0.108287512933727</v>
      </c>
      <c r="H237" s="39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-1981181554.69454</v>
      </c>
      <c r="I237" s="39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40637875.2055893</v>
      </c>
      <c r="J237" s="39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370036986.640457</v>
      </c>
      <c r="K237" s="39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748965636.942688</v>
      </c>
      <c r="L237" s="39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893564492.522931</v>
      </c>
      <c r="M237" s="39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1084959827.25034</v>
      </c>
      <c r="N237" s="39" t="n">
        <f aca="false">IF(COUNT('Business Case'!B11:G11)=0,"",H237+NPV(G237,I237:M237))</f>
        <v>148050363.452674</v>
      </c>
      <c r="P237" s="40" t="n">
        <f aca="true">RAND()</f>
        <v>0.842516631912514</v>
      </c>
      <c r="Q237" s="40" t="n">
        <f aca="true">RAND()</f>
        <v>0.629085146036408</v>
      </c>
      <c r="R237" s="40" t="n">
        <f aca="true">RAND()</f>
        <v>0.0900373439819596</v>
      </c>
      <c r="S237" s="40" t="n">
        <f aca="true">RAND()</f>
        <v>0.179410420131158</v>
      </c>
      <c r="T237" s="40" t="n">
        <f aca="true">RAND()</f>
        <v>0.109840747043718</v>
      </c>
      <c r="U237" s="40" t="n">
        <f aca="true">RAND()</f>
        <v>0.685711936931298</v>
      </c>
    </row>
    <row r="238" customFormat="false" ht="15" hidden="false" customHeight="false" outlineLevel="0" collapsed="false">
      <c r="A238" s="36" t="n">
        <v>158</v>
      </c>
      <c r="B238" s="37" t="n">
        <f aca="false">1+IF($G$6=$E$6,$F$6,IF(P238&lt;($F$6-$E$6)/($G$6-$E$6),$E$6+SQRT(P238*($G$6-$E$6)*($F$6-$E$6)),$G$6-SQRT((1-P238)*($G$6-$E$6)*($G$6-$F$6))))</f>
        <v>0.980761592691676</v>
      </c>
      <c r="C238" s="37" t="n">
        <f aca="false">1+IF($G$7=$E$7,$F$7,IF(Q238&lt;($F$7-$E$7)/($G$7-$E$7),$E$7+SQRT(Q238*($G$7-$E$7)*($F$7-$E$7)),$G$7-SQRT((1-Q238)*($G$7-$E$7)*($G$7-$F$7))))</f>
        <v>1.00442275900925</v>
      </c>
      <c r="D238" s="37" t="n">
        <f aca="false">1+IF($G$8=$E$8,$F$8,IF(R238&lt;($F$8-$E$8)/($G$8-$E$8),$E$8+SQRT(R238*($G$8-$E$8)*($F$8-$E$8)),$G$8-SQRT((1-R238)*($G$8-$E$8)*($G$8-$F$8))))</f>
        <v>1.04820642287758</v>
      </c>
      <c r="E238" s="37" t="n">
        <f aca="false">1+IF($G$9=$E$9,$F$9,IF(S238&lt;($F$9-$E$9)/($G$9-$E$9),$E$9+SQRT(S238*($G$9-$E$9)*($F$9-$E$9)),$G$9-SQRT((1-S238)*($G$9-$E$9)*($G$9-$F$9))))</f>
        <v>1.10493500144809</v>
      </c>
      <c r="F238" s="37" t="n">
        <f aca="false">1+IF($G$10=$E$10,$F$10,IF(T238&lt;($F$10-$E$10)/($G$10-$E$10),$E$10+SQRT(T238*($G$10-$E$10)*($F$10-$E$10)),$G$10-SQRT((1-T238)*($G$10-$E$10)*($G$10-$F$10))))</f>
        <v>1.04562143794903</v>
      </c>
      <c r="G238" s="38" t="n">
        <f aca="false">IF($G$11=$E$11,$F$11,IF(U238&lt;($F$11-$E$11)/($G$11-$E$11),$E$11+SQRT(U238*($G$11-$E$11)*($F$11-$E$11)),$G$11-SQRT((1-U238)*($G$11-$E$11)*($G$11-$F$11))))</f>
        <v>0.08823002741176</v>
      </c>
      <c r="H238" s="39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-2091242875.89806</v>
      </c>
      <c r="I238" s="39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-44855296.7177782</v>
      </c>
      <c r="J238" s="39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223040853.455694</v>
      </c>
      <c r="K238" s="39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543218075.526619</v>
      </c>
      <c r="L238" s="39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666561822.844729</v>
      </c>
      <c r="M238" s="39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853809491.109636</v>
      </c>
      <c r="N238" s="39" t="n">
        <f aca="false">IF(COUNT('Business Case'!B11:G11)=0,"",H238+NPV(G238,I238:M238))</f>
        <v>-487873264.199662</v>
      </c>
      <c r="P238" s="40" t="n">
        <f aca="true">RAND()</f>
        <v>0.434828990273077</v>
      </c>
      <c r="Q238" s="40" t="n">
        <f aca="true">RAND()</f>
        <v>0.686033583785481</v>
      </c>
      <c r="R238" s="40" t="n">
        <f aca="true">RAND()</f>
        <v>0.821161691257615</v>
      </c>
      <c r="S238" s="40" t="n">
        <f aca="true">RAND()</f>
        <v>0.945843890813767</v>
      </c>
      <c r="T238" s="40" t="n">
        <f aca="true">RAND()</f>
        <v>0.443058711653046</v>
      </c>
      <c r="U238" s="40" t="n">
        <f aca="true">RAND()</f>
        <v>0.0677333511983211</v>
      </c>
    </row>
    <row r="239" customFormat="false" ht="15" hidden="false" customHeight="false" outlineLevel="0" collapsed="false">
      <c r="A239" s="36" t="n">
        <v>159</v>
      </c>
      <c r="B239" s="37" t="n">
        <f aca="false">1+IF($G$6=$E$6,$F$6,IF(P239&lt;($F$6-$E$6)/($G$6-$E$6),$E$6+SQRT(P239*($G$6-$E$6)*($F$6-$E$6)),$G$6-SQRT((1-P239)*($G$6-$E$6)*($G$6-$F$6))))</f>
        <v>0.936660367659457</v>
      </c>
      <c r="C239" s="37" t="n">
        <f aca="false">1+IF($G$7=$E$7,$F$7,IF(Q239&lt;($F$7-$E$7)/($G$7-$E$7),$E$7+SQRT(Q239*($G$7-$E$7)*($F$7-$E$7)),$G$7-SQRT((1-Q239)*($G$7-$E$7)*($G$7-$F$7))))</f>
        <v>1.02855168349287</v>
      </c>
      <c r="D239" s="37" t="n">
        <f aca="false">1+IF($G$8=$E$8,$F$8,IF(R239&lt;($F$8-$E$8)/($G$8-$E$8),$E$8+SQRT(R239*($G$8-$E$8)*($F$8-$E$8)),$G$8-SQRT((1-R239)*($G$8-$E$8)*($G$8-$F$8))))</f>
        <v>0.989149022009171</v>
      </c>
      <c r="E239" s="37" t="n">
        <f aca="false">1+IF($G$9=$E$9,$F$9,IF(S239&lt;($F$9-$E$9)/($G$9-$E$9),$E$9+SQRT(S239*($G$9-$E$9)*($F$9-$E$9)),$G$9-SQRT((1-S239)*($G$9-$E$9)*($G$9-$F$9))))</f>
        <v>0.996965493152534</v>
      </c>
      <c r="F239" s="37" t="n">
        <f aca="false">1+IF($G$10=$E$10,$F$10,IF(T239&lt;($F$10-$E$10)/($G$10-$E$10),$E$10+SQRT(T239*($G$10-$E$10)*($F$10-$E$10)),$G$10-SQRT((1-T239)*($G$10-$E$10)*($G$10-$F$10))))</f>
        <v>1.17488764026827</v>
      </c>
      <c r="G239" s="38" t="n">
        <f aca="false">IF($G$11=$E$11,$F$11,IF(U239&lt;($F$11-$E$11)/($G$11-$E$11),$E$11+SQRT(U239*($G$11-$E$11)*($F$11-$E$11)),$G$11-SQRT((1-U239)*($G$11-$E$11)*($G$11-$F$11))))</f>
        <v>0.0988808666823068</v>
      </c>
      <c r="H239" s="39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-2349775280.53655</v>
      </c>
      <c r="I239" s="39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-40925933.1760353</v>
      </c>
      <c r="J239" s="39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227348233.322258</v>
      </c>
      <c r="K239" s="39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554366781.833965</v>
      </c>
      <c r="L239" s="39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677086732.347537</v>
      </c>
      <c r="M239" s="39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860210488.258644</v>
      </c>
      <c r="N239" s="39" t="n">
        <f aca="false">IF(COUNT('Business Case'!B11:G11)=0,"",H239+NPV(G239,I239:M239))</f>
        <v>-779772182.035367</v>
      </c>
      <c r="P239" s="40" t="n">
        <f aca="true">RAND()</f>
        <v>0.0895988371284395</v>
      </c>
      <c r="Q239" s="40" t="n">
        <f aca="true">RAND()</f>
        <v>0.781486021001246</v>
      </c>
      <c r="R239" s="40" t="n">
        <f aca="true">RAND()</f>
        <v>0.204352789903278</v>
      </c>
      <c r="S239" s="40" t="n">
        <f aca="true">RAND()</f>
        <v>0.376092274492566</v>
      </c>
      <c r="T239" s="40" t="n">
        <f aca="true">RAND()</f>
        <v>0.924775112207091</v>
      </c>
      <c r="U239" s="40" t="n">
        <f aca="true">RAND()</f>
        <v>0.356487126675044</v>
      </c>
    </row>
    <row r="240" customFormat="false" ht="15" hidden="false" customHeight="false" outlineLevel="0" collapsed="false">
      <c r="A240" s="36" t="n">
        <v>160</v>
      </c>
      <c r="B240" s="37" t="n">
        <f aca="false">1+IF($G$6=$E$6,$F$6,IF(P240&lt;($F$6-$E$6)/($G$6-$E$6),$E$6+SQRT(P240*($G$6-$E$6)*($F$6-$E$6)),$G$6-SQRT((1-P240)*($G$6-$E$6)*($G$6-$F$6))))</f>
        <v>0.92385771550048</v>
      </c>
      <c r="C240" s="37" t="n">
        <f aca="false">1+IF($G$7=$E$7,$F$7,IF(Q240&lt;($F$7-$E$7)/($G$7-$E$7),$E$7+SQRT(Q240*($G$7-$E$7)*($F$7-$E$7)),$G$7-SQRT((1-Q240)*($G$7-$E$7)*($G$7-$F$7))))</f>
        <v>0.941637335307479</v>
      </c>
      <c r="D240" s="37" t="n">
        <f aca="false">1+IF($G$8=$E$8,$F$8,IF(R240&lt;($F$8-$E$8)/($G$8-$E$8),$E$8+SQRT(R240*($G$8-$E$8)*($F$8-$E$8)),$G$8-SQRT((1-R240)*($G$8-$E$8)*($G$8-$F$8))))</f>
        <v>0.999251873338482</v>
      </c>
      <c r="E240" s="37" t="n">
        <f aca="false">1+IF($G$9=$E$9,$F$9,IF(S240&lt;($F$9-$E$9)/($G$9-$E$9),$E$9+SQRT(S240*($G$9-$E$9)*($F$9-$E$9)),$G$9-SQRT((1-S240)*($G$9-$E$9)*($G$9-$F$9))))</f>
        <v>1.09480631677503</v>
      </c>
      <c r="F240" s="37" t="n">
        <f aca="false">1+IF($G$10=$E$10,$F$10,IF(T240&lt;($F$10-$E$10)/($G$10-$E$10),$E$10+SQRT(T240*($G$10-$E$10)*($F$10-$E$10)),$G$10-SQRT((1-T240)*($G$10-$E$10)*($G$10-$F$10))))</f>
        <v>1.01738261420766</v>
      </c>
      <c r="G240" s="38" t="n">
        <f aca="false">IF($G$11=$E$11,$F$11,IF(U240&lt;($F$11-$E$11)/($G$11-$E$11),$E$11+SQRT(U240*($G$11-$E$11)*($F$11-$E$11)),$G$11-SQRT((1-U240)*($G$11-$E$11)*($G$11-$F$11))))</f>
        <v>0.128254328532118</v>
      </c>
      <c r="H240" s="39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-2034765228.41532</v>
      </c>
      <c r="I240" s="39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-71657099.6524852</v>
      </c>
      <c r="J240" s="39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159203153.840627</v>
      </c>
      <c r="K240" s="39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440932538.044122</v>
      </c>
      <c r="L240" s="39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547951044.861441</v>
      </c>
      <c r="M240" s="39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713309034.285989</v>
      </c>
      <c r="N240" s="39" t="n">
        <f aca="false">IF(COUNT('Business Case'!B11:G11)=0,"",H240+NPV(G240,I240:M240))</f>
        <v>-937888837.405948</v>
      </c>
      <c r="P240" s="40" t="n">
        <f aca="true">RAND()</f>
        <v>0.0379460392601238</v>
      </c>
      <c r="Q240" s="40" t="n">
        <f aca="true">RAND()</f>
        <v>0.43250816158888</v>
      </c>
      <c r="R240" s="40" t="n">
        <f aca="true">RAND()</f>
        <v>0.32343293697998</v>
      </c>
      <c r="S240" s="40" t="n">
        <f aca="true">RAND()</f>
        <v>0.918764195521634</v>
      </c>
      <c r="T240" s="40" t="n">
        <f aca="true">RAND()</f>
        <v>0.278522024361849</v>
      </c>
      <c r="U240" s="40" t="n">
        <f aca="true">RAND()</f>
        <v>0.997968420750815</v>
      </c>
    </row>
    <row r="241" customFormat="false" ht="15" hidden="false" customHeight="false" outlineLevel="0" collapsed="false">
      <c r="A241" s="36" t="n">
        <v>161</v>
      </c>
      <c r="B241" s="37" t="n">
        <f aca="false">1+IF($G$6=$E$6,$F$6,IF(P241&lt;($F$6-$E$6)/($G$6-$E$6),$E$6+SQRT(P241*($G$6-$E$6)*($F$6-$E$6)),$G$6-SQRT((1-P241)*($G$6-$E$6)*($G$6-$F$6))))</f>
        <v>1.00679027077402</v>
      </c>
      <c r="C241" s="37" t="n">
        <f aca="false">1+IF($G$7=$E$7,$F$7,IF(Q241&lt;($F$7-$E$7)/($G$7-$E$7),$E$7+SQRT(Q241*($G$7-$E$7)*($F$7-$E$7)),$G$7-SQRT((1-Q241)*($G$7-$E$7)*($G$7-$F$7))))</f>
        <v>0.747335320216737</v>
      </c>
      <c r="D241" s="37" t="n">
        <f aca="false">1+IF($G$8=$E$8,$F$8,IF(R241&lt;($F$8-$E$8)/($G$8-$E$8),$E$8+SQRT(R241*($G$8-$E$8)*($F$8-$E$8)),$G$8-SQRT((1-R241)*($G$8-$E$8)*($G$8-$F$8))))</f>
        <v>1.08807147588188</v>
      </c>
      <c r="E241" s="37" t="n">
        <f aca="false">1+IF($G$9=$E$9,$F$9,IF(S241&lt;($F$9-$E$9)/($G$9-$E$9),$E$9+SQRT(S241*($G$9-$E$9)*($F$9-$E$9)),$G$9-SQRT((1-S241)*($G$9-$E$9)*($G$9-$F$9))))</f>
        <v>1.02319131206964</v>
      </c>
      <c r="F241" s="37" t="n">
        <f aca="false">1+IF($G$10=$E$10,$F$10,IF(T241&lt;($F$10-$E$10)/($G$10-$E$10),$E$10+SQRT(T241*($G$10-$E$10)*($F$10-$E$10)),$G$10-SQRT((1-T241)*($G$10-$E$10)*($G$10-$F$10))))</f>
        <v>1.03837407173438</v>
      </c>
      <c r="G241" s="38" t="n">
        <f aca="false">IF($G$11=$E$11,$F$11,IF(U241&lt;($F$11-$E$11)/($G$11-$E$11),$E$11+SQRT(U241*($G$11-$E$11)*($F$11-$E$11)),$G$11-SQRT((1-U241)*($G$11-$E$11)*($G$11-$F$11))))</f>
        <v>0.100919920866757</v>
      </c>
      <c r="H241" s="39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-2076748143.46875</v>
      </c>
      <c r="I241" s="39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-88332157.8183392</v>
      </c>
      <c r="J241" s="39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111675826.853158</v>
      </c>
      <c r="K241" s="39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363602515.111373</v>
      </c>
      <c r="L241" s="39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456275130.49527</v>
      </c>
      <c r="M241" s="39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599293209.875621</v>
      </c>
      <c r="N241" s="39" t="n">
        <f aca="false">IF(COUNT('Business Case'!B11:G11)=0,"",H241+NPV(G241,I241:M241))</f>
        <v>-1111183803.34085</v>
      </c>
      <c r="P241" s="40" t="n">
        <f aca="true">RAND()</f>
        <v>0.751055906695612</v>
      </c>
      <c r="Q241" s="40" t="n">
        <f aca="true">RAND()</f>
        <v>0.0165972780742298</v>
      </c>
      <c r="R241" s="40" t="n">
        <f aca="true">RAND()</f>
        <v>0.990514020824224</v>
      </c>
      <c r="S241" s="40" t="n">
        <f aca="true">RAND()</f>
        <v>0.571188177743477</v>
      </c>
      <c r="T241" s="40" t="n">
        <f aca="true">RAND()</f>
        <v>0.402859553142845</v>
      </c>
      <c r="U241" s="40" t="n">
        <f aca="true">RAND()</f>
        <v>0.436232665069541</v>
      </c>
    </row>
    <row r="242" customFormat="false" ht="15" hidden="false" customHeight="false" outlineLevel="0" collapsed="false">
      <c r="A242" s="36" t="n">
        <v>162</v>
      </c>
      <c r="B242" s="37" t="n">
        <f aca="false">1+IF($G$6=$E$6,$F$6,IF(P242&lt;($F$6-$E$6)/($G$6-$E$6),$E$6+SQRT(P242*($G$6-$E$6)*($F$6-$E$6)),$G$6-SQRT((1-P242)*($G$6-$E$6)*($G$6-$F$6))))</f>
        <v>0.950196319156305</v>
      </c>
      <c r="C242" s="37" t="n">
        <f aca="false">1+IF($G$7=$E$7,$F$7,IF(Q242&lt;($F$7-$E$7)/($G$7-$E$7),$E$7+SQRT(Q242*($G$7-$E$7)*($F$7-$E$7)),$G$7-SQRT((1-Q242)*($G$7-$E$7)*($G$7-$F$7))))</f>
        <v>0.908979166524316</v>
      </c>
      <c r="D242" s="37" t="n">
        <f aca="false">1+IF($G$8=$E$8,$F$8,IF(R242&lt;($F$8-$E$8)/($G$8-$E$8),$E$8+SQRT(R242*($G$8-$E$8)*($F$8-$E$8)),$G$8-SQRT((1-R242)*($G$8-$E$8)*($G$8-$F$8))))</f>
        <v>1.06482218464205</v>
      </c>
      <c r="E242" s="37" t="n">
        <f aca="false">1+IF($G$9=$E$9,$F$9,IF(S242&lt;($F$9-$E$9)/($G$9-$E$9),$E$9+SQRT(S242*($G$9-$E$9)*($F$9-$E$9)),$G$9-SQRT((1-S242)*($G$9-$E$9)*($G$9-$F$9))))</f>
        <v>0.979574344254607</v>
      </c>
      <c r="F242" s="37" t="n">
        <f aca="false">1+IF($G$10=$E$10,$F$10,IF(T242&lt;($F$10-$E$10)/($G$10-$E$10),$E$10+SQRT(T242*($G$10-$E$10)*($F$10-$E$10)),$G$10-SQRT((1-T242)*($G$10-$E$10)*($G$10-$F$10))))</f>
        <v>0.973790305287899</v>
      </c>
      <c r="G242" s="38" t="n">
        <f aca="false">IF($G$11=$E$11,$F$11,IF(U242&lt;($F$11-$E$11)/($G$11-$E$11),$E$11+SQRT(U242*($G$11-$E$11)*($F$11-$E$11)),$G$11-SQRT((1-U242)*($G$11-$E$11)*($G$11-$F$11))))</f>
        <v>0.124449706724989</v>
      </c>
      <c r="H242" s="39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-1947580610.5758</v>
      </c>
      <c r="I242" s="39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-69497554.0518726</v>
      </c>
      <c r="J242" s="39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142454051.020235</v>
      </c>
      <c r="K242" s="39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403095171.356738</v>
      </c>
      <c r="L242" s="39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503595477.608898</v>
      </c>
      <c r="M242" s="39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667769219.363578</v>
      </c>
      <c r="N242" s="39" t="n">
        <f aca="false">IF(COUNT('Business Case'!B11:G11)=0,"",H242+NPV(G242,I242:M242))</f>
        <v>-926717306.040106</v>
      </c>
      <c r="P242" s="40" t="n">
        <f aca="true">RAND()</f>
        <v>0.167978030456107</v>
      </c>
      <c r="Q242" s="40" t="n">
        <f aca="true">RAND()</f>
        <v>0.323498459564429</v>
      </c>
      <c r="R242" s="40" t="n">
        <f aca="true">RAND()</f>
        <v>0.917501420442779</v>
      </c>
      <c r="S242" s="40" t="n">
        <f aca="true">RAND()</f>
        <v>0.253283050542026</v>
      </c>
      <c r="T242" s="40" t="n">
        <f aca="true">RAND()</f>
        <v>0.0377319083794304</v>
      </c>
      <c r="U242" s="40" t="n">
        <f aca="true">RAND()</f>
        <v>0.979462829707575</v>
      </c>
    </row>
    <row r="243" customFormat="false" ht="15" hidden="false" customHeight="false" outlineLevel="0" collapsed="false">
      <c r="A243" s="36" t="n">
        <v>163</v>
      </c>
      <c r="B243" s="37" t="n">
        <f aca="false">1+IF($G$6=$E$6,$F$6,IF(P243&lt;($F$6-$E$6)/($G$6-$E$6),$E$6+SQRT(P243*($G$6-$E$6)*($F$6-$E$6)),$G$6-SQRT((1-P243)*($G$6-$E$6)*($G$6-$F$6))))</f>
        <v>0.974089276132415</v>
      </c>
      <c r="C243" s="37" t="n">
        <f aca="false">1+IF($G$7=$E$7,$F$7,IF(Q243&lt;($F$7-$E$7)/($G$7-$E$7),$E$7+SQRT(Q243*($G$7-$E$7)*($F$7-$E$7)),$G$7-SQRT((1-Q243)*($G$7-$E$7)*($G$7-$F$7))))</f>
        <v>0.948446732548915</v>
      </c>
      <c r="D243" s="37" t="n">
        <f aca="false">1+IF($G$8=$E$8,$F$8,IF(R243&lt;($F$8-$E$8)/($G$8-$E$8),$E$8+SQRT(R243*($G$8-$E$8)*($F$8-$E$8)),$G$8-SQRT((1-R243)*($G$8-$E$8)*($G$8-$F$8))))</f>
        <v>1.04601777018155</v>
      </c>
      <c r="E243" s="37" t="n">
        <f aca="false">1+IF($G$9=$E$9,$F$9,IF(S243&lt;($F$9-$E$9)/($G$9-$E$9),$E$9+SQRT(S243*($G$9-$E$9)*($F$9-$E$9)),$G$9-SQRT((1-S243)*($G$9-$E$9)*($G$9-$F$9))))</f>
        <v>0.968674318974532</v>
      </c>
      <c r="F243" s="37" t="n">
        <f aca="false">1+IF($G$10=$E$10,$F$10,IF(T243&lt;($F$10-$E$10)/($G$10-$E$10),$E$10+SQRT(T243*($G$10-$E$10)*($F$10-$E$10)),$G$10-SQRT((1-T243)*($G$10-$E$10)*($G$10-$F$10))))</f>
        <v>1.15036367785367</v>
      </c>
      <c r="G243" s="38" t="n">
        <f aca="false">IF($G$11=$E$11,$F$11,IF(U243&lt;($F$11-$E$11)/($G$11-$E$11),$E$11+SQRT(U243*($G$11-$E$11)*($F$11-$E$11)),$G$11-SQRT((1-U243)*($G$11-$E$11)*($G$11-$F$11))))</f>
        <v>0.11019619136597</v>
      </c>
      <c r="H243" s="39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-2300727355.70735</v>
      </c>
      <c r="I243" s="39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-51829660.2925474</v>
      </c>
      <c r="J243" s="39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197016049.012119</v>
      </c>
      <c r="K243" s="39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503379942.20947</v>
      </c>
      <c r="L243" s="39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618257521.080137</v>
      </c>
      <c r="M243" s="39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793867071.143588</v>
      </c>
      <c r="N243" s="39" t="n">
        <f aca="false">IF(COUNT('Business Case'!B11:G11)=0,"",H243+NPV(G243,I243:M243))</f>
        <v>-942011470.681067</v>
      </c>
      <c r="P243" s="40" t="n">
        <f aca="true">RAND()</f>
        <v>0.365948055855019</v>
      </c>
      <c r="Q243" s="40" t="n">
        <f aca="true">RAND()</f>
        <v>0.457227991957274</v>
      </c>
      <c r="R243" s="40" t="n">
        <f aca="true">RAND()</f>
        <v>0.805727924255225</v>
      </c>
      <c r="S243" s="40" t="n">
        <f aca="true">RAND()</f>
        <v>0.188646483464632</v>
      </c>
      <c r="T243" s="40" t="n">
        <f aca="true">RAND()</f>
        <v>0.867634710788711</v>
      </c>
      <c r="U243" s="40" t="n">
        <f aca="true">RAND()</f>
        <v>0.738539442391133</v>
      </c>
    </row>
    <row r="244" customFormat="false" ht="15" hidden="false" customHeight="false" outlineLevel="0" collapsed="false">
      <c r="A244" s="36" t="n">
        <v>164</v>
      </c>
      <c r="B244" s="37" t="n">
        <f aca="false">1+IF($G$6=$E$6,$F$6,IF(P244&lt;($F$6-$E$6)/($G$6-$E$6),$E$6+SQRT(P244*($G$6-$E$6)*($F$6-$E$6)),$G$6-SQRT((1-P244)*($G$6-$E$6)*($G$6-$F$6))))</f>
        <v>0.972654506253979</v>
      </c>
      <c r="C244" s="37" t="n">
        <f aca="false">1+IF($G$7=$E$7,$F$7,IF(Q244&lt;($F$7-$E$7)/($G$7-$E$7),$E$7+SQRT(Q244*($G$7-$E$7)*($F$7-$E$7)),$G$7-SQRT((1-Q244)*($G$7-$E$7)*($G$7-$F$7))))</f>
        <v>0.993939753187516</v>
      </c>
      <c r="D244" s="37" t="n">
        <f aca="false">1+IF($G$8=$E$8,$F$8,IF(R244&lt;($F$8-$E$8)/($G$8-$E$8),$E$8+SQRT(R244*($G$8-$E$8)*($F$8-$E$8)),$G$8-SQRT((1-R244)*($G$8-$E$8)*($G$8-$F$8))))</f>
        <v>1.01280083024108</v>
      </c>
      <c r="E244" s="37" t="n">
        <f aca="false">1+IF($G$9=$E$9,$F$9,IF(S244&lt;($F$9-$E$9)/($G$9-$E$9),$E$9+SQRT(S244*($G$9-$E$9)*($F$9-$E$9)),$G$9-SQRT((1-S244)*($G$9-$E$9)*($G$9-$F$9))))</f>
        <v>1.01776954818013</v>
      </c>
      <c r="F244" s="37" t="n">
        <f aca="false">1+IF($G$10=$E$10,$F$10,IF(T244&lt;($F$10-$E$10)/($G$10-$E$10),$E$10+SQRT(T244*($G$10-$E$10)*($F$10-$E$10)),$G$10-SQRT((1-T244)*($G$10-$E$10)*($G$10-$F$10))))</f>
        <v>1.08399137195126</v>
      </c>
      <c r="G244" s="38" t="n">
        <f aca="false">IF($G$11=$E$11,$F$11,IF(U244&lt;($F$11-$E$11)/($G$11-$E$11),$E$11+SQRT(U244*($G$11-$E$11)*($F$11-$E$11)),$G$11-SQRT((1-U244)*($G$11-$E$11)*($G$11-$F$11))))</f>
        <v>0.1135027737574</v>
      </c>
      <c r="H244" s="39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-2167982743.90251</v>
      </c>
      <c r="I244" s="39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-26727700.7261375</v>
      </c>
      <c r="J244" s="39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249787402.851189</v>
      </c>
      <c r="K244" s="39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580502075.026078</v>
      </c>
      <c r="L244" s="39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706085001.12327</v>
      </c>
      <c r="M244" s="39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889846738.099394</v>
      </c>
      <c r="N244" s="39" t="n">
        <f aca="false">IF(COUNT('Business Case'!B11:G11)=0,"",H244+NPV(G244,I244:M244))</f>
        <v>-590939515.203327</v>
      </c>
      <c r="P244" s="40" t="n">
        <f aca="true">RAND()</f>
        <v>0.351911818600631</v>
      </c>
      <c r="Q244" s="40" t="n">
        <f aca="true">RAND()</f>
        <v>0.640004285214355</v>
      </c>
      <c r="R244" s="40" t="n">
        <f aca="true">RAND()</f>
        <v>0.493086986223696</v>
      </c>
      <c r="S244" s="40" t="n">
        <f aca="true">RAND()</f>
        <v>0.533736202973652</v>
      </c>
      <c r="T244" s="40" t="n">
        <f aca="true">RAND()</f>
        <v>0.632548472178314</v>
      </c>
      <c r="U244" s="40" t="n">
        <f aca="true">RAND()</f>
        <v>0.818561017533644</v>
      </c>
    </row>
    <row r="245" customFormat="false" ht="15" hidden="false" customHeight="false" outlineLevel="0" collapsed="false">
      <c r="A245" s="36" t="n">
        <v>165</v>
      </c>
      <c r="B245" s="37" t="n">
        <f aca="false">1+IF($G$6=$E$6,$F$6,IF(P245&lt;($F$6-$E$6)/($G$6-$E$6),$E$6+SQRT(P245*($G$6-$E$6)*($F$6-$E$6)),$G$6-SQRT((1-P245)*($G$6-$E$6)*($G$6-$F$6))))</f>
        <v>0.991052032261351</v>
      </c>
      <c r="C245" s="37" t="n">
        <f aca="false">1+IF($G$7=$E$7,$F$7,IF(Q245&lt;($F$7-$E$7)/($G$7-$E$7),$E$7+SQRT(Q245*($G$7-$E$7)*($F$7-$E$7)),$G$7-SQRT((1-Q245)*($G$7-$E$7)*($G$7-$F$7))))</f>
        <v>1.01948457925702</v>
      </c>
      <c r="D245" s="37" t="n">
        <f aca="false">1+IF($G$8=$E$8,$F$8,IF(R245&lt;($F$8-$E$8)/($G$8-$E$8),$E$8+SQRT(R245*($G$8-$E$8)*($F$8-$E$8)),$G$8-SQRT((1-R245)*($G$8-$E$8)*($G$8-$F$8))))</f>
        <v>1.01921338603176</v>
      </c>
      <c r="E245" s="37" t="n">
        <f aca="false">1+IF($G$9=$E$9,$F$9,IF(S245&lt;($F$9-$E$9)/($G$9-$E$9),$E$9+SQRT(S245*($G$9-$E$9)*($F$9-$E$9)),$G$9-SQRT((1-S245)*($G$9-$E$9)*($G$9-$F$9))))</f>
        <v>1.05331964661264</v>
      </c>
      <c r="F245" s="37" t="n">
        <f aca="false">1+IF($G$10=$E$10,$F$10,IF(T245&lt;($F$10-$E$10)/($G$10-$E$10),$E$10+SQRT(T245*($G$10-$E$10)*($F$10-$E$10)),$G$10-SQRT((1-T245)*($G$10-$E$10)*($G$10-$F$10))))</f>
        <v>1.02776084142603</v>
      </c>
      <c r="G245" s="38" t="n">
        <f aca="false">IF($G$11=$E$11,$F$11,IF(U245&lt;($F$11-$E$11)/($G$11-$E$11),$E$11+SQRT(U245*($G$11-$E$11)*($F$11-$E$11)),$G$11-SQRT((1-U245)*($G$11-$E$11)*($G$11-$F$11))))</f>
        <v>0.0983468195523216</v>
      </c>
      <c r="H245" s="39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-2055521682.85207</v>
      </c>
      <c r="I245" s="39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-9297784.44640401</v>
      </c>
      <c r="J245" s="39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286339748.770704</v>
      </c>
      <c r="K245" s="39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633365324.059114</v>
      </c>
      <c r="L245" s="39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766829288.31321</v>
      </c>
      <c r="M245" s="39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958878947.479379</v>
      </c>
      <c r="N245" s="39" t="n">
        <f aca="false">IF(COUNT('Business Case'!B11:G11)=0,"",H245+NPV(G245,I245:M245))</f>
        <v>-221823096.420593</v>
      </c>
      <c r="P245" s="40" t="n">
        <f aca="true">RAND()</f>
        <v>0.55269817192814</v>
      </c>
      <c r="Q245" s="40" t="n">
        <f aca="true">RAND()</f>
        <v>0.747640369604186</v>
      </c>
      <c r="R245" s="40" t="n">
        <f aca="true">RAND()</f>
        <v>0.564901533569803</v>
      </c>
      <c r="S245" s="40" t="n">
        <f aca="true">RAND()</f>
        <v>0.750744247170537</v>
      </c>
      <c r="T245" s="40" t="n">
        <f aca="true">RAND()</f>
        <v>0.341463418617809</v>
      </c>
      <c r="U245" s="40" t="n">
        <f aca="true">RAND()</f>
        <v>0.33660578768545</v>
      </c>
    </row>
    <row r="246" customFormat="false" ht="15" hidden="false" customHeight="false" outlineLevel="0" collapsed="false">
      <c r="A246" s="36" t="n">
        <v>166</v>
      </c>
      <c r="B246" s="37" t="n">
        <f aca="false">1+IF($G$6=$E$6,$F$6,IF(P246&lt;($F$6-$E$6)/($G$6-$E$6),$E$6+SQRT(P246*($G$6-$E$6)*($F$6-$E$6)),$G$6-SQRT((1-P246)*($G$6-$E$6)*($G$6-$F$6))))</f>
        <v>0.952360451276607</v>
      </c>
      <c r="C246" s="37" t="n">
        <f aca="false">1+IF($G$7=$E$7,$F$7,IF(Q246&lt;($F$7-$E$7)/($G$7-$E$7),$E$7+SQRT(Q246*($G$7-$E$7)*($F$7-$E$7)),$G$7-SQRT((1-Q246)*($G$7-$E$7)*($G$7-$F$7))))</f>
        <v>0.830829069640356</v>
      </c>
      <c r="D246" s="37" t="n">
        <f aca="false">1+IF($G$8=$E$8,$F$8,IF(R246&lt;($F$8-$E$8)/($G$8-$E$8),$E$8+SQRT(R246*($G$8-$E$8)*($F$8-$E$8)),$G$8-SQRT((1-R246)*($G$8-$E$8)*($G$8-$F$8))))</f>
        <v>1.02841464754324</v>
      </c>
      <c r="E246" s="37" t="n">
        <f aca="false">1+IF($G$9=$E$9,$F$9,IF(S246&lt;($F$9-$E$9)/($G$9-$E$9),$E$9+SQRT(S246*($G$9-$E$9)*($F$9-$E$9)),$G$9-SQRT((1-S246)*($G$9-$E$9)*($G$9-$F$9))))</f>
        <v>0.95762630258187</v>
      </c>
      <c r="F246" s="37" t="n">
        <f aca="false">1+IF($G$10=$E$10,$F$10,IF(T246&lt;($F$10-$E$10)/($G$10-$E$10),$E$10+SQRT(T246*($G$10-$E$10)*($F$10-$E$10)),$G$10-SQRT((1-T246)*($G$10-$E$10)*($G$10-$F$10))))</f>
        <v>0.994515735380795</v>
      </c>
      <c r="G246" s="38" t="n">
        <f aca="false">IF($G$11=$E$11,$F$11,IF(U246&lt;($F$11-$E$11)/($G$11-$E$11),$E$11+SQRT(U246*($G$11-$E$11)*($F$11-$E$11)),$G$11-SQRT((1-U246)*($G$11-$E$11)*($G$11-$F$11))))</f>
        <v>0.102387158865974</v>
      </c>
      <c r="H246" s="39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-1989031470.76159</v>
      </c>
      <c r="I246" s="39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-65957953.4591267</v>
      </c>
      <c r="J246" s="39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144728461.92755</v>
      </c>
      <c r="K246" s="39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405140664.083267</v>
      </c>
      <c r="L246" s="39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502715025.932547</v>
      </c>
      <c r="M246" s="39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653115587.894681</v>
      </c>
      <c r="N246" s="39" t="n">
        <f aca="false">IF(COUNT('Business Case'!B11:G11)=0,"",H246+NPV(G246,I246:M246))</f>
        <v>-885797290.055807</v>
      </c>
      <c r="P246" s="40" t="n">
        <f aca="true">RAND()</f>
        <v>0.182774457192659</v>
      </c>
      <c r="Q246" s="40" t="n">
        <f aca="true">RAND()</f>
        <v>0.126787003429342</v>
      </c>
      <c r="R246" s="40" t="n">
        <f aca="true">RAND()</f>
        <v>0.658369154242728</v>
      </c>
      <c r="S246" s="40" t="n">
        <f aca="true">RAND()</f>
        <v>0.132831629970289</v>
      </c>
      <c r="T246" s="40" t="n">
        <f aca="true">RAND()</f>
        <v>0.132110046432863</v>
      </c>
      <c r="U246" s="40" t="n">
        <f aca="true">RAND()</f>
        <v>0.491687336338011</v>
      </c>
    </row>
    <row r="247" customFormat="false" ht="15" hidden="false" customHeight="false" outlineLevel="0" collapsed="false">
      <c r="A247" s="36" t="n">
        <v>167</v>
      </c>
      <c r="B247" s="37" t="n">
        <f aca="false">1+IF($G$6=$E$6,$F$6,IF(P247&lt;($F$6-$E$6)/($G$6-$E$6),$E$6+SQRT(P247*($G$6-$E$6)*($F$6-$E$6)),$G$6-SQRT((1-P247)*($G$6-$E$6)*($G$6-$F$6))))</f>
        <v>0.949804757953427</v>
      </c>
      <c r="C247" s="37" t="n">
        <f aca="false">1+IF($G$7=$E$7,$F$7,IF(Q247&lt;($F$7-$E$7)/($G$7-$E$7),$E$7+SQRT(Q247*($G$7-$E$7)*($F$7-$E$7)),$G$7-SQRT((1-Q247)*($G$7-$E$7)*($G$7-$F$7))))</f>
        <v>0.950940337674945</v>
      </c>
      <c r="D247" s="37" t="n">
        <f aca="false">1+IF($G$8=$E$8,$F$8,IF(R247&lt;($F$8-$E$8)/($G$8-$E$8),$E$8+SQRT(R247*($G$8-$E$8)*($F$8-$E$8)),$G$8-SQRT((1-R247)*($G$8-$E$8)*($G$8-$F$8))))</f>
        <v>1.05818770444477</v>
      </c>
      <c r="E247" s="37" t="n">
        <f aca="false">1+IF($G$9=$E$9,$F$9,IF(S247&lt;($F$9-$E$9)/($G$9-$E$9),$E$9+SQRT(S247*($G$9-$E$9)*($F$9-$E$9)),$G$9-SQRT((1-S247)*($G$9-$E$9)*($G$9-$F$9))))</f>
        <v>1.09280740549537</v>
      </c>
      <c r="F247" s="37" t="n">
        <f aca="false">1+IF($G$10=$E$10,$F$10,IF(T247&lt;($F$10-$E$10)/($G$10-$E$10),$E$10+SQRT(T247*($G$10-$E$10)*($F$10-$E$10)),$G$10-SQRT((1-T247)*($G$10-$E$10)*($G$10-$F$10))))</f>
        <v>1.01671421138158</v>
      </c>
      <c r="G247" s="38" t="n">
        <f aca="false">IF($G$11=$E$11,$F$11,IF(U247&lt;($F$11-$E$11)/($G$11-$E$11),$E$11+SQRT(U247*($G$11-$E$11)*($F$11-$E$11)),$G$11-SQRT((1-U247)*($G$11-$E$11)*($G$11-$F$11))))</f>
        <v>0.117217189975584</v>
      </c>
      <c r="H247" s="39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-2033428422.76316</v>
      </c>
      <c r="I247" s="39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-79230282.0097933</v>
      </c>
      <c r="J247" s="39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145430355.132035</v>
      </c>
      <c r="K247" s="39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420926702.842943</v>
      </c>
      <c r="L247" s="39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527028438.5249</v>
      </c>
      <c r="M247" s="39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698710150.015645</v>
      </c>
      <c r="N247" s="39" t="n">
        <f aca="false">IF(COUNT('Business Case'!B11:G11)=0,"",H247+NPV(G247,I247:M247))</f>
        <v>-946264848.332241</v>
      </c>
      <c r="P247" s="40" t="n">
        <f aca="true">RAND()</f>
        <v>0.165367594319966</v>
      </c>
      <c r="Q247" s="40" t="n">
        <f aca="true">RAND()</f>
        <v>0.466452244980853</v>
      </c>
      <c r="R247" s="40" t="n">
        <f aca="true">RAND()</f>
        <v>0.883448796026808</v>
      </c>
      <c r="S247" s="40" t="n">
        <f aca="true">RAND()</f>
        <v>0.912773523568781</v>
      </c>
      <c r="T247" s="40" t="n">
        <f aca="true">RAND()</f>
        <v>0.27436987771577</v>
      </c>
      <c r="U247" s="40" t="n">
        <f aca="true">RAND()</f>
        <v>0.891066511919788</v>
      </c>
    </row>
    <row r="248" customFormat="false" ht="15" hidden="false" customHeight="false" outlineLevel="0" collapsed="false">
      <c r="A248" s="36" t="n">
        <v>168</v>
      </c>
      <c r="B248" s="37" t="n">
        <f aca="false">1+IF($G$6=$E$6,$F$6,IF(P248&lt;($F$6-$E$6)/($G$6-$E$6),$E$6+SQRT(P248*($G$6-$E$6)*($F$6-$E$6)),$G$6-SQRT((1-P248)*($G$6-$E$6)*($G$6-$F$6))))</f>
        <v>0.960282091150729</v>
      </c>
      <c r="C248" s="37" t="n">
        <f aca="false">1+IF($G$7=$E$7,$F$7,IF(Q248&lt;($F$7-$E$7)/($G$7-$E$7),$E$7+SQRT(Q248*($G$7-$E$7)*($F$7-$E$7)),$G$7-SQRT((1-Q248)*($G$7-$E$7)*($G$7-$F$7))))</f>
        <v>1.06260541169488</v>
      </c>
      <c r="D248" s="37" t="n">
        <f aca="false">1+IF($G$8=$E$8,$F$8,IF(R248&lt;($F$8-$E$8)/($G$8-$E$8),$E$8+SQRT(R248*($G$8-$E$8)*($F$8-$E$8)),$G$8-SQRT((1-R248)*($G$8-$E$8)*($G$8-$F$8))))</f>
        <v>1.07461496168682</v>
      </c>
      <c r="E248" s="37" t="n">
        <f aca="false">1+IF($G$9=$E$9,$F$9,IF(S248&lt;($F$9-$E$9)/($G$9-$E$9),$E$9+SQRT(S248*($G$9-$E$9)*($F$9-$E$9)),$G$9-SQRT((1-S248)*($G$9-$E$9)*($G$9-$F$9))))</f>
        <v>0.96419533562256</v>
      </c>
      <c r="F248" s="37" t="n">
        <f aca="false">1+IF($G$10=$E$10,$F$10,IF(T248&lt;($F$10-$E$10)/($G$10-$E$10),$E$10+SQRT(T248*($G$10-$E$10)*($F$10-$E$10)),$G$10-SQRT((1-T248)*($G$10-$E$10)*($G$10-$F$10))))</f>
        <v>1.01039206868384</v>
      </c>
      <c r="G248" s="38" t="n">
        <f aca="false">IF($G$11=$E$11,$F$11,IF(U248&lt;($F$11-$E$11)/($G$11-$E$11),$E$11+SQRT(U248*($G$11-$E$11)*($F$11-$E$11)),$G$11-SQRT((1-U248)*($G$11-$E$11)*($G$11-$F$11))))</f>
        <v>0.103324201799259</v>
      </c>
      <c r="H248" s="39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-2020784137.36768</v>
      </c>
      <c r="I248" s="39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-39820710.0104137</v>
      </c>
      <c r="J248" s="39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211403948.655738</v>
      </c>
      <c r="K248" s="39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513148210.756082</v>
      </c>
      <c r="L248" s="39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632154820.366568</v>
      </c>
      <c r="M248" s="39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826112632.336296</v>
      </c>
      <c r="N248" s="39" t="n">
        <f aca="false">IF(COUNT('Business Case'!B11:G11)=0,"",H248+NPV(G248,I248:M248))</f>
        <v>-569291084.092119</v>
      </c>
      <c r="P248" s="40" t="n">
        <f aca="true">RAND()</f>
        <v>0.242262034233652</v>
      </c>
      <c r="Q248" s="40" t="n">
        <f aca="true">RAND()</f>
        <v>0.886847199036717</v>
      </c>
      <c r="R248" s="40" t="n">
        <f aca="true">RAND()</f>
        <v>0.957039988655895</v>
      </c>
      <c r="S248" s="40" t="n">
        <f aca="true">RAND()</f>
        <v>0.164841644627724</v>
      </c>
      <c r="T248" s="40" t="n">
        <f aca="true">RAND()</f>
        <v>0.23450719000521</v>
      </c>
      <c r="U248" s="40" t="n">
        <f aca="true">RAND()</f>
        <v>0.525601193568899</v>
      </c>
    </row>
    <row r="249" customFormat="false" ht="15" hidden="false" customHeight="false" outlineLevel="0" collapsed="false">
      <c r="A249" s="36" t="n">
        <v>169</v>
      </c>
      <c r="B249" s="37" t="n">
        <f aca="false">1+IF($G$6=$E$6,$F$6,IF(P249&lt;($F$6-$E$6)/($G$6-$E$6),$E$6+SQRT(P249*($G$6-$E$6)*($F$6-$E$6)),$G$6-SQRT((1-P249)*($G$6-$E$6)*($G$6-$F$6))))</f>
        <v>1.01568562996631</v>
      </c>
      <c r="C249" s="37" t="n">
        <f aca="false">1+IF($G$7=$E$7,$F$7,IF(Q249&lt;($F$7-$E$7)/($G$7-$E$7),$E$7+SQRT(Q249*($G$7-$E$7)*($F$7-$E$7)),$G$7-SQRT((1-Q249)*($G$7-$E$7)*($G$7-$F$7))))</f>
        <v>0.74590274721063</v>
      </c>
      <c r="D249" s="37" t="n">
        <f aca="false">1+IF($G$8=$E$8,$F$8,IF(R249&lt;($F$8-$E$8)/($G$8-$E$8),$E$8+SQRT(R249*($G$8-$E$8)*($F$8-$E$8)),$G$8-SQRT((1-R249)*($G$8-$E$8)*($G$8-$F$8))))</f>
        <v>1.01626127009048</v>
      </c>
      <c r="E249" s="37" t="n">
        <f aca="false">1+IF($G$9=$E$9,$F$9,IF(S249&lt;($F$9-$E$9)/($G$9-$E$9),$E$9+SQRT(S249*($G$9-$E$9)*($F$9-$E$9)),$G$9-SQRT((1-S249)*($G$9-$E$9)*($G$9-$F$9))))</f>
        <v>1.01068217143576</v>
      </c>
      <c r="F249" s="37" t="n">
        <f aca="false">1+IF($G$10=$E$10,$F$10,IF(T249&lt;($F$10-$E$10)/($G$10-$E$10),$E$10+SQRT(T249*($G$10-$E$10)*($F$10-$E$10)),$G$10-SQRT((1-T249)*($G$10-$E$10)*($G$10-$F$10))))</f>
        <v>1.02403497172116</v>
      </c>
      <c r="G249" s="38" t="n">
        <f aca="false">IF($G$11=$E$11,$F$11,IF(U249&lt;($F$11-$E$11)/($G$11-$E$11),$E$11+SQRT(U249*($G$11-$E$11)*($F$11-$E$11)),$G$11-SQRT((1-U249)*($G$11-$E$11)*($G$11-$F$11))))</f>
        <v>0.100282776412219</v>
      </c>
      <c r="H249" s="39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-2048069943.44232</v>
      </c>
      <c r="I249" s="39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-52917244.8592092</v>
      </c>
      <c r="J249" s="39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179562136.287691</v>
      </c>
      <c r="K249" s="39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463243266.02065</v>
      </c>
      <c r="L249" s="39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566919142.44017</v>
      </c>
      <c r="M249" s="39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710924263.978209</v>
      </c>
      <c r="N249" s="39" t="n">
        <f aca="false">IF(COUNT('Business Case'!B11:G11)=0,"",H249+NPV(G249,I249:M249))</f>
        <v>-772392148.087899</v>
      </c>
      <c r="P249" s="40" t="n">
        <f aca="true">RAND()</f>
        <v>0.843003201225484</v>
      </c>
      <c r="Q249" s="40" t="n">
        <f aca="true">RAND()</f>
        <v>0.0156078681591331</v>
      </c>
      <c r="R249" s="40" t="n">
        <f aca="true">RAND()</f>
        <v>0.532521674209333</v>
      </c>
      <c r="S249" s="40" t="n">
        <f aca="true">RAND()</f>
        <v>0.482414470510515</v>
      </c>
      <c r="T249" s="40" t="n">
        <f aca="true">RAND()</f>
        <v>0.319197413265909</v>
      </c>
      <c r="U249" s="40" t="n">
        <f aca="true">RAND()</f>
        <v>0.411257748155886</v>
      </c>
    </row>
    <row r="250" customFormat="false" ht="15" hidden="false" customHeight="false" outlineLevel="0" collapsed="false">
      <c r="A250" s="36" t="n">
        <v>170</v>
      </c>
      <c r="B250" s="37" t="n">
        <f aca="false">1+IF($G$6=$E$6,$F$6,IF(P250&lt;($F$6-$E$6)/($G$6-$E$6),$E$6+SQRT(P250*($G$6-$E$6)*($F$6-$E$6)),$G$6-SQRT((1-P250)*($G$6-$E$6)*($G$6-$F$6))))</f>
        <v>0.983935026792365</v>
      </c>
      <c r="C250" s="37" t="n">
        <f aca="false">1+IF($G$7=$E$7,$F$7,IF(Q250&lt;($F$7-$E$7)/($G$7-$E$7),$E$7+SQRT(Q250*($G$7-$E$7)*($F$7-$E$7)),$G$7-SQRT((1-Q250)*($G$7-$E$7)*($G$7-$F$7))))</f>
        <v>1.03767546142351</v>
      </c>
      <c r="D250" s="37" t="n">
        <f aca="false">1+IF($G$8=$E$8,$F$8,IF(R250&lt;($F$8-$E$8)/($G$8-$E$8),$E$8+SQRT(R250*($G$8-$E$8)*($F$8-$E$8)),$G$8-SQRT((1-R250)*($G$8-$E$8)*($G$8-$F$8))))</f>
        <v>0.970711694885071</v>
      </c>
      <c r="E250" s="37" t="n">
        <f aca="false">1+IF($G$9=$E$9,$F$9,IF(S250&lt;($F$9-$E$9)/($G$9-$E$9),$E$9+SQRT(S250*($G$9-$E$9)*($F$9-$E$9)),$G$9-SQRT((1-S250)*($G$9-$E$9)*($G$9-$F$9))))</f>
        <v>1.10898711538739</v>
      </c>
      <c r="F250" s="37" t="n">
        <f aca="false">1+IF($G$10=$E$10,$F$10,IF(T250&lt;($F$10-$E$10)/($G$10-$E$10),$E$10+SQRT(T250*($G$10-$E$10)*($F$10-$E$10)),$G$10-SQRT((1-T250)*($G$10-$E$10)*($G$10-$F$10))))</f>
        <v>1.06969628744335</v>
      </c>
      <c r="G250" s="38" t="n">
        <f aca="false">IF($G$11=$E$11,$F$11,IF(U250&lt;($F$11-$E$11)/($G$11-$E$11),$E$11+SQRT(U250*($G$11-$E$11)*($F$11-$E$11)),$G$11-SQRT((1-U250)*($G$11-$E$11)*($G$11-$F$11))))</f>
        <v>0.0979135174974587</v>
      </c>
      <c r="H250" s="39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-2139392574.8867</v>
      </c>
      <c r="I250" s="39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3031615.60085081</v>
      </c>
      <c r="J250" s="39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323659739.029605</v>
      </c>
      <c r="K250" s="39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697772676.830526</v>
      </c>
      <c r="L250" s="39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839934658.823766</v>
      </c>
      <c r="M250" s="39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1034007333.50053</v>
      </c>
      <c r="N250" s="39" t="n">
        <f aca="false">IF(COUNT('Business Case'!B11:G11)=0,"",H250+NPV(G250,I250:M250))</f>
        <v>-114663662.30964</v>
      </c>
      <c r="P250" s="40" t="n">
        <f aca="true">RAND()</f>
        <v>0.469672581509002</v>
      </c>
      <c r="Q250" s="40" t="n">
        <f aca="true">RAND()</f>
        <v>0.813084415312291</v>
      </c>
      <c r="R250" s="40" t="n">
        <f aca="true">RAND()</f>
        <v>0.0571965740016374</v>
      </c>
      <c r="S250" s="40" t="n">
        <f aca="true">RAND()</f>
        <v>0.955145154553404</v>
      </c>
      <c r="T250" s="40" t="n">
        <f aca="true">RAND()</f>
        <v>0.566540949843861</v>
      </c>
      <c r="U250" s="40" t="n">
        <f aca="true">RAND()</f>
        <v>0.320894109131758</v>
      </c>
    </row>
    <row r="251" customFormat="false" ht="15" hidden="false" customHeight="false" outlineLevel="0" collapsed="false">
      <c r="A251" s="36" t="n">
        <v>171</v>
      </c>
      <c r="B251" s="37" t="n">
        <f aca="false">1+IF($G$6=$E$6,$F$6,IF(P251&lt;($F$6-$E$6)/($G$6-$E$6),$E$6+SQRT(P251*($G$6-$E$6)*($F$6-$E$6)),$G$6-SQRT((1-P251)*($G$6-$E$6)*($G$6-$F$6))))</f>
        <v>0.98221802897207</v>
      </c>
      <c r="C251" s="37" t="n">
        <f aca="false">1+IF($G$7=$E$7,$F$7,IF(Q251&lt;($F$7-$E$7)/($G$7-$E$7),$E$7+SQRT(Q251*($G$7-$E$7)*($F$7-$E$7)),$G$7-SQRT((1-Q251)*($G$7-$E$7)*($G$7-$F$7))))</f>
        <v>0.956583890782474</v>
      </c>
      <c r="D251" s="37" t="n">
        <f aca="false">1+IF($G$8=$E$8,$F$8,IF(R251&lt;($F$8-$E$8)/($G$8-$E$8),$E$8+SQRT(R251*($G$8-$E$8)*($F$8-$E$8)),$G$8-SQRT((1-R251)*($G$8-$E$8)*($G$8-$F$8))))</f>
        <v>1.06244956125959</v>
      </c>
      <c r="E251" s="37" t="n">
        <f aca="false">1+IF($G$9=$E$9,$F$9,IF(S251&lt;($F$9-$E$9)/($G$9-$E$9),$E$9+SQRT(S251*($G$9-$E$9)*($F$9-$E$9)),$G$9-SQRT((1-S251)*($G$9-$E$9)*($G$9-$F$9))))</f>
        <v>1.06918037682969</v>
      </c>
      <c r="F251" s="37" t="n">
        <f aca="false">1+IF($G$10=$E$10,$F$10,IF(T251&lt;($F$10-$E$10)/($G$10-$E$10),$E$10+SQRT(T251*($G$10-$E$10)*($F$10-$E$10)),$G$10-SQRT((1-T251)*($G$10-$E$10)*($G$10-$F$10))))</f>
        <v>1.07447443084537</v>
      </c>
      <c r="G251" s="38" t="n">
        <f aca="false">IF($G$11=$E$11,$F$11,IF(U251&lt;($F$11-$E$11)/($G$11-$E$11),$E$11+SQRT(U251*($G$11-$E$11)*($F$11-$E$11)),$G$11-SQRT((1-U251)*($G$11-$E$11)*($G$11-$F$11))))</f>
        <v>0.0896186838356735</v>
      </c>
      <c r="H251" s="39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-2148948861.69074</v>
      </c>
      <c r="I251" s="39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-58889324.0428587</v>
      </c>
      <c r="J251" s="39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190413757.828043</v>
      </c>
      <c r="K251" s="39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493440561.241213</v>
      </c>
      <c r="L251" s="39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609013264.027542</v>
      </c>
      <c r="M251" s="39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787607479.255693</v>
      </c>
      <c r="N251" s="39" t="n">
        <f aca="false">IF(COUNT('Business Case'!B11:G11)=0,"",H251+NPV(G251,I251:M251))</f>
        <v>-716356471.551044</v>
      </c>
      <c r="P251" s="40" t="n">
        <f aca="true">RAND()</f>
        <v>0.450653619203481</v>
      </c>
      <c r="Q251" s="40" t="n">
        <f aca="true">RAND()</f>
        <v>0.487668837104242</v>
      </c>
      <c r="R251" s="40" t="n">
        <f aca="true">RAND()</f>
        <v>0.905997636693536</v>
      </c>
      <c r="S251" s="40" t="n">
        <f aca="true">RAND()</f>
        <v>0.825818360282929</v>
      </c>
      <c r="T251" s="40" t="n">
        <f aca="true">RAND()</f>
        <v>0.589210327639232</v>
      </c>
      <c r="U251" s="40" t="n">
        <f aca="true">RAND()</f>
        <v>0.0925190787306458</v>
      </c>
    </row>
    <row r="252" customFormat="false" ht="15" hidden="false" customHeight="false" outlineLevel="0" collapsed="false">
      <c r="A252" s="36" t="n">
        <v>172</v>
      </c>
      <c r="B252" s="37" t="n">
        <f aca="false">1+IF($G$6=$E$6,$F$6,IF(P252&lt;($F$6-$E$6)/($G$6-$E$6),$E$6+SQRT(P252*($G$6-$E$6)*($F$6-$E$6)),$G$6-SQRT((1-P252)*($G$6-$E$6)*($G$6-$F$6))))</f>
        <v>1.00755931055126</v>
      </c>
      <c r="C252" s="37" t="n">
        <f aca="false">1+IF($G$7=$E$7,$F$7,IF(Q252&lt;($F$7-$E$7)/($G$7-$E$7),$E$7+SQRT(Q252*($G$7-$E$7)*($F$7-$E$7)),$G$7-SQRT((1-Q252)*($G$7-$E$7)*($G$7-$F$7))))</f>
        <v>1.03760517476276</v>
      </c>
      <c r="D252" s="37" t="n">
        <f aca="false">1+IF($G$8=$E$8,$F$8,IF(R252&lt;($F$8-$E$8)/($G$8-$E$8),$E$8+SQRT(R252*($G$8-$E$8)*($F$8-$E$8)),$G$8-SQRT((1-R252)*($G$8-$E$8)*($G$8-$F$8))))</f>
        <v>1.02206005139807</v>
      </c>
      <c r="E252" s="37" t="n">
        <f aca="false">1+IF($G$9=$E$9,$F$9,IF(S252&lt;($F$9-$E$9)/($G$9-$E$9),$E$9+SQRT(S252*($G$9-$E$9)*($F$9-$E$9)),$G$9-SQRT((1-S252)*($G$9-$E$9)*($G$9-$F$9))))</f>
        <v>1.01128972495095</v>
      </c>
      <c r="F252" s="37" t="n">
        <f aca="false">1+IF($G$10=$E$10,$F$10,IF(T252&lt;($F$10-$E$10)/($G$10-$E$10),$E$10+SQRT(T252*($G$10-$E$10)*($F$10-$E$10)),$G$10-SQRT((1-T252)*($G$10-$E$10)*($G$10-$F$10))))</f>
        <v>1.10793874360798</v>
      </c>
      <c r="G252" s="38" t="n">
        <f aca="false">IF($G$11=$E$11,$F$11,IF(U252&lt;($F$11-$E$11)/($G$11-$E$11),$E$11+SQRT(U252*($G$11-$E$11)*($F$11-$E$11)),$G$11-SQRT((1-U252)*($G$11-$E$11)*($G$11-$F$11))))</f>
        <v>0.0887055777594516</v>
      </c>
      <c r="H252" s="39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-2215877487.21596</v>
      </c>
      <c r="I252" s="39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4613968.45056163</v>
      </c>
      <c r="J252" s="39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318023273.583662</v>
      </c>
      <c r="K252" s="39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686829515.89716</v>
      </c>
      <c r="L252" s="39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827429993.23067</v>
      </c>
      <c r="M252" s="39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1026148892.48762</v>
      </c>
      <c r="N252" s="39" t="n">
        <f aca="false">IF(COUNT('Business Case'!B11:G11)=0,"",H252+NPV(G252,I252:M252))</f>
        <v>-151210860.01044</v>
      </c>
      <c r="P252" s="40" t="n">
        <f aca="true">RAND()</f>
        <v>0.759838383882098</v>
      </c>
      <c r="Q252" s="40" t="n">
        <f aca="true">RAND()</f>
        <v>0.812850418665042</v>
      </c>
      <c r="R252" s="40" t="n">
        <f aca="true">RAND()</f>
        <v>0.59502429412861</v>
      </c>
      <c r="S252" s="40" t="n">
        <f aca="true">RAND()</f>
        <v>0.486918922555143</v>
      </c>
      <c r="T252" s="40" t="n">
        <f aca="true">RAND()</f>
        <v>0.730914659097607</v>
      </c>
      <c r="U252" s="40" t="n">
        <f aca="true">RAND()</f>
        <v>0.0757870841258583</v>
      </c>
    </row>
    <row r="253" customFormat="false" ht="15" hidden="false" customHeight="false" outlineLevel="0" collapsed="false">
      <c r="A253" s="36" t="n">
        <v>173</v>
      </c>
      <c r="B253" s="37" t="n">
        <f aca="false">1+IF($G$6=$E$6,$F$6,IF(P253&lt;($F$6-$E$6)/($G$6-$E$6),$E$6+SQRT(P253*($G$6-$E$6)*($F$6-$E$6)),$G$6-SQRT((1-P253)*($G$6-$E$6)*($G$6-$F$6))))</f>
        <v>0.960808174141198</v>
      </c>
      <c r="C253" s="37" t="n">
        <f aca="false">1+IF($G$7=$E$7,$F$7,IF(Q253&lt;($F$7-$E$7)/($G$7-$E$7),$E$7+SQRT(Q253*($G$7-$E$7)*($F$7-$E$7)),$G$7-SQRT((1-Q253)*($G$7-$E$7)*($G$7-$F$7))))</f>
        <v>0.834045955836766</v>
      </c>
      <c r="D253" s="37" t="n">
        <f aca="false">1+IF($G$8=$E$8,$F$8,IF(R253&lt;($F$8-$E$8)/($G$8-$E$8),$E$8+SQRT(R253*($G$8-$E$8)*($F$8-$E$8)),$G$8-SQRT((1-R253)*($G$8-$E$8)*($G$8-$F$8))))</f>
        <v>1.08271652399393</v>
      </c>
      <c r="E253" s="37" t="n">
        <f aca="false">1+IF($G$9=$E$9,$F$9,IF(S253&lt;($F$9-$E$9)/($G$9-$E$9),$E$9+SQRT(S253*($G$9-$E$9)*($F$9-$E$9)),$G$9-SQRT((1-S253)*($G$9-$E$9)*($G$9-$F$9))))</f>
        <v>1.02823166278767</v>
      </c>
      <c r="F253" s="37" t="n">
        <f aca="false">1+IF($G$10=$E$10,$F$10,IF(T253&lt;($F$10-$E$10)/($G$10-$E$10),$E$10+SQRT(T253*($G$10-$E$10)*($F$10-$E$10)),$G$10-SQRT((1-T253)*($G$10-$E$10)*($G$10-$F$10))))</f>
        <v>1.00636968677505</v>
      </c>
      <c r="G253" s="38" t="n">
        <f aca="false">IF($G$11=$E$11,$F$11,IF(U253&lt;($F$11-$E$11)/($G$11-$E$11),$E$11+SQRT(U253*($G$11-$E$11)*($F$11-$E$11)),$G$11-SQRT((1-U253)*($G$11-$E$11)*($G$11-$F$11))))</f>
        <v>0.0922643395810702</v>
      </c>
      <c r="H253" s="39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-2012739373.5501</v>
      </c>
      <c r="I253" s="39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-94305728.4315616</v>
      </c>
      <c r="J253" s="39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99782461.8980957</v>
      </c>
      <c r="K253" s="39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344189136.566506</v>
      </c>
      <c r="L253" s="39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436580138.433263</v>
      </c>
      <c r="M253" s="39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588902299.762722</v>
      </c>
      <c r="N253" s="39" t="n">
        <f aca="false">IF(COUNT('Business Case'!B11:G11)=0,"",H253+NPV(G253,I253:M253))</f>
        <v>-1065791438.20557</v>
      </c>
      <c r="P253" s="40" t="n">
        <f aca="true">RAND()</f>
        <v>0.246508936159084</v>
      </c>
      <c r="Q253" s="40" t="n">
        <f aca="true">RAND()</f>
        <v>0.133098653897721</v>
      </c>
      <c r="R253" s="40" t="n">
        <f aca="true">RAND()</f>
        <v>0.980085430476506</v>
      </c>
      <c r="S253" s="40" t="n">
        <f aca="true">RAND()</f>
        <v>0.604599254734518</v>
      </c>
      <c r="T253" s="40" t="n">
        <f aca="true">RAND()</f>
        <v>0.208590273038843</v>
      </c>
      <c r="U253" s="40" t="n">
        <f aca="true">RAND()</f>
        <v>0.150414025359804</v>
      </c>
    </row>
    <row r="254" customFormat="false" ht="15" hidden="false" customHeight="false" outlineLevel="0" collapsed="false">
      <c r="A254" s="36" t="n">
        <v>174</v>
      </c>
      <c r="B254" s="37" t="n">
        <f aca="false">1+IF($G$6=$E$6,$F$6,IF(P254&lt;($F$6-$E$6)/($G$6-$E$6),$E$6+SQRT(P254*($G$6-$E$6)*($F$6-$E$6)),$G$6-SQRT((1-P254)*($G$6-$E$6)*($G$6-$F$6))))</f>
        <v>0.944701259983596</v>
      </c>
      <c r="C254" s="37" t="n">
        <f aca="false">1+IF($G$7=$E$7,$F$7,IF(Q254&lt;($F$7-$E$7)/($G$7-$E$7),$E$7+SQRT(Q254*($G$7-$E$7)*($F$7-$E$7)),$G$7-SQRT((1-Q254)*($G$7-$E$7)*($G$7-$F$7))))</f>
        <v>0.86761874058647</v>
      </c>
      <c r="D254" s="37" t="n">
        <f aca="false">1+IF($G$8=$E$8,$F$8,IF(R254&lt;($F$8-$E$8)/($G$8-$E$8),$E$8+SQRT(R254*($G$8-$E$8)*($F$8-$E$8)),$G$8-SQRT((1-R254)*($G$8-$E$8)*($G$8-$F$8))))</f>
        <v>0.964438246923142</v>
      </c>
      <c r="E254" s="37" t="n">
        <f aca="false">1+IF($G$9=$E$9,$F$9,IF(S254&lt;($F$9-$E$9)/($G$9-$E$9),$E$9+SQRT(S254*($G$9-$E$9)*($F$9-$E$9)),$G$9-SQRT((1-S254)*($G$9-$E$9)*($G$9-$F$9))))</f>
        <v>1.09361437395854</v>
      </c>
      <c r="F254" s="37" t="n">
        <f aca="false">1+IF($G$10=$E$10,$F$10,IF(T254&lt;($F$10-$E$10)/($G$10-$E$10),$E$10+SQRT(T254*($G$10-$E$10)*($F$10-$E$10)),$G$10-SQRT((1-T254)*($G$10-$E$10)*($G$10-$F$10))))</f>
        <v>1.01154446484513</v>
      </c>
      <c r="G254" s="38" t="n">
        <f aca="false">IF($G$11=$E$11,$F$11,IF(U254&lt;($F$11-$E$11)/($G$11-$E$11),$E$11+SQRT(U254*($G$11-$E$11)*($F$11-$E$11)),$G$11-SQRT((1-U254)*($G$11-$E$11)*($G$11-$F$11))))</f>
        <v>0.106732453876192</v>
      </c>
      <c r="H254" s="39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-2023088929.69025</v>
      </c>
      <c r="I254" s="39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-56168560.7769083</v>
      </c>
      <c r="J254" s="39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186819453.330519</v>
      </c>
      <c r="K254" s="39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480384690.680203</v>
      </c>
      <c r="L254" s="39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589707471.664625</v>
      </c>
      <c r="M254" s="39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745504741.215327</v>
      </c>
      <c r="N254" s="39" t="n">
        <f aca="false">IF(COUNT('Business Case'!B11:G11)=0,"",H254+NPV(G254,I254:M254))</f>
        <v>-724886586.563982</v>
      </c>
      <c r="P254" s="40" t="n">
        <f aca="true">RAND()</f>
        <v>0.13321350960807</v>
      </c>
      <c r="Q254" s="40" t="n">
        <f aca="true">RAND()</f>
        <v>0.208118831079958</v>
      </c>
      <c r="R254" s="40" t="n">
        <f aca="true">RAND()</f>
        <v>0.0277950632284829</v>
      </c>
      <c r="S254" s="40" t="n">
        <f aca="true">RAND()</f>
        <v>0.915217631357666</v>
      </c>
      <c r="T254" s="40" t="n">
        <f aca="true">RAND()</f>
        <v>0.241852770053367</v>
      </c>
      <c r="U254" s="40" t="n">
        <f aca="true">RAND()</f>
        <v>0.639080864917634</v>
      </c>
    </row>
    <row r="255" customFormat="false" ht="15" hidden="false" customHeight="false" outlineLevel="0" collapsed="false">
      <c r="A255" s="36" t="n">
        <v>175</v>
      </c>
      <c r="B255" s="37" t="n">
        <f aca="false">1+IF($G$6=$E$6,$F$6,IF(P255&lt;($F$6-$E$6)/($G$6-$E$6),$E$6+SQRT(P255*($G$6-$E$6)*($F$6-$E$6)),$G$6-SQRT((1-P255)*($G$6-$E$6)*($G$6-$F$6))))</f>
        <v>0.975858125754817</v>
      </c>
      <c r="C255" s="37" t="n">
        <f aca="false">1+IF($G$7=$E$7,$F$7,IF(Q255&lt;($F$7-$E$7)/($G$7-$E$7),$E$7+SQRT(Q255*($G$7-$E$7)*($F$7-$E$7)),$G$7-SQRT((1-Q255)*($G$7-$E$7)*($G$7-$F$7))))</f>
        <v>1.03164427301284</v>
      </c>
      <c r="D255" s="37" t="n">
        <f aca="false">1+IF($G$8=$E$8,$F$8,IF(R255&lt;($F$8-$E$8)/($G$8-$E$8),$E$8+SQRT(R255*($G$8-$E$8)*($F$8-$E$8)),$G$8-SQRT((1-R255)*($G$8-$E$8)*($G$8-$F$8))))</f>
        <v>1.03917496631961</v>
      </c>
      <c r="E255" s="37" t="n">
        <f aca="false">1+IF($G$9=$E$9,$F$9,IF(S255&lt;($F$9-$E$9)/($G$9-$E$9),$E$9+SQRT(S255*($G$9-$E$9)*($F$9-$E$9)),$G$9-SQRT((1-S255)*($G$9-$E$9)*($G$9-$F$9))))</f>
        <v>1.03366897375437</v>
      </c>
      <c r="F255" s="37" t="n">
        <f aca="false">1+IF($G$10=$E$10,$F$10,IF(T255&lt;($F$10-$E$10)/($G$10-$E$10),$E$10+SQRT(T255*($G$10-$E$10)*($F$10-$E$10)),$G$10-SQRT((1-T255)*($G$10-$E$10)*($G$10-$F$10))))</f>
        <v>1.02966358881898</v>
      </c>
      <c r="G255" s="38" t="n">
        <f aca="false">IF($G$11=$E$11,$F$11,IF(U255&lt;($F$11-$E$11)/($G$11-$E$11),$E$11+SQRT(U255*($G$11-$E$11)*($F$11-$E$11)),$G$11-SQRT((1-U255)*($G$11-$E$11)*($G$11-$F$11))))</f>
        <v>0.0970096453321776</v>
      </c>
      <c r="H255" s="39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-2059327177.63796</v>
      </c>
      <c r="I255" s="39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-26360528.4557944</v>
      </c>
      <c r="J255" s="39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249422351.115524</v>
      </c>
      <c r="K255" s="39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576688410.127791</v>
      </c>
      <c r="L255" s="39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703408917.369792</v>
      </c>
      <c r="M255" s="39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894769761.320049</v>
      </c>
      <c r="N255" s="39" t="n">
        <f aca="false">IF(COUNT('Business Case'!B11:G11)=0,"",H255+NPV(G255,I255:M255))</f>
        <v>-390376587.143204</v>
      </c>
      <c r="P255" s="40" t="n">
        <f aca="true">RAND()</f>
        <v>0.383630349535579</v>
      </c>
      <c r="Q255" s="40" t="n">
        <f aca="true">RAND()</f>
        <v>0.792472916879128</v>
      </c>
      <c r="R255" s="40" t="n">
        <f aca="true">RAND()</f>
        <v>0.753354351851955</v>
      </c>
      <c r="S255" s="40" t="n">
        <f aca="true">RAND()</f>
        <v>0.639122462203707</v>
      </c>
      <c r="T255" s="40" t="n">
        <f aca="true">RAND()</f>
        <v>0.352691545438241</v>
      </c>
      <c r="U255" s="40" t="n">
        <f aca="true">RAND()</f>
        <v>0.289328034326472</v>
      </c>
    </row>
    <row r="256" customFormat="false" ht="15" hidden="false" customHeight="false" outlineLevel="0" collapsed="false">
      <c r="A256" s="36" t="n">
        <v>176</v>
      </c>
      <c r="B256" s="37" t="n">
        <f aca="false">1+IF($G$6=$E$6,$F$6,IF(P256&lt;($F$6-$E$6)/($G$6-$E$6),$E$6+SQRT(P256*($G$6-$E$6)*($F$6-$E$6)),$G$6-SQRT((1-P256)*($G$6-$E$6)*($G$6-$F$6))))</f>
        <v>1.03634100020426</v>
      </c>
      <c r="C256" s="37" t="n">
        <f aca="false">1+IF($G$7=$E$7,$F$7,IF(Q256&lt;($F$7-$E$7)/($G$7-$E$7),$E$7+SQRT(Q256*($G$7-$E$7)*($F$7-$E$7)),$G$7-SQRT((1-Q256)*($G$7-$E$7)*($G$7-$F$7))))</f>
        <v>0.971974341883917</v>
      </c>
      <c r="D256" s="37" t="n">
        <f aca="false">1+IF($G$8=$E$8,$F$8,IF(R256&lt;($F$8-$E$8)/($G$8-$E$8),$E$8+SQRT(R256*($G$8-$E$8)*($F$8-$E$8)),$G$8-SQRT((1-R256)*($G$8-$E$8)*($G$8-$F$8))))</f>
        <v>1.0174717502159</v>
      </c>
      <c r="E256" s="37" t="n">
        <f aca="false">1+IF($G$9=$E$9,$F$9,IF(S256&lt;($F$9-$E$9)/($G$9-$E$9),$E$9+SQRT(S256*($G$9-$E$9)*($F$9-$E$9)),$G$9-SQRT((1-S256)*($G$9-$E$9)*($G$9-$F$9))))</f>
        <v>1.04843546441326</v>
      </c>
      <c r="F256" s="37" t="n">
        <f aca="false">1+IF($G$10=$E$10,$F$10,IF(T256&lt;($F$10-$E$10)/($G$10-$E$10),$E$10+SQRT(T256*($G$10-$E$10)*($F$10-$E$10)),$G$10-SQRT((1-T256)*($G$10-$E$10)*($G$10-$F$10))))</f>
        <v>1.0406763867833</v>
      </c>
      <c r="G256" s="38" t="n">
        <f aca="false">IF($G$11=$E$11,$F$11,IF(U256&lt;($F$11-$E$11)/($G$11-$E$11),$E$11+SQRT(U256*($G$11-$E$11)*($F$11-$E$11)),$G$11-SQRT((1-U256)*($G$11-$E$11)*($G$11-$F$11))))</f>
        <v>0.0979509769914228</v>
      </c>
      <c r="H256" s="39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-2081352773.56661</v>
      </c>
      <c r="I256" s="39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13408645.928921</v>
      </c>
      <c r="J256" s="39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332190722.8832</v>
      </c>
      <c r="K256" s="39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703006619.176645</v>
      </c>
      <c r="L256" s="39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844079491.033046</v>
      </c>
      <c r="M256" s="39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1035546478.49374</v>
      </c>
      <c r="N256" s="39" t="n">
        <f aca="false">IF(COUNT('Business Case'!B11:G11)=0,"",H256+NPV(G256,I256:M256))</f>
        <v>-32586472.8952999</v>
      </c>
      <c r="P256" s="40" t="n">
        <f aca="true">RAND()</f>
        <v>0.975124229944012</v>
      </c>
      <c r="Q256" s="40" t="n">
        <f aca="true">RAND()</f>
        <v>0.547926241801405</v>
      </c>
      <c r="R256" s="40" t="n">
        <f aca="true">RAND()</f>
        <v>0.545939199171545</v>
      </c>
      <c r="S256" s="40" t="n">
        <f aca="true">RAND()</f>
        <v>0.724923869628004</v>
      </c>
      <c r="T256" s="40" t="n">
        <f aca="true">RAND()</f>
        <v>0.415781665998761</v>
      </c>
      <c r="U256" s="40" t="n">
        <f aca="true">RAND()</f>
        <v>0.322237574946591</v>
      </c>
    </row>
    <row r="257" customFormat="false" ht="15" hidden="false" customHeight="false" outlineLevel="0" collapsed="false">
      <c r="A257" s="36" t="n">
        <v>177</v>
      </c>
      <c r="B257" s="37" t="n">
        <f aca="false">1+IF($G$6=$E$6,$F$6,IF(P257&lt;($F$6-$E$6)/($G$6-$E$6),$E$6+SQRT(P257*($G$6-$E$6)*($F$6-$E$6)),$G$6-SQRT((1-P257)*($G$6-$E$6)*($G$6-$F$6))))</f>
        <v>1.00720325607056</v>
      </c>
      <c r="C257" s="37" t="n">
        <f aca="false">1+IF($G$7=$E$7,$F$7,IF(Q257&lt;($F$7-$E$7)/($G$7-$E$7),$E$7+SQRT(Q257*($G$7-$E$7)*($F$7-$E$7)),$G$7-SQRT((1-Q257)*($G$7-$E$7)*($G$7-$F$7))))</f>
        <v>0.762810725616885</v>
      </c>
      <c r="D257" s="37" t="n">
        <f aca="false">1+IF($G$8=$E$8,$F$8,IF(R257&lt;($F$8-$E$8)/($G$8-$E$8),$E$8+SQRT(R257*($G$8-$E$8)*($F$8-$E$8)),$G$8-SQRT((1-R257)*($G$8-$E$8)*($G$8-$F$8))))</f>
        <v>0.980562666024976</v>
      </c>
      <c r="E257" s="37" t="n">
        <f aca="false">1+IF($G$9=$E$9,$F$9,IF(S257&lt;($F$9-$E$9)/($G$9-$E$9),$E$9+SQRT(S257*($G$9-$E$9)*($F$9-$E$9)),$G$9-SQRT((1-S257)*($G$9-$E$9)*($G$9-$F$9))))</f>
        <v>1.002093716919</v>
      </c>
      <c r="F257" s="37" t="n">
        <f aca="false">1+IF($G$10=$E$10,$F$10,IF(T257&lt;($F$10-$E$10)/($G$10-$E$10),$E$10+SQRT(T257*($G$10-$E$10)*($F$10-$E$10)),$G$10-SQRT((1-T257)*($G$10-$E$10)*($G$10-$F$10))))</f>
        <v>1.13397982045367</v>
      </c>
      <c r="G257" s="38" t="n">
        <f aca="false">IF($G$11=$E$11,$F$11,IF(U257&lt;($F$11-$E$11)/($G$11-$E$11),$E$11+SQRT(U257*($G$11-$E$11)*($F$11-$E$11)),$G$11-SQRT((1-U257)*($G$11-$E$11)*($G$11-$F$11))))</f>
        <v>0.0971756330714701</v>
      </c>
      <c r="H257" s="39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-2267959640.90734</v>
      </c>
      <c r="I257" s="39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-49335009.4997343</v>
      </c>
      <c r="J257" s="39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197054643.94388</v>
      </c>
      <c r="K257" s="39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500143288.410179</v>
      </c>
      <c r="L257" s="39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608825809.126117</v>
      </c>
      <c r="M257" s="39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754865308.417151</v>
      </c>
      <c r="N257" s="39" t="n">
        <f aca="false">IF(COUNT('Business Case'!B11:G11)=0,"",H257+NPV(G257,I257:M257))</f>
        <v>-875645540.448164</v>
      </c>
      <c r="P257" s="40" t="n">
        <f aca="true">RAND()</f>
        <v>0.755791827871673</v>
      </c>
      <c r="Q257" s="40" t="n">
        <f aca="true">RAND()</f>
        <v>0.029223609277923</v>
      </c>
      <c r="R257" s="40" t="n">
        <f aca="true">RAND()</f>
        <v>0.124543540607233</v>
      </c>
      <c r="S257" s="40" t="n">
        <f aca="true">RAND()</f>
        <v>0.416632838004358</v>
      </c>
      <c r="T257" s="40" t="n">
        <f aca="true">RAND()</f>
        <v>0.820524239173828</v>
      </c>
      <c r="U257" s="40" t="n">
        <f aca="true">RAND()</f>
        <v>0.295002371405777</v>
      </c>
    </row>
    <row r="258" customFormat="false" ht="15" hidden="false" customHeight="false" outlineLevel="0" collapsed="false">
      <c r="A258" s="36" t="n">
        <v>178</v>
      </c>
      <c r="B258" s="37" t="n">
        <f aca="false">1+IF($G$6=$E$6,$F$6,IF(P258&lt;($F$6-$E$6)/($G$6-$E$6),$E$6+SQRT(P258*($G$6-$E$6)*($F$6-$E$6)),$G$6-SQRT((1-P258)*($G$6-$E$6)*($G$6-$F$6))))</f>
        <v>0.94565699555122</v>
      </c>
      <c r="C258" s="37" t="n">
        <f aca="false">1+IF($G$7=$E$7,$F$7,IF(Q258&lt;($F$7-$E$7)/($G$7-$E$7),$E$7+SQRT(Q258*($G$7-$E$7)*($F$7-$E$7)),$G$7-SQRT((1-Q258)*($G$7-$E$7)*($G$7-$F$7))))</f>
        <v>0.8335779529262</v>
      </c>
      <c r="D258" s="37" t="n">
        <f aca="false">1+IF($G$8=$E$8,$F$8,IF(R258&lt;($F$8-$E$8)/($G$8-$E$8),$E$8+SQRT(R258*($G$8-$E$8)*($F$8-$E$8)),$G$8-SQRT((1-R258)*($G$8-$E$8)*($G$8-$F$8))))</f>
        <v>1.03716149233313</v>
      </c>
      <c r="E258" s="37" t="n">
        <f aca="false">1+IF($G$9=$E$9,$F$9,IF(S258&lt;($F$9-$E$9)/($G$9-$E$9),$E$9+SQRT(S258*($G$9-$E$9)*($F$9-$E$9)),$G$9-SQRT((1-S258)*($G$9-$E$9)*($G$9-$F$9))))</f>
        <v>1.06062092269734</v>
      </c>
      <c r="F258" s="37" t="n">
        <f aca="false">1+IF($G$10=$E$10,$F$10,IF(T258&lt;($F$10-$E$10)/($G$10-$E$10),$E$10+SQRT(T258*($G$10-$E$10)*($F$10-$E$10)),$G$10-SQRT((1-T258)*($G$10-$E$10)*($G$10-$F$10))))</f>
        <v>0.998613836016218</v>
      </c>
      <c r="G258" s="38" t="n">
        <f aca="false">IF($G$11=$E$11,$F$11,IF(U258&lt;($F$11-$E$11)/($G$11-$E$11),$E$11+SQRT(U258*($G$11-$E$11)*($F$11-$E$11)),$G$11-SQRT((1-U258)*($G$11-$E$11)*($G$11-$F$11))))</f>
        <v>0.106750285749956</v>
      </c>
      <c r="H258" s="39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-1997227672.03244</v>
      </c>
      <c r="I258" s="39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-88471913.1118099</v>
      </c>
      <c r="J258" s="39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114602226.7451</v>
      </c>
      <c r="K258" s="39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367607058.40282</v>
      </c>
      <c r="L258" s="39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462541354.461481</v>
      </c>
      <c r="M258" s="39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612377393.046449</v>
      </c>
      <c r="N258" s="39" t="n">
        <f aca="false">IF(COUNT('Business Case'!B11:G11)=0,"",H258+NPV(G258,I258:M258))</f>
        <v>-1035371811.87291</v>
      </c>
      <c r="P258" s="40" t="n">
        <f aca="true">RAND()</f>
        <v>0.138970749517607</v>
      </c>
      <c r="Q258" s="40" t="n">
        <f aca="true">RAND()</f>
        <v>0.132170885244105</v>
      </c>
      <c r="R258" s="40" t="n">
        <f aca="true">RAND()</f>
        <v>0.736754796946687</v>
      </c>
      <c r="S258" s="40" t="n">
        <f aca="true">RAND()</f>
        <v>0.786970147747317</v>
      </c>
      <c r="T258" s="40" t="n">
        <f aca="true">RAND()</f>
        <v>0.15755367014745</v>
      </c>
      <c r="U258" s="40" t="n">
        <f aca="true">RAND()</f>
        <v>0.639633858194207</v>
      </c>
    </row>
    <row r="259" customFormat="false" ht="15" hidden="false" customHeight="false" outlineLevel="0" collapsed="false">
      <c r="A259" s="36" t="n">
        <v>179</v>
      </c>
      <c r="B259" s="37" t="n">
        <f aca="false">1+IF($G$6=$E$6,$F$6,IF(P259&lt;($F$6-$E$6)/($G$6-$E$6),$E$6+SQRT(P259*($G$6-$E$6)*($F$6-$E$6)),$G$6-SQRT((1-P259)*($G$6-$E$6)*($G$6-$F$6))))</f>
        <v>0.967296652379594</v>
      </c>
      <c r="C259" s="37" t="n">
        <f aca="false">1+IF($G$7=$E$7,$F$7,IF(Q259&lt;($F$7-$E$7)/($G$7-$E$7),$E$7+SQRT(Q259*($G$7-$E$7)*($F$7-$E$7)),$G$7-SQRT((1-Q259)*($G$7-$E$7)*($G$7-$F$7))))</f>
        <v>0.877631446307414</v>
      </c>
      <c r="D259" s="37" t="n">
        <f aca="false">1+IF($G$8=$E$8,$F$8,IF(R259&lt;($F$8-$E$8)/($G$8-$E$8),$E$8+SQRT(R259*($G$8-$E$8)*($F$8-$E$8)),$G$8-SQRT((1-R259)*($G$8-$E$8)*($G$8-$F$8))))</f>
        <v>1.00192840317018</v>
      </c>
      <c r="E259" s="37" t="n">
        <f aca="false">1+IF($G$9=$E$9,$F$9,IF(S259&lt;($F$9-$E$9)/($G$9-$E$9),$E$9+SQRT(S259*($G$9-$E$9)*($F$9-$E$9)),$G$9-SQRT((1-S259)*($G$9-$E$9)*($G$9-$F$9))))</f>
        <v>0.992155589198151</v>
      </c>
      <c r="F259" s="37" t="n">
        <f aca="false">1+IF($G$10=$E$10,$F$10,IF(T259&lt;($F$10-$E$10)/($G$10-$E$10),$E$10+SQRT(T259*($G$10-$E$10)*($F$10-$E$10)),$G$10-SQRT((1-T259)*($G$10-$E$10)*($G$10-$F$10))))</f>
        <v>1.02026290515365</v>
      </c>
      <c r="G259" s="38" t="n">
        <f aca="false">IF($G$11=$E$11,$F$11,IF(U259&lt;($F$11-$E$11)/($G$11-$E$11),$E$11+SQRT(U259*($G$11-$E$11)*($F$11-$E$11)),$G$11-SQRT((1-U259)*($G$11-$E$11)*($G$11-$F$11))))</f>
        <v>0.102789396794873</v>
      </c>
      <c r="H259" s="39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-2040525810.3073</v>
      </c>
      <c r="I259" s="39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-41928061.5591542</v>
      </c>
      <c r="J259" s="39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203263221.309311</v>
      </c>
      <c r="K259" s="39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499467649.43546</v>
      </c>
      <c r="L259" s="39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610537096.477133</v>
      </c>
      <c r="M259" s="39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771901703.280819</v>
      </c>
      <c r="N259" s="39" t="n">
        <f aca="false">IF(COUNT('Business Case'!B11:G11)=0,"",H259+NPV(G259,I259:M259))</f>
        <v>-652930146.739055</v>
      </c>
      <c r="P259" s="40" t="n">
        <f aca="true">RAND()</f>
        <v>0.301922628099991</v>
      </c>
      <c r="Q259" s="40" t="n">
        <f aca="true">RAND()</f>
        <v>0.233725412720471</v>
      </c>
      <c r="R259" s="40" t="n">
        <f aca="true">RAND()</f>
        <v>0.358797459683246</v>
      </c>
      <c r="S259" s="40" t="n">
        <f aca="true">RAND()</f>
        <v>0.339706104818334</v>
      </c>
      <c r="T259" s="40" t="n">
        <f aca="true">RAND()</f>
        <v>0.296278230020791</v>
      </c>
      <c r="U259" s="40" t="n">
        <f aca="true">RAND()</f>
        <v>0.506388715475437</v>
      </c>
    </row>
    <row r="260" customFormat="false" ht="15" hidden="false" customHeight="false" outlineLevel="0" collapsed="false">
      <c r="A260" s="36" t="n">
        <v>180</v>
      </c>
      <c r="B260" s="37" t="n">
        <f aca="false">1+IF($G$6=$E$6,$F$6,IF(P260&lt;($F$6-$E$6)/($G$6-$E$6),$E$6+SQRT(P260*($G$6-$E$6)*($F$6-$E$6)),$G$6-SQRT((1-P260)*($G$6-$E$6)*($G$6-$F$6))))</f>
        <v>1.01147066104337</v>
      </c>
      <c r="C260" s="37" t="n">
        <f aca="false">1+IF($G$7=$E$7,$F$7,IF(Q260&lt;($F$7-$E$7)/($G$7-$E$7),$E$7+SQRT(Q260*($G$7-$E$7)*($F$7-$E$7)),$G$7-SQRT((1-Q260)*($G$7-$E$7)*($G$7-$F$7))))</f>
        <v>0.960518740008516</v>
      </c>
      <c r="D260" s="37" t="n">
        <f aca="false">1+IF($G$8=$E$8,$F$8,IF(R260&lt;($F$8-$E$8)/($G$8-$E$8),$E$8+SQRT(R260*($G$8-$E$8)*($F$8-$E$8)),$G$8-SQRT((1-R260)*($G$8-$E$8)*($G$8-$F$8))))</f>
        <v>0.982406409459342</v>
      </c>
      <c r="E260" s="37" t="n">
        <f aca="false">1+IF($G$9=$E$9,$F$9,IF(S260&lt;($F$9-$E$9)/($G$9-$E$9),$E$9+SQRT(S260*($G$9-$E$9)*($F$9-$E$9)),$G$9-SQRT((1-S260)*($G$9-$E$9)*($G$9-$F$9))))</f>
        <v>0.958541874357955</v>
      </c>
      <c r="F260" s="37" t="n">
        <f aca="false">1+IF($G$10=$E$10,$F$10,IF(T260&lt;($F$10-$E$10)/($G$10-$E$10),$E$10+SQRT(T260*($G$10-$E$10)*($F$10-$E$10)),$G$10-SQRT((1-T260)*($G$10-$E$10)*($G$10-$F$10))))</f>
        <v>1.05692951684207</v>
      </c>
      <c r="G260" s="38" t="n">
        <f aca="false">IF($G$11=$E$11,$F$11,IF(U260&lt;($F$11-$E$11)/($G$11-$E$11),$E$11+SQRT(U260*($G$11-$E$11)*($F$11-$E$11)),$G$11-SQRT((1-U260)*($G$11-$E$11)*($G$11-$F$11))))</f>
        <v>0.0893569421573657</v>
      </c>
      <c r="H260" s="39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-2113859033.68413</v>
      </c>
      <c r="I260" s="39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20338473.9420616</v>
      </c>
      <c r="J260" s="39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333039007.552897</v>
      </c>
      <c r="K260" s="39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698586017.005835</v>
      </c>
      <c r="L260" s="39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836395830.510023</v>
      </c>
      <c r="M260" s="39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1021065493.1632</v>
      </c>
      <c r="N260" s="39" t="n">
        <f aca="false">IF(COUNT('Business Case'!B11:G11)=0,"",H260+NPV(G260,I260:M260))</f>
        <v>-14645348.5316896</v>
      </c>
      <c r="P260" s="40" t="n">
        <f aca="true">RAND()</f>
        <v>0.80206533860869</v>
      </c>
      <c r="Q260" s="40" t="n">
        <f aca="true">RAND()</f>
        <v>0.502740843671297</v>
      </c>
      <c r="R260" s="40" t="n">
        <f aca="true">RAND()</f>
        <v>0.140023383206206</v>
      </c>
      <c r="S260" s="40" t="n">
        <f aca="true">RAND()</f>
        <v>0.137086042133702</v>
      </c>
      <c r="T260" s="40" t="n">
        <f aca="true">RAND()</f>
        <v>0.502983847108821</v>
      </c>
      <c r="U260" s="40" t="n">
        <f aca="true">RAND()</f>
        <v>0.0875523665362867</v>
      </c>
    </row>
    <row r="261" customFormat="false" ht="15" hidden="false" customHeight="false" outlineLevel="0" collapsed="false">
      <c r="A261" s="36" t="n">
        <v>181</v>
      </c>
      <c r="B261" s="37" t="n">
        <f aca="false">1+IF($G$6=$E$6,$F$6,IF(P261&lt;($F$6-$E$6)/($G$6-$E$6),$E$6+SQRT(P261*($G$6-$E$6)*($F$6-$E$6)),$G$6-SQRT((1-P261)*($G$6-$E$6)*($G$6-$F$6))))</f>
        <v>0.982293426916677</v>
      </c>
      <c r="C261" s="37" t="n">
        <f aca="false">1+IF($G$7=$E$7,$F$7,IF(Q261&lt;($F$7-$E$7)/($G$7-$E$7),$E$7+SQRT(Q261*($G$7-$E$7)*($F$7-$E$7)),$G$7-SQRT((1-Q261)*($G$7-$E$7)*($G$7-$F$7))))</f>
        <v>1.03736428623279</v>
      </c>
      <c r="D261" s="37" t="n">
        <f aca="false">1+IF($G$8=$E$8,$F$8,IF(R261&lt;($F$8-$E$8)/($G$8-$E$8),$E$8+SQRT(R261*($G$8-$E$8)*($F$8-$E$8)),$G$8-SQRT((1-R261)*($G$8-$E$8)*($G$8-$F$8))))</f>
        <v>0.99125947382631</v>
      </c>
      <c r="E261" s="37" t="n">
        <f aca="false">1+IF($G$9=$E$9,$F$9,IF(S261&lt;($F$9-$E$9)/($G$9-$E$9),$E$9+SQRT(S261*($G$9-$E$9)*($F$9-$E$9)),$G$9-SQRT((1-S261)*($G$9-$E$9)*($G$9-$F$9))))</f>
        <v>1.03043366836376</v>
      </c>
      <c r="F261" s="37" t="n">
        <f aca="false">1+IF($G$10=$E$10,$F$10,IF(T261&lt;($F$10-$E$10)/($G$10-$E$10),$E$10+SQRT(T261*($G$10-$E$10)*($F$10-$E$10)),$G$10-SQRT((1-T261)*($G$10-$E$10)*($G$10-$F$10))))</f>
        <v>1.15990437893377</v>
      </c>
      <c r="G261" s="38" t="n">
        <f aca="false">IF($G$11=$E$11,$F$11,IF(U261&lt;($F$11-$E$11)/($G$11-$E$11),$E$11+SQRT(U261*($G$11-$E$11)*($F$11-$E$11)),$G$11-SQRT((1-U261)*($G$11-$E$11)*($G$11-$F$11))))</f>
        <v>0.0883721218124304</v>
      </c>
      <c r="H261" s="39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-2319808757.86754</v>
      </c>
      <c r="I261" s="39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-7117565.24985026</v>
      </c>
      <c r="J261" s="39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301107733.879451</v>
      </c>
      <c r="K261" s="39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667328251.955441</v>
      </c>
      <c r="L261" s="39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805286524.228174</v>
      </c>
      <c r="M261" s="39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998977306.657818</v>
      </c>
      <c r="N261" s="39" t="n">
        <f aca="false">IF(COUNT('Business Case'!B11:G11)=0,"",H261+NPV(G261,I261:M261))</f>
        <v>-326495001.288712</v>
      </c>
      <c r="P261" s="40" t="n">
        <f aca="true">RAND()</f>
        <v>0.451480540912693</v>
      </c>
      <c r="Q261" s="40" t="n">
        <f aca="true">RAND()</f>
        <v>0.812047347913335</v>
      </c>
      <c r="R261" s="40" t="n">
        <f aca="true">RAND()</f>
        <v>0.226979224056526</v>
      </c>
      <c r="S261" s="40" t="n">
        <f aca="true">RAND()</f>
        <v>0.618770462374705</v>
      </c>
      <c r="T261" s="40" t="n">
        <f aca="true">RAND()</f>
        <v>0.891770387529206</v>
      </c>
      <c r="U261" s="40" t="n">
        <f aca="true">RAND()</f>
        <v>0.0700924236421721</v>
      </c>
    </row>
    <row r="262" customFormat="false" ht="15" hidden="false" customHeight="false" outlineLevel="0" collapsed="false">
      <c r="A262" s="36" t="n">
        <v>182</v>
      </c>
      <c r="B262" s="37" t="n">
        <f aca="false">1+IF($G$6=$E$6,$F$6,IF(P262&lt;($F$6-$E$6)/($G$6-$E$6),$E$6+SQRT(P262*($G$6-$E$6)*($F$6-$E$6)),$G$6-SQRT((1-P262)*($G$6-$E$6)*($G$6-$F$6))))</f>
        <v>0.985085118389671</v>
      </c>
      <c r="C262" s="37" t="n">
        <f aca="false">1+IF($G$7=$E$7,$F$7,IF(Q262&lt;($F$7-$E$7)/($G$7-$E$7),$E$7+SQRT(Q262*($G$7-$E$7)*($F$7-$E$7)),$G$7-SQRT((1-Q262)*($G$7-$E$7)*($G$7-$F$7))))</f>
        <v>0.970473597624647</v>
      </c>
      <c r="D262" s="37" t="n">
        <f aca="false">1+IF($G$8=$E$8,$F$8,IF(R262&lt;($F$8-$E$8)/($G$8-$E$8),$E$8+SQRT(R262*($G$8-$E$8)*($F$8-$E$8)),$G$8-SQRT((1-R262)*($G$8-$E$8)*($G$8-$F$8))))</f>
        <v>1.01088681390349</v>
      </c>
      <c r="E262" s="37" t="n">
        <f aca="false">1+IF($G$9=$E$9,$F$9,IF(S262&lt;($F$9-$E$9)/($G$9-$E$9),$E$9+SQRT(S262*($G$9-$E$9)*($F$9-$E$9)),$G$9-SQRT((1-S262)*($G$9-$E$9)*($G$9-$F$9))))</f>
        <v>1.05132967869015</v>
      </c>
      <c r="F262" s="37" t="n">
        <f aca="false">1+IF($G$10=$E$10,$F$10,IF(T262&lt;($F$10-$E$10)/($G$10-$E$10),$E$10+SQRT(T262*($G$10-$E$10)*($F$10-$E$10)),$G$10-SQRT((1-T262)*($G$10-$E$10)*($G$10-$F$10))))</f>
        <v>1.20519465789718</v>
      </c>
      <c r="G262" s="38" t="n">
        <f aca="false">IF($G$11=$E$11,$F$11,IF(U262&lt;($F$11-$E$11)/($G$11-$E$11),$E$11+SQRT(U262*($G$11-$E$11)*($F$11-$E$11)),$G$11-SQRT((1-U262)*($G$11-$E$11)*($G$11-$F$11))))</f>
        <v>0.0861415530606487</v>
      </c>
      <c r="H262" s="39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-2410389315.79436</v>
      </c>
      <c r="I262" s="39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-38758911.5012016</v>
      </c>
      <c r="J262" s="39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242059716.379371</v>
      </c>
      <c r="K262" s="39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583138077.154802</v>
      </c>
      <c r="L262" s="39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709783615.303204</v>
      </c>
      <c r="M262" s="39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891499924.005032</v>
      </c>
      <c r="N262" s="39" t="n">
        <f aca="false">IF(COUNT('Business Case'!B11:G11)=0,"",H262+NPV(G262,I262:M262))</f>
        <v>-685991179.035406</v>
      </c>
      <c r="P262" s="40" t="n">
        <f aca="true">RAND()</f>
        <v>0.482631824758958</v>
      </c>
      <c r="Q262" s="40" t="n">
        <f aca="true">RAND()</f>
        <v>0.541896051940885</v>
      </c>
      <c r="R262" s="40" t="n">
        <f aca="true">RAND()</f>
        <v>0.470589337581917</v>
      </c>
      <c r="S262" s="40" t="n">
        <f aca="true">RAND()</f>
        <v>0.74037780513628</v>
      </c>
      <c r="T262" s="40" t="n">
        <f aca="true">RAND()</f>
        <v>0.973233084253991</v>
      </c>
      <c r="U262" s="40" t="n">
        <f aca="true">RAND()</f>
        <v>0.0377186739967635</v>
      </c>
    </row>
    <row r="263" customFormat="false" ht="15" hidden="false" customHeight="false" outlineLevel="0" collapsed="false">
      <c r="A263" s="36" t="n">
        <v>183</v>
      </c>
      <c r="B263" s="37" t="n">
        <f aca="false">1+IF($G$6=$E$6,$F$6,IF(P263&lt;($F$6-$E$6)/($G$6-$E$6),$E$6+SQRT(P263*($G$6-$E$6)*($F$6-$E$6)),$G$6-SQRT((1-P263)*($G$6-$E$6)*($G$6-$F$6))))</f>
        <v>0.934684491208584</v>
      </c>
      <c r="C263" s="37" t="n">
        <f aca="false">1+IF($G$7=$E$7,$F$7,IF(Q263&lt;($F$7-$E$7)/($G$7-$E$7),$E$7+SQRT(Q263*($G$7-$E$7)*($F$7-$E$7)),$G$7-SQRT((1-Q263)*($G$7-$E$7)*($G$7-$F$7))))</f>
        <v>1.06557869044695</v>
      </c>
      <c r="D263" s="37" t="n">
        <f aca="false">1+IF($G$8=$E$8,$F$8,IF(R263&lt;($F$8-$E$8)/($G$8-$E$8),$E$8+SQRT(R263*($G$8-$E$8)*($F$8-$E$8)),$G$8-SQRT((1-R263)*($G$8-$E$8)*($G$8-$F$8))))</f>
        <v>1.03185004944144</v>
      </c>
      <c r="E263" s="37" t="n">
        <f aca="false">1+IF($G$9=$E$9,$F$9,IF(S263&lt;($F$9-$E$9)/($G$9-$E$9),$E$9+SQRT(S263*($G$9-$E$9)*($F$9-$E$9)),$G$9-SQRT((1-S263)*($G$9-$E$9)*($G$9-$F$9))))</f>
        <v>1.05713815153094</v>
      </c>
      <c r="F263" s="37" t="n">
        <f aca="false">1+IF($G$10=$E$10,$F$10,IF(T263&lt;($F$10-$E$10)/($G$10-$E$10),$E$10+SQRT(T263*($G$10-$E$10)*($F$10-$E$10)),$G$10-SQRT((1-T263)*($G$10-$E$10)*($G$10-$F$10))))</f>
        <v>0.961408798639037</v>
      </c>
      <c r="G263" s="38" t="n">
        <f aca="false">IF($G$11=$E$11,$F$11,IF(U263&lt;($F$11-$E$11)/($G$11-$E$11),$E$11+SQRT(U263*($G$11-$E$11)*($F$11-$E$11)),$G$11-SQRT((1-U263)*($G$11-$E$11)*($G$11-$F$11))))</f>
        <v>0.10762151563798</v>
      </c>
      <c r="H263" s="39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-1922817597.27807</v>
      </c>
      <c r="I263" s="39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-45183252.6037332</v>
      </c>
      <c r="J263" s="39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207731016.58236</v>
      </c>
      <c r="K263" s="39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508715725.700405</v>
      </c>
      <c r="L263" s="39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627441546.614584</v>
      </c>
      <c r="M263" s="39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816757401.468067</v>
      </c>
      <c r="N263" s="39" t="n">
        <f aca="false">IF(COUNT('Business Case'!B11:G11)=0,"",H263+NPV(G263,I263:M263))</f>
        <v>-513107426.895237</v>
      </c>
      <c r="P263" s="40" t="n">
        <f aca="true">RAND()</f>
        <v>0.0802009286932211</v>
      </c>
      <c r="Q263" s="40" t="n">
        <f aca="true">RAND()</f>
        <v>0.8944154443459</v>
      </c>
      <c r="R263" s="40" t="n">
        <f aca="true">RAND()</f>
        <v>0.690372282591081</v>
      </c>
      <c r="S263" s="40" t="n">
        <f aca="true">RAND()</f>
        <v>0.770044722637606</v>
      </c>
      <c r="T263" s="40" t="n">
        <f aca="true">RAND()</f>
        <v>0.0086773790924057</v>
      </c>
      <c r="U263" s="40" t="n">
        <f aca="true">RAND()</f>
        <v>0.666135625105877</v>
      </c>
    </row>
    <row r="264" customFormat="false" ht="15" hidden="false" customHeight="false" outlineLevel="0" collapsed="false">
      <c r="A264" s="36" t="n">
        <v>184</v>
      </c>
      <c r="B264" s="37" t="n">
        <f aca="false">1+IF($G$6=$E$6,$F$6,IF(P264&lt;($F$6-$E$6)/($G$6-$E$6),$E$6+SQRT(P264*($G$6-$E$6)*($F$6-$E$6)),$G$6-SQRT((1-P264)*($G$6-$E$6)*($G$6-$F$6))))</f>
        <v>0.992887072651406</v>
      </c>
      <c r="C264" s="37" t="n">
        <f aca="false">1+IF($G$7=$E$7,$F$7,IF(Q264&lt;($F$7-$E$7)/($G$7-$E$7),$E$7+SQRT(Q264*($G$7-$E$7)*($F$7-$E$7)),$G$7-SQRT((1-Q264)*($G$7-$E$7)*($G$7-$F$7))))</f>
        <v>1.11287069257196</v>
      </c>
      <c r="D264" s="37" t="n">
        <f aca="false">1+IF($G$8=$E$8,$F$8,IF(R264&lt;($F$8-$E$8)/($G$8-$E$8),$E$8+SQRT(R264*($G$8-$E$8)*($F$8-$E$8)),$G$8-SQRT((1-R264)*($G$8-$E$8)*($G$8-$F$8))))</f>
        <v>1.02551734457256</v>
      </c>
      <c r="E264" s="37" t="n">
        <f aca="false">1+IF($G$9=$E$9,$F$9,IF(S264&lt;($F$9-$E$9)/($G$9-$E$9),$E$9+SQRT(S264*($G$9-$E$9)*($F$9-$E$9)),$G$9-SQRT((1-S264)*($G$9-$E$9)*($G$9-$F$9))))</f>
        <v>1.08712108431179</v>
      </c>
      <c r="F264" s="37" t="n">
        <f aca="false">1+IF($G$10=$E$10,$F$10,IF(T264&lt;($F$10-$E$10)/($G$10-$E$10),$E$10+SQRT(T264*($G$10-$E$10)*($F$10-$E$10)),$G$10-SQRT((1-T264)*($G$10-$E$10)*($G$10-$F$10))))</f>
        <v>1.0775951810252</v>
      </c>
      <c r="G264" s="38" t="n">
        <f aca="false">IF($G$11=$E$11,$F$11,IF(U264&lt;($F$11-$E$11)/($G$11-$E$11),$E$11+SQRT(U264*($G$11-$E$11)*($F$11-$E$11)),$G$11-SQRT((1-U264)*($G$11-$E$11)*($G$11-$F$11))))</f>
        <v>0.108477255447322</v>
      </c>
      <c r="H264" s="39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-2155190362.0504</v>
      </c>
      <c r="I264" s="39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1170624.43872598</v>
      </c>
      <c r="J264" s="39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321970248.438979</v>
      </c>
      <c r="K264" s="39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696649631.490492</v>
      </c>
      <c r="L264" s="39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841770081.67049</v>
      </c>
      <c r="M264" s="39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1051799913.66002</v>
      </c>
      <c r="N264" s="39" t="n">
        <f aca="false">IF(COUNT('Business Case'!B11:G11)=0,"",H264+NPV(G264,I264:M264))</f>
        <v>-194566779.794965</v>
      </c>
      <c r="P264" s="40" t="n">
        <f aca="true">RAND()</f>
        <v>0.575200551049835</v>
      </c>
      <c r="Q264" s="40" t="n">
        <f aca="true">RAND()</f>
        <v>0.979576511554284</v>
      </c>
      <c r="R264" s="40" t="n">
        <f aca="true">RAND()</f>
        <v>0.630155602698499</v>
      </c>
      <c r="S264" s="40" t="n">
        <f aca="true">RAND()</f>
        <v>0.894566452316664</v>
      </c>
      <c r="T264" s="40" t="n">
        <f aca="true">RAND()</f>
        <v>0.603687711923558</v>
      </c>
      <c r="U264" s="40" t="n">
        <f aca="true">RAND()</f>
        <v>0.69118097794679</v>
      </c>
    </row>
    <row r="265" customFormat="false" ht="15" hidden="false" customHeight="false" outlineLevel="0" collapsed="false">
      <c r="A265" s="36" t="n">
        <v>185</v>
      </c>
      <c r="B265" s="37" t="n">
        <f aca="false">1+IF($G$6=$E$6,$F$6,IF(P265&lt;($F$6-$E$6)/($G$6-$E$6),$E$6+SQRT(P265*($G$6-$E$6)*($F$6-$E$6)),$G$6-SQRT((1-P265)*($G$6-$E$6)*($G$6-$F$6))))</f>
        <v>0.978462090155342</v>
      </c>
      <c r="C265" s="37" t="n">
        <f aca="false">1+IF($G$7=$E$7,$F$7,IF(Q265&lt;($F$7-$E$7)/($G$7-$E$7),$E$7+SQRT(Q265*($G$7-$E$7)*($F$7-$E$7)),$G$7-SQRT((1-Q265)*($G$7-$E$7)*($G$7-$F$7))))</f>
        <v>0.939078036218461</v>
      </c>
      <c r="D265" s="37" t="n">
        <f aca="false">1+IF($G$8=$E$8,$F$8,IF(R265&lt;($F$8-$E$8)/($G$8-$E$8),$E$8+SQRT(R265*($G$8-$E$8)*($F$8-$E$8)),$G$8-SQRT((1-R265)*($G$8-$E$8)*($G$8-$F$8))))</f>
        <v>0.99074306243328</v>
      </c>
      <c r="E265" s="37" t="n">
        <f aca="false">1+IF($G$9=$E$9,$F$9,IF(S265&lt;($F$9-$E$9)/($G$9-$E$9),$E$9+SQRT(S265*($G$9-$E$9)*($F$9-$E$9)),$G$9-SQRT((1-S265)*($G$9-$E$9)*($G$9-$F$9))))</f>
        <v>1.11300403153623</v>
      </c>
      <c r="F265" s="37" t="n">
        <f aca="false">1+IF($G$10=$E$10,$F$10,IF(T265&lt;($F$10-$E$10)/($G$10-$E$10),$E$10+SQRT(T265*($G$10-$E$10)*($F$10-$E$10)),$G$10-SQRT((1-T265)*($G$10-$E$10)*($G$10-$F$10))))</f>
        <v>1.04514383901343</v>
      </c>
      <c r="G265" s="38" t="n">
        <f aca="false">IF($G$11=$E$11,$F$11,IF(U265&lt;($F$11-$E$11)/($G$11-$E$11),$E$11+SQRT(U265*($G$11-$E$11)*($F$11-$E$11)),$G$11-SQRT((1-U265)*($G$11-$E$11)*($G$11-$F$11))))</f>
        <v>0.106248049487999</v>
      </c>
      <c r="H265" s="39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-2090287678.02685</v>
      </c>
      <c r="I265" s="39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-34093415.993705</v>
      </c>
      <c r="J265" s="39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242230026.260221</v>
      </c>
      <c r="K265" s="39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570810660.464818</v>
      </c>
      <c r="L265" s="39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694674008.590685</v>
      </c>
      <c r="M265" s="39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869329445.817421</v>
      </c>
      <c r="N265" s="39" t="n">
        <f aca="false">IF(COUNT('Business Case'!B11:G11)=0,"",H265+NPV(G265,I265:M265))</f>
        <v>-512982612.701113</v>
      </c>
      <c r="P265" s="40" t="n">
        <f aca="true">RAND()</f>
        <v>0.410419972769663</v>
      </c>
      <c r="Q265" s="40" t="n">
        <f aca="true">RAND()</f>
        <v>0.423394869645006</v>
      </c>
      <c r="R265" s="40" t="n">
        <f aca="true">RAND()</f>
        <v>0.221332951525615</v>
      </c>
      <c r="S265" s="40" t="n">
        <f aca="true">RAND()</f>
        <v>0.963501288464731</v>
      </c>
      <c r="T265" s="40" t="n">
        <f aca="true">RAND()</f>
        <v>0.440452710744575</v>
      </c>
      <c r="U265" s="40" t="n">
        <f aca="true">RAND()</f>
        <v>0.623896564583628</v>
      </c>
    </row>
    <row r="266" customFormat="false" ht="15" hidden="false" customHeight="false" outlineLevel="0" collapsed="false">
      <c r="A266" s="36" t="n">
        <v>186</v>
      </c>
      <c r="B266" s="37" t="n">
        <f aca="false">1+IF($G$6=$E$6,$F$6,IF(P266&lt;($F$6-$E$6)/($G$6-$E$6),$E$6+SQRT(P266*($G$6-$E$6)*($F$6-$E$6)),$G$6-SQRT((1-P266)*($G$6-$E$6)*($G$6-$F$6))))</f>
        <v>1.02804530609608</v>
      </c>
      <c r="C266" s="37" t="n">
        <f aca="false">1+IF($G$7=$E$7,$F$7,IF(Q266&lt;($F$7-$E$7)/($G$7-$E$7),$E$7+SQRT(Q266*($G$7-$E$7)*($F$7-$E$7)),$G$7-SQRT((1-Q266)*($G$7-$E$7)*($G$7-$F$7))))</f>
        <v>1.04183199174344</v>
      </c>
      <c r="D266" s="37" t="n">
        <f aca="false">1+IF($G$8=$E$8,$F$8,IF(R266&lt;($F$8-$E$8)/($G$8-$E$8),$E$8+SQRT(R266*($G$8-$E$8)*($F$8-$E$8)),$G$8-SQRT((1-R266)*($G$8-$E$8)*($G$8-$F$8))))</f>
        <v>0.984552228657999</v>
      </c>
      <c r="E266" s="37" t="n">
        <f aca="false">1+IF($G$9=$E$9,$F$9,IF(S266&lt;($F$9-$E$9)/($G$9-$E$9),$E$9+SQRT(S266*($G$9-$E$9)*($F$9-$E$9)),$G$9-SQRT((1-S266)*($G$9-$E$9)*($G$9-$F$9))))</f>
        <v>1.01296072455305</v>
      </c>
      <c r="F266" s="37" t="n">
        <f aca="false">1+IF($G$10=$E$10,$F$10,IF(T266&lt;($F$10-$E$10)/($G$10-$E$10),$E$10+SQRT(T266*($G$10-$E$10)*($F$10-$E$10)),$G$10-SQRT((1-T266)*($G$10-$E$10)*($G$10-$F$10))))</f>
        <v>1.01325873212398</v>
      </c>
      <c r="G266" s="38" t="n">
        <f aca="false">IF($G$11=$E$11,$F$11,IF(U266&lt;($F$11-$E$11)/($G$11-$E$11),$E$11+SQRT(U266*($G$11-$E$11)*($F$11-$E$11)),$G$11-SQRT((1-U266)*($G$11-$E$11)*($G$11-$F$11))))</f>
        <v>0.097425637436572</v>
      </c>
      <c r="H266" s="39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-2026517464.24796</v>
      </c>
      <c r="I266" s="39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51279518.668845</v>
      </c>
      <c r="J266" s="39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403451182.923649</v>
      </c>
      <c r="K266" s="39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806285783.78465</v>
      </c>
      <c r="L266" s="39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960691843.430997</v>
      </c>
      <c r="M266" s="39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1164277120.35209</v>
      </c>
      <c r="N266" s="39" t="n">
        <f aca="false">IF(COUNT('Business Case'!B11:G11)=0,"",H266+NPV(G266,I266:M266))</f>
        <v>359041856.587191</v>
      </c>
      <c r="P266" s="40" t="n">
        <f aca="true">RAND()</f>
        <v>0.935732188744695</v>
      </c>
      <c r="Q266" s="40" t="n">
        <f aca="true">RAND()</f>
        <v>0.82666195540458</v>
      </c>
      <c r="R266" s="40" t="n">
        <f aca="true">RAND()</f>
        <v>0.15918086736462</v>
      </c>
      <c r="S266" s="40" t="n">
        <f aca="true">RAND()</f>
        <v>0.49920631959931</v>
      </c>
      <c r="T266" s="40" t="n">
        <f aca="true">RAND()</f>
        <v>0.252714294459389</v>
      </c>
      <c r="U266" s="40" t="n">
        <f aca="true">RAND()</f>
        <v>0.30365284007086</v>
      </c>
    </row>
    <row r="267" customFormat="false" ht="15" hidden="false" customHeight="false" outlineLevel="0" collapsed="false">
      <c r="A267" s="36" t="n">
        <v>187</v>
      </c>
      <c r="B267" s="37" t="n">
        <f aca="false">1+IF($G$6=$E$6,$F$6,IF(P267&lt;($F$6-$E$6)/($G$6-$E$6),$E$6+SQRT(P267*($G$6-$E$6)*($F$6-$E$6)),$G$6-SQRT((1-P267)*($G$6-$E$6)*($G$6-$F$6))))</f>
        <v>1.01428537984316</v>
      </c>
      <c r="C267" s="37" t="n">
        <f aca="false">1+IF($G$7=$E$7,$F$7,IF(Q267&lt;($F$7-$E$7)/($G$7-$E$7),$E$7+SQRT(Q267*($G$7-$E$7)*($F$7-$E$7)),$G$7-SQRT((1-Q267)*($G$7-$E$7)*($G$7-$F$7))))</f>
        <v>1.03807074868519</v>
      </c>
      <c r="D267" s="37" t="n">
        <f aca="false">1+IF($G$8=$E$8,$F$8,IF(R267&lt;($F$8-$E$8)/($G$8-$E$8),$E$8+SQRT(R267*($G$8-$E$8)*($F$8-$E$8)),$G$8-SQRT((1-R267)*($G$8-$E$8)*($G$8-$F$8))))</f>
        <v>1.02695038685867</v>
      </c>
      <c r="E267" s="37" t="n">
        <f aca="false">1+IF($G$9=$E$9,$F$9,IF(S267&lt;($F$9-$E$9)/($G$9-$E$9),$E$9+SQRT(S267*($G$9-$E$9)*($F$9-$E$9)),$G$9-SQRT((1-S267)*($G$9-$E$9)*($G$9-$F$9))))</f>
        <v>1.11804802442363</v>
      </c>
      <c r="F267" s="37" t="n">
        <f aca="false">1+IF($G$10=$E$10,$F$10,IF(T267&lt;($F$10-$E$10)/($G$10-$E$10),$E$10+SQRT(T267*($G$10-$E$10)*($F$10-$E$10)),$G$10-SQRT((1-T267)*($G$10-$E$10)*($G$10-$F$10))))</f>
        <v>1.03554906392308</v>
      </c>
      <c r="G267" s="38" t="n">
        <f aca="false">IF($G$11=$E$11,$F$11,IF(U267&lt;($F$11-$E$11)/($G$11-$E$11),$E$11+SQRT(U267*($G$11-$E$11)*($F$11-$E$11)),$G$11-SQRT((1-U267)*($G$11-$E$11)*($G$11-$F$11))))</f>
        <v>0.112054233983493</v>
      </c>
      <c r="H267" s="39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-2071098127.84616</v>
      </c>
      <c r="I267" s="39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-453635.806982204</v>
      </c>
      <c r="J267" s="39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316216399.002982</v>
      </c>
      <c r="K267" s="39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684663887.009101</v>
      </c>
      <c r="L267" s="39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826608788.713489</v>
      </c>
      <c r="M267" s="39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1026744017.60268</v>
      </c>
      <c r="N267" s="39" t="n">
        <f aca="false">IF(COUNT('Business Case'!B11:G11)=0,"",H267+NPV(G267,I267:M267))</f>
        <v>-173737806.001201</v>
      </c>
      <c r="P267" s="40" t="n">
        <f aca="true">RAND()</f>
        <v>0.829928787607005</v>
      </c>
      <c r="Q267" s="40" t="n">
        <f aca="true">RAND()</f>
        <v>0.814397669631217</v>
      </c>
      <c r="R267" s="40" t="n">
        <f aca="true">RAND()</f>
        <v>0.644250267993451</v>
      </c>
      <c r="S267" s="40" t="n">
        <f aca="true">RAND()</f>
        <v>0.972775233513784</v>
      </c>
      <c r="T267" s="40" t="n">
        <f aca="true">RAND()</f>
        <v>0.386810613543113</v>
      </c>
      <c r="U267" s="40" t="n">
        <f aca="true">RAND()</f>
        <v>0.785299654720523</v>
      </c>
    </row>
    <row r="268" customFormat="false" ht="15" hidden="false" customHeight="false" outlineLevel="0" collapsed="false">
      <c r="A268" s="36" t="n">
        <v>188</v>
      </c>
      <c r="B268" s="37" t="n">
        <f aca="false">1+IF($G$6=$E$6,$F$6,IF(P268&lt;($F$6-$E$6)/($G$6-$E$6),$E$6+SQRT(P268*($G$6-$E$6)*($F$6-$E$6)),$G$6-SQRT((1-P268)*($G$6-$E$6)*($G$6-$F$6))))</f>
        <v>1.00276223485977</v>
      </c>
      <c r="C268" s="37" t="n">
        <f aca="false">1+IF($G$7=$E$7,$F$7,IF(Q268&lt;($F$7-$E$7)/($G$7-$E$7),$E$7+SQRT(Q268*($G$7-$E$7)*($F$7-$E$7)),$G$7-SQRT((1-Q268)*($G$7-$E$7)*($G$7-$F$7))))</f>
        <v>1.01074337822314</v>
      </c>
      <c r="D268" s="37" t="n">
        <f aca="false">1+IF($G$8=$E$8,$F$8,IF(R268&lt;($F$8-$E$8)/($G$8-$E$8),$E$8+SQRT(R268*($G$8-$E$8)*($F$8-$E$8)),$G$8-SQRT((1-R268)*($G$8-$E$8)*($G$8-$F$8))))</f>
        <v>1.04034219119331</v>
      </c>
      <c r="E268" s="37" t="n">
        <f aca="false">1+IF($G$9=$E$9,$F$9,IF(S268&lt;($F$9-$E$9)/($G$9-$E$9),$E$9+SQRT(S268*($G$9-$E$9)*($F$9-$E$9)),$G$9-SQRT((1-S268)*($G$9-$E$9)*($G$9-$F$9))))</f>
        <v>1.05495835630585</v>
      </c>
      <c r="F268" s="37" t="n">
        <f aca="false">1+IF($G$10=$E$10,$F$10,IF(T268&lt;($F$10-$E$10)/($G$10-$E$10),$E$10+SQRT(T268*($G$10-$E$10)*($F$10-$E$10)),$G$10-SQRT((1-T268)*($G$10-$E$10)*($G$10-$F$10))))</f>
        <v>1.02377196446847</v>
      </c>
      <c r="G268" s="38" t="n">
        <f aca="false">IF($G$11=$E$11,$F$11,IF(U268&lt;($F$11-$E$11)/($G$11-$E$11),$E$11+SQRT(U268*($G$11-$E$11)*($F$11-$E$11)),$G$11-SQRT((1-U268)*($G$11-$E$11)*($G$11-$F$11))))</f>
        <v>0.125716387075275</v>
      </c>
      <c r="H268" s="39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-2047543928.93695</v>
      </c>
      <c r="I268" s="39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-13069164.673028</v>
      </c>
      <c r="J268" s="39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278795614.739744</v>
      </c>
      <c r="K268" s="39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621848992.375939</v>
      </c>
      <c r="L268" s="39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754165031.761703</v>
      </c>
      <c r="M268" s="39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946817819.459992</v>
      </c>
      <c r="N268" s="39" t="n">
        <f aca="false">IF(COUNT('Business Case'!B11:G11)=0,"",H268+NPV(G268,I268:M268))</f>
        <v>-409868664.982075</v>
      </c>
      <c r="P268" s="40" t="n">
        <f aca="true">RAND()</f>
        <v>0.702479139274237</v>
      </c>
      <c r="Q268" s="40" t="n">
        <f aca="true">RAND()</f>
        <v>0.712705085796998</v>
      </c>
      <c r="R268" s="40" t="n">
        <f aca="true">RAND()</f>
        <v>0.762729723225615</v>
      </c>
      <c r="S268" s="40" t="n">
        <f aca="true">RAND()</f>
        <v>0.759122292371032</v>
      </c>
      <c r="T268" s="40" t="n">
        <f aca="true">RAND()</f>
        <v>0.317611679193956</v>
      </c>
      <c r="U268" s="40" t="n">
        <f aca="true">RAND()</f>
        <v>0.987767106874084</v>
      </c>
    </row>
    <row r="269" customFormat="false" ht="15" hidden="false" customHeight="false" outlineLevel="0" collapsed="false">
      <c r="A269" s="36" t="n">
        <v>189</v>
      </c>
      <c r="B269" s="37" t="n">
        <f aca="false">1+IF($G$6=$E$6,$F$6,IF(P269&lt;($F$6-$E$6)/($G$6-$E$6),$E$6+SQRT(P269*($G$6-$E$6)*($F$6-$E$6)),$G$6-SQRT((1-P269)*($G$6-$E$6)*($G$6-$F$6))))</f>
        <v>0.986137141611803</v>
      </c>
      <c r="C269" s="37" t="n">
        <f aca="false">1+IF($G$7=$E$7,$F$7,IF(Q269&lt;($F$7-$E$7)/($G$7-$E$7),$E$7+SQRT(Q269*($G$7-$E$7)*($F$7-$E$7)),$G$7-SQRT((1-Q269)*($G$7-$E$7)*($G$7-$F$7))))</f>
        <v>1.05571322318736</v>
      </c>
      <c r="D269" s="37" t="n">
        <f aca="false">1+IF($G$8=$E$8,$F$8,IF(R269&lt;($F$8-$E$8)/($G$8-$E$8),$E$8+SQRT(R269*($G$8-$E$8)*($F$8-$E$8)),$G$8-SQRT((1-R269)*($G$8-$E$8)*($G$8-$F$8))))</f>
        <v>1.00581736101076</v>
      </c>
      <c r="E269" s="37" t="n">
        <f aca="false">1+IF($G$9=$E$9,$F$9,IF(S269&lt;($F$9-$E$9)/($G$9-$E$9),$E$9+SQRT(S269*($G$9-$E$9)*($F$9-$E$9)),$G$9-SQRT((1-S269)*($G$9-$E$9)*($G$9-$F$9))))</f>
        <v>1.0164796198691</v>
      </c>
      <c r="F269" s="37" t="n">
        <f aca="false">1+IF($G$10=$E$10,$F$10,IF(T269&lt;($F$10-$E$10)/($G$10-$E$10),$E$10+SQRT(T269*($G$10-$E$10)*($F$10-$E$10)),$G$10-SQRT((1-T269)*($G$10-$E$10)*($G$10-$F$10))))</f>
        <v>1.04294551223677</v>
      </c>
      <c r="G269" s="38" t="n">
        <f aca="false">IF($G$11=$E$11,$F$11,IF(U269&lt;($F$11-$E$11)/($G$11-$E$11),$E$11+SQRT(U269*($G$11-$E$11)*($F$11-$E$11)),$G$11-SQRT((1-U269)*($G$11-$E$11)*($G$11-$F$11))))</f>
        <v>0.114136352774763</v>
      </c>
      <c r="H269" s="39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-2085891024.47353</v>
      </c>
      <c r="I269" s="39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6325766.53540163</v>
      </c>
      <c r="J269" s="39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315458970.810961</v>
      </c>
      <c r="K269" s="39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676739450.698359</v>
      </c>
      <c r="L269" s="39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815763508.504275</v>
      </c>
      <c r="M269" s="39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1013651618.59829</v>
      </c>
      <c r="N269" s="39" t="n">
        <f aca="false">IF(COUNT('Business Case'!B11:G11)=0,"",H269+NPV(G269,I269:M269))</f>
        <v>-216840374.680109</v>
      </c>
      <c r="P269" s="40" t="n">
        <f aca="true">RAND()</f>
        <v>0.494640477670115</v>
      </c>
      <c r="Q269" s="40" t="n">
        <f aca="true">RAND()</f>
        <v>0.868296351381975</v>
      </c>
      <c r="R269" s="40" t="n">
        <f aca="true">RAND()</f>
        <v>0.408642034201514</v>
      </c>
      <c r="S269" s="40" t="n">
        <f aca="true">RAND()</f>
        <v>0.524594882391971</v>
      </c>
      <c r="T269" s="40" t="n">
        <f aca="true">RAND()</f>
        <v>0.428379187961393</v>
      </c>
      <c r="U269" s="40" t="n">
        <f aca="true">RAND()</f>
        <v>0.83222979780882</v>
      </c>
    </row>
    <row r="270" customFormat="false" ht="15" hidden="false" customHeight="false" outlineLevel="0" collapsed="false">
      <c r="A270" s="36" t="n">
        <v>190</v>
      </c>
      <c r="B270" s="37" t="n">
        <f aca="false">1+IF($G$6=$E$6,$F$6,IF(P270&lt;($F$6-$E$6)/($G$6-$E$6),$E$6+SQRT(P270*($G$6-$E$6)*($F$6-$E$6)),$G$6-SQRT((1-P270)*($G$6-$E$6)*($G$6-$F$6))))</f>
        <v>1.00493146219448</v>
      </c>
      <c r="C270" s="37" t="n">
        <f aca="false">1+IF($G$7=$E$7,$F$7,IF(Q270&lt;($F$7-$E$7)/($G$7-$E$7),$E$7+SQRT(Q270*($G$7-$E$7)*($F$7-$E$7)),$G$7-SQRT((1-Q270)*($G$7-$E$7)*($G$7-$F$7))))</f>
        <v>0.918405178778071</v>
      </c>
      <c r="D270" s="37" t="n">
        <f aca="false">1+IF($G$8=$E$8,$F$8,IF(R270&lt;($F$8-$E$8)/($G$8-$E$8),$E$8+SQRT(R270*($G$8-$E$8)*($F$8-$E$8)),$G$8-SQRT((1-R270)*($G$8-$E$8)*($G$8-$F$8))))</f>
        <v>0.998776069760989</v>
      </c>
      <c r="E270" s="37" t="n">
        <f aca="false">1+IF($G$9=$E$9,$F$9,IF(S270&lt;($F$9-$E$9)/($G$9-$E$9),$E$9+SQRT(S270*($G$9-$E$9)*($F$9-$E$9)),$G$9-SQRT((1-S270)*($G$9-$E$9)*($G$9-$F$9))))</f>
        <v>1.01326443768397</v>
      </c>
      <c r="F270" s="37" t="n">
        <f aca="false">1+IF($G$10=$E$10,$F$10,IF(T270&lt;($F$10-$E$10)/($G$10-$E$10),$E$10+SQRT(T270*($G$10-$E$10)*($F$10-$E$10)),$G$10-SQRT((1-T270)*($G$10-$E$10)*($G$10-$F$10))))</f>
        <v>0.990048325447279</v>
      </c>
      <c r="G270" s="38" t="n">
        <f aca="false">IF($G$11=$E$11,$F$11,IF(U270&lt;($F$11-$E$11)/($G$11-$E$11),$E$11+SQRT(U270*($G$11-$E$11)*($F$11-$E$11)),$G$11-SQRT((1-U270)*($G$11-$E$11)*($G$11-$F$11))))</f>
        <v>0.0934487807239479</v>
      </c>
      <c r="H270" s="39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-1980096650.89456</v>
      </c>
      <c r="I270" s="39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-4560886.37535068</v>
      </c>
      <c r="J270" s="39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281814174.829429</v>
      </c>
      <c r="K270" s="39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617691652.306574</v>
      </c>
      <c r="L270" s="39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745046614.039329</v>
      </c>
      <c r="M270" s="39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920477958.027385</v>
      </c>
      <c r="N270" s="39" t="n">
        <f aca="false">IF(COUNT('Business Case'!B11:G11)=0,"",H270+NPV(G270,I270:M270))</f>
        <v>-166037279.660729</v>
      </c>
      <c r="P270" s="40" t="n">
        <f aca="true">RAND()</f>
        <v>0.729176920009601</v>
      </c>
      <c r="Q270" s="40" t="n">
        <f aca="true">RAND()</f>
        <v>0.353339423089489</v>
      </c>
      <c r="R270" s="40" t="n">
        <f aca="true">RAND()</f>
        <v>0.317213997510514</v>
      </c>
      <c r="S270" s="40" t="n">
        <f aca="true">RAND()</f>
        <v>0.501423626616486</v>
      </c>
      <c r="T270" s="40" t="n">
        <f aca="true">RAND()</f>
        <v>0.106924558075413</v>
      </c>
      <c r="U270" s="40" t="n">
        <f aca="true">RAND()</f>
        <v>0.180869702960833</v>
      </c>
    </row>
    <row r="271" customFormat="false" ht="15" hidden="false" customHeight="false" outlineLevel="0" collapsed="false">
      <c r="A271" s="36" t="n">
        <v>191</v>
      </c>
      <c r="B271" s="37" t="n">
        <f aca="false">1+IF($G$6=$E$6,$F$6,IF(P271&lt;($F$6-$E$6)/($G$6-$E$6),$E$6+SQRT(P271*($G$6-$E$6)*($F$6-$E$6)),$G$6-SQRT((1-P271)*($G$6-$E$6)*($G$6-$F$6))))</f>
        <v>0.986757885176327</v>
      </c>
      <c r="C271" s="37" t="n">
        <f aca="false">1+IF($G$7=$E$7,$F$7,IF(Q271&lt;($F$7-$E$7)/($G$7-$E$7),$E$7+SQRT(Q271*($G$7-$E$7)*($F$7-$E$7)),$G$7-SQRT((1-Q271)*($G$7-$E$7)*($G$7-$F$7))))</f>
        <v>1.06994651426759</v>
      </c>
      <c r="D271" s="37" t="n">
        <f aca="false">1+IF($G$8=$E$8,$F$8,IF(R271&lt;($F$8-$E$8)/($G$8-$E$8),$E$8+SQRT(R271*($G$8-$E$8)*($F$8-$E$8)),$G$8-SQRT((1-R271)*($G$8-$E$8)*($G$8-$F$8))))</f>
        <v>1.0504075067706</v>
      </c>
      <c r="E271" s="37" t="n">
        <f aca="false">1+IF($G$9=$E$9,$F$9,IF(S271&lt;($F$9-$E$9)/($G$9-$E$9),$E$9+SQRT(S271*($G$9-$E$9)*($F$9-$E$9)),$G$9-SQRT((1-S271)*($G$9-$E$9)*($G$9-$F$9))))</f>
        <v>1.08384513277221</v>
      </c>
      <c r="F271" s="37" t="n">
        <f aca="false">1+IF($G$10=$E$10,$F$10,IF(T271&lt;($F$10-$E$10)/($G$10-$E$10),$E$10+SQRT(T271*($G$10-$E$10)*($F$10-$E$10)),$G$10-SQRT((1-T271)*($G$10-$E$10)*($G$10-$F$10))))</f>
        <v>1.09517435014958</v>
      </c>
      <c r="G271" s="38" t="n">
        <f aca="false">IF($G$11=$E$11,$F$11,IF(U271&lt;($F$11-$E$11)/($G$11-$E$11),$E$11+SQRT(U271*($G$11-$E$11)*($F$11-$E$11)),$G$11-SQRT((1-U271)*($G$11-$E$11)*($G$11-$F$11))))</f>
        <v>0.111596103812654</v>
      </c>
      <c r="H271" s="39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-2190348700.29917</v>
      </c>
      <c r="I271" s="39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-28949996.9268507</v>
      </c>
      <c r="J271" s="39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260471758.838782</v>
      </c>
      <c r="K271" s="39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604652232.111895</v>
      </c>
      <c r="L271" s="39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737613843.898651</v>
      </c>
      <c r="M271" s="39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938296156.488814</v>
      </c>
      <c r="N271" s="39" t="n">
        <f aca="false">IF(COUNT('Business Case'!B11:G11)=0,"",H271+NPV(G271,I271:M271))</f>
        <v>-529428219.633414</v>
      </c>
      <c r="P271" s="40" t="n">
        <f aca="true">RAND()</f>
        <v>0.501795376017916</v>
      </c>
      <c r="Q271" s="40" t="n">
        <f aca="true">RAND()</f>
        <v>0.905058361808764</v>
      </c>
      <c r="R271" s="40" t="n">
        <f aca="true">RAND()</f>
        <v>0.8360389743528</v>
      </c>
      <c r="S271" s="40" t="n">
        <f aca="true">RAND()</f>
        <v>0.88329422778862</v>
      </c>
      <c r="T271" s="40" t="n">
        <f aca="true">RAND()</f>
        <v>0.680386908645278</v>
      </c>
      <c r="U271" s="40" t="n">
        <f aca="true">RAND()</f>
        <v>0.774197736750258</v>
      </c>
    </row>
    <row r="272" customFormat="false" ht="15" hidden="false" customHeight="false" outlineLevel="0" collapsed="false">
      <c r="A272" s="36" t="n">
        <v>192</v>
      </c>
      <c r="B272" s="37" t="n">
        <f aca="false">1+IF($G$6=$E$6,$F$6,IF(P272&lt;($F$6-$E$6)/($G$6-$E$6),$E$6+SQRT(P272*($G$6-$E$6)*($F$6-$E$6)),$G$6-SQRT((1-P272)*($G$6-$E$6)*($G$6-$F$6))))</f>
        <v>1.03988369505294</v>
      </c>
      <c r="C272" s="37" t="n">
        <f aca="false">1+IF($G$7=$E$7,$F$7,IF(Q272&lt;($F$7-$E$7)/($G$7-$E$7),$E$7+SQRT(Q272*($G$7-$E$7)*($F$7-$E$7)),$G$7-SQRT((1-Q272)*($G$7-$E$7)*($G$7-$F$7))))</f>
        <v>0.987315993598868</v>
      </c>
      <c r="D272" s="37" t="n">
        <f aca="false">1+IF($G$8=$E$8,$F$8,IF(R272&lt;($F$8-$E$8)/($G$8-$E$8),$E$8+SQRT(R272*($G$8-$E$8)*($F$8-$E$8)),$G$8-SQRT((1-R272)*($G$8-$E$8)*($G$8-$F$8))))</f>
        <v>0.968374463874487</v>
      </c>
      <c r="E272" s="37" t="n">
        <f aca="false">1+IF($G$9=$E$9,$F$9,IF(S272&lt;($F$9-$E$9)/($G$9-$E$9),$E$9+SQRT(S272*($G$9-$E$9)*($F$9-$E$9)),$G$9-SQRT((1-S272)*($G$9-$E$9)*($G$9-$F$9))))</f>
        <v>1.02076150944114</v>
      </c>
      <c r="F272" s="37" t="n">
        <f aca="false">1+IF($G$10=$E$10,$F$10,IF(T272&lt;($F$10-$E$10)/($G$10-$E$10),$E$10+SQRT(T272*($G$10-$E$10)*($F$10-$E$10)),$G$10-SQRT((1-T272)*($G$10-$E$10)*($G$10-$F$10))))</f>
        <v>1.16075615850223</v>
      </c>
      <c r="G272" s="38" t="n">
        <f aca="false">IF($G$11=$E$11,$F$11,IF(U272&lt;($F$11-$E$11)/($G$11-$E$11),$E$11+SQRT(U272*($G$11-$E$11)*($F$11-$E$11)),$G$11-SQRT((1-U272)*($G$11-$E$11)*($G$11-$F$11))))</f>
        <v>0.121761245670163</v>
      </c>
      <c r="H272" s="39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-2321512317.00446</v>
      </c>
      <c r="I272" s="39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37042028.0253334</v>
      </c>
      <c r="J272" s="39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388535765.322482</v>
      </c>
      <c r="K272" s="39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798067310.544743</v>
      </c>
      <c r="L272" s="39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950714427.496501</v>
      </c>
      <c r="M272" s="39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1145868385.6864</v>
      </c>
      <c r="N272" s="39" t="n">
        <f aca="false">IF(COUNT('Business Case'!B11:G11)=0,"",H272+NPV(G272,I272:M272))</f>
        <v>-168828585.242265</v>
      </c>
      <c r="P272" s="40" t="n">
        <f aca="true">RAND()</f>
        <v>0.986354716562423</v>
      </c>
      <c r="Q272" s="40" t="n">
        <f aca="true">RAND()</f>
        <v>0.611485038353369</v>
      </c>
      <c r="R272" s="40" t="n">
        <f aca="true">RAND()</f>
        <v>0.0450161230233117</v>
      </c>
      <c r="S272" s="40" t="n">
        <f aca="true">RAND()</f>
        <v>0.554597668215132</v>
      </c>
      <c r="T272" s="40" t="n">
        <f aca="true">RAND()</f>
        <v>0.893807156729614</v>
      </c>
      <c r="U272" s="40" t="n">
        <f aca="true">RAND()</f>
        <v>0.954748618061726</v>
      </c>
    </row>
    <row r="273" customFormat="false" ht="15" hidden="false" customHeight="false" outlineLevel="0" collapsed="false">
      <c r="A273" s="36" t="n">
        <v>193</v>
      </c>
      <c r="B273" s="37" t="n">
        <f aca="false">1+IF($G$6=$E$6,$F$6,IF(P273&lt;($F$6-$E$6)/($G$6-$E$6),$E$6+SQRT(P273*($G$6-$E$6)*($F$6-$E$6)),$G$6-SQRT((1-P273)*($G$6-$E$6)*($G$6-$F$6))))</f>
        <v>1.01350584619708</v>
      </c>
      <c r="C273" s="37" t="n">
        <f aca="false">1+IF($G$7=$E$7,$F$7,IF(Q273&lt;($F$7-$E$7)/($G$7-$E$7),$E$7+SQRT(Q273*($G$7-$E$7)*($F$7-$E$7)),$G$7-SQRT((1-Q273)*($G$7-$E$7)*($G$7-$F$7))))</f>
        <v>0.781295572170605</v>
      </c>
      <c r="D273" s="37" t="n">
        <f aca="false">1+IF($G$8=$E$8,$F$8,IF(R273&lt;($F$8-$E$8)/($G$8-$E$8),$E$8+SQRT(R273*($G$8-$E$8)*($F$8-$E$8)),$G$8-SQRT((1-R273)*($G$8-$E$8)*($G$8-$F$8))))</f>
        <v>1.00501553360843</v>
      </c>
      <c r="E273" s="37" t="n">
        <f aca="false">1+IF($G$9=$E$9,$F$9,IF(S273&lt;($F$9-$E$9)/($G$9-$E$9),$E$9+SQRT(S273*($G$9-$E$9)*($F$9-$E$9)),$G$9-SQRT((1-S273)*($G$9-$E$9)*($G$9-$F$9))))</f>
        <v>1.00892509004694</v>
      </c>
      <c r="F273" s="37" t="n">
        <f aca="false">1+IF($G$10=$E$10,$F$10,IF(T273&lt;($F$10-$E$10)/($G$10-$E$10),$E$10+SQRT(T273*($G$10-$E$10)*($F$10-$E$10)),$G$10-SQRT((1-T273)*($G$10-$E$10)*($G$10-$F$10))))</f>
        <v>1.05099525583071</v>
      </c>
      <c r="G273" s="38" t="n">
        <f aca="false">IF($G$11=$E$11,$F$11,IF(U273&lt;($F$11-$E$11)/($G$11-$E$11),$E$11+SQRT(U273*($G$11-$E$11)*($F$11-$E$11)),$G$11-SQRT((1-U273)*($G$11-$E$11)*($G$11-$F$11))))</f>
        <v>0.084861713523411</v>
      </c>
      <c r="H273" s="39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-2101990511.66141</v>
      </c>
      <c r="I273" s="39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-43004678.8124488</v>
      </c>
      <c r="J273" s="39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203608696.902193</v>
      </c>
      <c r="K273" s="39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502771835.408371</v>
      </c>
      <c r="L273" s="39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612342548.072815</v>
      </c>
      <c r="M273" s="39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762856945.583748</v>
      </c>
      <c r="N273" s="39" t="n">
        <f aca="false">IF(COUNT('Business Case'!B11:G11)=0,"",H273+NPV(G273,I273:M273))</f>
        <v>-625122028.13139</v>
      </c>
      <c r="P273" s="40" t="n">
        <f aca="true">RAND()</f>
        <v>0.822423565094545</v>
      </c>
      <c r="Q273" s="40" t="n">
        <f aca="true">RAND()</f>
        <v>0.0489553337373779</v>
      </c>
      <c r="R273" s="40" t="n">
        <f aca="true">RAND()</f>
        <v>0.398530076287259</v>
      </c>
      <c r="S273" s="40" t="n">
        <f aca="true">RAND()</f>
        <v>0.469276527512967</v>
      </c>
      <c r="T273" s="40" t="n">
        <f aca="true">RAND()</f>
        <v>0.471961490641518</v>
      </c>
      <c r="U273" s="40" t="n">
        <f aca="true">RAND()</f>
        <v>0.0236362583837177</v>
      </c>
    </row>
    <row r="274" customFormat="false" ht="15" hidden="false" customHeight="false" outlineLevel="0" collapsed="false">
      <c r="A274" s="36" t="n">
        <v>194</v>
      </c>
      <c r="B274" s="37" t="n">
        <f aca="false">1+IF($G$6=$E$6,$F$6,IF(P274&lt;($F$6-$E$6)/($G$6-$E$6),$E$6+SQRT(P274*($G$6-$E$6)*($F$6-$E$6)),$G$6-SQRT((1-P274)*($G$6-$E$6)*($G$6-$F$6))))</f>
        <v>0.983307818719883</v>
      </c>
      <c r="C274" s="37" t="n">
        <f aca="false">1+IF($G$7=$E$7,$F$7,IF(Q274&lt;($F$7-$E$7)/($G$7-$E$7),$E$7+SQRT(Q274*($G$7-$E$7)*($F$7-$E$7)),$G$7-SQRT((1-Q274)*($G$7-$E$7)*($G$7-$F$7))))</f>
        <v>0.879960970875954</v>
      </c>
      <c r="D274" s="37" t="n">
        <f aca="false">1+IF($G$8=$E$8,$F$8,IF(R274&lt;($F$8-$E$8)/($G$8-$E$8),$E$8+SQRT(R274*($G$8-$E$8)*($F$8-$E$8)),$G$8-SQRT((1-R274)*($G$8-$E$8)*($G$8-$F$8))))</f>
        <v>1.01975535547013</v>
      </c>
      <c r="E274" s="37" t="n">
        <f aca="false">1+IF($G$9=$E$9,$F$9,IF(S274&lt;($F$9-$E$9)/($G$9-$E$9),$E$9+SQRT(S274*($G$9-$E$9)*($F$9-$E$9)),$G$9-SQRT((1-S274)*($G$9-$E$9)*($G$9-$F$9))))</f>
        <v>1.06853492725055</v>
      </c>
      <c r="F274" s="37" t="n">
        <f aca="false">1+IF($G$10=$E$10,$F$10,IF(T274&lt;($F$10-$E$10)/($G$10-$E$10),$E$10+SQRT(T274*($G$10-$E$10)*($F$10-$E$10)),$G$10-SQRT((1-T274)*($G$10-$E$10)*($G$10-$F$10))))</f>
        <v>1.07672232589134</v>
      </c>
      <c r="G274" s="38" t="n">
        <f aca="false">IF($G$11=$E$11,$F$11,IF(U274&lt;($F$11-$E$11)/($G$11-$E$11),$E$11+SQRT(U274*($G$11-$E$11)*($F$11-$E$11)),$G$11-SQRT((1-U274)*($G$11-$E$11)*($G$11-$F$11))))</f>
        <v>0.101297457263998</v>
      </c>
      <c r="H274" s="39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-2153444651.78268</v>
      </c>
      <c r="I274" s="39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-55121954.038964</v>
      </c>
      <c r="J274" s="39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194229717.712976</v>
      </c>
      <c r="K274" s="39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497417505.759482</v>
      </c>
      <c r="L274" s="39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610438547.374623</v>
      </c>
      <c r="M274" s="39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774909544.712676</v>
      </c>
      <c r="N274" s="39" t="n">
        <f aca="false">IF(COUNT('Business Case'!B11:G11)=0,"",H274+NPV(G274,I274:M274))</f>
        <v>-777649579.323803</v>
      </c>
      <c r="P274" s="40" t="n">
        <f aca="true">RAND()</f>
        <v>0.462679510657663</v>
      </c>
      <c r="Q274" s="40" t="n">
        <f aca="true">RAND()</f>
        <v>0.239895933619378</v>
      </c>
      <c r="R274" s="40" t="n">
        <f aca="true">RAND()</f>
        <v>0.570719801618353</v>
      </c>
      <c r="S274" s="40" t="n">
        <f aca="true">RAND()</f>
        <v>0.823025117918042</v>
      </c>
      <c r="T274" s="40" t="n">
        <f aca="true">RAND()</f>
        <v>0.599664635406571</v>
      </c>
      <c r="U274" s="40" t="n">
        <f aca="true">RAND()</f>
        <v>0.450776026991987</v>
      </c>
    </row>
    <row r="275" customFormat="false" ht="15" hidden="false" customHeight="false" outlineLevel="0" collapsed="false">
      <c r="A275" s="36" t="n">
        <v>195</v>
      </c>
      <c r="B275" s="37" t="n">
        <f aca="false">1+IF($G$6=$E$6,$F$6,IF(P275&lt;($F$6-$E$6)/($G$6-$E$6),$E$6+SQRT(P275*($G$6-$E$6)*($F$6-$E$6)),$G$6-SQRT((1-P275)*($G$6-$E$6)*($G$6-$F$6))))</f>
        <v>1.00540925404581</v>
      </c>
      <c r="C275" s="37" t="n">
        <f aca="false">1+IF($G$7=$E$7,$F$7,IF(Q275&lt;($F$7-$E$7)/($G$7-$E$7),$E$7+SQRT(Q275*($G$7-$E$7)*($F$7-$E$7)),$G$7-SQRT((1-Q275)*($G$7-$E$7)*($G$7-$F$7))))</f>
        <v>0.936878999352484</v>
      </c>
      <c r="D275" s="37" t="n">
        <f aca="false">1+IF($G$8=$E$8,$F$8,IF(R275&lt;($F$8-$E$8)/($G$8-$E$8),$E$8+SQRT(R275*($G$8-$E$8)*($F$8-$E$8)),$G$8-SQRT((1-R275)*($G$8-$E$8)*($G$8-$F$8))))</f>
        <v>1.06329830161877</v>
      </c>
      <c r="E275" s="37" t="n">
        <f aca="false">1+IF($G$9=$E$9,$F$9,IF(S275&lt;($F$9-$E$9)/($G$9-$E$9),$E$9+SQRT(S275*($G$9-$E$9)*($F$9-$E$9)),$G$9-SQRT((1-S275)*($G$9-$E$9)*($G$9-$F$9))))</f>
        <v>1.12320722625189</v>
      </c>
      <c r="F275" s="37" t="n">
        <f aca="false">1+IF($G$10=$E$10,$F$10,IF(T275&lt;($F$10-$E$10)/($G$10-$E$10),$E$10+SQRT(T275*($G$10-$E$10)*($F$10-$E$10)),$G$10-SQRT((1-T275)*($G$10-$E$10)*($G$10-$F$10))))</f>
        <v>1.08373292792453</v>
      </c>
      <c r="G275" s="38" t="n">
        <f aca="false">IF($G$11=$E$11,$F$11,IF(U275&lt;($F$11-$E$11)/($G$11-$E$11),$E$11+SQRT(U275*($G$11-$E$11)*($F$11-$E$11)),$G$11-SQRT((1-U275)*($G$11-$E$11)*($G$11-$F$11))))</f>
        <v>0.0998165383600046</v>
      </c>
      <c r="H275" s="39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-2167465855.84905</v>
      </c>
      <c r="I275" s="39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-55367032.9867701</v>
      </c>
      <c r="J275" s="39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206189817.32664</v>
      </c>
      <c r="K275" s="39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521933314.036276</v>
      </c>
      <c r="L275" s="39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641672612.763885</v>
      </c>
      <c r="M275" s="39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820717863.524486</v>
      </c>
      <c r="N275" s="39" t="n">
        <f aca="false">IF(COUNT('Business Case'!B11:G11)=0,"",H275+NPV(G275,I275:M275))</f>
        <v>-706423825.551814</v>
      </c>
      <c r="P275" s="40" t="n">
        <f aca="true">RAND()</f>
        <v>0.7348887166998</v>
      </c>
      <c r="Q275" s="40" t="n">
        <f aca="true">RAND()</f>
        <v>0.415641928401733</v>
      </c>
      <c r="R275" s="40" t="n">
        <f aca="true">RAND()</f>
        <v>0.910199022395569</v>
      </c>
      <c r="S275" s="40" t="n">
        <f aca="true">RAND()</f>
        <v>0.98085726066353</v>
      </c>
      <c r="T275" s="40" t="n">
        <f aca="true">RAND()</f>
        <v>0.631403476579323</v>
      </c>
      <c r="U275" s="40" t="n">
        <f aca="true">RAND()</f>
        <v>0.392695192573535</v>
      </c>
    </row>
    <row r="276" customFormat="false" ht="15" hidden="false" customHeight="false" outlineLevel="0" collapsed="false">
      <c r="A276" s="36" t="n">
        <v>196</v>
      </c>
      <c r="B276" s="37" t="n">
        <f aca="false">1+IF($G$6=$E$6,$F$6,IF(P276&lt;($F$6-$E$6)/($G$6-$E$6),$E$6+SQRT(P276*($G$6-$E$6)*($F$6-$E$6)),$G$6-SQRT((1-P276)*($G$6-$E$6)*($G$6-$F$6))))</f>
        <v>0.982159108407916</v>
      </c>
      <c r="C276" s="37" t="n">
        <f aca="false">1+IF($G$7=$E$7,$F$7,IF(Q276&lt;($F$7-$E$7)/($G$7-$E$7),$E$7+SQRT(Q276*($G$7-$E$7)*($F$7-$E$7)),$G$7-SQRT((1-Q276)*($G$7-$E$7)*($G$7-$F$7))))</f>
        <v>1.05868746620654</v>
      </c>
      <c r="D276" s="37" t="n">
        <f aca="false">1+IF($G$8=$E$8,$F$8,IF(R276&lt;($F$8-$E$8)/($G$8-$E$8),$E$8+SQRT(R276*($G$8-$E$8)*($F$8-$E$8)),$G$8-SQRT((1-R276)*($G$8-$E$8)*($G$8-$F$8))))</f>
        <v>1.0461121691328</v>
      </c>
      <c r="E276" s="37" t="n">
        <f aca="false">1+IF($G$9=$E$9,$F$9,IF(S276&lt;($F$9-$E$9)/($G$9-$E$9),$E$9+SQRT(S276*($G$9-$E$9)*($F$9-$E$9)),$G$9-SQRT((1-S276)*($G$9-$E$9)*($G$9-$F$9))))</f>
        <v>1.04415871206513</v>
      </c>
      <c r="F276" s="37" t="n">
        <f aca="false">1+IF($G$10=$E$10,$F$10,IF(T276&lt;($F$10-$E$10)/($G$10-$E$10),$E$10+SQRT(T276*($G$10-$E$10)*($F$10-$E$10)),$G$10-SQRT((1-T276)*($G$10-$E$10)*($G$10-$F$10))))</f>
        <v>1.00389373745127</v>
      </c>
      <c r="G276" s="38" t="n">
        <f aca="false">IF($G$11=$E$11,$F$11,IF(U276&lt;($F$11-$E$11)/($G$11-$E$11),$E$11+SQRT(U276*($G$11-$E$11)*($F$11-$E$11)),$G$11-SQRT((1-U276)*($G$11-$E$11)*($G$11-$F$11))))</f>
        <v>0.0970971468671881</v>
      </c>
      <c r="H276" s="39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-2007787474.90255</v>
      </c>
      <c r="I276" s="39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-18055654.0314607</v>
      </c>
      <c r="J276" s="39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266660642.582191</v>
      </c>
      <c r="K276" s="39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601571626.068406</v>
      </c>
      <c r="L276" s="39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732412530.302506</v>
      </c>
      <c r="M276" s="39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930057626.465026</v>
      </c>
      <c r="N276" s="39" t="n">
        <f aca="false">IF(COUNT('Business Case'!B11:G11)=0,"",H276+NPV(G276,I276:M276))</f>
        <v>-256393481.065384</v>
      </c>
      <c r="P276" s="40" t="n">
        <f aca="true">RAND()</f>
        <v>0.45000793962558</v>
      </c>
      <c r="Q276" s="40" t="n">
        <f aca="true">RAND()</f>
        <v>0.876474387736554</v>
      </c>
      <c r="R276" s="40" t="n">
        <f aca="true">RAND()</f>
        <v>0.806406778961895</v>
      </c>
      <c r="S276" s="40" t="n">
        <f aca="true">RAND()</f>
        <v>0.701269913820992</v>
      </c>
      <c r="T276" s="40" t="n">
        <f aca="true">RAND()</f>
        <v>0.192422767123968</v>
      </c>
      <c r="U276" s="40" t="n">
        <f aca="true">RAND()</f>
        <v>0.292312430998199</v>
      </c>
    </row>
    <row r="277" customFormat="false" ht="15" hidden="false" customHeight="false" outlineLevel="0" collapsed="false">
      <c r="A277" s="36" t="n">
        <v>197</v>
      </c>
      <c r="B277" s="37" t="n">
        <f aca="false">1+IF($G$6=$E$6,$F$6,IF(P277&lt;($F$6-$E$6)/($G$6-$E$6),$E$6+SQRT(P277*($G$6-$E$6)*($F$6-$E$6)),$G$6-SQRT((1-P277)*($G$6-$E$6)*($G$6-$F$6))))</f>
        <v>1.00274786060345</v>
      </c>
      <c r="C277" s="37" t="n">
        <f aca="false">1+IF($G$7=$E$7,$F$7,IF(Q277&lt;($F$7-$E$7)/($G$7-$E$7),$E$7+SQRT(Q277*($G$7-$E$7)*($F$7-$E$7)),$G$7-SQRT((1-Q277)*($G$7-$E$7)*($G$7-$F$7))))</f>
        <v>0.790766582102036</v>
      </c>
      <c r="D277" s="37" t="n">
        <f aca="false">1+IF($G$8=$E$8,$F$8,IF(R277&lt;($F$8-$E$8)/($G$8-$E$8),$E$8+SQRT(R277*($G$8-$E$8)*($F$8-$E$8)),$G$8-SQRT((1-R277)*($G$8-$E$8)*($G$8-$F$8))))</f>
        <v>0.956787656157648</v>
      </c>
      <c r="E277" s="37" t="n">
        <f aca="false">1+IF($G$9=$E$9,$F$9,IF(S277&lt;($F$9-$E$9)/($G$9-$E$9),$E$9+SQRT(S277*($G$9-$E$9)*($F$9-$E$9)),$G$9-SQRT((1-S277)*($G$9-$E$9)*($G$9-$F$9))))</f>
        <v>1.05949451500092</v>
      </c>
      <c r="F277" s="37" t="n">
        <f aca="false">1+IF($G$10=$E$10,$F$10,IF(T277&lt;($F$10-$E$10)/($G$10-$E$10),$E$10+SQRT(T277*($G$10-$E$10)*($F$10-$E$10)),$G$10-SQRT((1-T277)*($G$10-$E$10)*($G$10-$F$10))))</f>
        <v>1.04598461056118</v>
      </c>
      <c r="G277" s="38" t="n">
        <f aca="false">IF($G$11=$E$11,$F$11,IF(U277&lt;($F$11-$E$11)/($G$11-$E$11),$E$11+SQRT(U277*($G$11-$E$11)*($F$11-$E$11)),$G$11-SQRT((1-U277)*($G$11-$E$11)*($G$11-$F$11))))</f>
        <v>0.0972815725004488</v>
      </c>
      <c r="H277" s="39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-2091969221.12236</v>
      </c>
      <c r="I277" s="39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-34206496.9506161</v>
      </c>
      <c r="J277" s="39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227951570.787121</v>
      </c>
      <c r="K277" s="39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542408869.052917</v>
      </c>
      <c r="L277" s="39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657198880.698232</v>
      </c>
      <c r="M277" s="39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807920820.561616</v>
      </c>
      <c r="N277" s="39" t="n">
        <f aca="false">IF(COUNT('Business Case'!B11:G11)=0,"",H277+NPV(G277,I277:M277))</f>
        <v>-562022000.873145</v>
      </c>
      <c r="P277" s="40" t="n">
        <f aca="true">RAND()</f>
        <v>0.702298042993164</v>
      </c>
      <c r="Q277" s="40" t="n">
        <f aca="true">RAND()</f>
        <v>0.0610264624184119</v>
      </c>
      <c r="R277" s="40" t="n">
        <f aca="true">RAND()</f>
        <v>0.00614297014859478</v>
      </c>
      <c r="S277" s="40" t="n">
        <f aca="true">RAND()</f>
        <v>0.78156685826882</v>
      </c>
      <c r="T277" s="40" t="n">
        <f aca="true">RAND()</f>
        <v>0.445036278295034</v>
      </c>
      <c r="U277" s="40" t="n">
        <f aca="true">RAND()</f>
        <v>0.298652748088266</v>
      </c>
    </row>
    <row r="278" customFormat="false" ht="15" hidden="false" customHeight="false" outlineLevel="0" collapsed="false">
      <c r="A278" s="36" t="n">
        <v>198</v>
      </c>
      <c r="B278" s="37" t="n">
        <f aca="false">1+IF($G$6=$E$6,$F$6,IF(P278&lt;($F$6-$E$6)/($G$6-$E$6),$E$6+SQRT(P278*($G$6-$E$6)*($F$6-$E$6)),$G$6-SQRT((1-P278)*($G$6-$E$6)*($G$6-$F$6))))</f>
        <v>1.02503129345371</v>
      </c>
      <c r="C278" s="37" t="n">
        <f aca="false">1+IF($G$7=$E$7,$F$7,IF(Q278&lt;($F$7-$E$7)/($G$7-$E$7),$E$7+SQRT(Q278*($G$7-$E$7)*($F$7-$E$7)),$G$7-SQRT((1-Q278)*($G$7-$E$7)*($G$7-$F$7))))</f>
        <v>1.03201552579998</v>
      </c>
      <c r="D278" s="37" t="n">
        <f aca="false">1+IF($G$8=$E$8,$F$8,IF(R278&lt;($F$8-$E$8)/($G$8-$E$8),$E$8+SQRT(R278*($G$8-$E$8)*($F$8-$E$8)),$G$8-SQRT((1-R278)*($G$8-$E$8)*($G$8-$F$8))))</f>
        <v>1.01990829888078</v>
      </c>
      <c r="E278" s="37" t="n">
        <f aca="false">1+IF($G$9=$E$9,$F$9,IF(S278&lt;($F$9-$E$9)/($G$9-$E$9),$E$9+SQRT(S278*($G$9-$E$9)*($F$9-$E$9)),$G$9-SQRT((1-S278)*($G$9-$E$9)*($G$9-$F$9))))</f>
        <v>1.00105766707731</v>
      </c>
      <c r="F278" s="37" t="n">
        <f aca="false">1+IF($G$10=$E$10,$F$10,IF(T278&lt;($F$10-$E$10)/($G$10-$E$10),$E$10+SQRT(T278*($G$10-$E$10)*($F$10-$E$10)),$G$10-SQRT((1-T278)*($G$10-$E$10)*($G$10-$F$10))))</f>
        <v>1.01861089078242</v>
      </c>
      <c r="G278" s="38" t="n">
        <f aca="false">IF($G$11=$E$11,$F$11,IF(U278&lt;($F$11-$E$11)/($G$11-$E$11),$E$11+SQRT(U278*($G$11-$E$11)*($F$11-$E$11)),$G$11-SQRT((1-U278)*($G$11-$E$11)*($G$11-$F$11))))</f>
        <v>0.104911992781366</v>
      </c>
      <c r="H278" s="39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-2037221781.56484</v>
      </c>
      <c r="I278" s="39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28576378.7971848</v>
      </c>
      <c r="J278" s="39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356203098.099824</v>
      </c>
      <c r="K278" s="39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734760361.941585</v>
      </c>
      <c r="L278" s="39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880528502.488344</v>
      </c>
      <c r="M278" s="39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1081604290.10735</v>
      </c>
      <c r="N278" s="39" t="n">
        <f aca="false">IF(COUNT('Business Case'!B11:G11)=0,"",H278+NPV(G278,I278:M278))</f>
        <v>72703564.5108831</v>
      </c>
      <c r="P278" s="40" t="n">
        <f aca="true">RAND()</f>
        <v>0.916875159120703</v>
      </c>
      <c r="Q278" s="40" t="n">
        <f aca="true">RAND()</f>
        <v>0.793772797744357</v>
      </c>
      <c r="R278" s="40" t="n">
        <f aca="true">RAND()</f>
        <v>0.572354627455299</v>
      </c>
      <c r="S278" s="40" t="n">
        <f aca="true">RAND()</f>
        <v>0.408431505694569</v>
      </c>
      <c r="T278" s="40" t="n">
        <f aca="true">RAND()</f>
        <v>0.286121068473277</v>
      </c>
      <c r="U278" s="40" t="n">
        <f aca="true">RAND()</f>
        <v>0.580394595865194</v>
      </c>
    </row>
    <row r="279" customFormat="false" ht="15" hidden="false" customHeight="false" outlineLevel="0" collapsed="false">
      <c r="A279" s="36" t="n">
        <v>199</v>
      </c>
      <c r="B279" s="37" t="n">
        <f aca="false">1+IF($G$6=$E$6,$F$6,IF(P279&lt;($F$6-$E$6)/($G$6-$E$6),$E$6+SQRT(P279*($G$6-$E$6)*($F$6-$E$6)),$G$6-SQRT((1-P279)*($G$6-$E$6)*($G$6-$F$6))))</f>
        <v>1.00866904762117</v>
      </c>
      <c r="C279" s="37" t="n">
        <f aca="false">1+IF($G$7=$E$7,$F$7,IF(Q279&lt;($F$7-$E$7)/($G$7-$E$7),$E$7+SQRT(Q279*($G$7-$E$7)*($F$7-$E$7)),$G$7-SQRT((1-Q279)*($G$7-$E$7)*($G$7-$F$7))))</f>
        <v>0.897037906492215</v>
      </c>
      <c r="D279" s="37" t="n">
        <f aca="false">1+IF($G$8=$E$8,$F$8,IF(R279&lt;($F$8-$E$8)/($G$8-$E$8),$E$8+SQRT(R279*($G$8-$E$8)*($F$8-$E$8)),$G$8-SQRT((1-R279)*($G$8-$E$8)*($G$8-$F$8))))</f>
        <v>1.00121742766071</v>
      </c>
      <c r="E279" s="37" t="n">
        <f aca="false">1+IF($G$9=$E$9,$F$9,IF(S279&lt;($F$9-$E$9)/($G$9-$E$9),$E$9+SQRT(S279*($G$9-$E$9)*($F$9-$E$9)),$G$9-SQRT((1-S279)*($G$9-$E$9)*($G$9-$F$9))))</f>
        <v>0.981758697245597</v>
      </c>
      <c r="F279" s="37" t="n">
        <f aca="false">1+IF($G$10=$E$10,$F$10,IF(T279&lt;($F$10-$E$10)/($G$10-$E$10),$E$10+SQRT(T279*($G$10-$E$10)*($F$10-$E$10)),$G$10-SQRT((1-T279)*($G$10-$E$10)*($G$10-$F$10))))</f>
        <v>1.02032644644606</v>
      </c>
      <c r="G279" s="38" t="n">
        <f aca="false">IF($G$11=$E$11,$F$11,IF(U279&lt;($F$11-$E$11)/($G$11-$E$11),$E$11+SQRT(U279*($G$11-$E$11)*($F$11-$E$11)),$G$11-SQRT((1-U279)*($G$11-$E$11)*($G$11-$F$11))))</f>
        <v>0.108592798350409</v>
      </c>
      <c r="H279" s="39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-2040652892.89212</v>
      </c>
      <c r="I279" s="39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-7206894.08908577</v>
      </c>
      <c r="J279" s="39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274130520.19815</v>
      </c>
      <c r="K279" s="39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606484256.807688</v>
      </c>
      <c r="L279" s="39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731533779.559028</v>
      </c>
      <c r="M279" s="39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903520895.164797</v>
      </c>
      <c r="N279" s="39" t="n">
        <f aca="false">IF(COUNT('Business Case'!B11:G11)=0,"",H279+NPV(G279,I279:M279))</f>
        <v>-355008429.023225</v>
      </c>
      <c r="P279" s="40" t="n">
        <f aca="true">RAND()</f>
        <v>0.772233650061219</v>
      </c>
      <c r="Q279" s="40" t="n">
        <f aca="true">RAND()</f>
        <v>0.287584715517297</v>
      </c>
      <c r="R279" s="40" t="n">
        <f aca="true">RAND()</f>
        <v>0.349466893468847</v>
      </c>
      <c r="S279" s="40" t="n">
        <f aca="true">RAND()</f>
        <v>0.267379383011885</v>
      </c>
      <c r="T279" s="40" t="n">
        <f aca="true">RAND()</f>
        <v>0.296667450638734</v>
      </c>
      <c r="U279" s="40" t="n">
        <f aca="true">RAND()</f>
        <v>0.694487811689158</v>
      </c>
    </row>
    <row r="280" customFormat="false" ht="15" hidden="false" customHeight="false" outlineLevel="0" collapsed="false">
      <c r="A280" s="36" t="n">
        <v>200</v>
      </c>
      <c r="B280" s="37" t="n">
        <f aca="false">1+IF($G$6=$E$6,$F$6,IF(P280&lt;($F$6-$E$6)/($G$6-$E$6),$E$6+SQRT(P280*($G$6-$E$6)*($F$6-$E$6)),$G$6-SQRT((1-P280)*($G$6-$E$6)*($G$6-$F$6))))</f>
        <v>0.982193096771161</v>
      </c>
      <c r="C280" s="37" t="n">
        <f aca="false">1+IF($G$7=$E$7,$F$7,IF(Q280&lt;($F$7-$E$7)/($G$7-$E$7),$E$7+SQRT(Q280*($G$7-$E$7)*($F$7-$E$7)),$G$7-SQRT((1-Q280)*($G$7-$E$7)*($G$7-$F$7))))</f>
        <v>0.990794470274105</v>
      </c>
      <c r="D280" s="37" t="n">
        <f aca="false">1+IF($G$8=$E$8,$F$8,IF(R280&lt;($F$8-$E$8)/($G$8-$E$8),$E$8+SQRT(R280*($G$8-$E$8)*($F$8-$E$8)),$G$8-SQRT((1-R280)*($G$8-$E$8)*($G$8-$F$8))))</f>
        <v>0.973676901840727</v>
      </c>
      <c r="E280" s="37" t="n">
        <f aca="false">1+IF($G$9=$E$9,$F$9,IF(S280&lt;($F$9-$E$9)/($G$9-$E$9),$E$9+SQRT(S280*($G$9-$E$9)*($F$9-$E$9)),$G$9-SQRT((1-S280)*($G$9-$E$9)*($G$9-$F$9))))</f>
        <v>1.10157935253409</v>
      </c>
      <c r="F280" s="37" t="n">
        <f aca="false">1+IF($G$10=$E$10,$F$10,IF(T280&lt;($F$10-$E$10)/($G$10-$E$10),$E$10+SQRT(T280*($G$10-$E$10)*($F$10-$E$10)),$G$10-SQRT((1-T280)*($G$10-$E$10)*($G$10-$F$10))))</f>
        <v>0.974046962456821</v>
      </c>
      <c r="G280" s="38" t="n">
        <f aca="false">IF($G$11=$E$11,$F$11,IF(U280&lt;($F$11-$E$11)/($G$11-$E$11),$E$11+SQRT(U280*($G$11-$E$11)*($F$11-$E$11)),$G$11-SQRT((1-U280)*($G$11-$E$11)*($G$11-$F$11))))</f>
        <v>0.101326077016109</v>
      </c>
      <c r="H280" s="39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-1948093924.91364</v>
      </c>
      <c r="I280" s="39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-1272549.22612126</v>
      </c>
      <c r="J280" s="39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301952354.914701</v>
      </c>
      <c r="K280" s="39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653879607.178364</v>
      </c>
      <c r="L280" s="39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788586690.685915</v>
      </c>
      <c r="M280" s="39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973563325.719267</v>
      </c>
      <c r="N280" s="39" t="n">
        <f aca="false">IF(COUNT('Business Case'!B11:G11)=0,"",H280+NPV(G280,I280:M280))</f>
        <v>-73904082.0860913</v>
      </c>
      <c r="P280" s="40" t="n">
        <f aca="true">RAND()</f>
        <v>0.45038034378889</v>
      </c>
      <c r="Q280" s="40" t="n">
        <f aca="true">RAND()</f>
        <v>0.62638091808887</v>
      </c>
      <c r="R280" s="40" t="n">
        <f aca="true">RAND()</f>
        <v>0.0747460907700558</v>
      </c>
      <c r="S280" s="40" t="n">
        <f aca="true">RAND()</f>
        <v>0.937478423972849</v>
      </c>
      <c r="T280" s="40" t="n">
        <f aca="true">RAND()</f>
        <v>0.0385504268933176</v>
      </c>
      <c r="U280" s="40" t="n">
        <f aca="true">RAND()</f>
        <v>0.45187076047591</v>
      </c>
    </row>
    <row r="281" customFormat="false" ht="15" hidden="false" customHeight="false" outlineLevel="0" collapsed="false">
      <c r="A281" s="36" t="n">
        <v>201</v>
      </c>
      <c r="B281" s="37" t="n">
        <f aca="false">1+IF($G$6=$E$6,$F$6,IF(P281&lt;($F$6-$E$6)/($G$6-$E$6),$E$6+SQRT(P281*($G$6-$E$6)*($F$6-$E$6)),$G$6-SQRT((1-P281)*($G$6-$E$6)*($G$6-$F$6))))</f>
        <v>1.01793623042966</v>
      </c>
      <c r="C281" s="37" t="n">
        <f aca="false">1+IF($G$7=$E$7,$F$7,IF(Q281&lt;($F$7-$E$7)/($G$7-$E$7),$E$7+SQRT(Q281*($G$7-$E$7)*($F$7-$E$7)),$G$7-SQRT((1-Q281)*($G$7-$E$7)*($G$7-$F$7))))</f>
        <v>0.978840643231992</v>
      </c>
      <c r="D281" s="37" t="n">
        <f aca="false">1+IF($G$8=$E$8,$F$8,IF(R281&lt;($F$8-$E$8)/($G$8-$E$8),$E$8+SQRT(R281*($G$8-$E$8)*($F$8-$E$8)),$G$8-SQRT((1-R281)*($G$8-$E$8)*($G$8-$F$8))))</f>
        <v>0.998589925527579</v>
      </c>
      <c r="E281" s="37" t="n">
        <f aca="false">1+IF($G$9=$E$9,$F$9,IF(S281&lt;($F$9-$E$9)/($G$9-$E$9),$E$9+SQRT(S281*($G$9-$E$9)*($F$9-$E$9)),$G$9-SQRT((1-S281)*($G$9-$E$9)*($G$9-$F$9))))</f>
        <v>0.967624569997224</v>
      </c>
      <c r="F281" s="37" t="n">
        <f aca="false">1+IF($G$10=$E$10,$F$10,IF(T281&lt;($F$10-$E$10)/($G$10-$E$10),$E$10+SQRT(T281*($G$10-$E$10)*($F$10-$E$10)),$G$10-SQRT((1-T281)*($G$10-$E$10)*($G$10-$F$10))))</f>
        <v>1.23475810735644</v>
      </c>
      <c r="G281" s="38" t="n">
        <f aca="false">IF($G$11=$E$11,$F$11,IF(U281&lt;($F$11-$E$11)/($G$11-$E$11),$E$11+SQRT(U281*($G$11-$E$11)*($F$11-$E$11)),$G$11-SQRT((1-U281)*($G$11-$E$11)*($G$11-$F$11))))</f>
        <v>0.123020270144121</v>
      </c>
      <c r="H281" s="39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-2469516214.71288</v>
      </c>
      <c r="I281" s="39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3014380.00462954</v>
      </c>
      <c r="J281" s="39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318754023.45905</v>
      </c>
      <c r="K281" s="39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696231572.281292</v>
      </c>
      <c r="L281" s="39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835913612.673127</v>
      </c>
      <c r="M281" s="39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1025308821.82845</v>
      </c>
      <c r="N281" s="39" t="n">
        <f aca="false">IF(COUNT('Business Case'!B11:G11)=0,"",H281+NPV(G281,I281:M281))</f>
        <v>-622959247.824609</v>
      </c>
      <c r="P281" s="40" t="n">
        <f aca="true">RAND()</f>
        <v>0.862921957458706</v>
      </c>
      <c r="Q281" s="40" t="n">
        <f aca="true">RAND()</f>
        <v>0.575941513466898</v>
      </c>
      <c r="R281" s="40" t="n">
        <f aca="true">RAND()</f>
        <v>0.314797448370088</v>
      </c>
      <c r="S281" s="40" t="n">
        <f aca="true">RAND()</f>
        <v>0.182923298692376</v>
      </c>
      <c r="T281" s="40" t="n">
        <f aca="true">RAND()</f>
        <v>0.996902462781896</v>
      </c>
      <c r="U281" s="40" t="n">
        <f aca="true">RAND()</f>
        <v>0.967522247425967</v>
      </c>
    </row>
    <row r="282" customFormat="false" ht="15" hidden="false" customHeight="false" outlineLevel="0" collapsed="false">
      <c r="A282" s="36" t="n">
        <v>202</v>
      </c>
      <c r="B282" s="37" t="n">
        <f aca="false">1+IF($G$6=$E$6,$F$6,IF(P282&lt;($F$6-$E$6)/($G$6-$E$6),$E$6+SQRT(P282*($G$6-$E$6)*($F$6-$E$6)),$G$6-SQRT((1-P282)*($G$6-$E$6)*($G$6-$F$6))))</f>
        <v>1.00195521944611</v>
      </c>
      <c r="C282" s="37" t="n">
        <f aca="false">1+IF($G$7=$E$7,$F$7,IF(Q282&lt;($F$7-$E$7)/($G$7-$E$7),$E$7+SQRT(Q282*($G$7-$E$7)*($F$7-$E$7)),$G$7-SQRT((1-Q282)*($G$7-$E$7)*($G$7-$F$7))))</f>
        <v>0.990050388481038</v>
      </c>
      <c r="D282" s="37" t="n">
        <f aca="false">1+IF($G$8=$E$8,$F$8,IF(R282&lt;($F$8-$E$8)/($G$8-$E$8),$E$8+SQRT(R282*($G$8-$E$8)*($F$8-$E$8)),$G$8-SQRT((1-R282)*($G$8-$E$8)*($G$8-$F$8))))</f>
        <v>1.02402680275613</v>
      </c>
      <c r="E282" s="37" t="n">
        <f aca="false">1+IF($G$9=$E$9,$F$9,IF(S282&lt;($F$9-$E$9)/($G$9-$E$9),$E$9+SQRT(S282*($G$9-$E$9)*($F$9-$E$9)),$G$9-SQRT((1-S282)*($G$9-$E$9)*($G$9-$F$9))))</f>
        <v>1.01634877424639</v>
      </c>
      <c r="F282" s="37" t="n">
        <f aca="false">1+IF($G$10=$E$10,$F$10,IF(T282&lt;($F$10-$E$10)/($G$10-$E$10),$E$10+SQRT(T282*($G$10-$E$10)*($F$10-$E$10)),$G$10-SQRT((1-T282)*($G$10-$E$10)*($G$10-$F$10))))</f>
        <v>1.04196355620668</v>
      </c>
      <c r="G282" s="38" t="n">
        <f aca="false">IF($G$11=$E$11,$F$11,IF(U282&lt;($F$11-$E$11)/($G$11-$E$11),$E$11+SQRT(U282*($G$11-$E$11)*($F$11-$E$11)),$G$11-SQRT((1-U282)*($G$11-$E$11)*($G$11-$F$11))))</f>
        <v>0.101871280432158</v>
      </c>
      <c r="H282" s="39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-2083927112.41337</v>
      </c>
      <c r="I282" s="39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-6641647.71624142</v>
      </c>
      <c r="J282" s="39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286862418.12251</v>
      </c>
      <c r="K282" s="39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632464661.771595</v>
      </c>
      <c r="L282" s="39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764582391.875504</v>
      </c>
      <c r="M282" s="39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953139120.075957</v>
      </c>
      <c r="N282" s="39" t="n">
        <f aca="false">IF(COUNT('Business Case'!B11:G11)=0,"",H282+NPV(G282,I282:M282))</f>
        <v>-275422052.402282</v>
      </c>
      <c r="P282" s="40" t="n">
        <f aca="true">RAND()</f>
        <v>0.69222654153713</v>
      </c>
      <c r="Q282" s="40" t="n">
        <f aca="true">RAND()</f>
        <v>0.623179465614824</v>
      </c>
      <c r="R282" s="40" t="n">
        <f aca="true">RAND()</f>
        <v>0.615204886702954</v>
      </c>
      <c r="S282" s="40" t="n">
        <f aca="true">RAND()</f>
        <v>0.523662662788225</v>
      </c>
      <c r="T282" s="40" t="n">
        <f aca="true">RAND()</f>
        <v>0.422944507384411</v>
      </c>
      <c r="U282" s="40" t="n">
        <f aca="true">RAND()</f>
        <v>0.472516756982477</v>
      </c>
    </row>
    <row r="283" customFormat="false" ht="15" hidden="false" customHeight="false" outlineLevel="0" collapsed="false">
      <c r="A283" s="36" t="n">
        <v>203</v>
      </c>
      <c r="B283" s="37" t="n">
        <f aca="false">1+IF($G$6=$E$6,$F$6,IF(P283&lt;($F$6-$E$6)/($G$6-$E$6),$E$6+SQRT(P283*($G$6-$E$6)*($F$6-$E$6)),$G$6-SQRT((1-P283)*($G$6-$E$6)*($G$6-$F$6))))</f>
        <v>0.977599259209581</v>
      </c>
      <c r="C283" s="37" t="n">
        <f aca="false">1+IF($G$7=$E$7,$F$7,IF(Q283&lt;($F$7-$E$7)/($G$7-$E$7),$E$7+SQRT(Q283*($G$7-$E$7)*($F$7-$E$7)),$G$7-SQRT((1-Q283)*($G$7-$E$7)*($G$7-$F$7))))</f>
        <v>0.851965112031975</v>
      </c>
      <c r="D283" s="37" t="n">
        <f aca="false">1+IF($G$8=$E$8,$F$8,IF(R283&lt;($F$8-$E$8)/($G$8-$E$8),$E$8+SQRT(R283*($G$8-$E$8)*($F$8-$E$8)),$G$8-SQRT((1-R283)*($G$8-$E$8)*($G$8-$F$8))))</f>
        <v>1.04525080239149</v>
      </c>
      <c r="E283" s="37" t="n">
        <f aca="false">1+IF($G$9=$E$9,$F$9,IF(S283&lt;($F$9-$E$9)/($G$9-$E$9),$E$9+SQRT(S283*($G$9-$E$9)*($F$9-$E$9)),$G$9-SQRT((1-S283)*($G$9-$E$9)*($G$9-$F$9))))</f>
        <v>1.0432234012233</v>
      </c>
      <c r="F283" s="37" t="n">
        <f aca="false">1+IF($G$10=$E$10,$F$10,IF(T283&lt;($F$10-$E$10)/($G$10-$E$10),$E$10+SQRT(T283*($G$10-$E$10)*($F$10-$E$10)),$G$10-SQRT((1-T283)*($G$10-$E$10)*($G$10-$F$10))))</f>
        <v>1.09034921176157</v>
      </c>
      <c r="G283" s="38" t="n">
        <f aca="false">IF($G$11=$E$11,$F$11,IF(U283&lt;($F$11-$E$11)/($G$11-$E$11),$E$11+SQRT(U283*($G$11-$E$11)*($F$11-$E$11)),$G$11-SQRT((1-U283)*($G$11-$E$11)*($G$11-$F$11))))</f>
        <v>0.0971227997607103</v>
      </c>
      <c r="H283" s="39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-2180698423.52313</v>
      </c>
      <c r="I283" s="39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-74242319.6126358</v>
      </c>
      <c r="J283" s="39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152073172.775387</v>
      </c>
      <c r="K283" s="39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432906125.751489</v>
      </c>
      <c r="L283" s="39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537128971.99453</v>
      </c>
      <c r="M283" s="39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695442890.286546</v>
      </c>
      <c r="N283" s="39" t="n">
        <f aca="false">IF(COUNT('Business Case'!B11:G11)=0,"",H283+NPV(G283,I283:M283))</f>
        <v>-985976521.980402</v>
      </c>
      <c r="P283" s="40" t="n">
        <f aca="true">RAND()</f>
        <v>0.401443001991716</v>
      </c>
      <c r="Q283" s="40" t="n">
        <f aca="true">RAND()</f>
        <v>0.171062187221412</v>
      </c>
      <c r="R283" s="40" t="n">
        <f aca="true">RAND()</f>
        <v>0.800168357414974</v>
      </c>
      <c r="S283" s="40" t="n">
        <f aca="true">RAND()</f>
        <v>0.695966878764761</v>
      </c>
      <c r="T283" s="40" t="n">
        <f aca="true">RAND()</f>
        <v>0.66015501086462</v>
      </c>
      <c r="U283" s="40" t="n">
        <f aca="true">RAND()</f>
        <v>0.293190271645381</v>
      </c>
    </row>
    <row r="284" customFormat="false" ht="15" hidden="false" customHeight="false" outlineLevel="0" collapsed="false">
      <c r="A284" s="36" t="n">
        <v>204</v>
      </c>
      <c r="B284" s="37" t="n">
        <f aca="false">1+IF($G$6=$E$6,$F$6,IF(P284&lt;($F$6-$E$6)/($G$6-$E$6),$E$6+SQRT(P284*($G$6-$E$6)*($F$6-$E$6)),$G$6-SQRT((1-P284)*($G$6-$E$6)*($G$6-$F$6))))</f>
        <v>0.981636908601834</v>
      </c>
      <c r="C284" s="37" t="n">
        <f aca="false">1+IF($G$7=$E$7,$F$7,IF(Q284&lt;($F$7-$E$7)/($G$7-$E$7),$E$7+SQRT(Q284*($G$7-$E$7)*($F$7-$E$7)),$G$7-SQRT((1-Q284)*($G$7-$E$7)*($G$7-$F$7))))</f>
        <v>0.888887561040978</v>
      </c>
      <c r="D284" s="37" t="n">
        <f aca="false">1+IF($G$8=$E$8,$F$8,IF(R284&lt;($F$8-$E$8)/($G$8-$E$8),$E$8+SQRT(R284*($G$8-$E$8)*($F$8-$E$8)),$G$8-SQRT((1-R284)*($G$8-$E$8)*($G$8-$F$8))))</f>
        <v>1.03758553897803</v>
      </c>
      <c r="E284" s="37" t="n">
        <f aca="false">1+IF($G$9=$E$9,$F$9,IF(S284&lt;($F$9-$E$9)/($G$9-$E$9),$E$9+SQRT(S284*($G$9-$E$9)*($F$9-$E$9)),$G$9-SQRT((1-S284)*($G$9-$E$9)*($G$9-$F$9))))</f>
        <v>1.0245951404289</v>
      </c>
      <c r="F284" s="37" t="n">
        <f aca="false">1+IF($G$10=$E$10,$F$10,IF(T284&lt;($F$10-$E$10)/($G$10-$E$10),$E$10+SQRT(T284*($G$10-$E$10)*($F$10-$E$10)),$G$10-SQRT((1-T284)*($G$10-$E$10)*($G$10-$F$10))))</f>
        <v>1.14939622910816</v>
      </c>
      <c r="G284" s="38" t="n">
        <f aca="false">IF($G$11=$E$11,$F$11,IF(U284&lt;($F$11-$E$11)/($G$11-$E$11),$E$11+SQRT(U284*($G$11-$E$11)*($F$11-$E$11)),$G$11-SQRT((1-U284)*($G$11-$E$11)*($G$11-$F$11))))</f>
        <v>0.100386467974713</v>
      </c>
      <c r="H284" s="39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-2298792458.21631</v>
      </c>
      <c r="I284" s="39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-63319604.8194</v>
      </c>
      <c r="J284" s="39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179231603.417777</v>
      </c>
      <c r="K284" s="39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479252623.110362</v>
      </c>
      <c r="L284" s="39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590258866.640603</v>
      </c>
      <c r="M284" s="39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756115990.955433</v>
      </c>
      <c r="N284" s="39" t="n">
        <f aca="false">IF(COUNT('Business Case'!B11:G11)=0,"",H284+NPV(G284,I284:M284))</f>
        <v>-977370564.591466</v>
      </c>
      <c r="P284" s="40" t="n">
        <f aca="true">RAND()</f>
        <v>0.444305656404282</v>
      </c>
      <c r="Q284" s="40" t="n">
        <f aca="true">RAND()</f>
        <v>0.264285264563032</v>
      </c>
      <c r="R284" s="40" t="n">
        <f aca="true">RAND()</f>
        <v>0.7402956703558</v>
      </c>
      <c r="S284" s="40" t="n">
        <f aca="true">RAND()</f>
        <v>0.580629898558743</v>
      </c>
      <c r="T284" s="40" t="n">
        <f aca="true">RAND()</f>
        <v>0.86505175043122</v>
      </c>
      <c r="U284" s="40" t="n">
        <f aca="true">RAND()</f>
        <v>0.415359147324861</v>
      </c>
    </row>
    <row r="285" customFormat="false" ht="15" hidden="false" customHeight="false" outlineLevel="0" collapsed="false">
      <c r="A285" s="36" t="n">
        <v>205</v>
      </c>
      <c r="B285" s="37" t="n">
        <f aca="false">1+IF($G$6=$E$6,$F$6,IF(P285&lt;($F$6-$E$6)/($G$6-$E$6),$E$6+SQRT(P285*($G$6-$E$6)*($F$6-$E$6)),$G$6-SQRT((1-P285)*($G$6-$E$6)*($G$6-$F$6))))</f>
        <v>0.979593108077059</v>
      </c>
      <c r="C285" s="37" t="n">
        <f aca="false">1+IF($G$7=$E$7,$F$7,IF(Q285&lt;($F$7-$E$7)/($G$7-$E$7),$E$7+SQRT(Q285*($G$7-$E$7)*($F$7-$E$7)),$G$7-SQRT((1-Q285)*($G$7-$E$7)*($G$7-$F$7))))</f>
        <v>0.956436654572427</v>
      </c>
      <c r="D285" s="37" t="n">
        <f aca="false">1+IF($G$8=$E$8,$F$8,IF(R285&lt;($F$8-$E$8)/($G$8-$E$8),$E$8+SQRT(R285*($G$8-$E$8)*($F$8-$E$8)),$G$8-SQRT((1-R285)*($G$8-$E$8)*($G$8-$F$8))))</f>
        <v>0.969035723181387</v>
      </c>
      <c r="E285" s="37" t="n">
        <f aca="false">1+IF($G$9=$E$9,$F$9,IF(S285&lt;($F$9-$E$9)/($G$9-$E$9),$E$9+SQRT(S285*($G$9-$E$9)*($F$9-$E$9)),$G$9-SQRT((1-S285)*($G$9-$E$9)*($G$9-$F$9))))</f>
        <v>1.02160884039898</v>
      </c>
      <c r="F285" s="37" t="n">
        <f aca="false">1+IF($G$10=$E$10,$F$10,IF(T285&lt;($F$10-$E$10)/($G$10-$E$10),$E$10+SQRT(T285*($G$10-$E$10)*($F$10-$E$10)),$G$10-SQRT((1-T285)*($G$10-$E$10)*($G$10-$F$10))))</f>
        <v>1.07858029915184</v>
      </c>
      <c r="G285" s="38" t="n">
        <f aca="false">IF($G$11=$E$11,$F$11,IF(U285&lt;($F$11-$E$11)/($G$11-$E$11),$E$11+SQRT(U285*($G$11-$E$11)*($F$11-$E$11)),$G$11-SQRT((1-U285)*($G$11-$E$11)*($G$11-$F$11))))</f>
        <v>0.102623833266726</v>
      </c>
      <c r="H285" s="39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-2157160598.30369</v>
      </c>
      <c r="I285" s="39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-8755109.02338168</v>
      </c>
      <c r="J285" s="39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284190457.239169</v>
      </c>
      <c r="K285" s="39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631065038.459311</v>
      </c>
      <c r="L285" s="39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761093472.72417</v>
      </c>
      <c r="M285" s="39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939182989.699552</v>
      </c>
      <c r="N285" s="39" t="n">
        <f aca="false">IF(COUNT('Business Case'!B11:G11)=0,"",H285+NPV(G285,I285:M285))</f>
        <v>-369437533.455536</v>
      </c>
      <c r="P285" s="40" t="n">
        <f aca="true">RAND()</f>
        <v>0.422337523557763</v>
      </c>
      <c r="Q285" s="40" t="n">
        <f aca="true">RAND()</f>
        <v>0.487109317098504</v>
      </c>
      <c r="R285" s="40" t="n">
        <f aca="true">RAND()</f>
        <v>0.0483145009384515</v>
      </c>
      <c r="S285" s="40" t="n">
        <f aca="true">RAND()</f>
        <v>0.560418936968111</v>
      </c>
      <c r="T285" s="40" t="n">
        <f aca="true">RAND()</f>
        <v>0.608203815481719</v>
      </c>
      <c r="U285" s="40" t="n">
        <f aca="true">RAND()</f>
        <v>0.500363663327979</v>
      </c>
    </row>
    <row r="286" customFormat="false" ht="15" hidden="false" customHeight="false" outlineLevel="0" collapsed="false">
      <c r="A286" s="36" t="n">
        <v>206</v>
      </c>
      <c r="B286" s="37" t="n">
        <f aca="false">1+IF($G$6=$E$6,$F$6,IF(P286&lt;($F$6-$E$6)/($G$6-$E$6),$E$6+SQRT(P286*($G$6-$E$6)*($F$6-$E$6)),$G$6-SQRT((1-P286)*($G$6-$E$6)*($G$6-$F$6))))</f>
        <v>0.953074894772763</v>
      </c>
      <c r="C286" s="37" t="n">
        <f aca="false">1+IF($G$7=$E$7,$F$7,IF(Q286&lt;($F$7-$E$7)/($G$7-$E$7),$E$7+SQRT(Q286*($G$7-$E$7)*($F$7-$E$7)),$G$7-SQRT((1-Q286)*($G$7-$E$7)*($G$7-$F$7))))</f>
        <v>1.02532240654274</v>
      </c>
      <c r="D286" s="37" t="n">
        <f aca="false">1+IF($G$8=$E$8,$F$8,IF(R286&lt;($F$8-$E$8)/($G$8-$E$8),$E$8+SQRT(R286*($G$8-$E$8)*($F$8-$E$8)),$G$8-SQRT((1-R286)*($G$8-$E$8)*($G$8-$F$8))))</f>
        <v>1.01227983660011</v>
      </c>
      <c r="E286" s="37" t="n">
        <f aca="false">1+IF($G$9=$E$9,$F$9,IF(S286&lt;($F$9-$E$9)/($G$9-$E$9),$E$9+SQRT(S286*($G$9-$E$9)*($F$9-$E$9)),$G$9-SQRT((1-S286)*($G$9-$E$9)*($G$9-$F$9))))</f>
        <v>1.14328132500966</v>
      </c>
      <c r="F286" s="37" t="n">
        <f aca="false">1+IF($G$10=$E$10,$F$10,IF(T286&lt;($F$10-$E$10)/($G$10-$E$10),$E$10+SQRT(T286*($G$10-$E$10)*($F$10-$E$10)),$G$10-SQRT((1-T286)*($G$10-$E$10)*($G$10-$F$10))))</f>
        <v>1.05422056800313</v>
      </c>
      <c r="G286" s="38" t="n">
        <f aca="false">IF($G$11=$E$11,$F$11,IF(U286&lt;($F$11-$E$11)/($G$11-$E$11),$E$11+SQRT(U286*($G$11-$E$11)*($F$11-$E$11)),$G$11-SQRT((1-U286)*($G$11-$E$11)*($G$11-$F$11))))</f>
        <v>0.0806571435596672</v>
      </c>
      <c r="H286" s="39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-2108441136.00626</v>
      </c>
      <c r="I286" s="39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-49579135.8158926</v>
      </c>
      <c r="J286" s="39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219496906.463387</v>
      </c>
      <c r="K286" s="39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541283977.142823</v>
      </c>
      <c r="L286" s="39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664748335.821574</v>
      </c>
      <c r="M286" s="39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850496231.042689</v>
      </c>
      <c r="N286" s="39" t="n">
        <f aca="false">IF(COUNT('Business Case'!B11:G11)=0,"",H286+NPV(G286,I286:M286))</f>
        <v>-472962014.637864</v>
      </c>
      <c r="P286" s="40" t="n">
        <f aca="true">RAND()</f>
        <v>0.187796297009323</v>
      </c>
      <c r="Q286" s="40" t="n">
        <f aca="true">RAND()</f>
        <v>0.769711076884547</v>
      </c>
      <c r="R286" s="40" t="n">
        <f aca="true">RAND()</f>
        <v>0.487011528873139</v>
      </c>
      <c r="S286" s="40" t="n">
        <f aca="true">RAND()</f>
        <v>0.998796250836645</v>
      </c>
      <c r="T286" s="40" t="n">
        <f aca="true">RAND()</f>
        <v>0.488938853426428</v>
      </c>
      <c r="U286" s="40" t="n">
        <f aca="true">RAND()</f>
        <v>0.000431837658012124</v>
      </c>
    </row>
    <row r="287" customFormat="false" ht="15" hidden="false" customHeight="false" outlineLevel="0" collapsed="false">
      <c r="A287" s="36" t="n">
        <v>207</v>
      </c>
      <c r="B287" s="37" t="n">
        <f aca="false">1+IF($G$6=$E$6,$F$6,IF(P287&lt;($F$6-$E$6)/($G$6-$E$6),$E$6+SQRT(P287*($G$6-$E$6)*($F$6-$E$6)),$G$6-SQRT((1-P287)*($G$6-$E$6)*($G$6-$F$6))))</f>
        <v>1.01902149997432</v>
      </c>
      <c r="C287" s="37" t="n">
        <f aca="false">1+IF($G$7=$E$7,$F$7,IF(Q287&lt;($F$7-$E$7)/($G$7-$E$7),$E$7+SQRT(Q287*($G$7-$E$7)*($F$7-$E$7)),$G$7-SQRT((1-Q287)*($G$7-$E$7)*($G$7-$F$7))))</f>
        <v>1.10700401063982</v>
      </c>
      <c r="D287" s="37" t="n">
        <f aca="false">1+IF($G$8=$E$8,$F$8,IF(R287&lt;($F$8-$E$8)/($G$8-$E$8),$E$8+SQRT(R287*($G$8-$E$8)*($F$8-$E$8)),$G$8-SQRT((1-R287)*($G$8-$E$8)*($G$8-$F$8))))</f>
        <v>1.00039439240577</v>
      </c>
      <c r="E287" s="37" t="n">
        <f aca="false">1+IF($G$9=$E$9,$F$9,IF(S287&lt;($F$9-$E$9)/($G$9-$E$9),$E$9+SQRT(S287*($G$9-$E$9)*($F$9-$E$9)),$G$9-SQRT((1-S287)*($G$9-$E$9)*($G$9-$F$9))))</f>
        <v>0.961165790035366</v>
      </c>
      <c r="F287" s="37" t="n">
        <f aca="false">1+IF($G$10=$E$10,$F$10,IF(T287&lt;($F$10-$E$10)/($G$10-$E$10),$E$10+SQRT(T287*($G$10-$E$10)*($F$10-$E$10)),$G$10-SQRT((1-T287)*($G$10-$E$10)*($G$10-$F$10))))</f>
        <v>1.12105392342838</v>
      </c>
      <c r="G287" s="38" t="n">
        <f aca="false">IF($G$11=$E$11,$F$11,IF(U287&lt;($F$11-$E$11)/($G$11-$E$11),$E$11+SQRT(U287*($G$11-$E$11)*($F$11-$E$11)),$G$11-SQRT((1-U287)*($G$11-$E$11)*($G$11-$F$11))))</f>
        <v>0.0917148406931712</v>
      </c>
      <c r="H287" s="39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-2242107846.85676</v>
      </c>
      <c r="I287" s="39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49780248.7612433</v>
      </c>
      <c r="J287" s="39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406822341.611158</v>
      </c>
      <c r="K287" s="39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819917130.632492</v>
      </c>
      <c r="L287" s="39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977916945.850999</v>
      </c>
      <c r="M287" s="39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1192338759.32795</v>
      </c>
      <c r="N287" s="39" t="n">
        <f aca="false">IF(COUNT('Business Case'!B11:G11)=0,"",H287+NPV(G287,I287:M287))</f>
        <v>232287013.567615</v>
      </c>
      <c r="P287" s="40" t="n">
        <f aca="true">RAND()</f>
        <v>0.872044338154503</v>
      </c>
      <c r="Q287" s="40" t="n">
        <f aca="true">RAND()</f>
        <v>0.972612517021321</v>
      </c>
      <c r="R287" s="40" t="n">
        <f aca="true">RAND()</f>
        <v>0.338581529052244</v>
      </c>
      <c r="S287" s="40" t="n">
        <f aca="true">RAND()</f>
        <v>0.14965015482602</v>
      </c>
      <c r="T287" s="40" t="n">
        <f aca="true">RAND()</f>
        <v>0.77830545782381</v>
      </c>
      <c r="U287" s="40" t="n">
        <f aca="true">RAND()</f>
        <v>0.137237492466381</v>
      </c>
    </row>
    <row r="288" customFormat="false" ht="15" hidden="false" customHeight="false" outlineLevel="0" collapsed="false">
      <c r="A288" s="36" t="n">
        <v>208</v>
      </c>
      <c r="B288" s="37" t="n">
        <f aca="false">1+IF($G$6=$E$6,$F$6,IF(P288&lt;($F$6-$E$6)/($G$6-$E$6),$E$6+SQRT(P288*($G$6-$E$6)*($F$6-$E$6)),$G$6-SQRT((1-P288)*($G$6-$E$6)*($G$6-$F$6))))</f>
        <v>0.99547895412458</v>
      </c>
      <c r="C288" s="37" t="n">
        <f aca="false">1+IF($G$7=$E$7,$F$7,IF(Q288&lt;($F$7-$E$7)/($G$7-$E$7),$E$7+SQRT(Q288*($G$7-$E$7)*($F$7-$E$7)),$G$7-SQRT((1-Q288)*($G$7-$E$7)*($G$7-$F$7))))</f>
        <v>0.920280887412043</v>
      </c>
      <c r="D288" s="37" t="n">
        <f aca="false">1+IF($G$8=$E$8,$F$8,IF(R288&lt;($F$8-$E$8)/($G$8-$E$8),$E$8+SQRT(R288*($G$8-$E$8)*($F$8-$E$8)),$G$8-SQRT((1-R288)*($G$8-$E$8)*($G$8-$F$8))))</f>
        <v>1.00115081589107</v>
      </c>
      <c r="E288" s="37" t="n">
        <f aca="false">1+IF($G$9=$E$9,$F$9,IF(S288&lt;($F$9-$E$9)/($G$9-$E$9),$E$9+SQRT(S288*($G$9-$E$9)*($F$9-$E$9)),$G$9-SQRT((1-S288)*($G$9-$E$9)*($G$9-$F$9))))</f>
        <v>1.05852324273998</v>
      </c>
      <c r="F288" s="37" t="n">
        <f aca="false">1+IF($G$10=$E$10,$F$10,IF(T288&lt;($F$10-$E$10)/($G$10-$E$10),$E$10+SQRT(T288*($G$10-$E$10)*($F$10-$E$10)),$G$10-SQRT((1-T288)*($G$10-$E$10)*($G$10-$F$10))))</f>
        <v>1.01217597551351</v>
      </c>
      <c r="G288" s="38" t="n">
        <f aca="false">IF($G$11=$E$11,$F$11,IF(U288&lt;($F$11-$E$11)/($G$11-$E$11),$E$11+SQRT(U288*($G$11-$E$11)*($F$11-$E$11)),$G$11-SQRT((1-U288)*($G$11-$E$11)*($G$11-$F$11))))</f>
        <v>0.103609692292942</v>
      </c>
      <c r="H288" s="39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-2024351951.02703</v>
      </c>
      <c r="I288" s="39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-20515179.9325187</v>
      </c>
      <c r="J288" s="39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258200916.838784</v>
      </c>
      <c r="K288" s="39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587525812.385761</v>
      </c>
      <c r="L288" s="39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712092293.999425</v>
      </c>
      <c r="M288" s="39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886228432.127188</v>
      </c>
      <c r="N288" s="39" t="n">
        <f aca="false">IF(COUNT('Business Case'!B11:G11)=0,"",H288+NPV(G288,I288:M288))</f>
        <v>-372471880.162917</v>
      </c>
      <c r="P288" s="40" t="n">
        <f aca="true">RAND()</f>
        <v>0.607748712048238</v>
      </c>
      <c r="Q288" s="40" t="n">
        <f aca="true">RAND()</f>
        <v>0.359434587844719</v>
      </c>
      <c r="R288" s="40" t="n">
        <f aca="true">RAND()</f>
        <v>0.34858925339991</v>
      </c>
      <c r="S288" s="40" t="n">
        <f aca="true">RAND()</f>
        <v>0.776853410165112</v>
      </c>
      <c r="T288" s="40" t="n">
        <f aca="true">RAND()</f>
        <v>0.245863111694012</v>
      </c>
      <c r="U288" s="40" t="n">
        <f aca="true">RAND()</f>
        <v>0.535701106084541</v>
      </c>
    </row>
    <row r="289" customFormat="false" ht="15" hidden="false" customHeight="false" outlineLevel="0" collapsed="false">
      <c r="A289" s="36" t="n">
        <v>209</v>
      </c>
      <c r="B289" s="37" t="n">
        <f aca="false">1+IF($G$6=$E$6,$F$6,IF(P289&lt;($F$6-$E$6)/($G$6-$E$6),$E$6+SQRT(P289*($G$6-$E$6)*($F$6-$E$6)),$G$6-SQRT((1-P289)*($G$6-$E$6)*($G$6-$F$6))))</f>
        <v>0.99339661546532</v>
      </c>
      <c r="C289" s="37" t="n">
        <f aca="false">1+IF($G$7=$E$7,$F$7,IF(Q289&lt;($F$7-$E$7)/($G$7-$E$7),$E$7+SQRT(Q289*($G$7-$E$7)*($F$7-$E$7)),$G$7-SQRT((1-Q289)*($G$7-$E$7)*($G$7-$F$7))))</f>
        <v>1.02701319400702</v>
      </c>
      <c r="D289" s="37" t="n">
        <f aca="false">1+IF($G$8=$E$8,$F$8,IF(R289&lt;($F$8-$E$8)/($G$8-$E$8),$E$8+SQRT(R289*($G$8-$E$8)*($F$8-$E$8)),$G$8-SQRT((1-R289)*($G$8-$E$8)*($G$8-$F$8))))</f>
        <v>1.03729049632944</v>
      </c>
      <c r="E289" s="37" t="n">
        <f aca="false">1+IF($G$9=$E$9,$F$9,IF(S289&lt;($F$9-$E$9)/($G$9-$E$9),$E$9+SQRT(S289*($G$9-$E$9)*($F$9-$E$9)),$G$9-SQRT((1-S289)*($G$9-$E$9)*($G$9-$F$9))))</f>
        <v>1.0382984810329</v>
      </c>
      <c r="F289" s="37" t="n">
        <f aca="false">1+IF($G$10=$E$10,$F$10,IF(T289&lt;($F$10-$E$10)/($G$10-$E$10),$E$10+SQRT(T289*($G$10-$E$10)*($F$10-$E$10)),$G$10-SQRT((1-T289)*($G$10-$E$10)*($G$10-$F$10))))</f>
        <v>1.07235979193838</v>
      </c>
      <c r="G289" s="38" t="n">
        <f aca="false">IF($G$11=$E$11,$F$11,IF(U289&lt;($F$11-$E$11)/($G$11-$E$11),$E$11+SQRT(U289*($G$11-$E$11)*($F$11-$E$11)),$G$11-SQRT((1-U289)*($G$11-$E$11)*($G$11-$F$11))))</f>
        <v>0.101214760894093</v>
      </c>
      <c r="H289" s="39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-2144719583.87675</v>
      </c>
      <c r="I289" s="39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-17481842.255864</v>
      </c>
      <c r="J289" s="39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272807136.066203</v>
      </c>
      <c r="K289" s="39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616714103.985188</v>
      </c>
      <c r="L289" s="39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748736295.013354</v>
      </c>
      <c r="M289" s="39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942661885.411142</v>
      </c>
      <c r="N289" s="39" t="n">
        <f aca="false">IF(COUNT('Business Case'!B11:G11)=0,"",H289+NPV(G289,I289:M289))</f>
        <v>-382574764.002674</v>
      </c>
      <c r="P289" s="40" t="n">
        <f aca="true">RAND()</f>
        <v>0.581528518691794</v>
      </c>
      <c r="Q289" s="40" t="n">
        <f aca="true">RAND()</f>
        <v>0.775914748913248</v>
      </c>
      <c r="R289" s="40" t="n">
        <f aca="true">RAND()</f>
        <v>0.737834543292816</v>
      </c>
      <c r="S289" s="40" t="n">
        <f aca="true">RAND()</f>
        <v>0.667273884278442</v>
      </c>
      <c r="T289" s="40" t="n">
        <f aca="true">RAND()</f>
        <v>0.579252753064312</v>
      </c>
      <c r="U289" s="40" t="n">
        <f aca="true">RAND()</f>
        <v>0.447606673077183</v>
      </c>
    </row>
    <row r="290" customFormat="false" ht="15" hidden="false" customHeight="false" outlineLevel="0" collapsed="false">
      <c r="A290" s="36" t="n">
        <v>210</v>
      </c>
      <c r="B290" s="37" t="n">
        <f aca="false">1+IF($G$6=$E$6,$F$6,IF(P290&lt;($F$6-$E$6)/($G$6-$E$6),$E$6+SQRT(P290*($G$6-$E$6)*($F$6-$E$6)),$G$6-SQRT((1-P290)*($G$6-$E$6)*($G$6-$F$6))))</f>
        <v>1.0225424734179</v>
      </c>
      <c r="C290" s="37" t="n">
        <f aca="false">1+IF($G$7=$E$7,$F$7,IF(Q290&lt;($F$7-$E$7)/($G$7-$E$7),$E$7+SQRT(Q290*($G$7-$E$7)*($F$7-$E$7)),$G$7-SQRT((1-Q290)*($G$7-$E$7)*($G$7-$F$7))))</f>
        <v>0.916820104959559</v>
      </c>
      <c r="D290" s="37" t="n">
        <f aca="false">1+IF($G$8=$E$8,$F$8,IF(R290&lt;($F$8-$E$8)/($G$8-$E$8),$E$8+SQRT(R290*($G$8-$E$8)*($F$8-$E$8)),$G$8-SQRT((1-R290)*($G$8-$E$8)*($G$8-$F$8))))</f>
        <v>0.984588807572476</v>
      </c>
      <c r="E290" s="37" t="n">
        <f aca="false">1+IF($G$9=$E$9,$F$9,IF(S290&lt;($F$9-$E$9)/($G$9-$E$9),$E$9+SQRT(S290*($G$9-$E$9)*($F$9-$E$9)),$G$9-SQRT((1-S290)*($G$9-$E$9)*($G$9-$F$9))))</f>
        <v>1.06097661126059</v>
      </c>
      <c r="F290" s="37" t="n">
        <f aca="false">1+IF($G$10=$E$10,$F$10,IF(T290&lt;($F$10-$E$10)/($G$10-$E$10),$E$10+SQRT(T290*($G$10-$E$10)*($F$10-$E$10)),$G$10-SQRT((1-T290)*($G$10-$E$10)*($G$10-$F$10))))</f>
        <v>1.08918043553352</v>
      </c>
      <c r="G290" s="38" t="n">
        <f aca="false">IF($G$11=$E$11,$F$11,IF(U290&lt;($F$11-$E$11)/($G$11-$E$11),$E$11+SQRT(U290*($G$11-$E$11)*($F$11-$E$11)),$G$11-SQRT((1-U290)*($G$11-$E$11)*($G$11-$F$11))))</f>
        <v>0.0965286218186872</v>
      </c>
      <c r="H290" s="39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-2178360871.06704</v>
      </c>
      <c r="I290" s="39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-2623991.21098261</v>
      </c>
      <c r="J290" s="39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303140287.138833</v>
      </c>
      <c r="K290" s="39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663363587.265324</v>
      </c>
      <c r="L290" s="39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797684581.306056</v>
      </c>
      <c r="M290" s="39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975882204.888756</v>
      </c>
      <c r="N290" s="39" t="n">
        <f aca="false">IF(COUNT('Business Case'!B11:G11)=0,"",H290+NPV(G290,I290:M290))</f>
        <v>-258132758.857349</v>
      </c>
      <c r="P290" s="40" t="n">
        <f aca="true">RAND()</f>
        <v>0.899477897865756</v>
      </c>
      <c r="Q290" s="40" t="n">
        <f aca="true">RAND()</f>
        <v>0.348229317886474</v>
      </c>
      <c r="R290" s="40" t="n">
        <f aca="true">RAND()</f>
        <v>0.159518081238103</v>
      </c>
      <c r="S290" s="40" t="n">
        <f aca="true">RAND()</f>
        <v>0.788662300196035</v>
      </c>
      <c r="T290" s="40" t="n">
        <f aca="true">RAND()</f>
        <v>0.655160902464149</v>
      </c>
      <c r="U290" s="40" t="n">
        <f aca="true">RAND()</f>
        <v>0.273195339225181</v>
      </c>
    </row>
    <row r="291" customFormat="false" ht="15" hidden="false" customHeight="false" outlineLevel="0" collapsed="false">
      <c r="A291" s="36" t="n">
        <v>211</v>
      </c>
      <c r="B291" s="37" t="n">
        <f aca="false">1+IF($G$6=$E$6,$F$6,IF(P291&lt;($F$6-$E$6)/($G$6-$E$6),$E$6+SQRT(P291*($G$6-$E$6)*($F$6-$E$6)),$G$6-SQRT((1-P291)*($G$6-$E$6)*($G$6-$F$6))))</f>
        <v>0.998593379739009</v>
      </c>
      <c r="C291" s="37" t="n">
        <f aca="false">1+IF($G$7=$E$7,$F$7,IF(Q291&lt;($F$7-$E$7)/($G$7-$E$7),$E$7+SQRT(Q291*($G$7-$E$7)*($F$7-$E$7)),$G$7-SQRT((1-Q291)*($G$7-$E$7)*($G$7-$F$7))))</f>
        <v>0.84629509190904</v>
      </c>
      <c r="D291" s="37" t="n">
        <f aca="false">1+IF($G$8=$E$8,$F$8,IF(R291&lt;($F$8-$E$8)/($G$8-$E$8),$E$8+SQRT(R291*($G$8-$E$8)*($F$8-$E$8)),$G$8-SQRT((1-R291)*($G$8-$E$8)*($G$8-$F$8))))</f>
        <v>1.02539024076207</v>
      </c>
      <c r="E291" s="37" t="n">
        <f aca="false">1+IF($G$9=$E$9,$F$9,IF(S291&lt;($F$9-$E$9)/($G$9-$E$9),$E$9+SQRT(S291*($G$9-$E$9)*($F$9-$E$9)),$G$9-SQRT((1-S291)*($G$9-$E$9)*($G$9-$F$9))))</f>
        <v>1.03521897470509</v>
      </c>
      <c r="F291" s="37" t="n">
        <f aca="false">1+IF($G$10=$E$10,$F$10,IF(T291&lt;($F$10-$E$10)/($G$10-$E$10),$E$10+SQRT(T291*($G$10-$E$10)*($F$10-$E$10)),$G$10-SQRT((1-T291)*($G$10-$E$10)*($G$10-$F$10))))</f>
        <v>1.1341132739299</v>
      </c>
      <c r="G291" s="38" t="n">
        <f aca="false">IF($G$11=$E$11,$F$11,IF(U291&lt;($F$11-$E$11)/($G$11-$E$11),$E$11+SQRT(U291*($G$11-$E$11)*($F$11-$E$11)),$G$11-SQRT((1-U291)*($G$11-$E$11)*($G$11-$F$11))))</f>
        <v>0.108885906251191</v>
      </c>
      <c r="H291" s="39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-2268226547.85979</v>
      </c>
      <c r="I291" s="39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-56463448.8957719</v>
      </c>
      <c r="J291" s="39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191502794.212807</v>
      </c>
      <c r="K291" s="39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496174701.017881</v>
      </c>
      <c r="L291" s="39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608036932.992939</v>
      </c>
      <c r="M291" s="39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768674429.823363</v>
      </c>
      <c r="N291" s="39" t="n">
        <f aca="false">IF(COUNT('Business Case'!B11:G11)=0,"",H291+NPV(G291,I291:M291))</f>
        <v>-938900037.737957</v>
      </c>
      <c r="P291" s="40" t="n">
        <f aca="true">RAND()</f>
        <v>0.648043635224027</v>
      </c>
      <c r="Q291" s="40" t="n">
        <f aca="true">RAND()</f>
        <v>0.15853521419759</v>
      </c>
      <c r="R291" s="40" t="n">
        <f aca="true">RAND()</f>
        <v>0.628892255097179</v>
      </c>
      <c r="S291" s="40" t="n">
        <f aca="true">RAND()</f>
        <v>0.648675099526649</v>
      </c>
      <c r="T291" s="40" t="n">
        <f aca="true">RAND()</f>
        <v>0.820936889610039</v>
      </c>
      <c r="U291" s="40" t="n">
        <f aca="true">RAND()</f>
        <v>0.702796696777659</v>
      </c>
    </row>
    <row r="292" customFormat="false" ht="15" hidden="false" customHeight="false" outlineLevel="0" collapsed="false">
      <c r="A292" s="36" t="n">
        <v>212</v>
      </c>
      <c r="B292" s="37" t="n">
        <f aca="false">1+IF($G$6=$E$6,$F$6,IF(P292&lt;($F$6-$E$6)/($G$6-$E$6),$E$6+SQRT(P292*($G$6-$E$6)*($F$6-$E$6)),$G$6-SQRT((1-P292)*($G$6-$E$6)*($G$6-$F$6))))</f>
        <v>0.996884176074175</v>
      </c>
      <c r="C292" s="37" t="n">
        <f aca="false">1+IF($G$7=$E$7,$F$7,IF(Q292&lt;($F$7-$E$7)/($G$7-$E$7),$E$7+SQRT(Q292*($G$7-$E$7)*($F$7-$E$7)),$G$7-SQRT((1-Q292)*($G$7-$E$7)*($G$7-$F$7))))</f>
        <v>0.986908685379889</v>
      </c>
      <c r="D292" s="37" t="n">
        <f aca="false">1+IF($G$8=$E$8,$F$8,IF(R292&lt;($F$8-$E$8)/($G$8-$E$8),$E$8+SQRT(R292*($G$8-$E$8)*($F$8-$E$8)),$G$8-SQRT((1-R292)*($G$8-$E$8)*($G$8-$F$8))))</f>
        <v>0.986510276952777</v>
      </c>
      <c r="E292" s="37" t="n">
        <f aca="false">1+IF($G$9=$E$9,$F$9,IF(S292&lt;($F$9-$E$9)/($G$9-$E$9),$E$9+SQRT(S292*($G$9-$E$9)*($F$9-$E$9)),$G$9-SQRT((1-S292)*($G$9-$E$9)*($G$9-$F$9))))</f>
        <v>1.04259739537098</v>
      </c>
      <c r="F292" s="37" t="n">
        <f aca="false">1+IF($G$10=$E$10,$F$10,IF(T292&lt;($F$10-$E$10)/($G$10-$E$10),$E$10+SQRT(T292*($G$10-$E$10)*($F$10-$E$10)),$G$10-SQRT((1-T292)*($G$10-$E$10)*($G$10-$F$10))))</f>
        <v>1.10895787278934</v>
      </c>
      <c r="G292" s="38" t="n">
        <f aca="false">IF($G$11=$E$11,$F$11,IF(U292&lt;($F$11-$E$11)/($G$11-$E$11),$E$11+SQRT(U292*($G$11-$E$11)*($F$11-$E$11)),$G$11-SQRT((1-U292)*($G$11-$E$11)*($G$11-$F$11))))</f>
        <v>0.105145500829205</v>
      </c>
      <c r="H292" s="39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-2217915745.57868</v>
      </c>
      <c r="I292" s="39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-2727516.00306991</v>
      </c>
      <c r="J292" s="39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304700041.397917</v>
      </c>
      <c r="K292" s="39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667575492.438371</v>
      </c>
      <c r="L292" s="39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804052635.907614</v>
      </c>
      <c r="M292" s="39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991059736.41997</v>
      </c>
      <c r="N292" s="39" t="n">
        <f aca="false">IF(COUNT('Business Case'!B11:G11)=0,"",H292+NPV(G292,I292:M292))</f>
        <v>-336119351.181627</v>
      </c>
      <c r="P292" s="40" t="n">
        <f aca="true">RAND()</f>
        <v>0.625769571571449</v>
      </c>
      <c r="Q292" s="40" t="n">
        <f aca="true">RAND()</f>
        <v>0.60975254626975</v>
      </c>
      <c r="R292" s="40" t="n">
        <f aca="true">RAND()</f>
        <v>0.177733376422459</v>
      </c>
      <c r="S292" s="40" t="n">
        <f aca="true">RAND()</f>
        <v>0.692391480504058</v>
      </c>
      <c r="T292" s="40" t="n">
        <f aca="true">RAND()</f>
        <v>0.734761578025223</v>
      </c>
      <c r="U292" s="40" t="n">
        <f aca="true">RAND()</f>
        <v>0.588169247312623</v>
      </c>
    </row>
    <row r="293" customFormat="false" ht="15" hidden="false" customHeight="false" outlineLevel="0" collapsed="false">
      <c r="A293" s="36" t="n">
        <v>213</v>
      </c>
      <c r="B293" s="37" t="n">
        <f aca="false">1+IF($G$6=$E$6,$F$6,IF(P293&lt;($F$6-$E$6)/($G$6-$E$6),$E$6+SQRT(P293*($G$6-$E$6)*($F$6-$E$6)),$G$6-SQRT((1-P293)*($G$6-$E$6)*($G$6-$F$6))))</f>
        <v>0.986086338511784</v>
      </c>
      <c r="C293" s="37" t="n">
        <f aca="false">1+IF($G$7=$E$7,$F$7,IF(Q293&lt;($F$7-$E$7)/($G$7-$E$7),$E$7+SQRT(Q293*($G$7-$E$7)*($F$7-$E$7)),$G$7-SQRT((1-Q293)*($G$7-$E$7)*($G$7-$F$7))))</f>
        <v>0.928248992448842</v>
      </c>
      <c r="D293" s="37" t="n">
        <f aca="false">1+IF($G$8=$E$8,$F$8,IF(R293&lt;($F$8-$E$8)/($G$8-$E$8),$E$8+SQRT(R293*($G$8-$E$8)*($F$8-$E$8)),$G$8-SQRT((1-R293)*($G$8-$E$8)*($G$8-$F$8))))</f>
        <v>1.02336828068906</v>
      </c>
      <c r="E293" s="37" t="n">
        <f aca="false">1+IF($G$9=$E$9,$F$9,IF(S293&lt;($F$9-$E$9)/($G$9-$E$9),$E$9+SQRT(S293*($G$9-$E$9)*($F$9-$E$9)),$G$9-SQRT((1-S293)*($G$9-$E$9)*($G$9-$F$9))))</f>
        <v>0.990478888347747</v>
      </c>
      <c r="F293" s="37" t="n">
        <f aca="false">1+IF($G$10=$E$10,$F$10,IF(T293&lt;($F$10-$E$10)/($G$10-$E$10),$E$10+SQRT(T293*($G$10-$E$10)*($F$10-$E$10)),$G$10-SQRT((1-T293)*($G$10-$E$10)*($G$10-$F$10))))</f>
        <v>1.157166908723</v>
      </c>
      <c r="G293" s="38" t="n">
        <f aca="false">IF($G$11=$E$11,$F$11,IF(U293&lt;($F$11-$E$11)/($G$11-$E$11),$E$11+SQRT(U293*($G$11-$E$11)*($F$11-$E$11)),$G$11-SQRT((1-U293)*($G$11-$E$11)*($G$11-$F$11))))</f>
        <v>0.111184317634463</v>
      </c>
      <c r="H293" s="39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-2314333817.44599</v>
      </c>
      <c r="I293" s="39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-40583101.0781757</v>
      </c>
      <c r="J293" s="39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222847483.064906</v>
      </c>
      <c r="K293" s="39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544136412.644138</v>
      </c>
      <c r="L293" s="39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663580538.309104</v>
      </c>
      <c r="M293" s="39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837567158.537434</v>
      </c>
      <c r="N293" s="39" t="n">
        <f aca="false">IF(COUNT('Business Case'!B11:G11)=0,"",H293+NPV(G293,I293:M293))</f>
        <v>-844103869.001654</v>
      </c>
      <c r="P293" s="40" t="n">
        <f aca="true">RAND()</f>
        <v>0.494057178557702</v>
      </c>
      <c r="Q293" s="40" t="n">
        <f aca="true">RAND()</f>
        <v>0.38590816706601</v>
      </c>
      <c r="R293" s="40" t="n">
        <f aca="true">RAND()</f>
        <v>0.608505306363254</v>
      </c>
      <c r="S293" s="40" t="n">
        <f aca="true">RAND()</f>
        <v>0.327457169465761</v>
      </c>
      <c r="T293" s="40" t="n">
        <f aca="true">RAND()</f>
        <v>0.885093562186074</v>
      </c>
      <c r="U293" s="40" t="n">
        <f aca="true">RAND()</f>
        <v>0.76398006474615</v>
      </c>
    </row>
    <row r="294" customFormat="false" ht="15" hidden="false" customHeight="false" outlineLevel="0" collapsed="false">
      <c r="A294" s="36" t="n">
        <v>214</v>
      </c>
      <c r="B294" s="37" t="n">
        <f aca="false">1+IF($G$6=$E$6,$F$6,IF(P294&lt;($F$6-$E$6)/($G$6-$E$6),$E$6+SQRT(P294*($G$6-$E$6)*($F$6-$E$6)),$G$6-SQRT((1-P294)*($G$6-$E$6)*($G$6-$F$6))))</f>
        <v>1.00556718852392</v>
      </c>
      <c r="C294" s="37" t="n">
        <f aca="false">1+IF($G$7=$E$7,$F$7,IF(Q294&lt;($F$7-$E$7)/($G$7-$E$7),$E$7+SQRT(Q294*($G$7-$E$7)*($F$7-$E$7)),$G$7-SQRT((1-Q294)*($G$7-$E$7)*($G$7-$F$7))))</f>
        <v>0.836398160678687</v>
      </c>
      <c r="D294" s="37" t="n">
        <f aca="false">1+IF($G$8=$E$8,$F$8,IF(R294&lt;($F$8-$E$8)/($G$8-$E$8),$E$8+SQRT(R294*($G$8-$E$8)*($F$8-$E$8)),$G$8-SQRT((1-R294)*($G$8-$E$8)*($G$8-$F$8))))</f>
        <v>0.995260065108622</v>
      </c>
      <c r="E294" s="37" t="n">
        <f aca="false">1+IF($G$9=$E$9,$F$9,IF(S294&lt;($F$9-$E$9)/($G$9-$E$9),$E$9+SQRT(S294*($G$9-$E$9)*($F$9-$E$9)),$G$9-SQRT((1-S294)*($G$9-$E$9)*($G$9-$F$9))))</f>
        <v>1.02979282649053</v>
      </c>
      <c r="F294" s="37" t="n">
        <f aca="false">1+IF($G$10=$E$10,$F$10,IF(T294&lt;($F$10-$E$10)/($G$10-$E$10),$E$10+SQRT(T294*($G$10-$E$10)*($F$10-$E$10)),$G$10-SQRT((1-T294)*($G$10-$E$10)*($G$10-$F$10))))</f>
        <v>1.01227849106705</v>
      </c>
      <c r="G294" s="38" t="n">
        <f aca="false">IF($G$11=$E$11,$F$11,IF(U294&lt;($F$11-$E$11)/($G$11-$E$11),$E$11+SQRT(U294*($G$11-$E$11)*($F$11-$E$11)),$G$11-SQRT((1-U294)*($G$11-$E$11)*($G$11-$F$11))))</f>
        <v>0.126710866037927</v>
      </c>
      <c r="H294" s="39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-2024556982.13409</v>
      </c>
      <c r="I294" s="39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-28519880.3770618</v>
      </c>
      <c r="J294" s="39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234224895.99188</v>
      </c>
      <c r="K294" s="39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547583596.914174</v>
      </c>
      <c r="L294" s="39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664232034.178718</v>
      </c>
      <c r="M294" s="39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824099682.457319</v>
      </c>
      <c r="N294" s="39" t="n">
        <f aca="false">IF(COUNT('Business Case'!B11:G11)=0,"",H294+NPV(G294,I294:M294))</f>
        <v>-616509269.88097</v>
      </c>
      <c r="P294" s="40" t="n">
        <f aca="true">RAND()</f>
        <v>0.736763368577497</v>
      </c>
      <c r="Q294" s="40" t="n">
        <f aca="true">RAND()</f>
        <v>0.137810801752066</v>
      </c>
      <c r="R294" s="40" t="n">
        <f aca="true">RAND()</f>
        <v>0.273129799151558</v>
      </c>
      <c r="S294" s="40" t="n">
        <f aca="true">RAND()</f>
        <v>0.614672944983046</v>
      </c>
      <c r="T294" s="40" t="n">
        <f aca="true">RAND()</f>
        <v>0.246513122541857</v>
      </c>
      <c r="U294" s="40" t="n">
        <f aca="true">RAND()</f>
        <v>0.992787731853024</v>
      </c>
    </row>
    <row r="295" customFormat="false" ht="15" hidden="false" customHeight="false" outlineLevel="0" collapsed="false">
      <c r="A295" s="36" t="n">
        <v>215</v>
      </c>
      <c r="B295" s="37" t="n">
        <f aca="false">1+IF($G$6=$E$6,$F$6,IF(P295&lt;($F$6-$E$6)/($G$6-$E$6),$E$6+SQRT(P295*($G$6-$E$6)*($F$6-$E$6)),$G$6-SQRT((1-P295)*($G$6-$E$6)*($G$6-$F$6))))</f>
        <v>0.989247808735003</v>
      </c>
      <c r="C295" s="37" t="n">
        <f aca="false">1+IF($G$7=$E$7,$F$7,IF(Q295&lt;($F$7-$E$7)/($G$7-$E$7),$E$7+SQRT(Q295*($G$7-$E$7)*($F$7-$E$7)),$G$7-SQRT((1-Q295)*($G$7-$E$7)*($G$7-$F$7))))</f>
        <v>0.905626555190381</v>
      </c>
      <c r="D295" s="37" t="n">
        <f aca="false">1+IF($G$8=$E$8,$F$8,IF(R295&lt;($F$8-$E$8)/($G$8-$E$8),$E$8+SQRT(R295*($G$8-$E$8)*($F$8-$E$8)),$G$8-SQRT((1-R295)*($G$8-$E$8)*($G$8-$F$8))))</f>
        <v>0.984176572959049</v>
      </c>
      <c r="E295" s="37" t="n">
        <f aca="false">1+IF($G$9=$E$9,$F$9,IF(S295&lt;($F$9-$E$9)/($G$9-$E$9),$E$9+SQRT(S295*($G$9-$E$9)*($F$9-$E$9)),$G$9-SQRT((1-S295)*($G$9-$E$9)*($G$9-$F$9))))</f>
        <v>0.941695020854275</v>
      </c>
      <c r="F295" s="37" t="n">
        <f aca="false">1+IF($G$10=$E$10,$F$10,IF(T295&lt;($F$10-$E$10)/($G$10-$E$10),$E$10+SQRT(T295*($G$10-$E$10)*($F$10-$E$10)),$G$10-SQRT((1-T295)*($G$10-$E$10)*($G$10-$F$10))))</f>
        <v>0.980161217311461</v>
      </c>
      <c r="G295" s="38" t="n">
        <f aca="false">IF($G$11=$E$11,$F$11,IF(U295&lt;($F$11-$E$11)/($G$11-$E$11),$E$11+SQRT(U295*($G$11-$E$11)*($F$11-$E$11)),$G$11-SQRT((1-U295)*($G$11-$E$11)*($G$11-$F$11))))</f>
        <v>0.0925154427976944</v>
      </c>
      <c r="H295" s="39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-1960322434.62292</v>
      </c>
      <c r="I295" s="39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-842852.331233904</v>
      </c>
      <c r="J295" s="39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276682339.21374</v>
      </c>
      <c r="K295" s="39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603215591.624287</v>
      </c>
      <c r="L295" s="39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726685915.592334</v>
      </c>
      <c r="M295" s="39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896976512.917474</v>
      </c>
      <c r="N295" s="39" t="n">
        <f aca="false">IF(COUNT('Business Case'!B11:G11)=0,"",H295+NPV(G295,I295:M295))</f>
        <v>-180333394.962551</v>
      </c>
      <c r="P295" s="40" t="n">
        <f aca="true">RAND()</f>
        <v>0.531011424266643</v>
      </c>
      <c r="Q295" s="40" t="n">
        <f aca="true">RAND()</f>
        <v>0.313202075551578</v>
      </c>
      <c r="R295" s="40" t="n">
        <f aca="true">RAND()</f>
        <v>0.15573841856336</v>
      </c>
      <c r="S295" s="40" t="n">
        <f aca="true">RAND()</f>
        <v>0.0695389905615376</v>
      </c>
      <c r="T295" s="40" t="n">
        <f aca="true">RAND()</f>
        <v>0.0606466019806113</v>
      </c>
      <c r="U295" s="40" t="n">
        <f aca="true">RAND()</f>
        <v>0.156636308422361</v>
      </c>
    </row>
    <row r="296" customFormat="false" ht="15" hidden="false" customHeight="false" outlineLevel="0" collapsed="false">
      <c r="A296" s="36" t="n">
        <v>216</v>
      </c>
      <c r="B296" s="37" t="n">
        <f aca="false">1+IF($G$6=$E$6,$F$6,IF(P296&lt;($F$6-$E$6)/($G$6-$E$6),$E$6+SQRT(P296*($G$6-$E$6)*($F$6-$E$6)),$G$6-SQRT((1-P296)*($G$6-$E$6)*($G$6-$F$6))))</f>
        <v>1.03857723861178</v>
      </c>
      <c r="C296" s="37" t="n">
        <f aca="false">1+IF($G$7=$E$7,$F$7,IF(Q296&lt;($F$7-$E$7)/($G$7-$E$7),$E$7+SQRT(Q296*($G$7-$E$7)*($F$7-$E$7)),$G$7-SQRT((1-Q296)*($G$7-$E$7)*($G$7-$F$7))))</f>
        <v>1.04922342241555</v>
      </c>
      <c r="D296" s="37" t="n">
        <f aca="false">1+IF($G$8=$E$8,$F$8,IF(R296&lt;($F$8-$E$8)/($G$8-$E$8),$E$8+SQRT(R296*($G$8-$E$8)*($F$8-$E$8)),$G$8-SQRT((1-R296)*($G$8-$E$8)*($G$8-$F$8))))</f>
        <v>1.06877119634388</v>
      </c>
      <c r="E296" s="37" t="n">
        <f aca="false">1+IF($G$9=$E$9,$F$9,IF(S296&lt;($F$9-$E$9)/($G$9-$E$9),$E$9+SQRT(S296*($G$9-$E$9)*($F$9-$E$9)),$G$9-SQRT((1-S296)*($G$9-$E$9)*($G$9-$F$9))))</f>
        <v>1.07890202178988</v>
      </c>
      <c r="F296" s="37" t="n">
        <f aca="false">1+IF($G$10=$E$10,$F$10,IF(T296&lt;($F$10-$E$10)/($G$10-$E$10),$E$10+SQRT(T296*($G$10-$E$10)*($F$10-$E$10)),$G$10-SQRT((1-T296)*($G$10-$E$10)*($G$10-$F$10))))</f>
        <v>1.04496280860791</v>
      </c>
      <c r="G296" s="38" t="n">
        <f aca="false">IF($G$11=$E$11,$F$11,IF(U296&lt;($F$11-$E$11)/($G$11-$E$11),$E$11+SQRT(U296*($G$11-$E$11)*($F$11-$E$11)),$G$11-SQRT((1-U296)*($G$11-$E$11)*($G$11-$F$11))))</f>
        <v>0.102506669607012</v>
      </c>
      <c r="H296" s="39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-2089925617.21582</v>
      </c>
      <c r="I296" s="39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4079495.00399394</v>
      </c>
      <c r="J296" s="39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322565163.803378</v>
      </c>
      <c r="K296" s="39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693298973.033158</v>
      </c>
      <c r="L296" s="39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837120879.590338</v>
      </c>
      <c r="M296" s="39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1044250972.85595</v>
      </c>
      <c r="N296" s="39" t="n">
        <f aca="false">IF(COUNT('Business Case'!B11:G11)=0,"",H296+NPV(G296,I296:M296))</f>
        <v>-95869717.324568</v>
      </c>
      <c r="P296" s="40" t="n">
        <f aca="true">RAND()</f>
        <v>0.982602736302371</v>
      </c>
      <c r="Q296" s="40" t="n">
        <f aca="true">RAND()</f>
        <v>0.84954194682024</v>
      </c>
      <c r="R296" s="40" t="n">
        <f aca="true">RAND()</f>
        <v>0.9349841214805</v>
      </c>
      <c r="S296" s="40" t="n">
        <f aca="true">RAND()</f>
        <v>0.865202066518238</v>
      </c>
      <c r="T296" s="40" t="n">
        <f aca="true">RAND()</f>
        <v>0.439463335280582</v>
      </c>
      <c r="U296" s="40" t="n">
        <f aca="true">RAND()</f>
        <v>0.496077855934685</v>
      </c>
    </row>
    <row r="297" customFormat="false" ht="15" hidden="false" customHeight="false" outlineLevel="0" collapsed="false">
      <c r="A297" s="36" t="n">
        <v>217</v>
      </c>
      <c r="B297" s="37" t="n">
        <f aca="false">1+IF($G$6=$E$6,$F$6,IF(P297&lt;($F$6-$E$6)/($G$6-$E$6),$E$6+SQRT(P297*($G$6-$E$6)*($F$6-$E$6)),$G$6-SQRT((1-P297)*($G$6-$E$6)*($G$6-$F$6))))</f>
        <v>1.03623573094322</v>
      </c>
      <c r="C297" s="37" t="n">
        <f aca="false">1+IF($G$7=$E$7,$F$7,IF(Q297&lt;($F$7-$E$7)/($G$7-$E$7),$E$7+SQRT(Q297*($G$7-$E$7)*($F$7-$E$7)),$G$7-SQRT((1-Q297)*($G$7-$E$7)*($G$7-$F$7))))</f>
        <v>1.07059588646011</v>
      </c>
      <c r="D297" s="37" t="n">
        <f aca="false">1+IF($G$8=$E$8,$F$8,IF(R297&lt;($F$8-$E$8)/($G$8-$E$8),$E$8+SQRT(R297*($G$8-$E$8)*($F$8-$E$8)),$G$8-SQRT((1-R297)*($G$8-$E$8)*($G$8-$F$8))))</f>
        <v>0.975021522993282</v>
      </c>
      <c r="E297" s="37" t="n">
        <f aca="false">1+IF($G$9=$E$9,$F$9,IF(S297&lt;($F$9-$E$9)/($G$9-$E$9),$E$9+SQRT(S297*($G$9-$E$9)*($F$9-$E$9)),$G$9-SQRT((1-S297)*($G$9-$E$9)*($G$9-$F$9))))</f>
        <v>0.906428765404427</v>
      </c>
      <c r="F297" s="37" t="n">
        <f aca="false">1+IF($G$10=$E$10,$F$10,IF(T297&lt;($F$10-$E$10)/($G$10-$E$10),$E$10+SQRT(T297*($G$10-$E$10)*($F$10-$E$10)),$G$10-SQRT((1-T297)*($G$10-$E$10)*($G$10-$F$10))))</f>
        <v>1.12159603325645</v>
      </c>
      <c r="G297" s="38" t="n">
        <f aca="false">IF($G$11=$E$11,$F$11,IF(U297&lt;($F$11-$E$11)/($G$11-$E$11),$E$11+SQRT(U297*($G$11-$E$11)*($F$11-$E$11)),$G$11-SQRT((1-U297)*($G$11-$E$11)*($G$11-$F$11))))</f>
        <v>0.110091010446487</v>
      </c>
      <c r="H297" s="39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-2243192066.51291</v>
      </c>
      <c r="I297" s="39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75735757.0245235</v>
      </c>
      <c r="J297" s="39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450036050.430891</v>
      </c>
      <c r="K297" s="39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880416145.500081</v>
      </c>
      <c r="L297" s="39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1043523418.37933</v>
      </c>
      <c r="M297" s="39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1254396214.63686</v>
      </c>
      <c r="N297" s="39" t="n">
        <f aca="false">IF(COUNT('Business Case'!B11:G11)=0,"",H297+NPV(G297,I297:M297))</f>
        <v>265120387.071836</v>
      </c>
      <c r="P297" s="40" t="n">
        <f aca="true">RAND()</f>
        <v>0.97473931964433</v>
      </c>
      <c r="Q297" s="40" t="n">
        <f aca="true">RAND()</f>
        <v>0.906592396339925</v>
      </c>
      <c r="R297" s="40" t="n">
        <f aca="true">RAND()</f>
        <v>0.0834768817204461</v>
      </c>
      <c r="S297" s="40" t="n">
        <f aca="true">RAND()</f>
        <v>0.00165316098500617</v>
      </c>
      <c r="T297" s="40" t="n">
        <f aca="true">RAND()</f>
        <v>0.780165617660298</v>
      </c>
      <c r="U297" s="40" t="n">
        <f aca="true">RAND()</f>
        <v>0.735754756638736</v>
      </c>
    </row>
    <row r="298" customFormat="false" ht="15" hidden="false" customHeight="false" outlineLevel="0" collapsed="false">
      <c r="A298" s="36" t="n">
        <v>218</v>
      </c>
      <c r="B298" s="37" t="n">
        <f aca="false">1+IF($G$6=$E$6,$F$6,IF(P298&lt;($F$6-$E$6)/($G$6-$E$6),$E$6+SQRT(P298*($G$6-$E$6)*($F$6-$E$6)),$G$6-SQRT((1-P298)*($G$6-$E$6)*($G$6-$F$6))))</f>
        <v>0.983500863136063</v>
      </c>
      <c r="C298" s="37" t="n">
        <f aca="false">1+IF($G$7=$E$7,$F$7,IF(Q298&lt;($F$7-$E$7)/($G$7-$E$7),$E$7+SQRT(Q298*($G$7-$E$7)*($F$7-$E$7)),$G$7-SQRT((1-Q298)*($G$7-$E$7)*($G$7-$F$7))))</f>
        <v>0.742490301848442</v>
      </c>
      <c r="D298" s="37" t="n">
        <f aca="false">1+IF($G$8=$E$8,$F$8,IF(R298&lt;($F$8-$E$8)/($G$8-$E$8),$E$8+SQRT(R298*($G$8-$E$8)*($F$8-$E$8)),$G$8-SQRT((1-R298)*($G$8-$E$8)*($G$8-$F$8))))</f>
        <v>0.997458021565903</v>
      </c>
      <c r="E298" s="37" t="n">
        <f aca="false">1+IF($G$9=$E$9,$F$9,IF(S298&lt;($F$9-$E$9)/($G$9-$E$9),$E$9+SQRT(S298*($G$9-$E$9)*($F$9-$E$9)),$G$9-SQRT((1-S298)*($G$9-$E$9)*($G$9-$F$9))))</f>
        <v>0.928923784902054</v>
      </c>
      <c r="F298" s="37" t="n">
        <f aca="false">1+IF($G$10=$E$10,$F$10,IF(T298&lt;($F$10-$E$10)/($G$10-$E$10),$E$10+SQRT(T298*($G$10-$E$10)*($F$10-$E$10)),$G$10-SQRT((1-T298)*($G$10-$E$10)*($G$10-$F$10))))</f>
        <v>1.22777534601106</v>
      </c>
      <c r="G298" s="38" t="n">
        <f aca="false">IF($G$11=$E$11,$F$11,IF(U298&lt;($F$11-$E$11)/($G$11-$E$11),$E$11+SQRT(U298*($G$11-$E$11)*($F$11-$E$11)),$G$11-SQRT((1-U298)*($G$11-$E$11)*($G$11-$F$11))))</f>
        <v>0.102677841887586</v>
      </c>
      <c r="H298" s="39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-2455550692.02213</v>
      </c>
      <c r="I298" s="39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-73736554.532592</v>
      </c>
      <c r="J298" s="39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145253021.714938</v>
      </c>
      <c r="K298" s="39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425631365.263021</v>
      </c>
      <c r="L298" s="39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523864979.989493</v>
      </c>
      <c r="M298" s="39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662668971.197951</v>
      </c>
      <c r="N298" s="39" t="n">
        <f aca="false">IF(COUNT('Business Case'!B11:G11)=0,"",H298+NPV(G298,I298:M298))</f>
        <v>-1324663573.93675</v>
      </c>
      <c r="P298" s="40" t="n">
        <f aca="true">RAND()</f>
        <v>0.46482627629784</v>
      </c>
      <c r="Q298" s="40" t="n">
        <f aca="true">RAND()</f>
        <v>0.0133735240827536</v>
      </c>
      <c r="R298" s="40" t="n">
        <f aca="true">RAND()</f>
        <v>0.300301841459957</v>
      </c>
      <c r="S298" s="40" t="n">
        <f aca="true">RAND()</f>
        <v>0.0334634133224104</v>
      </c>
      <c r="T298" s="40" t="n">
        <f aca="true">RAND()</f>
        <v>0.993414196734294</v>
      </c>
      <c r="U298" s="40" t="n">
        <f aca="true">RAND()</f>
        <v>0.502333117386831</v>
      </c>
    </row>
    <row r="299" customFormat="false" ht="15" hidden="false" customHeight="false" outlineLevel="0" collapsed="false">
      <c r="A299" s="36" t="n">
        <v>219</v>
      </c>
      <c r="B299" s="37" t="n">
        <f aca="false">1+IF($G$6=$E$6,$F$6,IF(P299&lt;($F$6-$E$6)/($G$6-$E$6),$E$6+SQRT(P299*($G$6-$E$6)*($F$6-$E$6)),$G$6-SQRT((1-P299)*($G$6-$E$6)*($G$6-$F$6))))</f>
        <v>0.987234001640244</v>
      </c>
      <c r="C299" s="37" t="n">
        <f aca="false">1+IF($G$7=$E$7,$F$7,IF(Q299&lt;($F$7-$E$7)/($G$7-$E$7),$E$7+SQRT(Q299*($G$7-$E$7)*($F$7-$E$7)),$G$7-SQRT((1-Q299)*($G$7-$E$7)*($G$7-$F$7))))</f>
        <v>0.755682459119177</v>
      </c>
      <c r="D299" s="37" t="n">
        <f aca="false">1+IF($G$8=$E$8,$F$8,IF(R299&lt;($F$8-$E$8)/($G$8-$E$8),$E$8+SQRT(R299*($G$8-$E$8)*($F$8-$E$8)),$G$8-SQRT((1-R299)*($G$8-$E$8)*($G$8-$F$8))))</f>
        <v>0.998013774140438</v>
      </c>
      <c r="E299" s="37" t="n">
        <f aca="false">1+IF($G$9=$E$9,$F$9,IF(S299&lt;($F$9-$E$9)/($G$9-$E$9),$E$9+SQRT(S299*($G$9-$E$9)*($F$9-$E$9)),$G$9-SQRT((1-S299)*($G$9-$E$9)*($G$9-$F$9))))</f>
        <v>0.983522513849436</v>
      </c>
      <c r="F299" s="37" t="n">
        <f aca="false">1+IF($G$10=$E$10,$F$10,IF(T299&lt;($F$10-$E$10)/($G$10-$E$10),$E$10+SQRT(T299*($G$10-$E$10)*($F$10-$E$10)),$G$10-SQRT((1-T299)*($G$10-$E$10)*($G$10-$F$10))))</f>
        <v>1.17489413992465</v>
      </c>
      <c r="G299" s="38" t="n">
        <f aca="false">IF($G$11=$E$11,$F$11,IF(U299&lt;($F$11-$E$11)/($G$11-$E$11),$E$11+SQRT(U299*($G$11-$E$11)*($F$11-$E$11)),$G$11-SQRT((1-U299)*($G$11-$E$11)*($G$11-$F$11))))</f>
        <v>0.0915873553232695</v>
      </c>
      <c r="H299" s="39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-2349788279.84931</v>
      </c>
      <c r="I299" s="39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-71044664.6285402</v>
      </c>
      <c r="J299" s="39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153931462.27833</v>
      </c>
      <c r="K299" s="39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437652296.181434</v>
      </c>
      <c r="L299" s="39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538427322.532761</v>
      </c>
      <c r="M299" s="39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680233734.802465</v>
      </c>
      <c r="N299" s="39" t="n">
        <f aca="false">IF(COUNT('Business Case'!B11:G11)=0,"",H299+NPV(G299,I299:M299))</f>
        <v>-1131090140.01694</v>
      </c>
      <c r="P299" s="40" t="n">
        <f aca="true">RAND()</f>
        <v>0.507318069478002</v>
      </c>
      <c r="Q299" s="40" t="n">
        <f aca="true">RAND()</f>
        <v>0.0229669352115466</v>
      </c>
      <c r="R299" s="40" t="n">
        <f aca="true">RAND()</f>
        <v>0.307376334294525</v>
      </c>
      <c r="S299" s="40" t="n">
        <f aca="true">RAND()</f>
        <v>0.279040412789169</v>
      </c>
      <c r="T299" s="40" t="n">
        <f aca="true">RAND()</f>
        <v>0.924788130431231</v>
      </c>
      <c r="U299" s="40" t="n">
        <f aca="true">RAND()</f>
        <v>0.134266803387701</v>
      </c>
    </row>
    <row r="300" customFormat="false" ht="15" hidden="false" customHeight="false" outlineLevel="0" collapsed="false">
      <c r="A300" s="36" t="n">
        <v>220</v>
      </c>
      <c r="B300" s="37" t="n">
        <f aca="false">1+IF($G$6=$E$6,$F$6,IF(P300&lt;($F$6-$E$6)/($G$6-$E$6),$E$6+SQRT(P300*($G$6-$E$6)*($F$6-$E$6)),$G$6-SQRT((1-P300)*($G$6-$E$6)*($G$6-$F$6))))</f>
        <v>0.990701211358406</v>
      </c>
      <c r="C300" s="37" t="n">
        <f aca="false">1+IF($G$7=$E$7,$F$7,IF(Q300&lt;($F$7-$E$7)/($G$7-$E$7),$E$7+SQRT(Q300*($G$7-$E$7)*($F$7-$E$7)),$G$7-SQRT((1-Q300)*($G$7-$E$7)*($G$7-$F$7))))</f>
        <v>0.991084008244439</v>
      </c>
      <c r="D300" s="37" t="n">
        <f aca="false">1+IF($G$8=$E$8,$F$8,IF(R300&lt;($F$8-$E$8)/($G$8-$E$8),$E$8+SQRT(R300*($G$8-$E$8)*($F$8-$E$8)),$G$8-SQRT((1-R300)*($G$8-$E$8)*($G$8-$F$8))))</f>
        <v>1.00308485030271</v>
      </c>
      <c r="E300" s="37" t="n">
        <f aca="false">1+IF($G$9=$E$9,$F$9,IF(S300&lt;($F$9-$E$9)/($G$9-$E$9),$E$9+SQRT(S300*($G$9-$E$9)*($F$9-$E$9)),$G$9-SQRT((1-S300)*($G$9-$E$9)*($G$9-$F$9))))</f>
        <v>0.970663850710825</v>
      </c>
      <c r="F300" s="37" t="n">
        <f aca="false">1+IF($G$10=$E$10,$F$10,IF(T300&lt;($F$10-$E$10)/($G$10-$E$10),$E$10+SQRT(T300*($G$10-$E$10)*($F$10-$E$10)),$G$10-SQRT((1-T300)*($G$10-$E$10)*($G$10-$F$10))))</f>
        <v>1.06995044899507</v>
      </c>
      <c r="G300" s="38" t="n">
        <f aca="false">IF($G$11=$E$11,$F$11,IF(U300&lt;($F$11-$E$11)/($G$11-$E$11),$E$11+SQRT(U300*($G$11-$E$11)*($F$11-$E$11)),$G$11-SQRT((1-U300)*($G$11-$E$11)*($G$11-$F$11))))</f>
        <v>0.106386390988223</v>
      </c>
      <c r="H300" s="39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-2139900897.99014</v>
      </c>
      <c r="I300" s="39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-623639.216666564</v>
      </c>
      <c r="J300" s="39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294676209.768186</v>
      </c>
      <c r="K300" s="39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643473581.202792</v>
      </c>
      <c r="L300" s="39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775840226.685031</v>
      </c>
      <c r="M300" s="39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962473720.365118</v>
      </c>
      <c r="N300" s="39" t="n">
        <f aca="false">IF(COUNT('Business Case'!B11:G11)=0,"",H300+NPV(G300,I300:M300))</f>
        <v>-326256427.118572</v>
      </c>
      <c r="P300" s="40" t="n">
        <f aca="true">RAND()</f>
        <v>0.548447316125482</v>
      </c>
      <c r="Q300" s="40" t="n">
        <f aca="true">RAND()</f>
        <v>0.627628887819618</v>
      </c>
      <c r="R300" s="40" t="n">
        <f aca="true">RAND()</f>
        <v>0.373830250610146</v>
      </c>
      <c r="S300" s="40" t="n">
        <f aca="true">RAND()</f>
        <v>0.199735191891271</v>
      </c>
      <c r="T300" s="40" t="n">
        <f aca="true">RAND()</f>
        <v>0.567762122438964</v>
      </c>
      <c r="U300" s="40" t="n">
        <f aca="true">RAND()</f>
        <v>0.628264979625949</v>
      </c>
    </row>
    <row r="301" customFormat="false" ht="15" hidden="false" customHeight="false" outlineLevel="0" collapsed="false">
      <c r="A301" s="36" t="n">
        <v>221</v>
      </c>
      <c r="B301" s="37" t="n">
        <f aca="false">1+IF($G$6=$E$6,$F$6,IF(P301&lt;($F$6-$E$6)/($G$6-$E$6),$E$6+SQRT(P301*($G$6-$E$6)*($F$6-$E$6)),$G$6-SQRT((1-P301)*($G$6-$E$6)*($G$6-$F$6))))</f>
        <v>0.927415360749346</v>
      </c>
      <c r="C301" s="37" t="n">
        <f aca="false">1+IF($G$7=$E$7,$F$7,IF(Q301&lt;($F$7-$E$7)/($G$7-$E$7),$E$7+SQRT(Q301*($G$7-$E$7)*($F$7-$E$7)),$G$7-SQRT((1-Q301)*($G$7-$E$7)*($G$7-$F$7))))</f>
        <v>1.01695778018911</v>
      </c>
      <c r="D301" s="37" t="n">
        <f aca="false">1+IF($G$8=$E$8,$F$8,IF(R301&lt;($F$8-$E$8)/($G$8-$E$8),$E$8+SQRT(R301*($G$8-$E$8)*($F$8-$E$8)),$G$8-SQRT((1-R301)*($G$8-$E$8)*($G$8-$F$8))))</f>
        <v>1.01697181912601</v>
      </c>
      <c r="E301" s="37" t="n">
        <f aca="false">1+IF($G$9=$E$9,$F$9,IF(S301&lt;($F$9-$E$9)/($G$9-$E$9),$E$9+SQRT(S301*($G$9-$E$9)*($F$9-$E$9)),$G$9-SQRT((1-S301)*($G$9-$E$9)*($G$9-$F$9))))</f>
        <v>1.01514185739581</v>
      </c>
      <c r="F301" s="37" t="n">
        <f aca="false">1+IF($G$10=$E$10,$F$10,IF(T301&lt;($F$10-$E$10)/($G$10-$E$10),$E$10+SQRT(T301*($G$10-$E$10)*($F$10-$E$10)),$G$10-SQRT((1-T301)*($G$10-$E$10)*($G$10-$F$10))))</f>
        <v>1.17237099063701</v>
      </c>
      <c r="G301" s="38" t="n">
        <f aca="false">IF($G$11=$E$11,$F$11,IF(U301&lt;($F$11-$E$11)/($G$11-$E$11),$E$11+SQRT(U301*($G$11-$E$11)*($F$11-$E$11)),$G$11-SQRT((1-U301)*($G$11-$E$11)*($G$11-$F$11))))</f>
        <v>0.0999359622438682</v>
      </c>
      <c r="H301" s="39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-2344741981.27402</v>
      </c>
      <c r="I301" s="39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-67417917.0106172</v>
      </c>
      <c r="J301" s="39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175646932.263707</v>
      </c>
      <c r="K301" s="39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477330331.069881</v>
      </c>
      <c r="L301" s="39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590946944.227693</v>
      </c>
      <c r="M301" s="39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770219426.259397</v>
      </c>
      <c r="N301" s="39" t="n">
        <f aca="false">IF(COUNT('Business Case'!B11:G11)=0,"",H301+NPV(G301,I301:M301))</f>
        <v>-1020063309.12296</v>
      </c>
      <c r="P301" s="40" t="n">
        <f aca="true">RAND()</f>
        <v>0.0501068003344505</v>
      </c>
      <c r="Q301" s="40" t="n">
        <f aca="true">RAND()</f>
        <v>0.737774337004291</v>
      </c>
      <c r="R301" s="40" t="n">
        <f aca="true">RAND()</f>
        <v>0.540421412050364</v>
      </c>
      <c r="S301" s="40" t="n">
        <f aca="true">RAND()</f>
        <v>0.515020836622647</v>
      </c>
      <c r="T301" s="40" t="n">
        <f aca="true">RAND()</f>
        <v>0.919649825404274</v>
      </c>
      <c r="U301" s="40" t="n">
        <f aca="true">RAND()</f>
        <v>0.397442590588939</v>
      </c>
    </row>
    <row r="302" customFormat="false" ht="15" hidden="false" customHeight="false" outlineLevel="0" collapsed="false">
      <c r="A302" s="36" t="n">
        <v>222</v>
      </c>
      <c r="B302" s="37" t="n">
        <f aca="false">1+IF($G$6=$E$6,$F$6,IF(P302&lt;($F$6-$E$6)/($G$6-$E$6),$E$6+SQRT(P302*($G$6-$E$6)*($F$6-$E$6)),$G$6-SQRT((1-P302)*($G$6-$E$6)*($G$6-$F$6))))</f>
        <v>0.975875021761083</v>
      </c>
      <c r="C302" s="37" t="n">
        <f aca="false">1+IF($G$7=$E$7,$F$7,IF(Q302&lt;($F$7-$E$7)/($G$7-$E$7),$E$7+SQRT(Q302*($G$7-$E$7)*($F$7-$E$7)),$G$7-SQRT((1-Q302)*($G$7-$E$7)*($G$7-$F$7))))</f>
        <v>0.939353874119437</v>
      </c>
      <c r="D302" s="37" t="n">
        <f aca="false">1+IF($G$8=$E$8,$F$8,IF(R302&lt;($F$8-$E$8)/($G$8-$E$8),$E$8+SQRT(R302*($G$8-$E$8)*($F$8-$E$8)),$G$8-SQRT((1-R302)*($G$8-$E$8)*($G$8-$F$8))))</f>
        <v>1.01646978567287</v>
      </c>
      <c r="E302" s="37" t="n">
        <f aca="false">1+IF($G$9=$E$9,$F$9,IF(S302&lt;($F$9-$E$9)/($G$9-$E$9),$E$9+SQRT(S302*($G$9-$E$9)*($F$9-$E$9)),$G$9-SQRT((1-S302)*($G$9-$E$9)*($G$9-$F$9))))</f>
        <v>1.08385130432553</v>
      </c>
      <c r="F302" s="37" t="n">
        <f aca="false">1+IF($G$10=$E$10,$F$10,IF(T302&lt;($F$10-$E$10)/($G$10-$E$10),$E$10+SQRT(T302*($G$10-$E$10)*($F$10-$E$10)),$G$10-SQRT((1-T302)*($G$10-$E$10)*($G$10-$F$10))))</f>
        <v>1.09207140131115</v>
      </c>
      <c r="G302" s="38" t="n">
        <f aca="false">IF($G$11=$E$11,$F$11,IF(U302&lt;($F$11-$E$11)/($G$11-$E$11),$E$11+SQRT(U302*($G$11-$E$11)*($F$11-$E$11)),$G$11-SQRT((1-U302)*($G$11-$E$11)*($G$11-$F$11))))</f>
        <v>0.0975331431324622</v>
      </c>
      <c r="H302" s="39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-2184142802.6223</v>
      </c>
      <c r="I302" s="39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-48809300.1409031</v>
      </c>
      <c r="J302" s="39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213233507.689302</v>
      </c>
      <c r="K302" s="39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529879885.585066</v>
      </c>
      <c r="L302" s="39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648908363.10507</v>
      </c>
      <c r="M302" s="39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823153175.109714</v>
      </c>
      <c r="N302" s="39" t="n">
        <f aca="false">IF(COUNT('Business Case'!B11:G11)=0,"",H302+NPV(G302,I302:M302))</f>
        <v>-686703920.947167</v>
      </c>
      <c r="P302" s="40" t="n">
        <f aca="true">RAND()</f>
        <v>0.383801261816321</v>
      </c>
      <c r="Q302" s="40" t="n">
        <f aca="true">RAND()</f>
        <v>0.424372422636914</v>
      </c>
      <c r="R302" s="40" t="n">
        <f aca="true">RAND()</f>
        <v>0.534846886297567</v>
      </c>
      <c r="S302" s="40" t="n">
        <f aca="true">RAND()</f>
        <v>0.88331600161511</v>
      </c>
      <c r="T302" s="40" t="n">
        <f aca="true">RAND()</f>
        <v>0.667447436215687</v>
      </c>
      <c r="U302" s="40" t="n">
        <f aca="true">RAND()</f>
        <v>0.307411108103408</v>
      </c>
    </row>
    <row r="303" customFormat="false" ht="15" hidden="false" customHeight="false" outlineLevel="0" collapsed="false">
      <c r="A303" s="36" t="n">
        <v>223</v>
      </c>
      <c r="B303" s="37" t="n">
        <f aca="false">1+IF($G$6=$E$6,$F$6,IF(P303&lt;($F$6-$E$6)/($G$6-$E$6),$E$6+SQRT(P303*($G$6-$E$6)*($F$6-$E$6)),$G$6-SQRT((1-P303)*($G$6-$E$6)*($G$6-$F$6))))</f>
        <v>0.990932595960774</v>
      </c>
      <c r="C303" s="37" t="n">
        <f aca="false">1+IF($G$7=$E$7,$F$7,IF(Q303&lt;($F$7-$E$7)/($G$7-$E$7),$E$7+SQRT(Q303*($G$7-$E$7)*($F$7-$E$7)),$G$7-SQRT((1-Q303)*($G$7-$E$7)*($G$7-$F$7))))</f>
        <v>1.06019073364904</v>
      </c>
      <c r="D303" s="37" t="n">
        <f aca="false">1+IF($G$8=$E$8,$F$8,IF(R303&lt;($F$8-$E$8)/($G$8-$E$8),$E$8+SQRT(R303*($G$8-$E$8)*($F$8-$E$8)),$G$8-SQRT((1-R303)*($G$8-$E$8)*($G$8-$F$8))))</f>
        <v>0.99789305315186</v>
      </c>
      <c r="E303" s="37" t="n">
        <f aca="false">1+IF($G$9=$E$9,$F$9,IF(S303&lt;($F$9-$E$9)/($G$9-$E$9),$E$9+SQRT(S303*($G$9-$E$9)*($F$9-$E$9)),$G$9-SQRT((1-S303)*($G$9-$E$9)*($G$9-$F$9))))</f>
        <v>0.98306284497892</v>
      </c>
      <c r="F303" s="37" t="n">
        <f aca="false">1+IF($G$10=$E$10,$F$10,IF(T303&lt;($F$10-$E$10)/($G$10-$E$10),$E$10+SQRT(T303*($G$10-$E$10)*($F$10-$E$10)),$G$10-SQRT((1-T303)*($G$10-$E$10)*($G$10-$F$10))))</f>
        <v>1.15535565707585</v>
      </c>
      <c r="G303" s="38" t="n">
        <f aca="false">IF($G$11=$E$11,$F$11,IF(U303&lt;($F$11-$E$11)/($G$11-$E$11),$E$11+SQRT(U303*($G$11-$E$11)*($F$11-$E$11)),$G$11-SQRT((1-U303)*($G$11-$E$11)*($G$11-$F$11))))</f>
        <v>0.113661592575296</v>
      </c>
      <c r="H303" s="39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-2310711314.1517</v>
      </c>
      <c r="I303" s="39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9120285.98890927</v>
      </c>
      <c r="J303" s="39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328029614.739698</v>
      </c>
      <c r="K303" s="39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704706726.34428</v>
      </c>
      <c r="L303" s="39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847317796.26007</v>
      </c>
      <c r="M303" s="39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1047011578.08714</v>
      </c>
      <c r="N303" s="39" t="n">
        <f aca="false">IF(COUNT('Business Case'!B11:G11)=0,"",H303+NPV(G303,I303:M303))</f>
        <v>-365771095.984264</v>
      </c>
      <c r="P303" s="40" t="n">
        <f aca="true">RAND()</f>
        <v>0.551249133877688</v>
      </c>
      <c r="Q303" s="40" t="n">
        <f aca="true">RAND()</f>
        <v>0.880508084111153</v>
      </c>
      <c r="R303" s="40" t="n">
        <f aca="true">RAND()</f>
        <v>0.305832605360913</v>
      </c>
      <c r="S303" s="40" t="n">
        <f aca="true">RAND()</f>
        <v>0.275977448639687</v>
      </c>
      <c r="T303" s="40" t="n">
        <f aca="true">RAND()</f>
        <v>0.88056597803275</v>
      </c>
      <c r="U303" s="40" t="n">
        <f aca="true">RAND()</f>
        <v>0.822037628549591</v>
      </c>
    </row>
    <row r="304" customFormat="false" ht="15" hidden="false" customHeight="false" outlineLevel="0" collapsed="false">
      <c r="A304" s="36" t="n">
        <v>224</v>
      </c>
      <c r="B304" s="37" t="n">
        <f aca="false">1+IF($G$6=$E$6,$F$6,IF(P304&lt;($F$6-$E$6)/($G$6-$E$6),$E$6+SQRT(P304*($G$6-$E$6)*($F$6-$E$6)),$G$6-SQRT((1-P304)*($G$6-$E$6)*($G$6-$F$6))))</f>
        <v>0.977235888262165</v>
      </c>
      <c r="C304" s="37" t="n">
        <f aca="false">1+IF($G$7=$E$7,$F$7,IF(Q304&lt;($F$7-$E$7)/($G$7-$E$7),$E$7+SQRT(Q304*($G$7-$E$7)*($F$7-$E$7)),$G$7-SQRT((1-Q304)*($G$7-$E$7)*($G$7-$F$7))))</f>
        <v>1.01297425090962</v>
      </c>
      <c r="D304" s="37" t="n">
        <f aca="false">1+IF($G$8=$E$8,$F$8,IF(R304&lt;($F$8-$E$8)/($G$8-$E$8),$E$8+SQRT(R304*($G$8-$E$8)*($F$8-$E$8)),$G$8-SQRT((1-R304)*($G$8-$E$8)*($G$8-$F$8))))</f>
        <v>1.00672927184172</v>
      </c>
      <c r="E304" s="37" t="n">
        <f aca="false">1+IF($G$9=$E$9,$F$9,IF(S304&lt;($F$9-$E$9)/($G$9-$E$9),$E$9+SQRT(S304*($G$9-$E$9)*($F$9-$E$9)),$G$9-SQRT((1-S304)*($G$9-$E$9)*($G$9-$F$9))))</f>
        <v>0.933157648198253</v>
      </c>
      <c r="F304" s="37" t="n">
        <f aca="false">1+IF($G$10=$E$10,$F$10,IF(T304&lt;($F$10-$E$10)/($G$10-$E$10),$E$10+SQRT(T304*($G$10-$E$10)*($F$10-$E$10)),$G$10-SQRT((1-T304)*($G$10-$E$10)*($G$10-$F$10))))</f>
        <v>0.95302872386678</v>
      </c>
      <c r="G304" s="38" t="n">
        <f aca="false">IF($G$11=$E$11,$F$11,IF(U304&lt;($F$11-$E$11)/($G$11-$E$11),$E$11+SQRT(U304*($G$11-$E$11)*($F$11-$E$11)),$G$11-SQRT((1-U304)*($G$11-$E$11)*($G$11-$F$11))))</f>
        <v>0.0998029869450132</v>
      </c>
      <c r="H304" s="39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-1906057447.73356</v>
      </c>
      <c r="I304" s="39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9445093.93880652</v>
      </c>
      <c r="J304" s="39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298205260.64885</v>
      </c>
      <c r="K304" s="39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634616863.552232</v>
      </c>
      <c r="L304" s="39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765081707.662758</v>
      </c>
      <c r="M304" s="39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953244711.302238</v>
      </c>
      <c r="N304" s="39" t="n">
        <f aca="false">IF(COUNT('Business Case'!B11:G11)=0,"",H304+NPV(G304,I304:M304))</f>
        <v>-58521271.92276</v>
      </c>
      <c r="P304" s="40" t="n">
        <f aca="true">RAND()</f>
        <v>0.397692162376373</v>
      </c>
      <c r="Q304" s="40" t="n">
        <f aca="true">RAND()</f>
        <v>0.721836208684762</v>
      </c>
      <c r="R304" s="40" t="n">
        <f aca="true">RAND()</f>
        <v>0.420038084588258</v>
      </c>
      <c r="S304" s="40" t="n">
        <f aca="true">RAND()</f>
        <v>0.0439771853615649</v>
      </c>
      <c r="T304" s="40" t="n">
        <f aca="true">RAND()</f>
        <v>0.000611544550746843</v>
      </c>
      <c r="U304" s="40" t="n">
        <f aca="true">RAND()</f>
        <v>0.392158291944361</v>
      </c>
    </row>
    <row r="305" customFormat="false" ht="15" hidden="false" customHeight="false" outlineLevel="0" collapsed="false">
      <c r="A305" s="36" t="n">
        <v>225</v>
      </c>
      <c r="B305" s="37" t="n">
        <f aca="false">1+IF($G$6=$E$6,$F$6,IF(P305&lt;($F$6-$E$6)/($G$6-$E$6),$E$6+SQRT(P305*($G$6-$E$6)*($F$6-$E$6)),$G$6-SQRT((1-P305)*($G$6-$E$6)*($G$6-$F$6))))</f>
        <v>0.96888171576354</v>
      </c>
      <c r="C305" s="37" t="n">
        <f aca="false">1+IF($G$7=$E$7,$F$7,IF(Q305&lt;($F$7-$E$7)/($G$7-$E$7),$E$7+SQRT(Q305*($G$7-$E$7)*($F$7-$E$7)),$G$7-SQRT((1-Q305)*($G$7-$E$7)*($G$7-$F$7))))</f>
        <v>1.04534449404571</v>
      </c>
      <c r="D305" s="37" t="n">
        <f aca="false">1+IF($G$8=$E$8,$F$8,IF(R305&lt;($F$8-$E$8)/($G$8-$E$8),$E$8+SQRT(R305*($G$8-$E$8)*($F$8-$E$8)),$G$8-SQRT((1-R305)*($G$8-$E$8)*($G$8-$F$8))))</f>
        <v>1.00905384943816</v>
      </c>
      <c r="E305" s="37" t="n">
        <f aca="false">1+IF($G$9=$E$9,$F$9,IF(S305&lt;($F$9-$E$9)/($G$9-$E$9),$E$9+SQRT(S305*($G$9-$E$9)*($F$9-$E$9)),$G$9-SQRT((1-S305)*($G$9-$E$9)*($G$9-$F$9))))</f>
        <v>1.00596174379008</v>
      </c>
      <c r="F305" s="37" t="n">
        <f aca="false">1+IF($G$10=$E$10,$F$10,IF(T305&lt;($F$10-$E$10)/($G$10-$E$10),$E$10+SQRT(T305*($G$10-$E$10)*($F$10-$E$10)),$G$10-SQRT((1-T305)*($G$10-$E$10)*($G$10-$F$10))))</f>
        <v>1.00704615398188</v>
      </c>
      <c r="G305" s="38" t="n">
        <f aca="false">IF($G$11=$E$11,$F$11,IF(U305&lt;($F$11-$E$11)/($G$11-$E$11),$E$11+SQRT(U305*($G$11-$E$11)*($F$11-$E$11)),$G$11-SQRT((1-U305)*($G$11-$E$11)*($G$11-$F$11))))</f>
        <v>0.0883066300883906</v>
      </c>
      <c r="H305" s="39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-2014092307.96376</v>
      </c>
      <c r="I305" s="39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-6665933.96245322</v>
      </c>
      <c r="J305" s="39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282924845.695178</v>
      </c>
      <c r="K305" s="39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622867933.051902</v>
      </c>
      <c r="L305" s="39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754401085.107743</v>
      </c>
      <c r="M305" s="39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946916992.042546</v>
      </c>
      <c r="N305" s="39" t="n">
        <f aca="false">IF(COUNT('Business Case'!B11:G11)=0,"",H305+NPV(G305,I305:M305))</f>
        <v>-140121876.742528</v>
      </c>
      <c r="P305" s="40" t="n">
        <f aca="true">RAND()</f>
        <v>0.31631271776861</v>
      </c>
      <c r="Q305" s="40" t="n">
        <f aca="true">RAND()</f>
        <v>0.837736667754844</v>
      </c>
      <c r="R305" s="40" t="n">
        <f aca="true">RAND()</f>
        <v>0.448586513198854</v>
      </c>
      <c r="S305" s="40" t="n">
        <f aca="true">RAND()</f>
        <v>0.446746153280176</v>
      </c>
      <c r="T305" s="40" t="n">
        <f aca="true">RAND()</f>
        <v>0.212979049400047</v>
      </c>
      <c r="U305" s="40" t="n">
        <f aca="true">RAND()</f>
        <v>0.0690001034253559</v>
      </c>
    </row>
    <row r="306" customFormat="false" ht="15" hidden="false" customHeight="false" outlineLevel="0" collapsed="false">
      <c r="A306" s="36" t="n">
        <v>226</v>
      </c>
      <c r="B306" s="37" t="n">
        <f aca="false">1+IF($G$6=$E$6,$F$6,IF(P306&lt;($F$6-$E$6)/($G$6-$E$6),$E$6+SQRT(P306*($G$6-$E$6)*($F$6-$E$6)),$G$6-SQRT((1-P306)*($G$6-$E$6)*($G$6-$F$6))))</f>
        <v>0.996181071375496</v>
      </c>
      <c r="C306" s="37" t="n">
        <f aca="false">1+IF($G$7=$E$7,$F$7,IF(Q306&lt;($F$7-$E$7)/($G$7-$E$7),$E$7+SQRT(Q306*($G$7-$E$7)*($F$7-$E$7)),$G$7-SQRT((1-Q306)*($G$7-$E$7)*($G$7-$F$7))))</f>
        <v>0.862604480629689</v>
      </c>
      <c r="D306" s="37" t="n">
        <f aca="false">1+IF($G$8=$E$8,$F$8,IF(R306&lt;($F$8-$E$8)/($G$8-$E$8),$E$8+SQRT(R306*($G$8-$E$8)*($F$8-$E$8)),$G$8-SQRT((1-R306)*($G$8-$E$8)*($G$8-$F$8))))</f>
        <v>1.0661032568607</v>
      </c>
      <c r="E306" s="37" t="n">
        <f aca="false">1+IF($G$9=$E$9,$F$9,IF(S306&lt;($F$9-$E$9)/($G$9-$E$9),$E$9+SQRT(S306*($G$9-$E$9)*($F$9-$E$9)),$G$9-SQRT((1-S306)*($G$9-$E$9)*($G$9-$F$9))))</f>
        <v>0.974265813796809</v>
      </c>
      <c r="F306" s="37" t="n">
        <f aca="false">1+IF($G$10=$E$10,$F$10,IF(T306&lt;($F$10-$E$10)/($G$10-$E$10),$E$10+SQRT(T306*($G$10-$E$10)*($F$10-$E$10)),$G$10-SQRT((1-T306)*($G$10-$E$10)*($G$10-$F$10))))</f>
        <v>0.985835415851989</v>
      </c>
      <c r="G306" s="38" t="n">
        <f aca="false">IF($G$11=$E$11,$F$11,IF(U306&lt;($F$11-$E$11)/($G$11-$E$11),$E$11+SQRT(U306*($G$11-$E$11)*($F$11-$E$11)),$G$11-SQRT((1-U306)*($G$11-$E$11)*($G$11-$F$11))))</f>
        <v>0.103704645811047</v>
      </c>
      <c r="H306" s="39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-1971670831.70398</v>
      </c>
      <c r="I306" s="39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-48608472.6253273</v>
      </c>
      <c r="J306" s="39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184453838.711264</v>
      </c>
      <c r="K306" s="39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466807920.840455</v>
      </c>
      <c r="L306" s="39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574193120.389194</v>
      </c>
      <c r="M306" s="39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737530813.790177</v>
      </c>
      <c r="N306" s="39" t="n">
        <f aca="false">IF(COUNT('Business Case'!B11:G11)=0,"",H306+NPV(G306,I306:M306))</f>
        <v>-679835622.715871</v>
      </c>
      <c r="P306" s="40" t="n">
        <f aca="true">RAND()</f>
        <v>0.616719899395884</v>
      </c>
      <c r="Q306" s="40" t="n">
        <f aca="true">RAND()</f>
        <v>0.195853460154451</v>
      </c>
      <c r="R306" s="40" t="n">
        <f aca="true">RAND()</f>
        <v>0.923400720303217</v>
      </c>
      <c r="S306" s="40" t="n">
        <f aca="true">RAND()</f>
        <v>0.220616443956091</v>
      </c>
      <c r="T306" s="40" t="n">
        <f aca="true">RAND()</f>
        <v>0.0856118019523313</v>
      </c>
      <c r="U306" s="40" t="n">
        <f aca="true">RAND()</f>
        <v>0.539036232051688</v>
      </c>
    </row>
    <row r="307" customFormat="false" ht="15" hidden="false" customHeight="false" outlineLevel="0" collapsed="false">
      <c r="A307" s="36" t="n">
        <v>227</v>
      </c>
      <c r="B307" s="37" t="n">
        <f aca="false">1+IF($G$6=$E$6,$F$6,IF(P307&lt;($F$6-$E$6)/($G$6-$E$6),$E$6+SQRT(P307*($G$6-$E$6)*($F$6-$E$6)),$G$6-SQRT((1-P307)*($G$6-$E$6)*($G$6-$F$6))))</f>
        <v>0.93654960815825</v>
      </c>
      <c r="C307" s="37" t="n">
        <f aca="false">1+IF($G$7=$E$7,$F$7,IF(Q307&lt;($F$7-$E$7)/($G$7-$E$7),$E$7+SQRT(Q307*($G$7-$E$7)*($F$7-$E$7)),$G$7-SQRT((1-Q307)*($G$7-$E$7)*($G$7-$F$7))))</f>
        <v>0.94616951957295</v>
      </c>
      <c r="D307" s="37" t="n">
        <f aca="false">1+IF($G$8=$E$8,$F$8,IF(R307&lt;($F$8-$E$8)/($G$8-$E$8),$E$8+SQRT(R307*($G$8-$E$8)*($F$8-$E$8)),$G$8-SQRT((1-R307)*($G$8-$E$8)*($G$8-$F$8))))</f>
        <v>1.01310344652695</v>
      </c>
      <c r="E307" s="37" t="n">
        <f aca="false">1+IF($G$9=$E$9,$F$9,IF(S307&lt;($F$9-$E$9)/($G$9-$E$9),$E$9+SQRT(S307*($G$9-$E$9)*($F$9-$E$9)),$G$9-SQRT((1-S307)*($G$9-$E$9)*($G$9-$F$9))))</f>
        <v>1.00717388796008</v>
      </c>
      <c r="F307" s="37" t="n">
        <f aca="false">1+IF($G$10=$E$10,$F$10,IF(T307&lt;($F$10-$E$10)/($G$10-$E$10),$E$10+SQRT(T307*($G$10-$E$10)*($F$10-$E$10)),$G$10-SQRT((1-T307)*($G$10-$E$10)*($G$10-$F$10))))</f>
        <v>1.11935061819478</v>
      </c>
      <c r="G307" s="38" t="n">
        <f aca="false">IF($G$11=$E$11,$F$11,IF(U307&lt;($F$11-$E$11)/($G$11-$E$11),$E$11+SQRT(U307*($G$11-$E$11)*($F$11-$E$11)),$G$11-SQRT((1-U307)*($G$11-$E$11)*($G$11-$F$11))))</f>
        <v>0.129068932184225</v>
      </c>
      <c r="H307" s="39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-2238701236.38956</v>
      </c>
      <c r="I307" s="39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-65994222.5017381</v>
      </c>
      <c r="J307" s="39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169103966.159057</v>
      </c>
      <c r="K307" s="39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460169685.729591</v>
      </c>
      <c r="L307" s="39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569160563.599943</v>
      </c>
      <c r="M307" s="39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737597046.00876</v>
      </c>
      <c r="N307" s="39" t="n">
        <f aca="false">IF(COUNT('Business Case'!B11:G11)=0,"",H307+NPV(G307,I307:M307))</f>
        <v>-1092568131.39267</v>
      </c>
      <c r="P307" s="40" t="n">
        <f aca="true">RAND()</f>
        <v>0.0890582571014414</v>
      </c>
      <c r="Q307" s="40" t="n">
        <f aca="true">RAND()</f>
        <v>0.448884684198347</v>
      </c>
      <c r="R307" s="40" t="n">
        <f aca="true">RAND()</f>
        <v>0.496599266300362</v>
      </c>
      <c r="S307" s="40" t="n">
        <f aca="true">RAND()</f>
        <v>0.456018712521604</v>
      </c>
      <c r="T307" s="40" t="n">
        <f aca="true">RAND()</f>
        <v>0.77240985378551</v>
      </c>
      <c r="U307" s="40" t="n">
        <f aca="true">RAND()</f>
        <v>0.999422075148285</v>
      </c>
    </row>
    <row r="308" customFormat="false" ht="15" hidden="false" customHeight="false" outlineLevel="0" collapsed="false">
      <c r="A308" s="36" t="n">
        <v>228</v>
      </c>
      <c r="B308" s="37" t="n">
        <f aca="false">1+IF($G$6=$E$6,$F$6,IF(P308&lt;($F$6-$E$6)/($G$6-$E$6),$E$6+SQRT(P308*($G$6-$E$6)*($F$6-$E$6)),$G$6-SQRT((1-P308)*($G$6-$E$6)*($G$6-$F$6))))</f>
        <v>0.977003478064848</v>
      </c>
      <c r="C308" s="37" t="n">
        <f aca="false">1+IF($G$7=$E$7,$F$7,IF(Q308&lt;($F$7-$E$7)/($G$7-$E$7),$E$7+SQRT(Q308*($G$7-$E$7)*($F$7-$E$7)),$G$7-SQRT((1-Q308)*($G$7-$E$7)*($G$7-$F$7))))</f>
        <v>1.02125191929287</v>
      </c>
      <c r="D308" s="37" t="n">
        <f aca="false">1+IF($G$8=$E$8,$F$8,IF(R308&lt;($F$8-$E$8)/($G$8-$E$8),$E$8+SQRT(R308*($G$8-$E$8)*($F$8-$E$8)),$G$8-SQRT((1-R308)*($G$8-$E$8)*($G$8-$F$8))))</f>
        <v>1.03605224022435</v>
      </c>
      <c r="E308" s="37" t="n">
        <f aca="false">1+IF($G$9=$E$9,$F$9,IF(S308&lt;($F$9-$E$9)/($G$9-$E$9),$E$9+SQRT(S308*($G$9-$E$9)*($F$9-$E$9)),$G$9-SQRT((1-S308)*($G$9-$E$9)*($G$9-$F$9))))</f>
        <v>0.958448425536374</v>
      </c>
      <c r="F308" s="37" t="n">
        <f aca="false">1+IF($G$10=$E$10,$F$10,IF(T308&lt;($F$10-$E$10)/($G$10-$E$10),$E$10+SQRT(T308*($G$10-$E$10)*($F$10-$E$10)),$G$10-SQRT((1-T308)*($G$10-$E$10)*($G$10-$F$10))))</f>
        <v>0.996768950209631</v>
      </c>
      <c r="G308" s="38" t="n">
        <f aca="false">IF($G$11=$E$11,$F$11,IF(U308&lt;($F$11-$E$11)/($G$11-$E$11),$E$11+SQRT(U308*($G$11-$E$11)*($F$11-$E$11)),$G$11-SQRT((1-U308)*($G$11-$E$11)*($G$11-$F$11))))</f>
        <v>0.114147336902602</v>
      </c>
      <c r="H308" s="39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-1993537900.41926</v>
      </c>
      <c r="I308" s="39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-12097105.7518848</v>
      </c>
      <c r="J308" s="39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263498274.170861</v>
      </c>
      <c r="K308" s="39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588932101.604088</v>
      </c>
      <c r="L308" s="39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715280044.6066</v>
      </c>
      <c r="M308" s="39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904935534.595381</v>
      </c>
      <c r="N308" s="39" t="n">
        <f aca="false">IF(COUNT('Business Case'!B11:G11)=0,"",H308+NPV(G308,I308:M308))</f>
        <v>-374978198.056321</v>
      </c>
      <c r="P308" s="40" t="n">
        <f aca="true">RAND()</f>
        <v>0.395302375605569</v>
      </c>
      <c r="Q308" s="40" t="n">
        <f aca="true">RAND()</f>
        <v>0.754428617988584</v>
      </c>
      <c r="R308" s="40" t="n">
        <f aca="true">RAND()</f>
        <v>0.727378934645092</v>
      </c>
      <c r="S308" s="40" t="n">
        <f aca="true">RAND()</f>
        <v>0.136648737907243</v>
      </c>
      <c r="T308" s="40" t="n">
        <f aca="true">RAND()</f>
        <v>0.14582231358073</v>
      </c>
      <c r="U308" s="40" t="n">
        <f aca="true">RAND()</f>
        <v>0.832462048480268</v>
      </c>
    </row>
    <row r="309" customFormat="false" ht="15" hidden="false" customHeight="false" outlineLevel="0" collapsed="false">
      <c r="A309" s="36" t="n">
        <v>229</v>
      </c>
      <c r="B309" s="37" t="n">
        <f aca="false">1+IF($G$6=$E$6,$F$6,IF(P309&lt;($F$6-$E$6)/($G$6-$E$6),$E$6+SQRT(P309*($G$6-$E$6)*($F$6-$E$6)),$G$6-SQRT((1-P309)*($G$6-$E$6)*($G$6-$F$6))))</f>
        <v>0.995530318708649</v>
      </c>
      <c r="C309" s="37" t="n">
        <f aca="false">1+IF($G$7=$E$7,$F$7,IF(Q309&lt;($F$7-$E$7)/($G$7-$E$7),$E$7+SQRT(Q309*($G$7-$E$7)*($F$7-$E$7)),$G$7-SQRT((1-Q309)*($G$7-$E$7)*($G$7-$F$7))))</f>
        <v>0.935033495013568</v>
      </c>
      <c r="D309" s="37" t="n">
        <f aca="false">1+IF($G$8=$E$8,$F$8,IF(R309&lt;($F$8-$E$8)/($G$8-$E$8),$E$8+SQRT(R309*($G$8-$E$8)*($F$8-$E$8)),$G$8-SQRT((1-R309)*($G$8-$E$8)*($G$8-$F$8))))</f>
        <v>0.992355790403137</v>
      </c>
      <c r="E309" s="37" t="n">
        <f aca="false">1+IF($G$9=$E$9,$F$9,IF(S309&lt;($F$9-$E$9)/($G$9-$E$9),$E$9+SQRT(S309*($G$9-$E$9)*($F$9-$E$9)),$G$9-SQRT((1-S309)*($G$9-$E$9)*($G$9-$F$9))))</f>
        <v>0.953976555458393</v>
      </c>
      <c r="F309" s="37" t="n">
        <f aca="false">1+IF($G$10=$E$10,$F$10,IF(T309&lt;($F$10-$E$10)/($G$10-$E$10),$E$10+SQRT(T309*($G$10-$E$10)*($F$10-$E$10)),$G$10-SQRT((1-T309)*($G$10-$E$10)*($G$10-$F$10))))</f>
        <v>1.01278367148219</v>
      </c>
      <c r="G309" s="38" t="n">
        <f aca="false">IF($G$11=$E$11,$F$11,IF(U309&lt;($F$11-$E$11)/($G$11-$E$11),$E$11+SQRT(U309*($G$11-$E$11)*($F$11-$E$11)),$G$11-SQRT((1-U309)*($G$11-$E$11)*($G$11-$F$11))))</f>
        <v>0.0950385639331347</v>
      </c>
      <c r="H309" s="39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-2025567342.96437</v>
      </c>
      <c r="I309" s="39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2243939.63250151</v>
      </c>
      <c r="J309" s="39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289677193.979772</v>
      </c>
      <c r="K309" s="39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627749631.901152</v>
      </c>
      <c r="L309" s="39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755731037.603821</v>
      </c>
      <c r="M309" s="39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932667802.665167</v>
      </c>
      <c r="N309" s="39" t="n">
        <f aca="false">IF(COUNT('Business Case'!B11:G11)=0,"",H309+NPV(G309,I309:M309))</f>
        <v>-185918690.192987</v>
      </c>
      <c r="P309" s="40" t="n">
        <f aca="true">RAND()</f>
        <v>0.608402786171732</v>
      </c>
      <c r="Q309" s="40" t="n">
        <f aca="true">RAND()</f>
        <v>0.40919069465402</v>
      </c>
      <c r="R309" s="40" t="n">
        <f aca="true">RAND()</f>
        <v>0.239201730756592</v>
      </c>
      <c r="S309" s="40" t="n">
        <f aca="true">RAND()</f>
        <v>0.11653874156612</v>
      </c>
      <c r="T309" s="40" t="n">
        <f aca="true">RAND()</f>
        <v>0.249712179793714</v>
      </c>
      <c r="U309" s="40" t="n">
        <f aca="true">RAND()</f>
        <v>0.22615840517098</v>
      </c>
    </row>
    <row r="310" customFormat="false" ht="15" hidden="false" customHeight="false" outlineLevel="0" collapsed="false">
      <c r="A310" s="36" t="n">
        <v>230</v>
      </c>
      <c r="B310" s="37" t="n">
        <f aca="false">1+IF($G$6=$E$6,$F$6,IF(P310&lt;($F$6-$E$6)/($G$6-$E$6),$E$6+SQRT(P310*($G$6-$E$6)*($F$6-$E$6)),$G$6-SQRT((1-P310)*($G$6-$E$6)*($G$6-$F$6))))</f>
        <v>0.974333963982084</v>
      </c>
      <c r="C310" s="37" t="n">
        <f aca="false">1+IF($G$7=$E$7,$F$7,IF(Q310&lt;($F$7-$E$7)/($G$7-$E$7),$E$7+SQRT(Q310*($G$7-$E$7)*($F$7-$E$7)),$G$7-SQRT((1-Q310)*($G$7-$E$7)*($G$7-$F$7))))</f>
        <v>0.960314715427123</v>
      </c>
      <c r="D310" s="37" t="n">
        <f aca="false">1+IF($G$8=$E$8,$F$8,IF(R310&lt;($F$8-$E$8)/($G$8-$E$8),$E$8+SQRT(R310*($G$8-$E$8)*($F$8-$E$8)),$G$8-SQRT((1-R310)*($G$8-$E$8)*($G$8-$F$8))))</f>
        <v>0.984593747492745</v>
      </c>
      <c r="E310" s="37" t="n">
        <f aca="false">1+IF($G$9=$E$9,$F$9,IF(S310&lt;($F$9-$E$9)/($G$9-$E$9),$E$9+SQRT(S310*($G$9-$E$9)*($F$9-$E$9)),$G$9-SQRT((1-S310)*($G$9-$E$9)*($G$9-$F$9))))</f>
        <v>0.990619056816522</v>
      </c>
      <c r="F310" s="37" t="n">
        <f aca="false">1+IF($G$10=$E$10,$F$10,IF(T310&lt;($F$10-$E$10)/($G$10-$E$10),$E$10+SQRT(T310*($G$10-$E$10)*($F$10-$E$10)),$G$10-SQRT((1-T310)*($G$10-$E$10)*($G$10-$F$10))))</f>
        <v>0.996879496111977</v>
      </c>
      <c r="G310" s="38" t="n">
        <f aca="false">IF($G$11=$E$11,$F$11,IF(U310&lt;($F$11-$E$11)/($G$11-$E$11),$E$11+SQRT(U310*($G$11-$E$11)*($F$11-$E$11)),$G$11-SQRT((1-U310)*($G$11-$E$11)*($G$11-$F$11))))</f>
        <v>0.0815589076931561</v>
      </c>
      <c r="H310" s="39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-1993758992.22395</v>
      </c>
      <c r="I310" s="39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-6710658.0402042</v>
      </c>
      <c r="J310" s="39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275637653.305489</v>
      </c>
      <c r="K310" s="39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607829939.456781</v>
      </c>
      <c r="L310" s="39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734282703.168939</v>
      </c>
      <c r="M310" s="39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912134332.78537</v>
      </c>
      <c r="N310" s="39" t="n">
        <f aca="false">IF(COUNT('Business Case'!B11:G11)=0,"",H310+NPV(G310,I310:M310))</f>
        <v>-130960833.621634</v>
      </c>
      <c r="P310" s="40" t="n">
        <f aca="true">RAND()</f>
        <v>0.368369213419314</v>
      </c>
      <c r="Q310" s="40" t="n">
        <f aca="true">RAND()</f>
        <v>0.501953711614106</v>
      </c>
      <c r="R310" s="40" t="n">
        <f aca="true">RAND()</f>
        <v>0.15956364874557</v>
      </c>
      <c r="S310" s="40" t="n">
        <f aca="true">RAND()</f>
        <v>0.328472538332641</v>
      </c>
      <c r="T310" s="40" t="n">
        <f aca="true">RAND()</f>
        <v>0.146512477047525</v>
      </c>
      <c r="U310" s="40" t="n">
        <f aca="true">RAND()</f>
        <v>0.00243019319578131</v>
      </c>
    </row>
    <row r="311" customFormat="false" ht="15" hidden="false" customHeight="false" outlineLevel="0" collapsed="false">
      <c r="A311" s="36" t="n">
        <v>231</v>
      </c>
      <c r="B311" s="37" t="n">
        <f aca="false">1+IF($G$6=$E$6,$F$6,IF(P311&lt;($F$6-$E$6)/($G$6-$E$6),$E$6+SQRT(P311*($G$6-$E$6)*($F$6-$E$6)),$G$6-SQRT((1-P311)*($G$6-$E$6)*($G$6-$F$6))))</f>
        <v>1.01619369585194</v>
      </c>
      <c r="C311" s="37" t="n">
        <f aca="false">1+IF($G$7=$E$7,$F$7,IF(Q311&lt;($F$7-$E$7)/($G$7-$E$7),$E$7+SQRT(Q311*($G$7-$E$7)*($F$7-$E$7)),$G$7-SQRT((1-Q311)*($G$7-$E$7)*($G$7-$F$7))))</f>
        <v>0.976034052790868</v>
      </c>
      <c r="D311" s="37" t="n">
        <f aca="false">1+IF($G$8=$E$8,$F$8,IF(R311&lt;($F$8-$E$8)/($G$8-$E$8),$E$8+SQRT(R311*($G$8-$E$8)*($F$8-$E$8)),$G$8-SQRT((1-R311)*($G$8-$E$8)*($G$8-$F$8))))</f>
        <v>0.968214054224288</v>
      </c>
      <c r="E311" s="37" t="n">
        <f aca="false">1+IF($G$9=$E$9,$F$9,IF(S311&lt;($F$9-$E$9)/($G$9-$E$9),$E$9+SQRT(S311*($G$9-$E$9)*($F$9-$E$9)),$G$9-SQRT((1-S311)*($G$9-$E$9)*($G$9-$F$9))))</f>
        <v>1.02146565849094</v>
      </c>
      <c r="F311" s="37" t="n">
        <f aca="false">1+IF($G$10=$E$10,$F$10,IF(T311&lt;($F$10-$E$10)/($G$10-$E$10),$E$10+SQRT(T311*($G$10-$E$10)*($F$10-$E$10)),$G$10-SQRT((1-T311)*($G$10-$E$10)*($G$10-$F$10))))</f>
        <v>1.12519445840946</v>
      </c>
      <c r="G311" s="38" t="n">
        <f aca="false">IF($G$11=$E$11,$F$11,IF(U311&lt;($F$11-$E$11)/($G$11-$E$11),$E$11+SQRT(U311*($G$11-$E$11)*($F$11-$E$11)),$G$11-SQRT((1-U311)*($G$11-$E$11)*($G$11-$F$11))))</f>
        <v>0.108205219071786</v>
      </c>
      <c r="H311" s="39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-2250388916.81892</v>
      </c>
      <c r="I311" s="39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19429795.4178647</v>
      </c>
      <c r="J311" s="39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348048420.841776</v>
      </c>
      <c r="K311" s="39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732926769.18616</v>
      </c>
      <c r="L311" s="39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876744289.345924</v>
      </c>
      <c r="M311" s="39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1065273170.28079</v>
      </c>
      <c r="N311" s="39" t="n">
        <f aca="false">IF(COUNT('Business Case'!B11:G11)=0,"",H311+NPV(G311,I311:M311))</f>
        <v>-192326127.617828</v>
      </c>
      <c r="P311" s="40" t="n">
        <f aca="true">RAND()</f>
        <v>0.847617839979845</v>
      </c>
      <c r="Q311" s="40" t="n">
        <f aca="true">RAND()</f>
        <v>0.564405913334455</v>
      </c>
      <c r="R311" s="40" t="n">
        <f aca="true">RAND()</f>
        <v>0.0442335695047072</v>
      </c>
      <c r="S311" s="40" t="n">
        <f aca="true">RAND()</f>
        <v>0.559437948075496</v>
      </c>
      <c r="T311" s="40" t="n">
        <f aca="true">RAND()</f>
        <v>0.792314357177231</v>
      </c>
      <c r="U311" s="40" t="n">
        <f aca="true">RAND()</f>
        <v>0.683325016194095</v>
      </c>
    </row>
    <row r="312" customFormat="false" ht="15" hidden="false" customHeight="false" outlineLevel="0" collapsed="false">
      <c r="A312" s="36" t="n">
        <v>232</v>
      </c>
      <c r="B312" s="37" t="n">
        <f aca="false">1+IF($G$6=$E$6,$F$6,IF(P312&lt;($F$6-$E$6)/($G$6-$E$6),$E$6+SQRT(P312*($G$6-$E$6)*($F$6-$E$6)),$G$6-SQRT((1-P312)*($G$6-$E$6)*($G$6-$F$6))))</f>
        <v>0.955638516385019</v>
      </c>
      <c r="C312" s="37" t="n">
        <f aca="false">1+IF($G$7=$E$7,$F$7,IF(Q312&lt;($F$7-$E$7)/($G$7-$E$7),$E$7+SQRT(Q312*($G$7-$E$7)*($F$7-$E$7)),$G$7-SQRT((1-Q312)*($G$7-$E$7)*($G$7-$F$7))))</f>
        <v>1.02282634166282</v>
      </c>
      <c r="D312" s="37" t="n">
        <f aca="false">1+IF($G$8=$E$8,$F$8,IF(R312&lt;($F$8-$E$8)/($G$8-$E$8),$E$8+SQRT(R312*($G$8-$E$8)*($F$8-$E$8)),$G$8-SQRT((1-R312)*($G$8-$E$8)*($G$8-$F$8))))</f>
        <v>1.09137455793815</v>
      </c>
      <c r="E312" s="37" t="n">
        <f aca="false">1+IF($G$9=$E$9,$F$9,IF(S312&lt;($F$9-$E$9)/($G$9-$E$9),$E$9+SQRT(S312*($G$9-$E$9)*($F$9-$E$9)),$G$9-SQRT((1-S312)*($G$9-$E$9)*($G$9-$F$9))))</f>
        <v>1.06132071592095</v>
      </c>
      <c r="F312" s="37" t="n">
        <f aca="false">1+IF($G$10=$E$10,$F$10,IF(T312&lt;($F$10-$E$10)/($G$10-$E$10),$E$10+SQRT(T312*($G$10-$E$10)*($F$10-$E$10)),$G$10-SQRT((1-T312)*($G$10-$E$10)*($G$10-$F$10))))</f>
        <v>0.995290612489893</v>
      </c>
      <c r="G312" s="38" t="n">
        <f aca="false">IF($G$11=$E$11,$F$11,IF(U312&lt;($F$11-$E$11)/($G$11-$E$11),$E$11+SQRT(U312*($G$11-$E$11)*($F$11-$E$11)),$G$11-SQRT((1-U312)*($G$11-$E$11)*($G$11-$F$11))))</f>
        <v>0.112154031766842</v>
      </c>
      <c r="H312" s="39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-1990581224.97979</v>
      </c>
      <c r="I312" s="39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-71965684.2374515</v>
      </c>
      <c r="J312" s="39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157188623.097059</v>
      </c>
      <c r="K312" s="39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436107461.056065</v>
      </c>
      <c r="L312" s="39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546272979.846912</v>
      </c>
      <c r="M312" s="39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732067103.083298</v>
      </c>
      <c r="N312" s="39" t="n">
        <f aca="false">IF(COUNT('Business Case'!B11:G11)=0,"",H312+NPV(G312,I312:M312))</f>
        <v>-823854256.874744</v>
      </c>
      <c r="P312" s="40" t="n">
        <f aca="true">RAND()</f>
        <v>0.206376300368403</v>
      </c>
      <c r="Q312" s="40" t="n">
        <f aca="true">RAND()</f>
        <v>0.760397935187237</v>
      </c>
      <c r="R312" s="40" t="n">
        <f aca="true">RAND()</f>
        <v>0.995040116615848</v>
      </c>
      <c r="S312" s="40" t="n">
        <f aca="true">RAND()</f>
        <v>0.790292922006037</v>
      </c>
      <c r="T312" s="40" t="n">
        <f aca="true">RAND()</f>
        <v>0.136749305313974</v>
      </c>
      <c r="U312" s="40" t="n">
        <f aca="true">RAND()</f>
        <v>0.787680945214071</v>
      </c>
    </row>
    <row r="313" customFormat="false" ht="15" hidden="false" customHeight="false" outlineLevel="0" collapsed="false">
      <c r="A313" s="36" t="n">
        <v>233</v>
      </c>
      <c r="B313" s="37" t="n">
        <f aca="false">1+IF($G$6=$E$6,$F$6,IF(P313&lt;($F$6-$E$6)/($G$6-$E$6),$E$6+SQRT(P313*($G$6-$E$6)*($F$6-$E$6)),$G$6-SQRT((1-P313)*($G$6-$E$6)*($G$6-$F$6))))</f>
        <v>1.02097151002513</v>
      </c>
      <c r="C313" s="37" t="n">
        <f aca="false">1+IF($G$7=$E$7,$F$7,IF(Q313&lt;($F$7-$E$7)/($G$7-$E$7),$E$7+SQRT(Q313*($G$7-$E$7)*($F$7-$E$7)),$G$7-SQRT((1-Q313)*($G$7-$E$7)*($G$7-$F$7))))</f>
        <v>1.14159961433509</v>
      </c>
      <c r="D313" s="37" t="n">
        <f aca="false">1+IF($G$8=$E$8,$F$8,IF(R313&lt;($F$8-$E$8)/($G$8-$E$8),$E$8+SQRT(R313*($G$8-$E$8)*($F$8-$E$8)),$G$8-SQRT((1-R313)*($G$8-$E$8)*($G$8-$F$8))))</f>
        <v>0.965392102346679</v>
      </c>
      <c r="E313" s="37" t="n">
        <f aca="false">1+IF($G$9=$E$9,$F$9,IF(S313&lt;($F$9-$E$9)/($G$9-$E$9),$E$9+SQRT(S313*($G$9-$E$9)*($F$9-$E$9)),$G$9-SQRT((1-S313)*($G$9-$E$9)*($G$9-$F$9))))</f>
        <v>0.986063823365833</v>
      </c>
      <c r="F313" s="37" t="n">
        <f aca="false">1+IF($G$10=$E$10,$F$10,IF(T313&lt;($F$10-$E$10)/($G$10-$E$10),$E$10+SQRT(T313*($G$10-$E$10)*($F$10-$E$10)),$G$10-SQRT((1-T313)*($G$10-$E$10)*($G$10-$F$10))))</f>
        <v>1.18518248299179</v>
      </c>
      <c r="G313" s="38" t="n">
        <f aca="false">IF($G$11=$E$11,$F$11,IF(U313&lt;($F$11-$E$11)/($G$11-$E$11),$E$11+SQRT(U313*($G$11-$E$11)*($F$11-$E$11)),$G$11-SQRT((1-U313)*($G$11-$E$11)*($G$11-$F$11))))</f>
        <v>0.0904461718016141</v>
      </c>
      <c r="H313" s="39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-2370364965.98358</v>
      </c>
      <c r="I313" s="39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71321031.0397826</v>
      </c>
      <c r="J313" s="39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461800215.021004</v>
      </c>
      <c r="K313" s="39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911538523.151815</v>
      </c>
      <c r="L313" s="39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1081979337.11865</v>
      </c>
      <c r="M313" s="39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1303525309.97066</v>
      </c>
      <c r="N313" s="39" t="n">
        <f aca="false">IF(COUNT('Business Case'!B11:G11)=0,"",H313+NPV(G313,I313:M313))</f>
        <v>397139647.344602</v>
      </c>
      <c r="P313" s="40" t="n">
        <f aca="true">RAND()</f>
        <v>0.887646235970478</v>
      </c>
      <c r="Q313" s="40" t="n">
        <f aca="true">RAND()</f>
        <v>0.998954570676752</v>
      </c>
      <c r="R313" s="40" t="n">
        <f aca="true">RAND()</f>
        <v>0.031588908620087</v>
      </c>
      <c r="S313" s="40" t="n">
        <f aca="true">RAND()</f>
        <v>0.296279267693814</v>
      </c>
      <c r="T313" s="40" t="n">
        <f aca="true">RAND()</f>
        <v>0.943982526518534</v>
      </c>
      <c r="U313" s="40" t="n">
        <f aca="true">RAND()</f>
        <v>0.109122505308839</v>
      </c>
    </row>
    <row r="314" customFormat="false" ht="15" hidden="false" customHeight="false" outlineLevel="0" collapsed="false">
      <c r="A314" s="36" t="n">
        <v>234</v>
      </c>
      <c r="B314" s="37" t="n">
        <f aca="false">1+IF($G$6=$E$6,$F$6,IF(P314&lt;($F$6-$E$6)/($G$6-$E$6),$E$6+SQRT(P314*($G$6-$E$6)*($F$6-$E$6)),$G$6-SQRT((1-P314)*($G$6-$E$6)*($G$6-$F$6))))</f>
        <v>0.922457418535573</v>
      </c>
      <c r="C314" s="37" t="n">
        <f aca="false">1+IF($G$7=$E$7,$F$7,IF(Q314&lt;($F$7-$E$7)/($G$7-$E$7),$E$7+SQRT(Q314*($G$7-$E$7)*($F$7-$E$7)),$G$7-SQRT((1-Q314)*($G$7-$E$7)*($G$7-$F$7))))</f>
        <v>1.05871017730404</v>
      </c>
      <c r="D314" s="37" t="n">
        <f aca="false">1+IF($G$8=$E$8,$F$8,IF(R314&lt;($F$8-$E$8)/($G$8-$E$8),$E$8+SQRT(R314*($G$8-$E$8)*($F$8-$E$8)),$G$8-SQRT((1-R314)*($G$8-$E$8)*($G$8-$F$8))))</f>
        <v>1.00874679372749</v>
      </c>
      <c r="E314" s="37" t="n">
        <f aca="false">1+IF($G$9=$E$9,$F$9,IF(S314&lt;($F$9-$E$9)/($G$9-$E$9),$E$9+SQRT(S314*($G$9-$E$9)*($F$9-$E$9)),$G$9-SQRT((1-S314)*($G$9-$E$9)*($G$9-$F$9))))</f>
        <v>0.967719523221191</v>
      </c>
      <c r="F314" s="37" t="n">
        <f aca="false">1+IF($G$10=$E$10,$F$10,IF(T314&lt;($F$10-$E$10)/($G$10-$E$10),$E$10+SQRT(T314*($G$10-$E$10)*($F$10-$E$10)),$G$10-SQRT((1-T314)*($G$10-$E$10)*($G$10-$F$10))))</f>
        <v>1.00810312243901</v>
      </c>
      <c r="G314" s="38" t="n">
        <f aca="false">IF($G$11=$E$11,$F$11,IF(U314&lt;($F$11-$E$11)/($G$11-$E$11),$E$11+SQRT(U314*($G$11-$E$11)*($F$11-$E$11)),$G$11-SQRT((1-U314)*($G$11-$E$11)*($G$11-$F$11))))</f>
        <v>0.113347961907929</v>
      </c>
      <c r="H314" s="39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-2016206244.87802</v>
      </c>
      <c r="I314" s="39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-35845161.6749306</v>
      </c>
      <c r="J314" s="39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217357429.65788</v>
      </c>
      <c r="K314" s="39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520965177.11264</v>
      </c>
      <c r="L314" s="39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639117857.264768</v>
      </c>
      <c r="M314" s="39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824752847.324651</v>
      </c>
      <c r="N314" s="39" t="n">
        <f aca="false">IF(COUNT('Business Case'!B11:G11)=0,"",H314+NPV(G314,I314:M314))</f>
        <v>-597449077.061724</v>
      </c>
      <c r="P314" s="40" t="n">
        <f aca="true">RAND()</f>
        <v>0.0336223764854605</v>
      </c>
      <c r="Q314" s="40" t="n">
        <f aca="true">RAND()</f>
        <v>0.876535826253924</v>
      </c>
      <c r="R314" s="40" t="n">
        <f aca="true">RAND()</f>
        <v>0.44485682299909</v>
      </c>
      <c r="S314" s="40" t="n">
        <f aca="true">RAND()</f>
        <v>0.183437353012216</v>
      </c>
      <c r="T314" s="40" t="n">
        <f aca="true">RAND()</f>
        <v>0.219812008349921</v>
      </c>
      <c r="U314" s="40" t="n">
        <f aca="true">RAND()</f>
        <v>0.81513975158682</v>
      </c>
    </row>
    <row r="315" customFormat="false" ht="15" hidden="false" customHeight="false" outlineLevel="0" collapsed="false">
      <c r="A315" s="36" t="n">
        <v>235</v>
      </c>
      <c r="B315" s="37" t="n">
        <f aca="false">1+IF($G$6=$E$6,$F$6,IF(P315&lt;($F$6-$E$6)/($G$6-$E$6),$E$6+SQRT(P315*($G$6-$E$6)*($F$6-$E$6)),$G$6-SQRT((1-P315)*($G$6-$E$6)*($G$6-$F$6))))</f>
        <v>1.00253647555007</v>
      </c>
      <c r="C315" s="37" t="n">
        <f aca="false">1+IF($G$7=$E$7,$F$7,IF(Q315&lt;($F$7-$E$7)/($G$7-$E$7),$E$7+SQRT(Q315*($G$7-$E$7)*($F$7-$E$7)),$G$7-SQRT((1-Q315)*($G$7-$E$7)*($G$7-$F$7))))</f>
        <v>0.964126589992874</v>
      </c>
      <c r="D315" s="37" t="n">
        <f aca="false">1+IF($G$8=$E$8,$F$8,IF(R315&lt;($F$8-$E$8)/($G$8-$E$8),$E$8+SQRT(R315*($G$8-$E$8)*($F$8-$E$8)),$G$8-SQRT((1-R315)*($G$8-$E$8)*($G$8-$F$8))))</f>
        <v>1.04523741985359</v>
      </c>
      <c r="E315" s="37" t="n">
        <f aca="false">1+IF($G$9=$E$9,$F$9,IF(S315&lt;($F$9-$E$9)/($G$9-$E$9),$E$9+SQRT(S315*($G$9-$E$9)*($F$9-$E$9)),$G$9-SQRT((1-S315)*($G$9-$E$9)*($G$9-$F$9))))</f>
        <v>0.932092425929778</v>
      </c>
      <c r="F315" s="37" t="n">
        <f aca="false">1+IF($G$10=$E$10,$F$10,IF(T315&lt;($F$10-$E$10)/($G$10-$E$10),$E$10+SQRT(T315*($G$10-$E$10)*($F$10-$E$10)),$G$10-SQRT((1-T315)*($G$10-$E$10)*($G$10-$F$10))))</f>
        <v>0.995838227801079</v>
      </c>
      <c r="G315" s="38" t="n">
        <f aca="false">IF($G$11=$E$11,$F$11,IF(U315&lt;($F$11-$E$11)/($G$11-$E$11),$E$11+SQRT(U315*($G$11-$E$11)*($F$11-$E$11)),$G$11-SQRT((1-U315)*($G$11-$E$11)*($G$11-$F$11))))</f>
        <v>0.0919432579625506</v>
      </c>
      <c r="H315" s="39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-1991676455.60216</v>
      </c>
      <c r="I315" s="39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-6425210.28491478</v>
      </c>
      <c r="J315" s="39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269384041.46854</v>
      </c>
      <c r="K315" s="39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594985204.612047</v>
      </c>
      <c r="L315" s="39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720326352.723897</v>
      </c>
      <c r="M315" s="39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904052372.457735</v>
      </c>
      <c r="N315" s="39" t="n">
        <f aca="false">IF(COUNT('Business Case'!B11:G11)=0,"",H315+NPV(G315,I315:M315))</f>
        <v>-225605828.564396</v>
      </c>
      <c r="P315" s="40" t="n">
        <f aca="true">RAND()</f>
        <v>0.699628512905439</v>
      </c>
      <c r="Q315" s="40" t="n">
        <f aca="true">RAND()</f>
        <v>0.516761892898252</v>
      </c>
      <c r="R315" s="40" t="n">
        <f aca="true">RAND()</f>
        <v>0.80007065438052</v>
      </c>
      <c r="S315" s="40" t="n">
        <f aca="true">RAND()</f>
        <v>0.0411969520823308</v>
      </c>
      <c r="T315" s="40" t="n">
        <f aca="true">RAND()</f>
        <v>0.140076208529573</v>
      </c>
      <c r="U315" s="40" t="n">
        <f aca="true">RAND()</f>
        <v>0.142641410760028</v>
      </c>
    </row>
    <row r="316" customFormat="false" ht="15" hidden="false" customHeight="false" outlineLevel="0" collapsed="false">
      <c r="A316" s="36" t="n">
        <v>236</v>
      </c>
      <c r="B316" s="37" t="n">
        <f aca="false">1+IF($G$6=$E$6,$F$6,IF(P316&lt;($F$6-$E$6)/($G$6-$E$6),$E$6+SQRT(P316*($G$6-$E$6)*($F$6-$E$6)),$G$6-SQRT((1-P316)*($G$6-$E$6)*($G$6-$F$6))))</f>
        <v>0.979572160888064</v>
      </c>
      <c r="C316" s="37" t="n">
        <f aca="false">1+IF($G$7=$E$7,$F$7,IF(Q316&lt;($F$7-$E$7)/($G$7-$E$7),$E$7+SQRT(Q316*($G$7-$E$7)*($F$7-$E$7)),$G$7-SQRT((1-Q316)*($G$7-$E$7)*($G$7-$F$7))))</f>
        <v>0.94119572397084</v>
      </c>
      <c r="D316" s="37" t="n">
        <f aca="false">1+IF($G$8=$E$8,$F$8,IF(R316&lt;($F$8-$E$8)/($G$8-$E$8),$E$8+SQRT(R316*($G$8-$E$8)*($F$8-$E$8)),$G$8-SQRT((1-R316)*($G$8-$E$8)*($G$8-$F$8))))</f>
        <v>1.02510276094935</v>
      </c>
      <c r="E316" s="37" t="n">
        <f aca="false">1+IF($G$9=$E$9,$F$9,IF(S316&lt;($F$9-$E$9)/($G$9-$E$9),$E$9+SQRT(S316*($G$9-$E$9)*($F$9-$E$9)),$G$9-SQRT((1-S316)*($G$9-$E$9)*($G$9-$F$9))))</f>
        <v>1.05247992436861</v>
      </c>
      <c r="F316" s="37" t="n">
        <f aca="false">1+IF($G$10=$E$10,$F$10,IF(T316&lt;($F$10-$E$10)/($G$10-$E$10),$E$10+SQRT(T316*($G$10-$E$10)*($F$10-$E$10)),$G$10-SQRT((1-T316)*($G$10-$E$10)*($G$10-$F$10))))</f>
        <v>1.1005999536433</v>
      </c>
      <c r="G316" s="38" t="n">
        <f aca="false">IF($G$11=$E$11,$F$11,IF(U316&lt;($F$11-$E$11)/($G$11-$E$11),$E$11+SQRT(U316*($G$11-$E$11)*($F$11-$E$11)),$G$11-SQRT((1-U316)*($G$11-$E$11)*($G$11-$F$11))))</f>
        <v>0.0840708495685209</v>
      </c>
      <c r="H316" s="39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-2201199907.28661</v>
      </c>
      <c r="I316" s="39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-46270271.5686478</v>
      </c>
      <c r="J316" s="39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214976977.127321</v>
      </c>
      <c r="K316" s="39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531254223.505454</v>
      </c>
      <c r="L316" s="39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650199892.840823</v>
      </c>
      <c r="M316" s="39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825447784.909412</v>
      </c>
      <c r="N316" s="39" t="n">
        <f aca="false">IF(COUNT('Business Case'!B11:G11)=0,"",H316+NPV(G316,I316:M316))</f>
        <v>-621866832.311169</v>
      </c>
      <c r="P316" s="40" t="n">
        <f aca="true">RAND()</f>
        <v>0.422115252559724</v>
      </c>
      <c r="Q316" s="40" t="n">
        <f aca="true">RAND()</f>
        <v>0.43092872045791</v>
      </c>
      <c r="R316" s="40" t="n">
        <f aca="true">RAND()</f>
        <v>0.62602690550603</v>
      </c>
      <c r="S316" s="40" t="n">
        <f aca="true">RAND()</f>
        <v>0.746395595969264</v>
      </c>
      <c r="T316" s="40" t="n">
        <f aca="true">RAND()</f>
        <v>0.702395015314894</v>
      </c>
      <c r="U316" s="40" t="n">
        <f aca="true">RAND()</f>
        <v>0.0165718162095267</v>
      </c>
    </row>
    <row r="317" customFormat="false" ht="15" hidden="false" customHeight="false" outlineLevel="0" collapsed="false">
      <c r="A317" s="36" t="n">
        <v>237</v>
      </c>
      <c r="B317" s="37" t="n">
        <f aca="false">1+IF($G$6=$E$6,$F$6,IF(P317&lt;($F$6-$E$6)/($G$6-$E$6),$E$6+SQRT(P317*($G$6-$E$6)*($F$6-$E$6)),$G$6-SQRT((1-P317)*($G$6-$E$6)*($G$6-$F$6))))</f>
        <v>0.957520368429775</v>
      </c>
      <c r="C317" s="37" t="n">
        <f aca="false">1+IF($G$7=$E$7,$F$7,IF(Q317&lt;($F$7-$E$7)/($G$7-$E$7),$E$7+SQRT(Q317*($G$7-$E$7)*($F$7-$E$7)),$G$7-SQRT((1-Q317)*($G$7-$E$7)*($G$7-$F$7))))</f>
        <v>0.973421300766471</v>
      </c>
      <c r="D317" s="37" t="n">
        <f aca="false">1+IF($G$8=$E$8,$F$8,IF(R317&lt;($F$8-$E$8)/($G$8-$E$8),$E$8+SQRT(R317*($G$8-$E$8)*($F$8-$E$8)),$G$8-SQRT((1-R317)*($G$8-$E$8)*($G$8-$F$8))))</f>
        <v>1.03309702276444</v>
      </c>
      <c r="E317" s="37" t="n">
        <f aca="false">1+IF($G$9=$E$9,$F$9,IF(S317&lt;($F$9-$E$9)/($G$9-$E$9),$E$9+SQRT(S317*($G$9-$E$9)*($F$9-$E$9)),$G$9-SQRT((1-S317)*($G$9-$E$9)*($G$9-$F$9))))</f>
        <v>0.973224984843284</v>
      </c>
      <c r="F317" s="37" t="n">
        <f aca="false">1+IF($G$10=$E$10,$F$10,IF(T317&lt;($F$10-$E$10)/($G$10-$E$10),$E$10+SQRT(T317*($G$10-$E$10)*($F$10-$E$10)),$G$10-SQRT((1-T317)*($G$10-$E$10)*($G$10-$F$10))))</f>
        <v>1.01771886166858</v>
      </c>
      <c r="G317" s="38" t="n">
        <f aca="false">IF($G$11=$E$11,$F$11,IF(U317&lt;($F$11-$E$11)/($G$11-$E$11),$E$11+SQRT(U317*($G$11-$E$11)*($F$11-$E$11)),$G$11-SQRT((1-U317)*($G$11-$E$11)*($G$11-$F$11))))</f>
        <v>0.0997510362614989</v>
      </c>
      <c r="H317" s="39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-2035437723.33716</v>
      </c>
      <c r="I317" s="39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-39856530.9496156</v>
      </c>
      <c r="J317" s="39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208769963.369194</v>
      </c>
      <c r="K317" s="39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508282400.771432</v>
      </c>
      <c r="L317" s="39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623370263.048937</v>
      </c>
      <c r="M317" s="39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800538265.990728</v>
      </c>
      <c r="N317" s="39" t="n">
        <f aca="false">IF(COUNT('Business Case'!B11:G11)=0,"",H317+NPV(G317,I317:M317))</f>
        <v>-593134218.080967</v>
      </c>
      <c r="P317" s="40" t="n">
        <f aca="true">RAND()</f>
        <v>0.220572852286466</v>
      </c>
      <c r="Q317" s="40" t="n">
        <f aca="true">RAND()</f>
        <v>0.553771908983917</v>
      </c>
      <c r="R317" s="40" t="n">
        <f aca="true">RAND()</f>
        <v>0.701599442467849</v>
      </c>
      <c r="S317" s="40" t="n">
        <f aca="true">RAND()</f>
        <v>0.214475936211966</v>
      </c>
      <c r="T317" s="40" t="n">
        <f aca="true">RAND()</f>
        <v>0.280606303672796</v>
      </c>
      <c r="U317" s="40" t="n">
        <f aca="true">RAND()</f>
        <v>0.390103433403044</v>
      </c>
    </row>
    <row r="318" customFormat="false" ht="15" hidden="false" customHeight="false" outlineLevel="0" collapsed="false">
      <c r="A318" s="36" t="n">
        <v>238</v>
      </c>
      <c r="B318" s="37" t="n">
        <f aca="false">1+IF($G$6=$E$6,$F$6,IF(P318&lt;($F$6-$E$6)/($G$6-$E$6),$E$6+SQRT(P318*($G$6-$E$6)*($F$6-$E$6)),$G$6-SQRT((1-P318)*($G$6-$E$6)*($G$6-$F$6))))</f>
        <v>0.98217285992321</v>
      </c>
      <c r="C318" s="37" t="n">
        <f aca="false">1+IF($G$7=$E$7,$F$7,IF(Q318&lt;($F$7-$E$7)/($G$7-$E$7),$E$7+SQRT(Q318*($G$7-$E$7)*($F$7-$E$7)),$G$7-SQRT((1-Q318)*($G$7-$E$7)*($G$7-$F$7))))</f>
        <v>0.805026757085311</v>
      </c>
      <c r="D318" s="37" t="n">
        <f aca="false">1+IF($G$8=$E$8,$F$8,IF(R318&lt;($F$8-$E$8)/($G$8-$E$8),$E$8+SQRT(R318*($G$8-$E$8)*($F$8-$E$8)),$G$8-SQRT((1-R318)*($G$8-$E$8)*($G$8-$F$8))))</f>
        <v>1.03546790960466</v>
      </c>
      <c r="E318" s="37" t="n">
        <f aca="false">1+IF($G$9=$E$9,$F$9,IF(S318&lt;($F$9-$E$9)/($G$9-$E$9),$E$9+SQRT(S318*($G$9-$E$9)*($F$9-$E$9)),$G$9-SQRT((1-S318)*($G$9-$E$9)*($G$9-$F$9))))</f>
        <v>1.11317962863806</v>
      </c>
      <c r="F318" s="37" t="n">
        <f aca="false">1+IF($G$10=$E$10,$F$10,IF(T318&lt;($F$10-$E$10)/($G$10-$E$10),$E$10+SQRT(T318*($G$10-$E$10)*($F$10-$E$10)),$G$10-SQRT((1-T318)*($G$10-$E$10)*($G$10-$F$10))))</f>
        <v>1.00323373799342</v>
      </c>
      <c r="G318" s="38" t="n">
        <f aca="false">IF($G$11=$E$11,$F$11,IF(U318&lt;($F$11-$E$11)/($G$11-$E$11),$E$11+SQRT(U318*($G$11-$E$11)*($F$11-$E$11)),$G$11-SQRT((1-U318)*($G$11-$E$11)*($G$11-$F$11))))</f>
        <v>0.112327461556623</v>
      </c>
      <c r="H318" s="39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-2006467475.98684</v>
      </c>
      <c r="I318" s="39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-78711976.4986496</v>
      </c>
      <c r="J318" s="39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142182178.405906</v>
      </c>
      <c r="K318" s="39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413238020.210132</v>
      </c>
      <c r="L318" s="39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514195148.119337</v>
      </c>
      <c r="M318" s="39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664486734.294948</v>
      </c>
      <c r="N318" s="39" t="n">
        <f aca="false">IF(COUNT('Business Case'!B11:G11)=0,"",H318+NPV(G318,I318:M318))</f>
        <v>-935929306.945891</v>
      </c>
      <c r="P318" s="40" t="n">
        <f aca="true">RAND()</f>
        <v>0.45015859386396</v>
      </c>
      <c r="Q318" s="40" t="n">
        <f aca="true">RAND()</f>
        <v>0.0817082941026438</v>
      </c>
      <c r="R318" s="40" t="n">
        <f aca="true">RAND()</f>
        <v>0.722373953947153</v>
      </c>
      <c r="S318" s="40" t="n">
        <f aca="true">RAND()</f>
        <v>0.96384694007384</v>
      </c>
      <c r="T318" s="40" t="n">
        <f aca="true">RAND()</f>
        <v>0.188085492470657</v>
      </c>
      <c r="U318" s="40" t="n">
        <f aca="true">RAND()</f>
        <v>0.791787589978244</v>
      </c>
    </row>
    <row r="319" customFormat="false" ht="15" hidden="false" customHeight="false" outlineLevel="0" collapsed="false">
      <c r="A319" s="36" t="n">
        <v>239</v>
      </c>
      <c r="B319" s="37" t="n">
        <f aca="false">1+IF($G$6=$E$6,$F$6,IF(P319&lt;($F$6-$E$6)/($G$6-$E$6),$E$6+SQRT(P319*($G$6-$E$6)*($F$6-$E$6)),$G$6-SQRT((1-P319)*($G$6-$E$6)*($G$6-$F$6))))</f>
        <v>1.01119145163163</v>
      </c>
      <c r="C319" s="37" t="n">
        <f aca="false">1+IF($G$7=$E$7,$F$7,IF(Q319&lt;($F$7-$E$7)/($G$7-$E$7),$E$7+SQRT(Q319*($G$7-$E$7)*($F$7-$E$7)),$G$7-SQRT((1-Q319)*($G$7-$E$7)*($G$7-$F$7))))</f>
        <v>0.982127969912258</v>
      </c>
      <c r="D319" s="37" t="n">
        <f aca="false">1+IF($G$8=$E$8,$F$8,IF(R319&lt;($F$8-$E$8)/($G$8-$E$8),$E$8+SQRT(R319*($G$8-$E$8)*($F$8-$E$8)),$G$8-SQRT((1-R319)*($G$8-$E$8)*($G$8-$F$8))))</f>
        <v>1.00972274245134</v>
      </c>
      <c r="E319" s="37" t="n">
        <f aca="false">1+IF($G$9=$E$9,$F$9,IF(S319&lt;($F$9-$E$9)/($G$9-$E$9),$E$9+SQRT(S319*($G$9-$E$9)*($F$9-$E$9)),$G$9-SQRT((1-S319)*($G$9-$E$9)*($G$9-$F$9))))</f>
        <v>0.99385522570075</v>
      </c>
      <c r="F319" s="37" t="n">
        <f aca="false">1+IF($G$10=$E$10,$F$10,IF(T319&lt;($F$10-$E$10)/($G$10-$E$10),$E$10+SQRT(T319*($G$10-$E$10)*($F$10-$E$10)),$G$10-SQRT((1-T319)*($G$10-$E$10)*($G$10-$F$10))))</f>
        <v>1.00330997476336</v>
      </c>
      <c r="G319" s="38" t="n">
        <f aca="false">IF($G$11=$E$11,$F$11,IF(U319&lt;($F$11-$E$11)/($G$11-$E$11),$E$11+SQRT(U319*($G$11-$E$11)*($F$11-$E$11)),$G$11-SQRT((1-U319)*($G$11-$E$11)*($G$11-$F$11))))</f>
        <v>0.115582705804174</v>
      </c>
      <c r="H319" s="39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-2006619949.52673</v>
      </c>
      <c r="I319" s="39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12636515.9283728</v>
      </c>
      <c r="J319" s="39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318413552.516863</v>
      </c>
      <c r="K319" s="39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674356087.84352</v>
      </c>
      <c r="L319" s="39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810603973.43244</v>
      </c>
      <c r="M319" s="39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999376110.425931</v>
      </c>
      <c r="N319" s="39" t="n">
        <f aca="false">IF(COUNT('Business Case'!B11:G11)=0,"",H319+NPV(G319,I319:M319))</f>
        <v>-151972980.749615</v>
      </c>
      <c r="P319" s="40" t="n">
        <f aca="true">RAND()</f>
        <v>0.799186209805317</v>
      </c>
      <c r="Q319" s="40" t="n">
        <f aca="true">RAND()</f>
        <v>0.589601417828237</v>
      </c>
      <c r="R319" s="40" t="n">
        <f aca="true">RAND()</f>
        <v>0.456667784632904</v>
      </c>
      <c r="S319" s="40" t="n">
        <f aca="true">RAND()</f>
        <v>0.35235213565355</v>
      </c>
      <c r="T319" s="40" t="n">
        <f aca="true">RAND()</f>
        <v>0.188587085983307</v>
      </c>
      <c r="U319" s="40" t="n">
        <f aca="true">RAND()</f>
        <v>0.861427752047328</v>
      </c>
    </row>
    <row r="320" customFormat="false" ht="15" hidden="false" customHeight="false" outlineLevel="0" collapsed="false">
      <c r="A320" s="36" t="n">
        <v>240</v>
      </c>
      <c r="B320" s="37" t="n">
        <f aca="false">1+IF($G$6=$E$6,$F$6,IF(P320&lt;($F$6-$E$6)/($G$6-$E$6),$E$6+SQRT(P320*($G$6-$E$6)*($F$6-$E$6)),$G$6-SQRT((1-P320)*($G$6-$E$6)*($G$6-$F$6))))</f>
        <v>1.00179061084236</v>
      </c>
      <c r="C320" s="37" t="n">
        <f aca="false">1+IF($G$7=$E$7,$F$7,IF(Q320&lt;($F$7-$E$7)/($G$7-$E$7),$E$7+SQRT(Q320*($G$7-$E$7)*($F$7-$E$7)),$G$7-SQRT((1-Q320)*($G$7-$E$7)*($G$7-$F$7))))</f>
        <v>0.899325913421434</v>
      </c>
      <c r="D320" s="37" t="n">
        <f aca="false">1+IF($G$8=$E$8,$F$8,IF(R320&lt;($F$8-$E$8)/($G$8-$E$8),$E$8+SQRT(R320*($G$8-$E$8)*($F$8-$E$8)),$G$8-SQRT((1-R320)*($G$8-$E$8)*($G$8-$F$8))))</f>
        <v>1.07277299586974</v>
      </c>
      <c r="E320" s="37" t="n">
        <f aca="false">1+IF($G$9=$E$9,$F$9,IF(S320&lt;($F$9-$E$9)/($G$9-$E$9),$E$9+SQRT(S320*($G$9-$E$9)*($F$9-$E$9)),$G$9-SQRT((1-S320)*($G$9-$E$9)*($G$9-$F$9))))</f>
        <v>1.09513235807335</v>
      </c>
      <c r="F320" s="37" t="n">
        <f aca="false">1+IF($G$10=$E$10,$F$10,IF(T320&lt;($F$10-$E$10)/($G$10-$E$10),$E$10+SQRT(T320*($G$10-$E$10)*($F$10-$E$10)),$G$10-SQRT((1-T320)*($G$10-$E$10)*($G$10-$F$10))))</f>
        <v>1.0949484569096</v>
      </c>
      <c r="G320" s="38" t="n">
        <f aca="false">IF($G$11=$E$11,$F$11,IF(U320&lt;($F$11-$E$11)/($G$11-$E$11),$E$11+SQRT(U320*($G$11-$E$11)*($F$11-$E$11)),$G$11-SQRT((1-U320)*($G$11-$E$11)*($G$11-$F$11))))</f>
        <v>0.0942996201464258</v>
      </c>
      <c r="H320" s="39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-2189896913.81919</v>
      </c>
      <c r="I320" s="39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-67881907.3790501</v>
      </c>
      <c r="J320" s="39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176163387.769852</v>
      </c>
      <c r="K320" s="39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474956105.764234</v>
      </c>
      <c r="L320" s="39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587440894.493176</v>
      </c>
      <c r="M320" s="39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758690858.062704</v>
      </c>
      <c r="N320" s="39" t="n">
        <f aca="false">IF(COUNT('Business Case'!B11:G11)=0,"",H320+NPV(G320,I320:M320))</f>
        <v>-849230148.142054</v>
      </c>
      <c r="P320" s="40" t="n">
        <f aca="true">RAND()</f>
        <v>0.690113972939646</v>
      </c>
      <c r="Q320" s="40" t="n">
        <f aca="true">RAND()</f>
        <v>0.294302368602142</v>
      </c>
      <c r="R320" s="40" t="n">
        <f aca="true">RAND()</f>
        <v>0.9505793497394</v>
      </c>
      <c r="S320" s="40" t="n">
        <f aca="true">RAND()</f>
        <v>0.919721116517565</v>
      </c>
      <c r="T320" s="40" t="n">
        <f aca="true">RAND()</f>
        <v>0.679453586470462</v>
      </c>
      <c r="U320" s="40" t="n">
        <f aca="true">RAND()</f>
        <v>0.204479136332068</v>
      </c>
    </row>
    <row r="321" customFormat="false" ht="15" hidden="false" customHeight="false" outlineLevel="0" collapsed="false">
      <c r="A321" s="36" t="n">
        <v>241</v>
      </c>
      <c r="B321" s="37" t="n">
        <f aca="false">1+IF($G$6=$E$6,$F$6,IF(P321&lt;($F$6-$E$6)/($G$6-$E$6),$E$6+SQRT(P321*($G$6-$E$6)*($F$6-$E$6)),$G$6-SQRT((1-P321)*($G$6-$E$6)*($G$6-$F$6))))</f>
        <v>1.00822113533561</v>
      </c>
      <c r="C321" s="37" t="n">
        <f aca="false">1+IF($G$7=$E$7,$F$7,IF(Q321&lt;($F$7-$E$7)/($G$7-$E$7),$E$7+SQRT(Q321*($G$7-$E$7)*($F$7-$E$7)),$G$7-SQRT((1-Q321)*($G$7-$E$7)*($G$7-$F$7))))</f>
        <v>0.885275692074824</v>
      </c>
      <c r="D321" s="37" t="n">
        <f aca="false">1+IF($G$8=$E$8,$F$8,IF(R321&lt;($F$8-$E$8)/($G$8-$E$8),$E$8+SQRT(R321*($G$8-$E$8)*($F$8-$E$8)),$G$8-SQRT((1-R321)*($G$8-$E$8)*($G$8-$F$8))))</f>
        <v>1.0181372794281</v>
      </c>
      <c r="E321" s="37" t="n">
        <f aca="false">1+IF($G$9=$E$9,$F$9,IF(S321&lt;($F$9-$E$9)/($G$9-$E$9),$E$9+SQRT(S321*($G$9-$E$9)*($F$9-$E$9)),$G$9-SQRT((1-S321)*($G$9-$E$9)*($G$9-$F$9))))</f>
        <v>1.02316917042815</v>
      </c>
      <c r="F321" s="37" t="n">
        <f aca="false">1+IF($G$10=$E$10,$F$10,IF(T321&lt;($F$10-$E$10)/($G$10-$E$10),$E$10+SQRT(T321*($G$10-$E$10)*($F$10-$E$10)),$G$10-SQRT((1-T321)*($G$10-$E$10)*($G$10-$F$10))))</f>
        <v>1.09615620200402</v>
      </c>
      <c r="G321" s="38" t="n">
        <f aca="false">IF($G$11=$E$11,$F$11,IF(U321&lt;($F$11-$E$11)/($G$11-$E$11),$E$11+SQRT(U321*($G$11-$E$11)*($F$11-$E$11)),$G$11-SQRT((1-U321)*($G$11-$E$11)*($G$11-$F$11))))</f>
        <v>0.0996629308474603</v>
      </c>
      <c r="H321" s="39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-2192312404.00803</v>
      </c>
      <c r="I321" s="39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-31724515.9746841</v>
      </c>
      <c r="J321" s="39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237931226.193913</v>
      </c>
      <c r="K321" s="39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562394778.46271</v>
      </c>
      <c r="L321" s="39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683126680.457574</v>
      </c>
      <c r="M321" s="39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852783280.786894</v>
      </c>
      <c r="N321" s="39" t="n">
        <f aca="false">IF(COUNT('Business Case'!B11:G11)=0,"",H321+NPV(G321,I321:M321))</f>
        <v>-603999184.23426</v>
      </c>
      <c r="P321" s="40" t="n">
        <f aca="true">RAND()</f>
        <v>0.767270195647288</v>
      </c>
      <c r="Q321" s="40" t="n">
        <f aca="true">RAND()</f>
        <v>0.254274682028184</v>
      </c>
      <c r="R321" s="40" t="n">
        <f aca="true">RAND()</f>
        <v>0.55323299870452</v>
      </c>
      <c r="S321" s="40" t="n">
        <f aca="true">RAND()</f>
        <v>0.571038417869751</v>
      </c>
      <c r="T321" s="40" t="n">
        <f aca="true">RAND()</f>
        <v>0.68442781090895</v>
      </c>
      <c r="U321" s="40" t="n">
        <f aca="true">RAND()</f>
        <v>0.386630849512006</v>
      </c>
    </row>
    <row r="322" customFormat="false" ht="15" hidden="false" customHeight="false" outlineLevel="0" collapsed="false">
      <c r="A322" s="36" t="n">
        <v>242</v>
      </c>
      <c r="B322" s="37" t="n">
        <f aca="false">1+IF($G$6=$E$6,$F$6,IF(P322&lt;($F$6-$E$6)/($G$6-$E$6),$E$6+SQRT(P322*($G$6-$E$6)*($F$6-$E$6)),$G$6-SQRT((1-P322)*($G$6-$E$6)*($G$6-$F$6))))</f>
        <v>1.00662276658867</v>
      </c>
      <c r="C322" s="37" t="n">
        <f aca="false">1+IF($G$7=$E$7,$F$7,IF(Q322&lt;($F$7-$E$7)/($G$7-$E$7),$E$7+SQRT(Q322*($G$7-$E$7)*($F$7-$E$7)),$G$7-SQRT((1-Q322)*($G$7-$E$7)*($G$7-$F$7))))</f>
        <v>1.01778752568523</v>
      </c>
      <c r="D322" s="37" t="n">
        <f aca="false">1+IF($G$8=$E$8,$F$8,IF(R322&lt;($F$8-$E$8)/($G$8-$E$8),$E$8+SQRT(R322*($G$8-$E$8)*($F$8-$E$8)),$G$8-SQRT((1-R322)*($G$8-$E$8)*($G$8-$F$8))))</f>
        <v>1.01173013336736</v>
      </c>
      <c r="E322" s="37" t="n">
        <f aca="false">1+IF($G$9=$E$9,$F$9,IF(S322&lt;($F$9-$E$9)/($G$9-$E$9),$E$9+SQRT(S322*($G$9-$E$9)*($F$9-$E$9)),$G$9-SQRT((1-S322)*($G$9-$E$9)*($G$9-$F$9))))</f>
        <v>1.01532383499777</v>
      </c>
      <c r="F322" s="37" t="n">
        <f aca="false">1+IF($G$10=$E$10,$F$10,IF(T322&lt;($F$10-$E$10)/($G$10-$E$10),$E$10+SQRT(T322*($G$10-$E$10)*($F$10-$E$10)),$G$10-SQRT((1-T322)*($G$10-$E$10)*($G$10-$F$10))))</f>
        <v>0.98558029875913</v>
      </c>
      <c r="G322" s="38" t="n">
        <f aca="false">IF($G$11=$E$11,$F$11,IF(U322&lt;($F$11-$E$11)/($G$11-$E$11),$E$11+SQRT(U322*($G$11-$E$11)*($F$11-$E$11)),$G$11-SQRT((1-U322)*($G$11-$E$11)*($G$11-$F$11))))</f>
        <v>0.104741766861986</v>
      </c>
      <c r="H322" s="39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-1971160597.51826</v>
      </c>
      <c r="I322" s="39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15976167.9422666</v>
      </c>
      <c r="J322" s="39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328000951.536989</v>
      </c>
      <c r="K322" s="39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689304750.069668</v>
      </c>
      <c r="L322" s="39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828720702.227816</v>
      </c>
      <c r="M322" s="39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1023463002.5073</v>
      </c>
      <c r="N322" s="39" t="n">
        <f aca="false">IF(COUNT('Business Case'!B11:G11)=0,"",H322+NPV(G322,I322:M322))</f>
        <v>1638974.45714092</v>
      </c>
      <c r="P322" s="40" t="n">
        <f aca="true">RAND()</f>
        <v>0.749122082877202</v>
      </c>
      <c r="Q322" s="40" t="n">
        <f aca="true">RAND()</f>
        <v>0.741034987193582</v>
      </c>
      <c r="R322" s="40" t="n">
        <f aca="true">RAND()</f>
        <v>0.480562042977086</v>
      </c>
      <c r="S322" s="40" t="n">
        <f aca="true">RAND()</f>
        <v>0.516328815474458</v>
      </c>
      <c r="T322" s="40" t="n">
        <f aca="true">RAND()</f>
        <v>0.0843971773192636</v>
      </c>
      <c r="U322" s="40" t="n">
        <f aca="true">RAND()</f>
        <v>0.574681105830503</v>
      </c>
    </row>
    <row r="323" customFormat="false" ht="15" hidden="false" customHeight="false" outlineLevel="0" collapsed="false">
      <c r="A323" s="36" t="n">
        <v>243</v>
      </c>
      <c r="B323" s="37" t="n">
        <f aca="false">1+IF($G$6=$E$6,$F$6,IF(P323&lt;($F$6-$E$6)/($G$6-$E$6),$E$6+SQRT(P323*($G$6-$E$6)*($F$6-$E$6)),$G$6-SQRT((1-P323)*($G$6-$E$6)*($G$6-$F$6))))</f>
        <v>0.980794002317702</v>
      </c>
      <c r="C323" s="37" t="n">
        <f aca="false">1+IF($G$7=$E$7,$F$7,IF(Q323&lt;($F$7-$E$7)/($G$7-$E$7),$E$7+SQRT(Q323*($G$7-$E$7)*($F$7-$E$7)),$G$7-SQRT((1-Q323)*($G$7-$E$7)*($G$7-$F$7))))</f>
        <v>1.02748617748711</v>
      </c>
      <c r="D323" s="37" t="n">
        <f aca="false">1+IF($G$8=$E$8,$F$8,IF(R323&lt;($F$8-$E$8)/($G$8-$E$8),$E$8+SQRT(R323*($G$8-$E$8)*($F$8-$E$8)),$G$8-SQRT((1-R323)*($G$8-$E$8)*($G$8-$F$8))))</f>
        <v>0.997215889189328</v>
      </c>
      <c r="E323" s="37" t="n">
        <f aca="false">1+IF($G$9=$E$9,$F$9,IF(S323&lt;($F$9-$E$9)/($G$9-$E$9),$E$9+SQRT(S323*($G$9-$E$9)*($F$9-$E$9)),$G$9-SQRT((1-S323)*($G$9-$E$9)*($G$9-$F$9))))</f>
        <v>0.950872768466177</v>
      </c>
      <c r="F323" s="37" t="n">
        <f aca="false">1+IF($G$10=$E$10,$F$10,IF(T323&lt;($F$10-$E$10)/($G$10-$E$10),$E$10+SQRT(T323*($G$10-$E$10)*($F$10-$E$10)),$G$10-SQRT((1-T323)*($G$10-$E$10)*($G$10-$F$10))))</f>
        <v>1.03697537693954</v>
      </c>
      <c r="G323" s="38" t="n">
        <f aca="false">IF($G$11=$E$11,$F$11,IF(U323&lt;($F$11-$E$11)/($G$11-$E$11),$E$11+SQRT(U323*($G$11-$E$11)*($F$11-$E$11)),$G$11-SQRT((1-U323)*($G$11-$E$11)*($G$11-$F$11))))</f>
        <v>0.106042166488816</v>
      </c>
      <c r="H323" s="39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-2073950753.87908</v>
      </c>
      <c r="I323" s="39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9741844.66455413</v>
      </c>
      <c r="J323" s="39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310637212.91197</v>
      </c>
      <c r="K323" s="39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663381350.006362</v>
      </c>
      <c r="L323" s="39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798507724.897512</v>
      </c>
      <c r="M323" s="39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990061278.345242</v>
      </c>
      <c r="N323" s="39" t="n">
        <f aca="false">IF(COUNT('Business Case'!B11:G11)=0,"",H323+NPV(G323,I323:M323))</f>
        <v>-189218326.487474</v>
      </c>
      <c r="P323" s="40" t="n">
        <f aca="true">RAND()</f>
        <v>0.435178054034187</v>
      </c>
      <c r="Q323" s="40" t="n">
        <f aca="true">RAND()</f>
        <v>0.777635011752285</v>
      </c>
      <c r="R323" s="40" t="n">
        <f aca="true">RAND()</f>
        <v>0.297245358925189</v>
      </c>
      <c r="S323" s="40" t="n">
        <f aca="true">RAND()</f>
        <v>0.103521542856528</v>
      </c>
      <c r="T323" s="40" t="n">
        <f aca="true">RAND()</f>
        <v>0.394940132932651</v>
      </c>
      <c r="U323" s="40" t="n">
        <f aca="true">RAND()</f>
        <v>0.617348142300253</v>
      </c>
    </row>
    <row r="324" customFormat="false" ht="15" hidden="false" customHeight="false" outlineLevel="0" collapsed="false">
      <c r="A324" s="36" t="n">
        <v>244</v>
      </c>
      <c r="B324" s="37" t="n">
        <f aca="false">1+IF($G$6=$E$6,$F$6,IF(P324&lt;($F$6-$E$6)/($G$6-$E$6),$E$6+SQRT(P324*($G$6-$E$6)*($F$6-$E$6)),$G$6-SQRT((1-P324)*($G$6-$E$6)*($G$6-$F$6))))</f>
        <v>0.980507706841518</v>
      </c>
      <c r="C324" s="37" t="n">
        <f aca="false">1+IF($G$7=$E$7,$F$7,IF(Q324&lt;($F$7-$E$7)/($G$7-$E$7),$E$7+SQRT(Q324*($G$7-$E$7)*($F$7-$E$7)),$G$7-SQRT((1-Q324)*($G$7-$E$7)*($G$7-$F$7))))</f>
        <v>1.02842017705714</v>
      </c>
      <c r="D324" s="37" t="n">
        <f aca="false">1+IF($G$8=$E$8,$F$8,IF(R324&lt;($F$8-$E$8)/($G$8-$E$8),$E$8+SQRT(R324*($G$8-$E$8)*($F$8-$E$8)),$G$8-SQRT((1-R324)*($G$8-$E$8)*($G$8-$F$8))))</f>
        <v>1.01069801894237</v>
      </c>
      <c r="E324" s="37" t="n">
        <f aca="false">1+IF($G$9=$E$9,$F$9,IF(S324&lt;($F$9-$E$9)/($G$9-$E$9),$E$9+SQRT(S324*($G$9-$E$9)*($F$9-$E$9)),$G$9-SQRT((1-S324)*($G$9-$E$9)*($G$9-$F$9))))</f>
        <v>1.06549633940772</v>
      </c>
      <c r="F324" s="37" t="n">
        <f aca="false">1+IF($G$10=$E$10,$F$10,IF(T324&lt;($F$10-$E$10)/($G$10-$E$10),$E$10+SQRT(T324*($G$10-$E$10)*($F$10-$E$10)),$G$10-SQRT((1-T324)*($G$10-$E$10)*($G$10-$F$10))))</f>
        <v>1.02106589760514</v>
      </c>
      <c r="G324" s="38" t="n">
        <f aca="false">IF($G$11=$E$11,$F$11,IF(U324&lt;($F$11-$E$11)/($G$11-$E$11),$E$11+SQRT(U324*($G$11-$E$11)*($F$11-$E$11)),$G$11-SQRT((1-U324)*($G$11-$E$11)*($G$11-$F$11))))</f>
        <v>0.114271649268229</v>
      </c>
      <c r="H324" s="39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-2042131795.21029</v>
      </c>
      <c r="I324" s="39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-12064468.7535843</v>
      </c>
      <c r="J324" s="39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281765335.184351</v>
      </c>
      <c r="K324" s="39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626648434.002544</v>
      </c>
      <c r="L324" s="39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759441104.293341</v>
      </c>
      <c r="M324" s="39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951112817.006509</v>
      </c>
      <c r="N324" s="39" t="n">
        <f aca="false">IF(COUNT('Business Case'!B11:G11)=0,"",H324+NPV(G324,I324:M324))</f>
        <v>-326728695.086898</v>
      </c>
      <c r="P324" s="40" t="n">
        <f aca="true">RAND()</f>
        <v>0.432099390725323</v>
      </c>
      <c r="Q324" s="40" t="n">
        <f aca="true">RAND()</f>
        <v>0.781012543010107</v>
      </c>
      <c r="R324" s="40" t="n">
        <f aca="true">RAND()</f>
        <v>0.468343745278834</v>
      </c>
      <c r="S324" s="40" t="n">
        <f aca="true">RAND()</f>
        <v>0.809576835906795</v>
      </c>
      <c r="T324" s="40" t="n">
        <f aca="true">RAND()</f>
        <v>0.301189023475487</v>
      </c>
      <c r="U324" s="40" t="n">
        <f aca="true">RAND()</f>
        <v>0.835079322172266</v>
      </c>
    </row>
    <row r="325" customFormat="false" ht="15" hidden="false" customHeight="false" outlineLevel="0" collapsed="false">
      <c r="A325" s="36" t="n">
        <v>245</v>
      </c>
      <c r="B325" s="37" t="n">
        <f aca="false">1+IF($G$6=$E$6,$F$6,IF(P325&lt;($F$6-$E$6)/($G$6-$E$6),$E$6+SQRT(P325*($G$6-$E$6)*($F$6-$E$6)),$G$6-SQRT((1-P325)*($G$6-$E$6)*($G$6-$F$6))))</f>
        <v>1.01524702055605</v>
      </c>
      <c r="C325" s="37" t="n">
        <f aca="false">1+IF($G$7=$E$7,$F$7,IF(Q325&lt;($F$7-$E$7)/($G$7-$E$7),$E$7+SQRT(Q325*($G$7-$E$7)*($F$7-$E$7)),$G$7-SQRT((1-Q325)*($G$7-$E$7)*($G$7-$F$7))))</f>
        <v>0.951127967886799</v>
      </c>
      <c r="D325" s="37" t="n">
        <f aca="false">1+IF($G$8=$E$8,$F$8,IF(R325&lt;($F$8-$E$8)/($G$8-$E$8),$E$8+SQRT(R325*($G$8-$E$8)*($F$8-$E$8)),$G$8-SQRT((1-R325)*($G$8-$E$8)*($G$8-$F$8))))</f>
        <v>1.03050561058707</v>
      </c>
      <c r="E325" s="37" t="n">
        <f aca="false">1+IF($G$9=$E$9,$F$9,IF(S325&lt;($F$9-$E$9)/($G$9-$E$9),$E$9+SQRT(S325*($G$9-$E$9)*($F$9-$E$9)),$G$9-SQRT((1-S325)*($G$9-$E$9)*($G$9-$F$9))))</f>
        <v>1.02927645889703</v>
      </c>
      <c r="F325" s="37" t="n">
        <f aca="false">1+IF($G$10=$E$10,$F$10,IF(T325&lt;($F$10-$E$10)/($G$10-$E$10),$E$10+SQRT(T325*($G$10-$E$10)*($F$10-$E$10)),$G$10-SQRT((1-T325)*($G$10-$E$10)*($G$10-$F$10))))</f>
        <v>0.972707407070444</v>
      </c>
      <c r="G325" s="38" t="n">
        <f aca="false">IF($G$11=$E$11,$F$11,IF(U325&lt;($F$11-$E$11)/($G$11-$E$11),$E$11+SQRT(U325*($G$11-$E$11)*($F$11-$E$11)),$G$11-SQRT((1-U325)*($G$11-$E$11)*($G$11-$F$11))))</f>
        <v>0.102090730947683</v>
      </c>
      <c r="H325" s="39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-1945414814.14089</v>
      </c>
      <c r="I325" s="39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-4526397.88005154</v>
      </c>
      <c r="J325" s="39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284639308.077769</v>
      </c>
      <c r="K325" s="39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622440384.389111</v>
      </c>
      <c r="L325" s="39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752201120.15883</v>
      </c>
      <c r="M325" s="39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935748039.302951</v>
      </c>
      <c r="N325" s="39" t="n">
        <f aca="false">IF(COUNT('Business Case'!B11:G11)=0,"",H325+NPV(G325,I325:M325))</f>
        <v>-164770660.482484</v>
      </c>
      <c r="P325" s="40" t="n">
        <f aca="true">RAND()</f>
        <v>0.838964055969146</v>
      </c>
      <c r="Q325" s="40" t="n">
        <f aca="true">RAND()</f>
        <v>0.467150046332988</v>
      </c>
      <c r="R325" s="40" t="n">
        <f aca="true">RAND()</f>
        <v>0.678035322674946</v>
      </c>
      <c r="S325" s="40" t="n">
        <f aca="true">RAND()</f>
        <v>0.611355376628268</v>
      </c>
      <c r="T325" s="40" t="n">
        <f aca="true">RAND()</f>
        <v>0.0343750890575244</v>
      </c>
      <c r="U325" s="40" t="n">
        <f aca="true">RAND()</f>
        <v>0.480715133976922</v>
      </c>
    </row>
    <row r="326" customFormat="false" ht="15" hidden="false" customHeight="false" outlineLevel="0" collapsed="false">
      <c r="A326" s="36" t="n">
        <v>246</v>
      </c>
      <c r="B326" s="37" t="n">
        <f aca="false">1+IF($G$6=$E$6,$F$6,IF(P326&lt;($F$6-$E$6)/($G$6-$E$6),$E$6+SQRT(P326*($G$6-$E$6)*($F$6-$E$6)),$G$6-SQRT((1-P326)*($G$6-$E$6)*($G$6-$F$6))))</f>
        <v>1.02527445351087</v>
      </c>
      <c r="C326" s="37" t="n">
        <f aca="false">1+IF($G$7=$E$7,$F$7,IF(Q326&lt;($F$7-$E$7)/($G$7-$E$7),$E$7+SQRT(Q326*($G$7-$E$7)*($F$7-$E$7)),$G$7-SQRT((1-Q326)*($G$7-$E$7)*($G$7-$F$7))))</f>
        <v>0.941530913213584</v>
      </c>
      <c r="D326" s="37" t="n">
        <f aca="false">1+IF($G$8=$E$8,$F$8,IF(R326&lt;($F$8-$E$8)/($G$8-$E$8),$E$8+SQRT(R326*($G$8-$E$8)*($F$8-$E$8)),$G$8-SQRT((1-R326)*($G$8-$E$8)*($G$8-$F$8))))</f>
        <v>1.02805181575069</v>
      </c>
      <c r="E326" s="37" t="n">
        <f aca="false">1+IF($G$9=$E$9,$F$9,IF(S326&lt;($F$9-$E$9)/($G$9-$E$9),$E$9+SQRT(S326*($G$9-$E$9)*($F$9-$E$9)),$G$9-SQRT((1-S326)*($G$9-$E$9)*($G$9-$F$9))))</f>
        <v>1.0560782722253</v>
      </c>
      <c r="F326" s="37" t="n">
        <f aca="false">1+IF($G$10=$E$10,$F$10,IF(T326&lt;($F$10-$E$10)/($G$10-$E$10),$E$10+SQRT(T326*($G$10-$E$10)*($F$10-$E$10)),$G$10-SQRT((1-T326)*($G$10-$E$10)*($G$10-$F$10))))</f>
        <v>1.07635722043018</v>
      </c>
      <c r="G326" s="38" t="n">
        <f aca="false">IF($G$11=$E$11,$F$11,IF(U326&lt;($F$11-$E$11)/($G$11-$E$11),$E$11+SQRT(U326*($G$11-$E$11)*($F$11-$E$11)),$G$11-SQRT((1-U326)*($G$11-$E$11)*($G$11-$F$11))))</f>
        <v>0.102526818253223</v>
      </c>
      <c r="H326" s="39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-2152714440.86036</v>
      </c>
      <c r="I326" s="39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-12688990.7289629</v>
      </c>
      <c r="J326" s="39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282474653.291178</v>
      </c>
      <c r="K326" s="39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631456158.332828</v>
      </c>
      <c r="L326" s="39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763205761.269973</v>
      </c>
      <c r="M326" s="39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946695230.054016</v>
      </c>
      <c r="N326" s="39" t="n">
        <f aca="false">IF(COUNT('Business Case'!B11:G11)=0,"",H326+NPV(G326,I326:M326))</f>
        <v>-363038726.560161</v>
      </c>
      <c r="P326" s="40" t="n">
        <f aca="true">RAND()</f>
        <v>0.918486313441825</v>
      </c>
      <c r="Q326" s="40" t="n">
        <f aca="true">RAND()</f>
        <v>0.432127274353984</v>
      </c>
      <c r="R326" s="40" t="n">
        <f aca="true">RAND()</f>
        <v>0.654897252215194</v>
      </c>
      <c r="S326" s="40" t="n">
        <f aca="true">RAND()</f>
        <v>0.764765574715056</v>
      </c>
      <c r="T326" s="40" t="n">
        <f aca="true">RAND()</f>
        <v>0.5979758013769</v>
      </c>
      <c r="U326" s="40" t="n">
        <f aca="true">RAND()</f>
        <v>0.4968161898057</v>
      </c>
    </row>
    <row r="327" customFormat="false" ht="15" hidden="false" customHeight="false" outlineLevel="0" collapsed="false">
      <c r="A327" s="36" t="n">
        <v>247</v>
      </c>
      <c r="B327" s="37" t="n">
        <f aca="false">1+IF($G$6=$E$6,$F$6,IF(P327&lt;($F$6-$E$6)/($G$6-$E$6),$E$6+SQRT(P327*($G$6-$E$6)*($F$6-$E$6)),$G$6-SQRT((1-P327)*($G$6-$E$6)*($G$6-$F$6))))</f>
        <v>0.988619926124883</v>
      </c>
      <c r="C327" s="37" t="n">
        <f aca="false">1+IF($G$7=$E$7,$F$7,IF(Q327&lt;($F$7-$E$7)/($G$7-$E$7),$E$7+SQRT(Q327*($G$7-$E$7)*($F$7-$E$7)),$G$7-SQRT((1-Q327)*($G$7-$E$7)*($G$7-$F$7))))</f>
        <v>0.861449484421141</v>
      </c>
      <c r="D327" s="37" t="n">
        <f aca="false">1+IF($G$8=$E$8,$F$8,IF(R327&lt;($F$8-$E$8)/($G$8-$E$8),$E$8+SQRT(R327*($G$8-$E$8)*($F$8-$E$8)),$G$8-SQRT((1-R327)*($G$8-$E$8)*($G$8-$F$8))))</f>
        <v>1.02776544373647</v>
      </c>
      <c r="E327" s="37" t="n">
        <f aca="false">1+IF($G$9=$E$9,$F$9,IF(S327&lt;($F$9-$E$9)/($G$9-$E$9),$E$9+SQRT(S327*($G$9-$E$9)*($F$9-$E$9)),$G$9-SQRT((1-S327)*($G$9-$E$9)*($G$9-$F$9))))</f>
        <v>1.03201146899856</v>
      </c>
      <c r="F327" s="37" t="n">
        <f aca="false">1+IF($G$10=$E$10,$F$10,IF(T327&lt;($F$10-$E$10)/($G$10-$E$10),$E$10+SQRT(T327*($G$10-$E$10)*($F$10-$E$10)),$G$10-SQRT((1-T327)*($G$10-$E$10)*($G$10-$F$10))))</f>
        <v>0.998945196285857</v>
      </c>
      <c r="G327" s="38" t="n">
        <f aca="false">IF($G$11=$E$11,$F$11,IF(U327&lt;($F$11-$E$11)/($G$11-$E$11),$E$11+SQRT(U327*($G$11-$E$11)*($F$11-$E$11)),$G$11-SQRT((1-U327)*($G$11-$E$11)*($G$11-$F$11))))</f>
        <v>0.0990951044103533</v>
      </c>
      <c r="H327" s="39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-1997890392.57171</v>
      </c>
      <c r="I327" s="39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-46473982.7511899</v>
      </c>
      <c r="J327" s="39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197847920.171433</v>
      </c>
      <c r="K327" s="39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492117082.908348</v>
      </c>
      <c r="L327" s="39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602990607.318309</v>
      </c>
      <c r="M327" s="39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764871502.881623</v>
      </c>
      <c r="N327" s="39" t="n">
        <f aca="false">IF(COUNT('Business Case'!B11:G11)=0,"",H327+NPV(G327,I327:M327))</f>
        <v>-615653408.408751</v>
      </c>
      <c r="P327" s="40" t="n">
        <f aca="true">RAND()</f>
        <v>0.52356608709198</v>
      </c>
      <c r="Q327" s="40" t="n">
        <f aca="true">RAND()</f>
        <v>0.193081007554461</v>
      </c>
      <c r="R327" s="40" t="n">
        <f aca="true">RAND()</f>
        <v>0.652144592094096</v>
      </c>
      <c r="S327" s="40" t="n">
        <f aca="true">RAND()</f>
        <v>0.628765508056606</v>
      </c>
      <c r="T327" s="40" t="n">
        <f aca="true">RAND()</f>
        <v>0.159708815964069</v>
      </c>
      <c r="U327" s="40" t="n">
        <f aca="true">RAND()</f>
        <v>0.364623012442294</v>
      </c>
    </row>
    <row r="328" customFormat="false" ht="15" hidden="false" customHeight="false" outlineLevel="0" collapsed="false">
      <c r="A328" s="36" t="n">
        <v>248</v>
      </c>
      <c r="B328" s="37" t="n">
        <f aca="false">1+IF($G$6=$E$6,$F$6,IF(P328&lt;($F$6-$E$6)/($G$6-$E$6),$E$6+SQRT(P328*($G$6-$E$6)*($F$6-$E$6)),$G$6-SQRT((1-P328)*($G$6-$E$6)*($G$6-$F$6))))</f>
        <v>0.996825454508316</v>
      </c>
      <c r="C328" s="37" t="n">
        <f aca="false">1+IF($G$7=$E$7,$F$7,IF(Q328&lt;($F$7-$E$7)/($G$7-$E$7),$E$7+SQRT(Q328*($G$7-$E$7)*($F$7-$E$7)),$G$7-SQRT((1-Q328)*($G$7-$E$7)*($G$7-$F$7))))</f>
        <v>0.910349711220549</v>
      </c>
      <c r="D328" s="37" t="n">
        <f aca="false">1+IF($G$8=$E$8,$F$8,IF(R328&lt;($F$8-$E$8)/($G$8-$E$8),$E$8+SQRT(R328*($G$8-$E$8)*($F$8-$E$8)),$G$8-SQRT((1-R328)*($G$8-$E$8)*($G$8-$F$8))))</f>
        <v>0.982936420105877</v>
      </c>
      <c r="E328" s="37" t="n">
        <f aca="false">1+IF($G$9=$E$9,$F$9,IF(S328&lt;($F$9-$E$9)/($G$9-$E$9),$E$9+SQRT(S328*($G$9-$E$9)*($F$9-$E$9)),$G$9-SQRT((1-S328)*($G$9-$E$9)*($G$9-$F$9))))</f>
        <v>1.02031908348726</v>
      </c>
      <c r="F328" s="37" t="n">
        <f aca="false">1+IF($G$10=$E$10,$F$10,IF(T328&lt;($F$10-$E$10)/($G$10-$E$10),$E$10+SQRT(T328*($G$10-$E$10)*($F$10-$E$10)),$G$10-SQRT((1-T328)*($G$10-$E$10)*($G$10-$F$10))))</f>
        <v>1.09653504175767</v>
      </c>
      <c r="G328" s="38" t="n">
        <f aca="false">IF($G$11=$E$11,$F$11,IF(U328&lt;($F$11-$E$11)/($G$11-$E$11),$E$11+SQRT(U328*($G$11-$E$11)*($F$11-$E$11)),$G$11-SQRT((1-U328)*($G$11-$E$11)*($G$11-$F$11))))</f>
        <v>0.111522157029404</v>
      </c>
      <c r="H328" s="39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-2193070083.51534</v>
      </c>
      <c r="I328" s="39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-16584856.1556976</v>
      </c>
      <c r="J328" s="39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268615879.735661</v>
      </c>
      <c r="K328" s="39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608643367.714903</v>
      </c>
      <c r="L328" s="39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735072089.144957</v>
      </c>
      <c r="M328" s="39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907562041.209427</v>
      </c>
      <c r="N328" s="39" t="n">
        <f aca="false">IF(COUNT('Business Case'!B11:G11)=0,"",H328+NPV(G328,I328:M328))</f>
        <v>-530880081.730247</v>
      </c>
      <c r="P328" s="40" t="n">
        <f aca="true">RAND()</f>
        <v>0.625011242716129</v>
      </c>
      <c r="Q328" s="40" t="n">
        <f aca="true">RAND()</f>
        <v>0.327755563041248</v>
      </c>
      <c r="R328" s="40" t="n">
        <f aca="true">RAND()</f>
        <v>0.144641035918779</v>
      </c>
      <c r="S328" s="40" t="n">
        <f aca="true">RAND()</f>
        <v>0.551542930464424</v>
      </c>
      <c r="T328" s="40" t="n">
        <f aca="true">RAND()</f>
        <v>0.685980087889065</v>
      </c>
      <c r="U328" s="40" t="n">
        <f aca="true">RAND()</f>
        <v>0.772379546102665</v>
      </c>
    </row>
    <row r="329" customFormat="false" ht="15" hidden="false" customHeight="false" outlineLevel="0" collapsed="false">
      <c r="A329" s="36" t="n">
        <v>249</v>
      </c>
      <c r="B329" s="37" t="n">
        <f aca="false">1+IF($G$6=$E$6,$F$6,IF(P329&lt;($F$6-$E$6)/($G$6-$E$6),$E$6+SQRT(P329*($G$6-$E$6)*($F$6-$E$6)),$G$6-SQRT((1-P329)*($G$6-$E$6)*($G$6-$F$6))))</f>
        <v>0.988017538651252</v>
      </c>
      <c r="C329" s="37" t="n">
        <f aca="false">1+IF($G$7=$E$7,$F$7,IF(Q329&lt;($F$7-$E$7)/($G$7-$E$7),$E$7+SQRT(Q329*($G$7-$E$7)*($F$7-$E$7)),$G$7-SQRT((1-Q329)*($G$7-$E$7)*($G$7-$F$7))))</f>
        <v>0.971199803856077</v>
      </c>
      <c r="D329" s="37" t="n">
        <f aca="false">1+IF($G$8=$E$8,$F$8,IF(R329&lt;($F$8-$E$8)/($G$8-$E$8),$E$8+SQRT(R329*($G$8-$E$8)*($F$8-$E$8)),$G$8-SQRT((1-R329)*($G$8-$E$8)*($G$8-$F$8))))</f>
        <v>1.00021364089135</v>
      </c>
      <c r="E329" s="37" t="n">
        <f aca="false">1+IF($G$9=$E$9,$F$9,IF(S329&lt;($F$9-$E$9)/($G$9-$E$9),$E$9+SQRT(S329*($G$9-$E$9)*($F$9-$E$9)),$G$9-SQRT((1-S329)*($G$9-$E$9)*($G$9-$F$9))))</f>
        <v>1.05532555160057</v>
      </c>
      <c r="F329" s="37" t="n">
        <f aca="false">1+IF($G$10=$E$10,$F$10,IF(T329&lt;($F$10-$E$10)/($G$10-$E$10),$E$10+SQRT(T329*($G$10-$E$10)*($F$10-$E$10)),$G$10-SQRT((1-T329)*($G$10-$E$10)*($G$10-$F$10))))</f>
        <v>1.0550176406527</v>
      </c>
      <c r="G329" s="38" t="n">
        <f aca="false">IF($G$11=$E$11,$F$11,IF(U329&lt;($F$11-$E$11)/($G$11-$E$11),$E$11+SQRT(U329*($G$11-$E$11)*($F$11-$E$11)),$G$11-SQRT((1-U329)*($G$11-$E$11)*($G$11-$F$11))))</f>
        <v>0.107946564749183</v>
      </c>
      <c r="H329" s="39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-2110035281.3054</v>
      </c>
      <c r="I329" s="39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-16644868.5756015</v>
      </c>
      <c r="J329" s="39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272023037.228021</v>
      </c>
      <c r="K329" s="39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613441825.064278</v>
      </c>
      <c r="L329" s="39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742826938.249721</v>
      </c>
      <c r="M329" s="39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925220566.796348</v>
      </c>
      <c r="N329" s="39" t="n">
        <f aca="false">IF(COUNT('Business Case'!B11:G11)=0,"",H329+NPV(G329,I329:M329))</f>
        <v>-405276118.28881</v>
      </c>
      <c r="P329" s="40" t="n">
        <f aca="true">RAND()</f>
        <v>0.51647247401497</v>
      </c>
      <c r="Q329" s="40" t="n">
        <f aca="true">RAND()</f>
        <v>0.544809878604258</v>
      </c>
      <c r="R329" s="40" t="n">
        <f aca="true">RAND()</f>
        <v>0.336178835722628</v>
      </c>
      <c r="S329" s="40" t="n">
        <f aca="true">RAND()</f>
        <v>0.760979968540358</v>
      </c>
      <c r="T329" s="40" t="n">
        <f aca="true">RAND()</f>
        <v>0.493091727244802</v>
      </c>
      <c r="U329" s="40" t="n">
        <f aca="true">RAND()</f>
        <v>0.675763995758672</v>
      </c>
    </row>
    <row r="330" customFormat="false" ht="15" hidden="false" customHeight="false" outlineLevel="0" collapsed="false">
      <c r="A330" s="36" t="n">
        <v>250</v>
      </c>
      <c r="B330" s="37" t="n">
        <f aca="false">1+IF($G$6=$E$6,$F$6,IF(P330&lt;($F$6-$E$6)/($G$6-$E$6),$E$6+SQRT(P330*($G$6-$E$6)*($F$6-$E$6)),$G$6-SQRT((1-P330)*($G$6-$E$6)*($G$6-$F$6))))</f>
        <v>0.955828065592893</v>
      </c>
      <c r="C330" s="37" t="n">
        <f aca="false">1+IF($G$7=$E$7,$F$7,IF(Q330&lt;($F$7-$E$7)/($G$7-$E$7),$E$7+SQRT(Q330*($G$7-$E$7)*($F$7-$E$7)),$G$7-SQRT((1-Q330)*($G$7-$E$7)*($G$7-$F$7))))</f>
        <v>0.855110588378794</v>
      </c>
      <c r="D330" s="37" t="n">
        <f aca="false">1+IF($G$8=$E$8,$F$8,IF(R330&lt;($F$8-$E$8)/($G$8-$E$8),$E$8+SQRT(R330*($G$8-$E$8)*($F$8-$E$8)),$G$8-SQRT((1-R330)*($G$8-$E$8)*($G$8-$F$8))))</f>
        <v>0.984901669242249</v>
      </c>
      <c r="E330" s="37" t="n">
        <f aca="false">1+IF($G$9=$E$9,$F$9,IF(S330&lt;($F$9-$E$9)/($G$9-$E$9),$E$9+SQRT(S330*($G$9-$E$9)*($F$9-$E$9)),$G$9-SQRT((1-S330)*($G$9-$E$9)*($G$9-$F$9))))</f>
        <v>1.00917434310685</v>
      </c>
      <c r="F330" s="37" t="n">
        <f aca="false">1+IF($G$10=$E$10,$F$10,IF(T330&lt;($F$10-$E$10)/($G$10-$E$10),$E$10+SQRT(T330*($G$10-$E$10)*($F$10-$E$10)),$G$10-SQRT((1-T330)*($G$10-$E$10)*($G$10-$F$10))))</f>
        <v>1.13967317118464</v>
      </c>
      <c r="G330" s="38" t="n">
        <f aca="false">IF($G$11=$E$11,$F$11,IF(U330&lt;($F$11-$E$11)/($G$11-$E$11),$E$11+SQRT(U330*($G$11-$E$11)*($F$11-$E$11)),$G$11-SQRT((1-U330)*($G$11-$E$11)*($G$11-$F$11))))</f>
        <v>0.102730832652024</v>
      </c>
      <c r="H330" s="39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-2279346342.36929</v>
      </c>
      <c r="I330" s="39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-61522448.6722958</v>
      </c>
      <c r="J330" s="39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176797849.548759</v>
      </c>
      <c r="K330" s="39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472101806.329047</v>
      </c>
      <c r="L330" s="39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579789131.192793</v>
      </c>
      <c r="M330" s="39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735148871.204797</v>
      </c>
      <c r="N330" s="39" t="n">
        <f aca="false">IF(COUNT('Business Case'!B11:G11)=0,"",H330+NPV(G330,I330:M330))</f>
        <v>-994736652.340624</v>
      </c>
      <c r="P330" s="40" t="n">
        <f aca="true">RAND()</f>
        <v>0.207784860522956</v>
      </c>
      <c r="Q330" s="40" t="n">
        <f aca="true">RAND()</f>
        <v>0.178216997238634</v>
      </c>
      <c r="R330" s="40" t="n">
        <f aca="true">RAND()</f>
        <v>0.162416868786046</v>
      </c>
      <c r="S330" s="40" t="n">
        <f aca="true">RAND()</f>
        <v>0.471150249616365</v>
      </c>
      <c r="T330" s="40" t="n">
        <f aca="true">RAND()</f>
        <v>0.837706544580626</v>
      </c>
      <c r="U330" s="40" t="n">
        <f aca="true">RAND()</f>
        <v>0.504261674765386</v>
      </c>
    </row>
    <row r="331" customFormat="false" ht="15" hidden="false" customHeight="false" outlineLevel="0" collapsed="false">
      <c r="A331" s="36" t="n">
        <v>251</v>
      </c>
      <c r="B331" s="37" t="n">
        <f aca="false">1+IF($G$6=$E$6,$F$6,IF(P331&lt;($F$6-$E$6)/($G$6-$E$6),$E$6+SQRT(P331*($G$6-$E$6)*($F$6-$E$6)),$G$6-SQRT((1-P331)*($G$6-$E$6)*($G$6-$F$6))))</f>
        <v>0.980480238533982</v>
      </c>
      <c r="C331" s="37" t="n">
        <f aca="false">1+IF($G$7=$E$7,$F$7,IF(Q331&lt;($F$7-$E$7)/($G$7-$E$7),$E$7+SQRT(Q331*($G$7-$E$7)*($F$7-$E$7)),$G$7-SQRT((1-Q331)*($G$7-$E$7)*($G$7-$F$7))))</f>
        <v>0.743192266434673</v>
      </c>
      <c r="D331" s="37" t="n">
        <f aca="false">1+IF($G$8=$E$8,$F$8,IF(R331&lt;($F$8-$E$8)/($G$8-$E$8),$E$8+SQRT(R331*($G$8-$E$8)*($F$8-$E$8)),$G$8-SQRT((1-R331)*($G$8-$E$8)*($G$8-$F$8))))</f>
        <v>1.05248458458328</v>
      </c>
      <c r="E331" s="37" t="n">
        <f aca="false">1+IF($G$9=$E$9,$F$9,IF(S331&lt;($F$9-$E$9)/($G$9-$E$9),$E$9+SQRT(S331*($G$9-$E$9)*($F$9-$E$9)),$G$9-SQRT((1-S331)*($G$9-$E$9)*($G$9-$F$9))))</f>
        <v>0.952165967587597</v>
      </c>
      <c r="F331" s="37" t="n">
        <f aca="false">1+IF($G$10=$E$10,$F$10,IF(T331&lt;($F$10-$E$10)/($G$10-$E$10),$E$10+SQRT(T331*($G$10-$E$10)*($F$10-$E$10)),$G$10-SQRT((1-T331)*($G$10-$E$10)*($G$10-$F$10))))</f>
        <v>1.04828534255222</v>
      </c>
      <c r="G331" s="38" t="n">
        <f aca="false">IF($G$11=$E$11,$F$11,IF(U331&lt;($F$11-$E$11)/($G$11-$E$11),$E$11+SQRT(U331*($G$11-$E$11)*($F$11-$E$11)),$G$11-SQRT((1-U331)*($G$11-$E$11)*($G$11-$F$11))))</f>
        <v>0.0973035063837761</v>
      </c>
      <c r="H331" s="39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-2096570685.10444</v>
      </c>
      <c r="I331" s="39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-81578838.1005488</v>
      </c>
      <c r="J331" s="39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114843906.187038</v>
      </c>
      <c r="K331" s="39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363680917.602236</v>
      </c>
      <c r="L331" s="39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454338530.726071</v>
      </c>
      <c r="M331" s="39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592847038.379915</v>
      </c>
      <c r="N331" s="39" t="n">
        <f aca="false">IF(COUNT('Business Case'!B11:G11)=0,"",H331+NPV(G331,I331:M331))</f>
        <v>-1114240494.01125</v>
      </c>
      <c r="P331" s="40" t="n">
        <f aca="true">RAND()</f>
        <v>0.43180458629911</v>
      </c>
      <c r="Q331" s="40" t="n">
        <f aca="true">RAND()</f>
        <v>0.0138190509612133</v>
      </c>
      <c r="R331" s="40" t="n">
        <f aca="true">RAND()</f>
        <v>0.849485686518404</v>
      </c>
      <c r="S331" s="40" t="n">
        <f aca="true">RAND()</f>
        <v>0.108851526974008</v>
      </c>
      <c r="T331" s="40" t="n">
        <f aca="true">RAND()</f>
        <v>0.457482626276336</v>
      </c>
      <c r="U331" s="40" t="n">
        <f aca="true">RAND()</f>
        <v>0.29941133317338</v>
      </c>
    </row>
    <row r="332" customFormat="false" ht="15" hidden="false" customHeight="false" outlineLevel="0" collapsed="false">
      <c r="A332" s="36" t="n">
        <v>252</v>
      </c>
      <c r="B332" s="37" t="n">
        <f aca="false">1+IF($G$6=$E$6,$F$6,IF(P332&lt;($F$6-$E$6)/($G$6-$E$6),$E$6+SQRT(P332*($G$6-$E$6)*($F$6-$E$6)),$G$6-SQRT((1-P332)*($G$6-$E$6)*($G$6-$F$6))))</f>
        <v>0.986529519035002</v>
      </c>
      <c r="C332" s="37" t="n">
        <f aca="false">1+IF($G$7=$E$7,$F$7,IF(Q332&lt;($F$7-$E$7)/($G$7-$E$7),$E$7+SQRT(Q332*($G$7-$E$7)*($F$7-$E$7)),$G$7-SQRT((1-Q332)*($G$7-$E$7)*($G$7-$F$7))))</f>
        <v>0.920736591966669</v>
      </c>
      <c r="D332" s="37" t="n">
        <f aca="false">1+IF($G$8=$E$8,$F$8,IF(R332&lt;($F$8-$E$8)/($G$8-$E$8),$E$8+SQRT(R332*($G$8-$E$8)*($F$8-$E$8)),$G$8-SQRT((1-R332)*($G$8-$E$8)*($G$8-$F$8))))</f>
        <v>1.03515199598948</v>
      </c>
      <c r="E332" s="37" t="n">
        <f aca="false">1+IF($G$9=$E$9,$F$9,IF(S332&lt;($F$9-$E$9)/($G$9-$E$9),$E$9+SQRT(S332*($G$9-$E$9)*($F$9-$E$9)),$G$9-SQRT((1-S332)*($G$9-$E$9)*($G$9-$F$9))))</f>
        <v>1.03706094827599</v>
      </c>
      <c r="F332" s="37" t="n">
        <f aca="false">1+IF($G$10=$E$10,$F$10,IF(T332&lt;($F$10-$E$10)/($G$10-$E$10),$E$10+SQRT(T332*($G$10-$E$10)*($F$10-$E$10)),$G$10-SQRT((1-T332)*($G$10-$E$10)*($G$10-$F$10))))</f>
        <v>1.1896225464241</v>
      </c>
      <c r="G332" s="38" t="n">
        <f aca="false">IF($G$11=$E$11,$F$11,IF(U332&lt;($F$11-$E$11)/($G$11-$E$11),$E$11+SQRT(U332*($G$11-$E$11)*($F$11-$E$11)),$G$11-SQRT((1-U332)*($G$11-$E$11)*($G$11-$F$11))))</f>
        <v>0.115576431703488</v>
      </c>
      <c r="H332" s="39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-2379245092.84821</v>
      </c>
      <c r="I332" s="39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-57441682.6965204</v>
      </c>
      <c r="J332" s="39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198636981.697861</v>
      </c>
      <c r="K332" s="39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514196773.413447</v>
      </c>
      <c r="L332" s="39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630948345.28067</v>
      </c>
      <c r="M332" s="39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803604439.160701</v>
      </c>
      <c r="N332" s="39" t="n">
        <f aca="false">IF(COUNT('Business Case'!B11:G11)=0,"",H332+NPV(G332,I332:M332))</f>
        <v>-1028282706.36353</v>
      </c>
      <c r="P332" s="40" t="n">
        <f aca="true">RAND()</f>
        <v>0.499157177628581</v>
      </c>
      <c r="Q332" s="40" t="n">
        <f aca="true">RAND()</f>
        <v>0.360923281726368</v>
      </c>
      <c r="R332" s="40" t="n">
        <f aca="true">RAND()</f>
        <v>0.719649091723481</v>
      </c>
      <c r="S332" s="40" t="n">
        <f aca="true">RAND()</f>
        <v>0.659860549218184</v>
      </c>
      <c r="T332" s="40" t="n">
        <f aca="true">RAND()</f>
        <v>0.95139417466254</v>
      </c>
      <c r="U332" s="40" t="n">
        <f aca="true">RAND()</f>
        <v>0.861307118397236</v>
      </c>
    </row>
    <row r="333" customFormat="false" ht="15" hidden="false" customHeight="false" outlineLevel="0" collapsed="false">
      <c r="A333" s="36" t="n">
        <v>253</v>
      </c>
      <c r="B333" s="37" t="n">
        <f aca="false">1+IF($G$6=$E$6,$F$6,IF(P333&lt;($F$6-$E$6)/($G$6-$E$6),$E$6+SQRT(P333*($G$6-$E$6)*($F$6-$E$6)),$G$6-SQRT((1-P333)*($G$6-$E$6)*($G$6-$F$6))))</f>
        <v>0.928526110702468</v>
      </c>
      <c r="C333" s="37" t="n">
        <f aca="false">1+IF($G$7=$E$7,$F$7,IF(Q333&lt;($F$7-$E$7)/($G$7-$E$7),$E$7+SQRT(Q333*($G$7-$E$7)*($F$7-$E$7)),$G$7-SQRT((1-Q333)*($G$7-$E$7)*($G$7-$F$7))))</f>
        <v>1.00649459857556</v>
      </c>
      <c r="D333" s="37" t="n">
        <f aca="false">1+IF($G$8=$E$8,$F$8,IF(R333&lt;($F$8-$E$8)/($G$8-$E$8),$E$8+SQRT(R333*($G$8-$E$8)*($F$8-$E$8)),$G$8-SQRT((1-R333)*($G$8-$E$8)*($G$8-$F$8))))</f>
        <v>1.00330985548152</v>
      </c>
      <c r="E333" s="37" t="n">
        <f aca="false">1+IF($G$9=$E$9,$F$9,IF(S333&lt;($F$9-$E$9)/($G$9-$E$9),$E$9+SQRT(S333*($G$9-$E$9)*($F$9-$E$9)),$G$9-SQRT((1-S333)*($G$9-$E$9)*($G$9-$F$9))))</f>
        <v>0.99290334577169</v>
      </c>
      <c r="F333" s="37" t="n">
        <f aca="false">1+IF($G$10=$E$10,$F$10,IF(T333&lt;($F$10-$E$10)/($G$10-$E$10),$E$10+SQRT(T333*($G$10-$E$10)*($F$10-$E$10)),$G$10-SQRT((1-T333)*($G$10-$E$10)*($G$10-$F$10))))</f>
        <v>1.15829298929221</v>
      </c>
      <c r="G333" s="38" t="n">
        <f aca="false">IF($G$11=$E$11,$F$11,IF(U333&lt;($F$11-$E$11)/($G$11-$E$11),$E$11+SQRT(U333*($G$11-$E$11)*($F$11-$E$11)),$G$11-SQRT((1-U333)*($G$11-$E$11)*($G$11-$F$11))))</f>
        <v>0.0975523908169522</v>
      </c>
      <c r="H333" s="39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-2316585978.58441</v>
      </c>
      <c r="I333" s="39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-56948590.9834076</v>
      </c>
      <c r="J333" s="39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191570382.471767</v>
      </c>
      <c r="K333" s="39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498004005.391552</v>
      </c>
      <c r="L333" s="39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613141936.370362</v>
      </c>
      <c r="M333" s="39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790782438.752664</v>
      </c>
      <c r="N333" s="39" t="n">
        <f aca="false">IF(COUNT('Business Case'!B11:G11)=0,"",H333+NPV(G333,I333:M333))</f>
        <v>-913731301.713614</v>
      </c>
      <c r="P333" s="40" t="n">
        <f aca="true">RAND()</f>
        <v>0.0542492661206313</v>
      </c>
      <c r="Q333" s="40" t="n">
        <f aca="true">RAND()</f>
        <v>0.694906663140874</v>
      </c>
      <c r="R333" s="40" t="n">
        <f aca="true">RAND()</f>
        <v>0.3767343968663</v>
      </c>
      <c r="S333" s="40" t="n">
        <f aca="true">RAND()</f>
        <v>0.345241266222968</v>
      </c>
      <c r="T333" s="40" t="n">
        <f aca="true">RAND()</f>
        <v>0.887864322493872</v>
      </c>
      <c r="U333" s="40" t="n">
        <f aca="true">RAND()</f>
        <v>0.308086423391028</v>
      </c>
    </row>
    <row r="334" customFormat="false" ht="15" hidden="false" customHeight="false" outlineLevel="0" collapsed="false">
      <c r="A334" s="36" t="n">
        <v>254</v>
      </c>
      <c r="B334" s="37" t="n">
        <f aca="false">1+IF($G$6=$E$6,$F$6,IF(P334&lt;($F$6-$E$6)/($G$6-$E$6),$E$6+SQRT(P334*($G$6-$E$6)*($F$6-$E$6)),$G$6-SQRT((1-P334)*($G$6-$E$6)*($G$6-$F$6))))</f>
        <v>1.01989266574471</v>
      </c>
      <c r="C334" s="37" t="n">
        <f aca="false">1+IF($G$7=$E$7,$F$7,IF(Q334&lt;($F$7-$E$7)/($G$7-$E$7),$E$7+SQRT(Q334*($G$7-$E$7)*($F$7-$E$7)),$G$7-SQRT((1-Q334)*($G$7-$E$7)*($G$7-$F$7))))</f>
        <v>0.947753075626635</v>
      </c>
      <c r="D334" s="37" t="n">
        <f aca="false">1+IF($G$8=$E$8,$F$8,IF(R334&lt;($F$8-$E$8)/($G$8-$E$8),$E$8+SQRT(R334*($G$8-$E$8)*($F$8-$E$8)),$G$8-SQRT((1-R334)*($G$8-$E$8)*($G$8-$F$8))))</f>
        <v>0.987139571258903</v>
      </c>
      <c r="E334" s="37" t="n">
        <f aca="false">1+IF($G$9=$E$9,$F$9,IF(S334&lt;($F$9-$E$9)/($G$9-$E$9),$E$9+SQRT(S334*($G$9-$E$9)*($F$9-$E$9)),$G$9-SQRT((1-S334)*($G$9-$E$9)*($G$9-$F$9))))</f>
        <v>0.923388361768675</v>
      </c>
      <c r="F334" s="37" t="n">
        <f aca="false">1+IF($G$10=$E$10,$F$10,IF(T334&lt;($F$10-$E$10)/($G$10-$E$10),$E$10+SQRT(T334*($G$10-$E$10)*($F$10-$E$10)),$G$10-SQRT((1-T334)*($G$10-$E$10)*($G$10-$F$10))))</f>
        <v>0.965685187785902</v>
      </c>
      <c r="G334" s="38" t="n">
        <f aca="false">IF($G$11=$E$11,$F$11,IF(U334&lt;($F$11-$E$11)/($G$11-$E$11),$E$11+SQRT(U334*($G$11-$E$11)*($F$11-$E$11)),$G$11-SQRT((1-U334)*($G$11-$E$11)*($G$11-$F$11))))</f>
        <v>0.0994331536222519</v>
      </c>
      <c r="H334" s="39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-1931370375.5718</v>
      </c>
      <c r="I334" s="39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34802813.9464036</v>
      </c>
      <c r="J334" s="39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347588848.049147</v>
      </c>
      <c r="K334" s="39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708659141.541186</v>
      </c>
      <c r="L334" s="39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846327070.46493</v>
      </c>
      <c r="M334" s="39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1030059617.02382</v>
      </c>
      <c r="N334" s="39" t="n">
        <f aca="false">IF(COUNT('Business Case'!B11:G11)=0,"",H334+NPV(G334,I334:M334))</f>
        <v>141577014.889541</v>
      </c>
      <c r="P334" s="40" t="n">
        <f aca="true">RAND()</f>
        <v>0.879139789872046</v>
      </c>
      <c r="Q334" s="40" t="n">
        <f aca="true">RAND()</f>
        <v>0.454678418388569</v>
      </c>
      <c r="R334" s="40" t="n">
        <f aca="true">RAND()</f>
        <v>0.183913033772687</v>
      </c>
      <c r="S334" s="40" t="n">
        <f aca="true">RAND()</f>
        <v>0.0218806186488968</v>
      </c>
      <c r="T334" s="40" t="n">
        <f aca="true">RAND()</f>
        <v>0.0164016743919348</v>
      </c>
      <c r="U334" s="40" t="n">
        <f aca="true">RAND()</f>
        <v>0.37764745970604</v>
      </c>
    </row>
    <row r="335" customFormat="false" ht="15" hidden="false" customHeight="false" outlineLevel="0" collapsed="false">
      <c r="A335" s="36" t="n">
        <v>255</v>
      </c>
      <c r="B335" s="37" t="n">
        <f aca="false">1+IF($G$6=$E$6,$F$6,IF(P335&lt;($F$6-$E$6)/($G$6-$E$6),$E$6+SQRT(P335*($G$6-$E$6)*($F$6-$E$6)),$G$6-SQRT((1-P335)*($G$6-$E$6)*($G$6-$F$6))))</f>
        <v>0.960932065043002</v>
      </c>
      <c r="C335" s="37" t="n">
        <f aca="false">1+IF($G$7=$E$7,$F$7,IF(Q335&lt;($F$7-$E$7)/($G$7-$E$7),$E$7+SQRT(Q335*($G$7-$E$7)*($F$7-$E$7)),$G$7-SQRT((1-Q335)*($G$7-$E$7)*($G$7-$F$7))))</f>
        <v>1.02109943643068</v>
      </c>
      <c r="D335" s="37" t="n">
        <f aca="false">1+IF($G$8=$E$8,$F$8,IF(R335&lt;($F$8-$E$8)/($G$8-$E$8),$E$8+SQRT(R335*($G$8-$E$8)*($F$8-$E$8)),$G$8-SQRT((1-R335)*($G$8-$E$8)*($G$8-$F$8))))</f>
        <v>1.06482801944475</v>
      </c>
      <c r="E335" s="37" t="n">
        <f aca="false">1+IF($G$9=$E$9,$F$9,IF(S335&lt;($F$9-$E$9)/($G$9-$E$9),$E$9+SQRT(S335*($G$9-$E$9)*($F$9-$E$9)),$G$9-SQRT((1-S335)*($G$9-$E$9)*($G$9-$F$9))))</f>
        <v>1.07723959060235</v>
      </c>
      <c r="F335" s="37" t="n">
        <f aca="false">1+IF($G$10=$E$10,$F$10,IF(T335&lt;($F$10-$E$10)/($G$10-$E$10),$E$10+SQRT(T335*($G$10-$E$10)*($F$10-$E$10)),$G$10-SQRT((1-T335)*($G$10-$E$10)*($G$10-$F$10))))</f>
        <v>1.09621441073752</v>
      </c>
      <c r="G335" s="38" t="n">
        <f aca="false">IF($G$11=$E$11,$F$11,IF(U335&lt;($F$11-$E$11)/($G$11-$E$11),$E$11+SQRT(U335*($G$11-$E$11)*($F$11-$E$11)),$G$11-SQRT((1-U335)*($G$11-$E$11)*($G$11-$F$11))))</f>
        <v>0.100693366610586</v>
      </c>
      <c r="H335" s="39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-2192428821.47503</v>
      </c>
      <c r="I335" s="39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-66599561.1492259</v>
      </c>
      <c r="J335" s="39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180471569.29185</v>
      </c>
      <c r="K335" s="39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482353420.269802</v>
      </c>
      <c r="L335" s="39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598620984.238758</v>
      </c>
      <c r="M335" s="39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785128846.926043</v>
      </c>
      <c r="N335" s="39" t="n">
        <f aca="false">IF(COUNT('Business Case'!B11:G11)=0,"",H335+NPV(G335,I335:M335))</f>
        <v>-848452083.68627</v>
      </c>
      <c r="P335" s="40" t="n">
        <f aca="true">RAND()</f>
        <v>0.247514436693639</v>
      </c>
      <c r="Q335" s="40" t="n">
        <f aca="true">RAND()</f>
        <v>0.753846588318694</v>
      </c>
      <c r="R335" s="40" t="n">
        <f aca="true">RAND()</f>
        <v>0.917528785588076</v>
      </c>
      <c r="S335" s="40" t="n">
        <f aca="true">RAND()</f>
        <v>0.858824608647648</v>
      </c>
      <c r="T335" s="40" t="n">
        <f aca="true">RAND()</f>
        <v>0.684666567135872</v>
      </c>
      <c r="U335" s="40" t="n">
        <f aca="true">RAND()</f>
        <v>0.427414159585675</v>
      </c>
    </row>
    <row r="336" customFormat="false" ht="15" hidden="false" customHeight="false" outlineLevel="0" collapsed="false">
      <c r="A336" s="36" t="n">
        <v>256</v>
      </c>
      <c r="B336" s="37" t="n">
        <f aca="false">1+IF($G$6=$E$6,$F$6,IF(P336&lt;($F$6-$E$6)/($G$6-$E$6),$E$6+SQRT(P336*($G$6-$E$6)*($F$6-$E$6)),$G$6-SQRT((1-P336)*($G$6-$E$6)*($G$6-$F$6))))</f>
        <v>1.03764027508299</v>
      </c>
      <c r="C336" s="37" t="n">
        <f aca="false">1+IF($G$7=$E$7,$F$7,IF(Q336&lt;($F$7-$E$7)/($G$7-$E$7),$E$7+SQRT(Q336*($G$7-$E$7)*($F$7-$E$7)),$G$7-SQRT((1-Q336)*($G$7-$E$7)*($G$7-$F$7))))</f>
        <v>0.863707401256834</v>
      </c>
      <c r="D336" s="37" t="n">
        <f aca="false">1+IF($G$8=$E$8,$F$8,IF(R336&lt;($F$8-$E$8)/($G$8-$E$8),$E$8+SQRT(R336*($G$8-$E$8)*($F$8-$E$8)),$G$8-SQRT((1-R336)*($G$8-$E$8)*($G$8-$F$8))))</f>
        <v>0.977109208835868</v>
      </c>
      <c r="E336" s="37" t="n">
        <f aca="false">1+IF($G$9=$E$9,$F$9,IF(S336&lt;($F$9-$E$9)/($G$9-$E$9),$E$9+SQRT(S336*($G$9-$E$9)*($F$9-$E$9)),$G$9-SQRT((1-S336)*($G$9-$E$9)*($G$9-$F$9))))</f>
        <v>0.932481373508056</v>
      </c>
      <c r="F336" s="37" t="n">
        <f aca="false">1+IF($G$10=$E$10,$F$10,IF(T336&lt;($F$10-$E$10)/($G$10-$E$10),$E$10+SQRT(T336*($G$10-$E$10)*($F$10-$E$10)),$G$10-SQRT((1-T336)*($G$10-$E$10)*($G$10-$F$10))))</f>
        <v>1.03632989160452</v>
      </c>
      <c r="G336" s="38" t="n">
        <f aca="false">IF($G$11=$E$11,$F$11,IF(U336&lt;($F$11-$E$11)/($G$11-$E$11),$E$11+SQRT(U336*($G$11-$E$11)*($F$11-$E$11)),$G$11-SQRT((1-U336)*($G$11-$E$11)*($G$11-$F$11))))</f>
        <v>0.100680776350106</v>
      </c>
      <c r="H336" s="39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-2072659783.20904</v>
      </c>
      <c r="I336" s="39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19347019.7288473</v>
      </c>
      <c r="J336" s="39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321385799.559754</v>
      </c>
      <c r="K336" s="39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675241073.970886</v>
      </c>
      <c r="L336" s="39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806893947.000363</v>
      </c>
      <c r="M336" s="39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977246985.639155</v>
      </c>
      <c r="N336" s="39" t="n">
        <f aca="false">IF(COUNT('Business Case'!B11:G11)=0,"",H336+NPV(G336,I336:M336))</f>
        <v>-128748468.112451</v>
      </c>
      <c r="P336" s="40" t="n">
        <f aca="true">RAND()</f>
        <v>0.979631626663454</v>
      </c>
      <c r="Q336" s="40" t="n">
        <f aca="true">RAND()</f>
        <v>0.1985193572316</v>
      </c>
      <c r="R336" s="40" t="n">
        <f aca="true">RAND()</f>
        <v>0.0979878938275601</v>
      </c>
      <c r="S336" s="40" t="n">
        <f aca="true">RAND()</f>
        <v>0.042201584998793</v>
      </c>
      <c r="T336" s="40" t="n">
        <f aca="true">RAND()</f>
        <v>0.391267797043519</v>
      </c>
      <c r="U336" s="40" t="n">
        <f aca="true">RAND()</f>
        <v>0.426922083044985</v>
      </c>
    </row>
    <row r="337" customFormat="false" ht="15" hidden="false" customHeight="false" outlineLevel="0" collapsed="false">
      <c r="A337" s="36" t="n">
        <v>257</v>
      </c>
      <c r="B337" s="37" t="n">
        <f aca="false">1+IF($G$6=$E$6,$F$6,IF(P337&lt;($F$6-$E$6)/($G$6-$E$6),$E$6+SQRT(P337*($G$6-$E$6)*($F$6-$E$6)),$G$6-SQRT((1-P337)*($G$6-$E$6)*($G$6-$F$6))))</f>
        <v>0.939657015256304</v>
      </c>
      <c r="C337" s="37" t="n">
        <f aca="false">1+IF($G$7=$E$7,$F$7,IF(Q337&lt;($F$7-$E$7)/($G$7-$E$7),$E$7+SQRT(Q337*($G$7-$E$7)*($F$7-$E$7)),$G$7-SQRT((1-Q337)*($G$7-$E$7)*($G$7-$F$7))))</f>
        <v>0.947785116995894</v>
      </c>
      <c r="D337" s="37" t="n">
        <f aca="false">1+IF($G$8=$E$8,$F$8,IF(R337&lt;($F$8-$E$8)/($G$8-$E$8),$E$8+SQRT(R337*($G$8-$E$8)*($F$8-$E$8)),$G$8-SQRT((1-R337)*($G$8-$E$8)*($G$8-$F$8))))</f>
        <v>1.06250514480435</v>
      </c>
      <c r="E337" s="37" t="n">
        <f aca="false">1+IF($G$9=$E$9,$F$9,IF(S337&lt;($F$9-$E$9)/($G$9-$E$9),$E$9+SQRT(S337*($G$9-$E$9)*($F$9-$E$9)),$G$9-SQRT((1-S337)*($G$9-$E$9)*($G$9-$F$9))))</f>
        <v>1.03269077980224</v>
      </c>
      <c r="F337" s="37" t="n">
        <f aca="false">1+IF($G$10=$E$10,$F$10,IF(T337&lt;($F$10-$E$10)/($G$10-$E$10),$E$10+SQRT(T337*($G$10-$E$10)*($F$10-$E$10)),$G$10-SQRT((1-T337)*($G$10-$E$10)*($G$10-$F$10))))</f>
        <v>1.04999016039071</v>
      </c>
      <c r="G337" s="38" t="n">
        <f aca="false">IF($G$11=$E$11,$F$11,IF(U337&lt;($F$11-$E$11)/($G$11-$E$11),$E$11+SQRT(U337*($G$11-$E$11)*($F$11-$E$11)),$G$11-SQRT((1-U337)*($G$11-$E$11)*($G$11-$F$11))))</f>
        <v>0.102092809237998</v>
      </c>
      <c r="H337" s="39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-2099980320.78143</v>
      </c>
      <c r="I337" s="39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-84073284.9995582</v>
      </c>
      <c r="J337" s="39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129869412.633688</v>
      </c>
      <c r="K337" s="39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396311618.286471</v>
      </c>
      <c r="L337" s="39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498404742.634789</v>
      </c>
      <c r="M337" s="39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667688647.556255</v>
      </c>
      <c r="N337" s="39" t="n">
        <f aca="false">IF(COUNT('Business Case'!B11:G11)=0,"",H337+NPV(G337,I337:M337))</f>
        <v>-1024781365.0345</v>
      </c>
      <c r="P337" s="40" t="n">
        <f aca="true">RAND()</f>
        <v>0.104845257269247</v>
      </c>
      <c r="Q337" s="40" t="n">
        <f aca="true">RAND()</f>
        <v>0.454796031145695</v>
      </c>
      <c r="R337" s="40" t="n">
        <f aca="true">RAND()</f>
        <v>0.906275722257141</v>
      </c>
      <c r="S337" s="40" t="n">
        <f aca="true">RAND()</f>
        <v>0.633027916175852</v>
      </c>
      <c r="T337" s="40" t="n">
        <f aca="true">RAND()</f>
        <v>0.466614187459568</v>
      </c>
      <c r="U337" s="40" t="n">
        <f aca="true">RAND()</f>
        <v>0.480792469182162</v>
      </c>
    </row>
    <row r="338" customFormat="false" ht="15" hidden="false" customHeight="false" outlineLevel="0" collapsed="false">
      <c r="A338" s="36" t="n">
        <v>258</v>
      </c>
      <c r="B338" s="37" t="n">
        <f aca="false">1+IF($G$6=$E$6,$F$6,IF(P338&lt;($F$6-$E$6)/($G$6-$E$6),$E$6+SQRT(P338*($G$6-$E$6)*($F$6-$E$6)),$G$6-SQRT((1-P338)*($G$6-$E$6)*($G$6-$F$6))))</f>
        <v>0.981008549851911</v>
      </c>
      <c r="C338" s="37" t="n">
        <f aca="false">1+IF($G$7=$E$7,$F$7,IF(Q338&lt;($F$7-$E$7)/($G$7-$E$7),$E$7+SQRT(Q338*($G$7-$E$7)*($F$7-$E$7)),$G$7-SQRT((1-Q338)*($G$7-$E$7)*($G$7-$F$7))))</f>
        <v>1.10653811359437</v>
      </c>
      <c r="D338" s="37" t="n">
        <f aca="false">1+IF($G$8=$E$8,$F$8,IF(R338&lt;($F$8-$E$8)/($G$8-$E$8),$E$8+SQRT(R338*($G$8-$E$8)*($F$8-$E$8)),$G$8-SQRT((1-R338)*($G$8-$E$8)*($G$8-$F$8))))</f>
        <v>0.980803155771317</v>
      </c>
      <c r="E338" s="37" t="n">
        <f aca="false">1+IF($G$9=$E$9,$F$9,IF(S338&lt;($F$9-$E$9)/($G$9-$E$9),$E$9+SQRT(S338*($G$9-$E$9)*($F$9-$E$9)),$G$9-SQRT((1-S338)*($G$9-$E$9)*($G$9-$F$9))))</f>
        <v>1.05513712992021</v>
      </c>
      <c r="F338" s="37" t="n">
        <f aca="false">1+IF($G$10=$E$10,$F$10,IF(T338&lt;($F$10-$E$10)/($G$10-$E$10),$E$10+SQRT(T338*($G$10-$E$10)*($F$10-$E$10)),$G$10-SQRT((1-T338)*($G$10-$E$10)*($G$10-$F$10))))</f>
        <v>1.13406790040791</v>
      </c>
      <c r="G338" s="38" t="n">
        <f aca="false">IF($G$11=$E$11,$F$11,IF(U338&lt;($F$11-$E$11)/($G$11-$E$11),$E$11+SQRT(U338*($G$11-$E$11)*($F$11-$E$11)),$G$11-SQRT((1-U338)*($G$11-$E$11)*($G$11-$F$11))))</f>
        <v>0.0860682798840548</v>
      </c>
      <c r="H338" s="39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-2268135800.81583</v>
      </c>
      <c r="I338" s="39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13816194.9876166</v>
      </c>
      <c r="J338" s="39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347353210.363651</v>
      </c>
      <c r="K338" s="39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737593620.76008</v>
      </c>
      <c r="L338" s="39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886288312.867406</v>
      </c>
      <c r="M338" s="39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1092624591.2683</v>
      </c>
      <c r="N338" s="39" t="n">
        <f aca="false">IF(COUNT('Business Case'!B11:G11)=0,"",H338+NPV(G338,I338:M338))</f>
        <v>-25079329.1803827</v>
      </c>
      <c r="P338" s="40" t="n">
        <f aca="true">RAND()</f>
        <v>0.437492343273967</v>
      </c>
      <c r="Q338" s="40" t="n">
        <f aca="true">RAND()</f>
        <v>0.972015769334277</v>
      </c>
      <c r="R338" s="40" t="n">
        <f aca="true">RAND()</f>
        <v>0.126511254062939</v>
      </c>
      <c r="S338" s="40" t="n">
        <f aca="true">RAND()</f>
        <v>0.760027623472667</v>
      </c>
      <c r="T338" s="40" t="n">
        <f aca="true">RAND()</f>
        <v>0.820796643788938</v>
      </c>
      <c r="U338" s="40" t="n">
        <f aca="true">RAND()</f>
        <v>0.0368240207512235</v>
      </c>
    </row>
    <row r="339" customFormat="false" ht="15" hidden="false" customHeight="false" outlineLevel="0" collapsed="false">
      <c r="A339" s="36" t="n">
        <v>259</v>
      </c>
      <c r="B339" s="37" t="n">
        <f aca="false">1+IF($G$6=$E$6,$F$6,IF(P339&lt;($F$6-$E$6)/($G$6-$E$6),$E$6+SQRT(P339*($G$6-$E$6)*($F$6-$E$6)),$G$6-SQRT((1-P339)*($G$6-$E$6)*($G$6-$F$6))))</f>
        <v>1.0179996390965</v>
      </c>
      <c r="C339" s="37" t="n">
        <f aca="false">1+IF($G$7=$E$7,$F$7,IF(Q339&lt;($F$7-$E$7)/($G$7-$E$7),$E$7+SQRT(Q339*($G$7-$E$7)*($F$7-$E$7)),$G$7-SQRT((1-Q339)*($G$7-$E$7)*($G$7-$F$7))))</f>
        <v>1.12873836695696</v>
      </c>
      <c r="D339" s="37" t="n">
        <f aca="false">1+IF($G$8=$E$8,$F$8,IF(R339&lt;($F$8-$E$8)/($G$8-$E$8),$E$8+SQRT(R339*($G$8-$E$8)*($F$8-$E$8)),$G$8-SQRT((1-R339)*($G$8-$E$8)*($G$8-$F$8))))</f>
        <v>0.959638004071363</v>
      </c>
      <c r="E339" s="37" t="n">
        <f aca="false">1+IF($G$9=$E$9,$F$9,IF(S339&lt;($F$9-$E$9)/($G$9-$E$9),$E$9+SQRT(S339*($G$9-$E$9)*($F$9-$E$9)),$G$9-SQRT((1-S339)*($G$9-$E$9)*($G$9-$F$9))))</f>
        <v>1.07630300422988</v>
      </c>
      <c r="F339" s="37" t="n">
        <f aca="false">1+IF($G$10=$E$10,$F$10,IF(T339&lt;($F$10-$E$10)/($G$10-$E$10),$E$10+SQRT(T339*($G$10-$E$10)*($F$10-$E$10)),$G$10-SQRT((1-T339)*($G$10-$E$10)*($G$10-$F$10))))</f>
        <v>1.18930829000513</v>
      </c>
      <c r="G339" s="38" t="n">
        <f aca="false">IF($G$11=$E$11,$F$11,IF(U339&lt;($F$11-$E$11)/($G$11-$E$11),$E$11+SQRT(U339*($G$11-$E$11)*($F$11-$E$11)),$G$11-SQRT((1-U339)*($G$11-$E$11)*($G$11-$F$11))))</f>
        <v>0.0973635954416633</v>
      </c>
      <c r="H339" s="39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-2378616580.01026</v>
      </c>
      <c r="I339" s="39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55109216.3397921</v>
      </c>
      <c r="J339" s="39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441766573.051775</v>
      </c>
      <c r="K339" s="39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887889344.264015</v>
      </c>
      <c r="L339" s="39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1056486479.28147</v>
      </c>
      <c r="M339" s="39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1274898901.23883</v>
      </c>
      <c r="N339" s="39" t="n">
        <f aca="false">IF(COUNT('Business Case'!B11:G11)=0,"",H339+NPV(G339,I339:M339))</f>
        <v>240080670.035222</v>
      </c>
      <c r="P339" s="40" t="n">
        <f aca="true">RAND()</f>
        <v>0.863463586939416</v>
      </c>
      <c r="Q339" s="40" t="n">
        <f aca="true">RAND()</f>
        <v>0.993302858671751</v>
      </c>
      <c r="R339" s="40" t="n">
        <f aca="true">RAND()</f>
        <v>0.0123854829972817</v>
      </c>
      <c r="S339" s="40" t="n">
        <f aca="true">RAND()</f>
        <v>0.855166741718894</v>
      </c>
      <c r="T339" s="40" t="n">
        <f aca="true">RAND()</f>
        <v>0.950886884505314</v>
      </c>
      <c r="U339" s="40" t="n">
        <f aca="true">RAND()</f>
        <v>0.301494446661752</v>
      </c>
    </row>
    <row r="340" customFormat="false" ht="15" hidden="false" customHeight="false" outlineLevel="0" collapsed="false">
      <c r="A340" s="36" t="n">
        <v>260</v>
      </c>
      <c r="B340" s="37" t="n">
        <f aca="false">1+IF($G$6=$E$6,$F$6,IF(P340&lt;($F$6-$E$6)/($G$6-$E$6),$E$6+SQRT(P340*($G$6-$E$6)*($F$6-$E$6)),$G$6-SQRT((1-P340)*($G$6-$E$6)*($G$6-$F$6))))</f>
        <v>0.963938097221314</v>
      </c>
      <c r="C340" s="37" t="n">
        <f aca="false">1+IF($G$7=$E$7,$F$7,IF(Q340&lt;($F$7-$E$7)/($G$7-$E$7),$E$7+SQRT(Q340*($G$7-$E$7)*($F$7-$E$7)),$G$7-SQRT((1-Q340)*($G$7-$E$7)*($G$7-$F$7))))</f>
        <v>0.976563828518612</v>
      </c>
      <c r="D340" s="37" t="n">
        <f aca="false">1+IF($G$8=$E$8,$F$8,IF(R340&lt;($F$8-$E$8)/($G$8-$E$8),$E$8+SQRT(R340*($G$8-$E$8)*($F$8-$E$8)),$G$8-SQRT((1-R340)*($G$8-$E$8)*($G$8-$F$8))))</f>
        <v>1.07477306259257</v>
      </c>
      <c r="E340" s="37" t="n">
        <f aca="false">1+IF($G$9=$E$9,$F$9,IF(S340&lt;($F$9-$E$9)/($G$9-$E$9),$E$9+SQRT(S340*($G$9-$E$9)*($F$9-$E$9)),$G$9-SQRT((1-S340)*($G$9-$E$9)*($G$9-$F$9))))</f>
        <v>1.0901712250882</v>
      </c>
      <c r="F340" s="37" t="n">
        <f aca="false">1+IF($G$10=$E$10,$F$10,IF(T340&lt;($F$10-$E$10)/($G$10-$E$10),$E$10+SQRT(T340*($G$10-$E$10)*($F$10-$E$10)),$G$10-SQRT((1-T340)*($G$10-$E$10)*($G$10-$F$10))))</f>
        <v>1.03268049134702</v>
      </c>
      <c r="G340" s="38" t="n">
        <f aca="false">IF($G$11=$E$11,$F$11,IF(U340&lt;($F$11-$E$11)/($G$11-$E$11),$E$11+SQRT(U340*($G$11-$E$11)*($F$11-$E$11)),$G$11-SQRT((1-U340)*($G$11-$E$11)*($G$11-$F$11))))</f>
        <v>0.084543051536347</v>
      </c>
      <c r="H340" s="39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-2065360982.69405</v>
      </c>
      <c r="I340" s="39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-73362091.0732515</v>
      </c>
      <c r="J340" s="39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160365647.754377</v>
      </c>
      <c r="K340" s="39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445727411.149358</v>
      </c>
      <c r="L340" s="39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556169612.464324</v>
      </c>
      <c r="M340" s="39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735100865.179323</v>
      </c>
      <c r="N340" s="39" t="n">
        <f aca="false">IF(COUNT('Business Case'!B11:G11)=0,"",H340+NPV(G340,I340:M340))</f>
        <v>-755360487.528242</v>
      </c>
      <c r="P340" s="40" t="n">
        <f aca="true">RAND()</f>
        <v>0.272538685085477</v>
      </c>
      <c r="Q340" s="40" t="n">
        <f aca="true">RAND()</f>
        <v>0.566574453665719</v>
      </c>
      <c r="R340" s="40" t="n">
        <f aca="true">RAND()</f>
        <v>0.957573441936091</v>
      </c>
      <c r="S340" s="40" t="n">
        <f aca="true">RAND()</f>
        <v>0.904547138468086</v>
      </c>
      <c r="T340" s="40" t="n">
        <f aca="true">RAND()</f>
        <v>0.370296415451051</v>
      </c>
      <c r="U340" s="40" t="n">
        <f aca="true">RAND()</f>
        <v>0.0206393172619048</v>
      </c>
    </row>
    <row r="341" customFormat="false" ht="15" hidden="false" customHeight="false" outlineLevel="0" collapsed="false">
      <c r="A341" s="36" t="n">
        <v>261</v>
      </c>
      <c r="B341" s="37" t="n">
        <f aca="false">1+IF($G$6=$E$6,$F$6,IF(P341&lt;($F$6-$E$6)/($G$6-$E$6),$E$6+SQRT(P341*($G$6-$E$6)*($F$6-$E$6)),$G$6-SQRT((1-P341)*($G$6-$E$6)*($G$6-$F$6))))</f>
        <v>0.990748429887028</v>
      </c>
      <c r="C341" s="37" t="n">
        <f aca="false">1+IF($G$7=$E$7,$F$7,IF(Q341&lt;($F$7-$E$7)/($G$7-$E$7),$E$7+SQRT(Q341*($G$7-$E$7)*($F$7-$E$7)),$G$7-SQRT((1-Q341)*($G$7-$E$7)*($G$7-$F$7))))</f>
        <v>0.916541397354666</v>
      </c>
      <c r="D341" s="37" t="n">
        <f aca="false">1+IF($G$8=$E$8,$F$8,IF(R341&lt;($F$8-$E$8)/($G$8-$E$8),$E$8+SQRT(R341*($G$8-$E$8)*($F$8-$E$8)),$G$8-SQRT((1-R341)*($G$8-$E$8)*($G$8-$F$8))))</f>
        <v>1.06693041118311</v>
      </c>
      <c r="E341" s="37" t="n">
        <f aca="false">1+IF($G$9=$E$9,$F$9,IF(S341&lt;($F$9-$E$9)/($G$9-$E$9),$E$9+SQRT(S341*($G$9-$E$9)*($F$9-$E$9)),$G$9-SQRT((1-S341)*($G$9-$E$9)*($G$9-$F$9))))</f>
        <v>1.0603944575366</v>
      </c>
      <c r="F341" s="37" t="n">
        <f aca="false">1+IF($G$10=$E$10,$F$10,IF(T341&lt;($F$10-$E$10)/($G$10-$E$10),$E$10+SQRT(T341*($G$10-$E$10)*($F$10-$E$10)),$G$10-SQRT((1-T341)*($G$10-$E$10)*($G$10-$F$10))))</f>
        <v>1.01539248590919</v>
      </c>
      <c r="G341" s="38" t="n">
        <f aca="false">IF($G$11=$E$11,$F$11,IF(U341&lt;($F$11-$E$11)/($G$11-$E$11),$E$11+SQRT(U341*($G$11-$E$11)*($F$11-$E$11)),$G$11-SQRT((1-U341)*($G$11-$E$11)*($G$11-$F$11))))</f>
        <v>0.117110128995106</v>
      </c>
      <c r="H341" s="39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-2030784971.81837</v>
      </c>
      <c r="I341" s="39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-56232498.9385308</v>
      </c>
      <c r="J341" s="39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186936274.081996</v>
      </c>
      <c r="K341" s="39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480874671.397982</v>
      </c>
      <c r="L341" s="39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593313550.075781</v>
      </c>
      <c r="M341" s="39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765917965.599373</v>
      </c>
      <c r="N341" s="39" t="n">
        <f aca="false">IF(COUNT('Business Case'!B11:G11)=0,"",H341+NPV(G341,I341:M341))</f>
        <v>-765154322.851801</v>
      </c>
      <c r="P341" s="40" t="n">
        <f aca="true">RAND()</f>
        <v>0.54901850179739</v>
      </c>
      <c r="Q341" s="40" t="n">
        <f aca="true">RAND()</f>
        <v>0.347334642728232</v>
      </c>
      <c r="R341" s="40" t="n">
        <f aca="true">RAND()</f>
        <v>0.927093486365455</v>
      </c>
      <c r="S341" s="40" t="n">
        <f aca="true">RAND()</f>
        <v>0.785889246929056</v>
      </c>
      <c r="T341" s="40" t="n">
        <f aca="true">RAND()</f>
        <v>0.266124191095055</v>
      </c>
      <c r="U341" s="40" t="n">
        <f aca="true">RAND()</f>
        <v>0.889234150318134</v>
      </c>
    </row>
    <row r="342" customFormat="false" ht="15" hidden="false" customHeight="false" outlineLevel="0" collapsed="false">
      <c r="A342" s="36" t="n">
        <v>262</v>
      </c>
      <c r="B342" s="37" t="n">
        <f aca="false">1+IF($G$6=$E$6,$F$6,IF(P342&lt;($F$6-$E$6)/($G$6-$E$6),$E$6+SQRT(P342*($G$6-$E$6)*($F$6-$E$6)),$G$6-SQRT((1-P342)*($G$6-$E$6)*($G$6-$F$6))))</f>
        <v>0.951043317240339</v>
      </c>
      <c r="C342" s="37" t="n">
        <f aca="false">1+IF($G$7=$E$7,$F$7,IF(Q342&lt;($F$7-$E$7)/($G$7-$E$7),$E$7+SQRT(Q342*($G$7-$E$7)*($F$7-$E$7)),$G$7-SQRT((1-Q342)*($G$7-$E$7)*($G$7-$F$7))))</f>
        <v>0.947855665825642</v>
      </c>
      <c r="D342" s="37" t="n">
        <f aca="false">1+IF($G$8=$E$8,$F$8,IF(R342&lt;($F$8-$E$8)/($G$8-$E$8),$E$8+SQRT(R342*($G$8-$E$8)*($F$8-$E$8)),$G$8-SQRT((1-R342)*($G$8-$E$8)*($G$8-$F$8))))</f>
        <v>0.977457801076033</v>
      </c>
      <c r="E342" s="37" t="n">
        <f aca="false">1+IF($G$9=$E$9,$F$9,IF(S342&lt;($F$9-$E$9)/($G$9-$E$9),$E$9+SQRT(S342*($G$9-$E$9)*($F$9-$E$9)),$G$9-SQRT((1-S342)*($G$9-$E$9)*($G$9-$F$9))))</f>
        <v>0.972014005930109</v>
      </c>
      <c r="F342" s="37" t="n">
        <f aca="false">1+IF($G$10=$E$10,$F$10,IF(T342&lt;($F$10-$E$10)/($G$10-$E$10),$E$10+SQRT(T342*($G$10-$E$10)*($F$10-$E$10)),$G$10-SQRT((1-T342)*($G$10-$E$10)*($G$10-$F$10))))</f>
        <v>1.1384761148644</v>
      </c>
      <c r="G342" s="38" t="n">
        <f aca="false">IF($G$11=$E$11,$F$11,IF(U342&lt;($F$11-$E$11)/($G$11-$E$11),$E$11+SQRT(U342*($G$11-$E$11)*($F$11-$E$11)),$G$11-SQRT((1-U342)*($G$11-$E$11)*($G$11-$F$11))))</f>
        <v>0.101261295299069</v>
      </c>
      <c r="H342" s="39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-2276952229.72879</v>
      </c>
      <c r="I342" s="39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-34733543.5429769</v>
      </c>
      <c r="J342" s="39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229332177.184254</v>
      </c>
      <c r="K342" s="39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550321703.654705</v>
      </c>
      <c r="L342" s="39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669497784.657452</v>
      </c>
      <c r="M342" s="39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840845742.172643</v>
      </c>
      <c r="N342" s="39" t="n">
        <f aca="false">IF(COUNT('Business Case'!B11:G11)=0,"",H342+NPV(G342,I342:M342))</f>
        <v>-733048639.595804</v>
      </c>
      <c r="P342" s="40" t="n">
        <f aca="true">RAND()</f>
        <v>0.173694682326527</v>
      </c>
      <c r="Q342" s="40" t="n">
        <f aca="true">RAND()</f>
        <v>0.455055045050908</v>
      </c>
      <c r="R342" s="40" t="n">
        <f aca="true">RAND()</f>
        <v>0.1005241119908</v>
      </c>
      <c r="S342" s="40" t="n">
        <f aca="true">RAND()</f>
        <v>0.207440682004071</v>
      </c>
      <c r="T342" s="40" t="n">
        <f aca="true">RAND()</f>
        <v>0.83416564059014</v>
      </c>
      <c r="U342" s="40" t="n">
        <f aca="true">RAND()</f>
        <v>0.4493912347418</v>
      </c>
    </row>
    <row r="343" customFormat="false" ht="15" hidden="false" customHeight="false" outlineLevel="0" collapsed="false">
      <c r="A343" s="36" t="n">
        <v>263</v>
      </c>
      <c r="B343" s="37" t="n">
        <f aca="false">1+IF($G$6=$E$6,$F$6,IF(P343&lt;($F$6-$E$6)/($G$6-$E$6),$E$6+SQRT(P343*($G$6-$E$6)*($F$6-$E$6)),$G$6-SQRT((1-P343)*($G$6-$E$6)*($G$6-$F$6))))</f>
        <v>0.916078817268991</v>
      </c>
      <c r="C343" s="37" t="n">
        <f aca="false">1+IF($G$7=$E$7,$F$7,IF(Q343&lt;($F$7-$E$7)/($G$7-$E$7),$E$7+SQRT(Q343*($G$7-$E$7)*($F$7-$E$7)),$G$7-SQRT((1-Q343)*($G$7-$E$7)*($G$7-$F$7))))</f>
        <v>0.888402904660908</v>
      </c>
      <c r="D343" s="37" t="n">
        <f aca="false">1+IF($G$8=$E$8,$F$8,IF(R343&lt;($F$8-$E$8)/($G$8-$E$8),$E$8+SQRT(R343*($G$8-$E$8)*($F$8-$E$8)),$G$8-SQRT((1-R343)*($G$8-$E$8)*($G$8-$F$8))))</f>
        <v>1.00196226636754</v>
      </c>
      <c r="E343" s="37" t="n">
        <f aca="false">1+IF($G$9=$E$9,$F$9,IF(S343&lt;($F$9-$E$9)/($G$9-$E$9),$E$9+SQRT(S343*($G$9-$E$9)*($F$9-$E$9)),$G$9-SQRT((1-S343)*($G$9-$E$9)*($G$9-$F$9))))</f>
        <v>1.05631514599382</v>
      </c>
      <c r="F343" s="37" t="n">
        <f aca="false">1+IF($G$10=$E$10,$F$10,IF(T343&lt;($F$10-$E$10)/($G$10-$E$10),$E$10+SQRT(T343*($G$10-$E$10)*($F$10-$E$10)),$G$10-SQRT((1-T343)*($G$10-$E$10)*($G$10-$F$10))))</f>
        <v>0.961959616232472</v>
      </c>
      <c r="G343" s="38" t="n">
        <f aca="false">IF($G$11=$E$11,$F$11,IF(U343&lt;($F$11-$E$11)/($G$11-$E$11),$E$11+SQRT(U343*($G$11-$E$11)*($F$11-$E$11)),$G$11-SQRT((1-U343)*($G$11-$E$11)*($G$11-$F$11))))</f>
        <v>0.0993591349507633</v>
      </c>
      <c r="H343" s="39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-1923919232.46494</v>
      </c>
      <c r="I343" s="39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-77678087.303078</v>
      </c>
      <c r="J343" s="39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133237633.516592</v>
      </c>
      <c r="K343" s="39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392251335.147885</v>
      </c>
      <c r="L343" s="39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490683130.580561</v>
      </c>
      <c r="M343" s="39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645379183.957553</v>
      </c>
      <c r="N343" s="39" t="n">
        <f aca="false">IF(COUNT('Business Case'!B11:G11)=0,"",H343+NPV(G343,I343:M343))</f>
        <v>-851290335.919362</v>
      </c>
      <c r="P343" s="40" t="n">
        <f aca="true">RAND()</f>
        <v>0.0172352243179725</v>
      </c>
      <c r="Q343" s="40" t="n">
        <f aca="true">RAND()</f>
        <v>0.262930773960496</v>
      </c>
      <c r="R343" s="40" t="n">
        <f aca="true">RAND()</f>
        <v>0.359240185614026</v>
      </c>
      <c r="S343" s="40" t="n">
        <f aca="true">RAND()</f>
        <v>0.765950616795741</v>
      </c>
      <c r="T343" s="40" t="n">
        <f aca="true">RAND()</f>
        <v>0.00953549469519986</v>
      </c>
      <c r="U343" s="40" t="n">
        <f aca="true">RAND()</f>
        <v>0.374776106041867</v>
      </c>
    </row>
    <row r="344" customFormat="false" ht="15" hidden="false" customHeight="false" outlineLevel="0" collapsed="false">
      <c r="A344" s="36" t="n">
        <v>264</v>
      </c>
      <c r="B344" s="37" t="n">
        <f aca="false">1+IF($G$6=$E$6,$F$6,IF(P344&lt;($F$6-$E$6)/($G$6-$E$6),$E$6+SQRT(P344*($G$6-$E$6)*($F$6-$E$6)),$G$6-SQRT((1-P344)*($G$6-$E$6)*($G$6-$F$6))))</f>
        <v>0.957613879936945</v>
      </c>
      <c r="C344" s="37" t="n">
        <f aca="false">1+IF($G$7=$E$7,$F$7,IF(Q344&lt;($F$7-$E$7)/($G$7-$E$7),$E$7+SQRT(Q344*($G$7-$E$7)*($F$7-$E$7)),$G$7-SQRT((1-Q344)*($G$7-$E$7)*($G$7-$F$7))))</f>
        <v>0.874172273099333</v>
      </c>
      <c r="D344" s="37" t="n">
        <f aca="false">1+IF($G$8=$E$8,$F$8,IF(R344&lt;($F$8-$E$8)/($G$8-$E$8),$E$8+SQRT(R344*($G$8-$E$8)*($F$8-$E$8)),$G$8-SQRT((1-R344)*($G$8-$E$8)*($G$8-$F$8))))</f>
        <v>0.95337853503113</v>
      </c>
      <c r="E344" s="37" t="n">
        <f aca="false">1+IF($G$9=$E$9,$F$9,IF(S344&lt;($F$9-$E$9)/($G$9-$E$9),$E$9+SQRT(S344*($G$9-$E$9)*($F$9-$E$9)),$G$9-SQRT((1-S344)*($G$9-$E$9)*($G$9-$F$9))))</f>
        <v>0.971146280726938</v>
      </c>
      <c r="F344" s="37" t="n">
        <f aca="false">1+IF($G$10=$E$10,$F$10,IF(T344&lt;($F$10-$E$10)/($G$10-$E$10),$E$10+SQRT(T344*($G$10-$E$10)*($F$10-$E$10)),$G$10-SQRT((1-T344)*($G$10-$E$10)*($G$10-$F$10))))</f>
        <v>1.09723373602118</v>
      </c>
      <c r="G344" s="38" t="n">
        <f aca="false">IF($G$11=$E$11,$F$11,IF(U344&lt;($F$11-$E$11)/($G$11-$E$11),$E$11+SQRT(U344*($G$11-$E$11)*($F$11-$E$11)),$G$11-SQRT((1-U344)*($G$11-$E$11)*($G$11-$F$11))))</f>
        <v>0.105125112555862</v>
      </c>
      <c r="H344" s="39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-2194467472.04235</v>
      </c>
      <c r="I344" s="39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-32198376.9807869</v>
      </c>
      <c r="J344" s="39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226819895.752716</v>
      </c>
      <c r="K344" s="39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540699855.287278</v>
      </c>
      <c r="L344" s="39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655970129.526979</v>
      </c>
      <c r="M344" s="39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815089804.500584</v>
      </c>
      <c r="N344" s="39" t="n">
        <f aca="false">IF(COUNT('Business Case'!B11:G11)=0,"",H344+NPV(G344,I344:M344))</f>
        <v>-703010789.402359</v>
      </c>
      <c r="P344" s="40" t="n">
        <f aca="true">RAND()</f>
        <v>0.221290610759243</v>
      </c>
      <c r="Q344" s="40" t="n">
        <f aca="true">RAND()</f>
        <v>0.224710968271028</v>
      </c>
      <c r="R344" s="40" t="n">
        <f aca="true">RAND()</f>
        <v>0.00152193319420985</v>
      </c>
      <c r="S344" s="40" t="n">
        <f aca="true">RAND()</f>
        <v>0.202471730451051</v>
      </c>
      <c r="T344" s="40" t="n">
        <f aca="true">RAND()</f>
        <v>0.688832914532701</v>
      </c>
      <c r="U344" s="40" t="n">
        <f aca="true">RAND()</f>
        <v>0.587493316427635</v>
      </c>
    </row>
    <row r="345" customFormat="false" ht="15" hidden="false" customHeight="false" outlineLevel="0" collapsed="false">
      <c r="A345" s="36" t="n">
        <v>265</v>
      </c>
      <c r="B345" s="37" t="n">
        <f aca="false">1+IF($G$6=$E$6,$F$6,IF(P345&lt;($F$6-$E$6)/($G$6-$E$6),$E$6+SQRT(P345*($G$6-$E$6)*($F$6-$E$6)),$G$6-SQRT((1-P345)*($G$6-$E$6)*($G$6-$F$6))))</f>
        <v>1.01698605481046</v>
      </c>
      <c r="C345" s="37" t="n">
        <f aca="false">1+IF($G$7=$E$7,$F$7,IF(Q345&lt;($F$7-$E$7)/($G$7-$E$7),$E$7+SQRT(Q345*($G$7-$E$7)*($F$7-$E$7)),$G$7-SQRT((1-Q345)*($G$7-$E$7)*($G$7-$F$7))))</f>
        <v>1.02066668702761</v>
      </c>
      <c r="D345" s="37" t="n">
        <f aca="false">1+IF($G$8=$E$8,$F$8,IF(R345&lt;($F$8-$E$8)/($G$8-$E$8),$E$8+SQRT(R345*($G$8-$E$8)*($F$8-$E$8)),$G$8-SQRT((1-R345)*($G$8-$E$8)*($G$8-$F$8))))</f>
        <v>1.04012574356116</v>
      </c>
      <c r="E345" s="37" t="n">
        <f aca="false">1+IF($G$9=$E$9,$F$9,IF(S345&lt;($F$9-$E$9)/($G$9-$E$9),$E$9+SQRT(S345*($G$9-$E$9)*($F$9-$E$9)),$G$9-SQRT((1-S345)*($G$9-$E$9)*($G$9-$F$9))))</f>
        <v>0.983293772446186</v>
      </c>
      <c r="F345" s="37" t="n">
        <f aca="false">1+IF($G$10=$E$10,$F$10,IF(T345&lt;($F$10-$E$10)/($G$10-$E$10),$E$10+SQRT(T345*($G$10-$E$10)*($F$10-$E$10)),$G$10-SQRT((1-T345)*($G$10-$E$10)*($G$10-$F$10))))</f>
        <v>1.00916799213484</v>
      </c>
      <c r="G345" s="38" t="n">
        <f aca="false">IF($G$11=$E$11,$F$11,IF(U345&lt;($F$11-$E$11)/($G$11-$E$11),$E$11+SQRT(U345*($G$11-$E$11)*($F$11-$E$11)),$G$11-SQRT((1-U345)*($G$11-$E$11)*($G$11-$F$11))))</f>
        <v>0.119856029681234</v>
      </c>
      <c r="H345" s="39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-2018335984.26968</v>
      </c>
      <c r="I345" s="39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12183169.0833352</v>
      </c>
      <c r="J345" s="39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318917628.156498</v>
      </c>
      <c r="K345" s="39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676110486.836403</v>
      </c>
      <c r="L345" s="39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814228717.417122</v>
      </c>
      <c r="M345" s="39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1011532477.31028</v>
      </c>
      <c r="N345" s="39" t="n">
        <f aca="false">IF(COUNT('Business Case'!B11:G11)=0,"",H345+NPV(G345,I345:M345))</f>
        <v>-179661517.657714</v>
      </c>
      <c r="P345" s="40" t="n">
        <f aca="true">RAND()</f>
        <v>0.854677256402929</v>
      </c>
      <c r="Q345" s="40" t="n">
        <f aca="true">RAND()</f>
        <v>0.752191024527213</v>
      </c>
      <c r="R345" s="40" t="n">
        <f aca="true">RAND()</f>
        <v>0.761004894393042</v>
      </c>
      <c r="S345" s="40" t="n">
        <f aca="true">RAND()</f>
        <v>0.277514101132678</v>
      </c>
      <c r="T345" s="40" t="n">
        <f aca="true">RAND()</f>
        <v>0.226665919835138</v>
      </c>
      <c r="U345" s="40" t="n">
        <f aca="true">RAND()</f>
        <v>0.931399910781336</v>
      </c>
    </row>
    <row r="346" customFormat="false" ht="15" hidden="false" customHeight="false" outlineLevel="0" collapsed="false">
      <c r="A346" s="36" t="n">
        <v>266</v>
      </c>
      <c r="B346" s="37" t="n">
        <f aca="false">1+IF($G$6=$E$6,$F$6,IF(P346&lt;($F$6-$E$6)/($G$6-$E$6),$E$6+SQRT(P346*($G$6-$E$6)*($F$6-$E$6)),$G$6-SQRT((1-P346)*($G$6-$E$6)*($G$6-$F$6))))</f>
        <v>0.99188570848934</v>
      </c>
      <c r="C346" s="37" t="n">
        <f aca="false">1+IF($G$7=$E$7,$F$7,IF(Q346&lt;($F$7-$E$7)/($G$7-$E$7),$E$7+SQRT(Q346*($G$7-$E$7)*($F$7-$E$7)),$G$7-SQRT((1-Q346)*($G$7-$E$7)*($G$7-$F$7))))</f>
        <v>1.12538315606788</v>
      </c>
      <c r="D346" s="37" t="n">
        <f aca="false">1+IF($G$8=$E$8,$F$8,IF(R346&lt;($F$8-$E$8)/($G$8-$E$8),$E$8+SQRT(R346*($G$8-$E$8)*($F$8-$E$8)),$G$8-SQRT((1-R346)*($G$8-$E$8)*($G$8-$F$8))))</f>
        <v>1.04423169779192</v>
      </c>
      <c r="E346" s="37" t="n">
        <f aca="false">1+IF($G$9=$E$9,$F$9,IF(S346&lt;($F$9-$E$9)/($G$9-$E$9),$E$9+SQRT(S346*($G$9-$E$9)*($F$9-$E$9)),$G$9-SQRT((1-S346)*($G$9-$E$9)*($G$9-$F$9))))</f>
        <v>0.997410967792914</v>
      </c>
      <c r="F346" s="37" t="n">
        <f aca="false">1+IF($G$10=$E$10,$F$10,IF(T346&lt;($F$10-$E$10)/($G$10-$E$10),$E$10+SQRT(T346*($G$10-$E$10)*($F$10-$E$10)),$G$10-SQRT((1-T346)*($G$10-$E$10)*($G$10-$F$10))))</f>
        <v>0.98003758535674</v>
      </c>
      <c r="G346" s="38" t="n">
        <f aca="false">IF($G$11=$E$11,$F$11,IF(U346&lt;($F$11-$E$11)/($G$11-$E$11),$E$11+SQRT(U346*($G$11-$E$11)*($F$11-$E$11)),$G$11-SQRT((1-U346)*($G$11-$E$11)*($G$11-$F$11))))</f>
        <v>0.105566905887298</v>
      </c>
      <c r="H346" s="39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-1960075170.71348</v>
      </c>
      <c r="I346" s="39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14999950.8008761</v>
      </c>
      <c r="J346" s="39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327701975.914601</v>
      </c>
      <c r="K346" s="39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689405880.296163</v>
      </c>
      <c r="L346" s="39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832217539.438752</v>
      </c>
      <c r="M346" s="39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1044394618.68117</v>
      </c>
      <c r="N346" s="39" t="n">
        <f aca="false">IF(COUNT('Business Case'!B11:G11)=0,"",H346+NPV(G346,I346:M346))</f>
        <v>21152867.1710734</v>
      </c>
      <c r="P346" s="40" t="n">
        <f aca="true">RAND()</f>
        <v>0.562865561639198</v>
      </c>
      <c r="Q346" s="40" t="n">
        <f aca="true">RAND()</f>
        <v>0.991022385108472</v>
      </c>
      <c r="R346" s="40" t="n">
        <f aca="true">RAND()</f>
        <v>0.792659764588575</v>
      </c>
      <c r="S346" s="40" t="n">
        <f aca="true">RAND()</f>
        <v>0.379555865854086</v>
      </c>
      <c r="T346" s="40" t="n">
        <f aca="true">RAND()</f>
        <v>0.0601504356042302</v>
      </c>
      <c r="U346" s="40" t="n">
        <f aca="true">RAND()</f>
        <v>0.60201594138658</v>
      </c>
    </row>
    <row r="347" customFormat="false" ht="15" hidden="false" customHeight="false" outlineLevel="0" collapsed="false">
      <c r="A347" s="36" t="n">
        <v>267</v>
      </c>
      <c r="B347" s="37" t="n">
        <f aca="false">1+IF($G$6=$E$6,$F$6,IF(P347&lt;($F$6-$E$6)/($G$6-$E$6),$E$6+SQRT(P347*($G$6-$E$6)*($F$6-$E$6)),$G$6-SQRT((1-P347)*($G$6-$E$6)*($G$6-$F$6))))</f>
        <v>0.992467457533279</v>
      </c>
      <c r="C347" s="37" t="n">
        <f aca="false">1+IF($G$7=$E$7,$F$7,IF(Q347&lt;($F$7-$E$7)/($G$7-$E$7),$E$7+SQRT(Q347*($G$7-$E$7)*($F$7-$E$7)),$G$7-SQRT((1-Q347)*($G$7-$E$7)*($G$7-$F$7))))</f>
        <v>0.937607920074444</v>
      </c>
      <c r="D347" s="37" t="n">
        <f aca="false">1+IF($G$8=$E$8,$F$8,IF(R347&lt;($F$8-$E$8)/($G$8-$E$8),$E$8+SQRT(R347*($G$8-$E$8)*($F$8-$E$8)),$G$8-SQRT((1-R347)*($G$8-$E$8)*($G$8-$F$8))))</f>
        <v>1.00053904568343</v>
      </c>
      <c r="E347" s="37" t="n">
        <f aca="false">1+IF($G$9=$E$9,$F$9,IF(S347&lt;($F$9-$E$9)/($G$9-$E$9),$E$9+SQRT(S347*($G$9-$E$9)*($F$9-$E$9)),$G$9-SQRT((1-S347)*($G$9-$E$9)*($G$9-$F$9))))</f>
        <v>0.968337411335178</v>
      </c>
      <c r="F347" s="37" t="n">
        <f aca="false">1+IF($G$10=$E$10,$F$10,IF(T347&lt;($F$10-$E$10)/($G$10-$E$10),$E$10+SQRT(T347*($G$10-$E$10)*($F$10-$E$10)),$G$10-SQRT((1-T347)*($G$10-$E$10)*($G$10-$F$10))))</f>
        <v>1.03404946218079</v>
      </c>
      <c r="G347" s="38" t="n">
        <f aca="false">IF($G$11=$E$11,$F$11,IF(U347&lt;($F$11-$E$11)/($G$11-$E$11),$E$11+SQRT(U347*($G$11-$E$11)*($F$11-$E$11)),$G$11-SQRT((1-U347)*($G$11-$E$11)*($G$11-$F$11))))</f>
        <v>0.0934306694439157</v>
      </c>
      <c r="H347" s="39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-2068098924.36157</v>
      </c>
      <c r="I347" s="39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-7397334.93785021</v>
      </c>
      <c r="J347" s="39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274547327.105631</v>
      </c>
      <c r="K347" s="39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608194462.258151</v>
      </c>
      <c r="L347" s="39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734335663.520238</v>
      </c>
      <c r="M347" s="39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911213723.382003</v>
      </c>
      <c r="N347" s="39" t="n">
        <f aca="false">IF(COUNT('Business Case'!B11:G11)=0,"",H347+NPV(G347,I347:M347))</f>
        <v>-283282292.577573</v>
      </c>
      <c r="P347" s="40" t="n">
        <f aca="true">RAND()</f>
        <v>0.570015380177919</v>
      </c>
      <c r="Q347" s="40" t="n">
        <f aca="true">RAND()</f>
        <v>0.418203879126691</v>
      </c>
      <c r="R347" s="40" t="n">
        <f aca="true">RAND()</f>
        <v>0.340501237762435</v>
      </c>
      <c r="S347" s="40" t="n">
        <f aca="true">RAND()</f>
        <v>0.186800071519733</v>
      </c>
      <c r="T347" s="40" t="n">
        <f aca="true">RAND()</f>
        <v>0.378204869541228</v>
      </c>
      <c r="U347" s="40" t="n">
        <f aca="true">RAND()</f>
        <v>0.180382881711732</v>
      </c>
    </row>
    <row r="348" customFormat="false" ht="15" hidden="false" customHeight="false" outlineLevel="0" collapsed="false">
      <c r="A348" s="36" t="n">
        <v>268</v>
      </c>
      <c r="B348" s="37" t="n">
        <f aca="false">1+IF($G$6=$E$6,$F$6,IF(P348&lt;($F$6-$E$6)/($G$6-$E$6),$E$6+SQRT(P348*($G$6-$E$6)*($F$6-$E$6)),$G$6-SQRT((1-P348)*($G$6-$E$6)*($G$6-$F$6))))</f>
        <v>1.03395812285162</v>
      </c>
      <c r="C348" s="37" t="n">
        <f aca="false">1+IF($G$7=$E$7,$F$7,IF(Q348&lt;($F$7-$E$7)/($G$7-$E$7),$E$7+SQRT(Q348*($G$7-$E$7)*($F$7-$E$7)),$G$7-SQRT((1-Q348)*($G$7-$E$7)*($G$7-$F$7))))</f>
        <v>1.04680742672756</v>
      </c>
      <c r="D348" s="37" t="n">
        <f aca="false">1+IF($G$8=$E$8,$F$8,IF(R348&lt;($F$8-$E$8)/($G$8-$E$8),$E$8+SQRT(R348*($G$8-$E$8)*($F$8-$E$8)),$G$8-SQRT((1-R348)*($G$8-$E$8)*($G$8-$F$8))))</f>
        <v>1.01378023196503</v>
      </c>
      <c r="E348" s="37" t="n">
        <f aca="false">1+IF($G$9=$E$9,$F$9,IF(S348&lt;($F$9-$E$9)/($G$9-$E$9),$E$9+SQRT(S348*($G$9-$E$9)*($F$9-$E$9)),$G$9-SQRT((1-S348)*($G$9-$E$9)*($G$9-$F$9))))</f>
        <v>1.08507346855459</v>
      </c>
      <c r="F348" s="37" t="n">
        <f aca="false">1+IF($G$10=$E$10,$F$10,IF(T348&lt;($F$10-$E$10)/($G$10-$E$10),$E$10+SQRT(T348*($G$10-$E$10)*($F$10-$E$10)),$G$10-SQRT((1-T348)*($G$10-$E$10)*($G$10-$F$10))))</f>
        <v>1.14271617611501</v>
      </c>
      <c r="G348" s="38" t="n">
        <f aca="false">IF($G$11=$E$11,$F$11,IF(U348&lt;($F$11-$E$11)/($G$11-$E$11),$E$11+SQRT(U348*($G$11-$E$11)*($F$11-$E$11)),$G$11-SQRT((1-U348)*($G$11-$E$11)*($G$11-$F$11))))</f>
        <v>0.110784700288783</v>
      </c>
      <c r="H348" s="39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-2285432352.23003</v>
      </c>
      <c r="I348" s="39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18582127.2453742</v>
      </c>
      <c r="J348" s="39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361842604.704175</v>
      </c>
      <c r="K348" s="39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762238890.968725</v>
      </c>
      <c r="L348" s="39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914065240.370634</v>
      </c>
      <c r="M348" s="39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1119799286.74</v>
      </c>
      <c r="N348" s="39" t="n">
        <f aca="false">IF(COUNT('Business Case'!B11:G11)=0,"",H348+NPV(G348,I348:M348))</f>
        <v>-156650752.827139</v>
      </c>
      <c r="P348" s="40" t="n">
        <f aca="true">RAND()</f>
        <v>0.965687757007494</v>
      </c>
      <c r="Q348" s="40" t="n">
        <f aca="true">RAND()</f>
        <v>0.842241375132022</v>
      </c>
      <c r="R348" s="40" t="n">
        <f aca="true">RAND()</f>
        <v>0.504410106666388</v>
      </c>
      <c r="S348" s="40" t="n">
        <f aca="true">RAND()</f>
        <v>0.887587880385816</v>
      </c>
      <c r="T348" s="40" t="n">
        <f aca="true">RAND()</f>
        <v>0.846535748434866</v>
      </c>
      <c r="U348" s="40" t="n">
        <f aca="true">RAND()</f>
        <v>0.753848171338741</v>
      </c>
    </row>
    <row r="349" customFormat="false" ht="15" hidden="false" customHeight="false" outlineLevel="0" collapsed="false">
      <c r="A349" s="36" t="n">
        <v>269</v>
      </c>
      <c r="B349" s="37" t="n">
        <f aca="false">1+IF($G$6=$E$6,$F$6,IF(P349&lt;($F$6-$E$6)/($G$6-$E$6),$E$6+SQRT(P349*($G$6-$E$6)*($F$6-$E$6)),$G$6-SQRT((1-P349)*($G$6-$E$6)*($G$6-$F$6))))</f>
        <v>1.02924273017998</v>
      </c>
      <c r="C349" s="37" t="n">
        <f aca="false">1+IF($G$7=$E$7,$F$7,IF(Q349&lt;($F$7-$E$7)/($G$7-$E$7),$E$7+SQRT(Q349*($G$7-$E$7)*($F$7-$E$7)),$G$7-SQRT((1-Q349)*($G$7-$E$7)*($G$7-$F$7))))</f>
        <v>1.00254838727418</v>
      </c>
      <c r="D349" s="37" t="n">
        <f aca="false">1+IF($G$8=$E$8,$F$8,IF(R349&lt;($F$8-$E$8)/($G$8-$E$8),$E$8+SQRT(R349*($G$8-$E$8)*($F$8-$E$8)),$G$8-SQRT((1-R349)*($G$8-$E$8)*($G$8-$F$8))))</f>
        <v>1.0432044991505</v>
      </c>
      <c r="E349" s="37" t="n">
        <f aca="false">1+IF($G$9=$E$9,$F$9,IF(S349&lt;($F$9-$E$9)/($G$9-$E$9),$E$9+SQRT(S349*($G$9-$E$9)*($F$9-$E$9)),$G$9-SQRT((1-S349)*($G$9-$E$9)*($G$9-$F$9))))</f>
        <v>1.09851185062739</v>
      </c>
      <c r="F349" s="37" t="n">
        <f aca="false">1+IF($G$10=$E$10,$F$10,IF(T349&lt;($F$10-$E$10)/($G$10-$E$10),$E$10+SQRT(T349*($G$10-$E$10)*($F$10-$E$10)),$G$10-SQRT((1-T349)*($G$10-$E$10)*($G$10-$F$10))))</f>
        <v>1.11714518583371</v>
      </c>
      <c r="G349" s="38" t="n">
        <f aca="false">IF($G$11=$E$11,$F$11,IF(U349&lt;($F$11-$E$11)/($G$11-$E$11),$E$11+SQRT(U349*($G$11-$E$11)*($F$11-$E$11)),$G$11-SQRT((1-U349)*($G$11-$E$11)*($G$11-$F$11))))</f>
        <v>0.106465317990746</v>
      </c>
      <c r="H349" s="39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-2234290371.66742</v>
      </c>
      <c r="I349" s="39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-11640746.535063</v>
      </c>
      <c r="J349" s="39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298133325.41147</v>
      </c>
      <c r="K349" s="39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663764656.649689</v>
      </c>
      <c r="L349" s="39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802683957.124541</v>
      </c>
      <c r="M349" s="39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998820977.834249</v>
      </c>
      <c r="N349" s="39" t="n">
        <f aca="false">IF(COUNT('Business Case'!B11:G11)=0,"",H349+NPV(G349,I349:M349))</f>
        <v>-373463615.171542</v>
      </c>
      <c r="P349" s="40" t="n">
        <f aca="true">RAND()</f>
        <v>0.942551433282507</v>
      </c>
      <c r="Q349" s="40" t="n">
        <f aca="true">RAND()</f>
        <v>0.677896620808236</v>
      </c>
      <c r="R349" s="40" t="n">
        <f aca="true">RAND()</f>
        <v>0.784951405550295</v>
      </c>
      <c r="S349" s="40" t="n">
        <f aca="true">RAND()</f>
        <v>0.929305879311559</v>
      </c>
      <c r="T349" s="40" t="n">
        <f aca="true">RAND()</f>
        <v>0.764661311371206</v>
      </c>
      <c r="U349" s="40" t="n">
        <f aca="true">RAND()</f>
        <v>0.63074582848221</v>
      </c>
    </row>
    <row r="350" customFormat="false" ht="15" hidden="false" customHeight="false" outlineLevel="0" collapsed="false">
      <c r="A350" s="36" t="n">
        <v>270</v>
      </c>
      <c r="B350" s="37" t="n">
        <f aca="false">1+IF($G$6=$E$6,$F$6,IF(P350&lt;($F$6-$E$6)/($G$6-$E$6),$E$6+SQRT(P350*($G$6-$E$6)*($F$6-$E$6)),$G$6-SQRT((1-P350)*($G$6-$E$6)*($G$6-$F$6))))</f>
        <v>0.940904190682411</v>
      </c>
      <c r="C350" s="37" t="n">
        <f aca="false">1+IF($G$7=$E$7,$F$7,IF(Q350&lt;($F$7-$E$7)/($G$7-$E$7),$E$7+SQRT(Q350*($G$7-$E$7)*($F$7-$E$7)),$G$7-SQRT((1-Q350)*($G$7-$E$7)*($G$7-$F$7))))</f>
        <v>0.904997724280297</v>
      </c>
      <c r="D350" s="37" t="n">
        <f aca="false">1+IF($G$8=$E$8,$F$8,IF(R350&lt;($F$8-$E$8)/($G$8-$E$8),$E$8+SQRT(R350*($G$8-$E$8)*($F$8-$E$8)),$G$8-SQRT((1-R350)*($G$8-$E$8)*($G$8-$F$8))))</f>
        <v>0.988755889296648</v>
      </c>
      <c r="E350" s="37" t="n">
        <f aca="false">1+IF($G$9=$E$9,$F$9,IF(S350&lt;($F$9-$E$9)/($G$9-$E$9),$E$9+SQRT(S350*($G$9-$E$9)*($F$9-$E$9)),$G$9-SQRT((1-S350)*($G$9-$E$9)*($G$9-$F$9))))</f>
        <v>1.12031246299567</v>
      </c>
      <c r="F350" s="37" t="n">
        <f aca="false">1+IF($G$10=$E$10,$F$10,IF(T350&lt;($F$10-$E$10)/($G$10-$E$10),$E$10+SQRT(T350*($G$10-$E$10)*($F$10-$E$10)),$G$10-SQRT((1-T350)*($G$10-$E$10)*($G$10-$F$10))))</f>
        <v>1.08685774016007</v>
      </c>
      <c r="G350" s="38" t="n">
        <f aca="false">IF($G$11=$E$11,$F$11,IF(U350&lt;($F$11-$E$11)/($G$11-$E$11),$E$11+SQRT(U350*($G$11-$E$11)*($F$11-$E$11)),$G$11-SQRT((1-U350)*($G$11-$E$11)*($G$11-$F$11))))</f>
        <v>0.0959614767228794</v>
      </c>
      <c r="H350" s="39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-2173715480.32014</v>
      </c>
      <c r="I350" s="39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-72760957.4850987</v>
      </c>
      <c r="J350" s="39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166614888.568916</v>
      </c>
      <c r="K350" s="39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460333621.630935</v>
      </c>
      <c r="L350" s="39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569553968.505688</v>
      </c>
      <c r="M350" s="39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731410158.551136</v>
      </c>
      <c r="N350" s="39" t="n">
        <f aca="false">IF(COUNT('Business Case'!B11:G11)=0,"",H350+NPV(G350,I350:M350))</f>
        <v>-894341445.63478</v>
      </c>
      <c r="P350" s="40" t="n">
        <f aca="true">RAND()</f>
        <v>0.111543521025533</v>
      </c>
      <c r="Q350" s="40" t="n">
        <f aca="true">RAND()</f>
        <v>0.311289384889633</v>
      </c>
      <c r="R350" s="40" t="n">
        <f aca="true">RAND()</f>
        <v>0.200269194023208</v>
      </c>
      <c r="S350" s="40" t="n">
        <f aca="true">RAND()</f>
        <v>0.976497337243112</v>
      </c>
      <c r="T350" s="40" t="n">
        <f aca="true">RAND()</f>
        <v>0.645128040724271</v>
      </c>
      <c r="U350" s="40" t="n">
        <f aca="true">RAND()</f>
        <v>0.254768739175022</v>
      </c>
    </row>
    <row r="351" customFormat="false" ht="15" hidden="false" customHeight="false" outlineLevel="0" collapsed="false">
      <c r="A351" s="36" t="n">
        <v>271</v>
      </c>
      <c r="B351" s="37" t="n">
        <f aca="false">1+IF($G$6=$E$6,$F$6,IF(P351&lt;($F$6-$E$6)/($G$6-$E$6),$E$6+SQRT(P351*($G$6-$E$6)*($F$6-$E$6)),$G$6-SQRT((1-P351)*($G$6-$E$6)*($G$6-$F$6))))</f>
        <v>0.920824384797811</v>
      </c>
      <c r="C351" s="37" t="n">
        <f aca="false">1+IF($G$7=$E$7,$F$7,IF(Q351&lt;($F$7-$E$7)/($G$7-$E$7),$E$7+SQRT(Q351*($G$7-$E$7)*($F$7-$E$7)),$G$7-SQRT((1-Q351)*($G$7-$E$7)*($G$7-$F$7))))</f>
        <v>1.0396172288088</v>
      </c>
      <c r="D351" s="37" t="n">
        <f aca="false">1+IF($G$8=$E$8,$F$8,IF(R351&lt;($F$8-$E$8)/($G$8-$E$8),$E$8+SQRT(R351*($G$8-$E$8)*($F$8-$E$8)),$G$8-SQRT((1-R351)*($G$8-$E$8)*($G$8-$F$8))))</f>
        <v>1.05067735390664</v>
      </c>
      <c r="E351" s="37" t="n">
        <f aca="false">1+IF($G$9=$E$9,$F$9,IF(S351&lt;($F$9-$E$9)/($G$9-$E$9),$E$9+SQRT(S351*($G$9-$E$9)*($F$9-$E$9)),$G$9-SQRT((1-S351)*($G$9-$E$9)*($G$9-$F$9))))</f>
        <v>1.02137617673822</v>
      </c>
      <c r="F351" s="37" t="n">
        <f aca="false">1+IF($G$10=$E$10,$F$10,IF(T351&lt;($F$10-$E$10)/($G$10-$E$10),$E$10+SQRT(T351*($G$10-$E$10)*($F$10-$E$10)),$G$10-SQRT((1-T351)*($G$10-$E$10)*($G$10-$F$10))))</f>
        <v>1.07172925667967</v>
      </c>
      <c r="G351" s="38" t="n">
        <f aca="false">IF($G$11=$E$11,$F$11,IF(U351&lt;($F$11-$E$11)/($G$11-$E$11),$E$11+SQRT(U351*($G$11-$E$11)*($F$11-$E$11)),$G$11-SQRT((1-U351)*($G$11-$E$11)*($G$11-$F$11))))</f>
        <v>0.121282131080625</v>
      </c>
      <c r="H351" s="39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-2143458513.35935</v>
      </c>
      <c r="I351" s="39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-77109051.3761899</v>
      </c>
      <c r="J351" s="39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147821201.01198</v>
      </c>
      <c r="K351" s="39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426337916.234133</v>
      </c>
      <c r="L351" s="39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534399124.206334</v>
      </c>
      <c r="M351" s="39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716363638.675129</v>
      </c>
      <c r="N351" s="39" t="n">
        <f aca="false">IF(COUNT('Business Case'!B11:G11)=0,"",H351+NPV(G351,I351:M351))</f>
        <v>-1050000300.08919</v>
      </c>
      <c r="P351" s="40" t="n">
        <f aca="true">RAND()</f>
        <v>0.0289103334804868</v>
      </c>
      <c r="Q351" s="40" t="n">
        <f aca="true">RAND()</f>
        <v>0.819491019617065</v>
      </c>
      <c r="R351" s="40" t="n">
        <f aca="true">RAND()</f>
        <v>0.837818438823264</v>
      </c>
      <c r="S351" s="40" t="n">
        <f aca="true">RAND()</f>
        <v>0.558824322387271</v>
      </c>
      <c r="T351" s="40" t="n">
        <f aca="true">RAND()</f>
        <v>0.57626056101358</v>
      </c>
      <c r="U351" s="40" t="n">
        <f aca="true">RAND()</f>
        <v>0.949332507669733</v>
      </c>
    </row>
    <row r="352" customFormat="false" ht="15" hidden="false" customHeight="false" outlineLevel="0" collapsed="false">
      <c r="A352" s="36" t="n">
        <v>272</v>
      </c>
      <c r="B352" s="37" t="n">
        <f aca="false">1+IF($G$6=$E$6,$F$6,IF(P352&lt;($F$6-$E$6)/($G$6-$E$6),$E$6+SQRT(P352*($G$6-$E$6)*($F$6-$E$6)),$G$6-SQRT((1-P352)*($G$6-$E$6)*($G$6-$F$6))))</f>
        <v>0.999686057374914</v>
      </c>
      <c r="C352" s="37" t="n">
        <f aca="false">1+IF($G$7=$E$7,$F$7,IF(Q352&lt;($F$7-$E$7)/($G$7-$E$7),$E$7+SQRT(Q352*($G$7-$E$7)*($F$7-$E$7)),$G$7-SQRT((1-Q352)*($G$7-$E$7)*($G$7-$F$7))))</f>
        <v>0.823909725327219</v>
      </c>
      <c r="D352" s="37" t="n">
        <f aca="false">1+IF($G$8=$E$8,$F$8,IF(R352&lt;($F$8-$E$8)/($G$8-$E$8),$E$8+SQRT(R352*($G$8-$E$8)*($F$8-$E$8)),$G$8-SQRT((1-R352)*($G$8-$E$8)*($G$8-$F$8))))</f>
        <v>1.00739869548726</v>
      </c>
      <c r="E352" s="37" t="n">
        <f aca="false">1+IF($G$9=$E$9,$F$9,IF(S352&lt;($F$9-$E$9)/($G$9-$E$9),$E$9+SQRT(S352*($G$9-$E$9)*($F$9-$E$9)),$G$9-SQRT((1-S352)*($G$9-$E$9)*($G$9-$F$9))))</f>
        <v>1.05006706200849</v>
      </c>
      <c r="F352" s="37" t="n">
        <f aca="false">1+IF($G$10=$E$10,$F$10,IF(T352&lt;($F$10-$E$10)/($G$10-$E$10),$E$10+SQRT(T352*($G$10-$E$10)*($F$10-$E$10)),$G$10-SQRT((1-T352)*($G$10-$E$10)*($G$10-$F$10))))</f>
        <v>1.11625988504782</v>
      </c>
      <c r="G352" s="38" t="n">
        <f aca="false">IF($G$11=$E$11,$F$11,IF(U352&lt;($F$11-$E$11)/($G$11-$E$11),$E$11+SQRT(U352*($G$11-$E$11)*($F$11-$E$11)),$G$11-SQRT((1-U352)*($G$11-$E$11)*($G$11-$F$11))))</f>
        <v>0.100656829957045</v>
      </c>
      <c r="H352" s="39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-2232519770.09563</v>
      </c>
      <c r="I352" s="39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-53910528.6526226</v>
      </c>
      <c r="J352" s="39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195822538.623904</v>
      </c>
      <c r="K352" s="39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501368600.152821</v>
      </c>
      <c r="L352" s="39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613078336.71617</v>
      </c>
      <c r="M352" s="39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769637931.140957</v>
      </c>
      <c r="N352" s="39" t="n">
        <f aca="false">IF(COUNT('Business Case'!B11:G11)=0,"",H352+NPV(G352,I352:M352))</f>
        <v>-849642226.113251</v>
      </c>
      <c r="P352" s="40" t="n">
        <f aca="true">RAND()</f>
        <v>0.662487335663649</v>
      </c>
      <c r="Q352" s="40" t="n">
        <f aca="true">RAND()</f>
        <v>0.11373051874568</v>
      </c>
      <c r="R352" s="40" t="n">
        <f aca="true">RAND()</f>
        <v>0.428333226835941</v>
      </c>
      <c r="S352" s="40" t="n">
        <f aca="true">RAND()</f>
        <v>0.733690877450272</v>
      </c>
      <c r="T352" s="40" t="n">
        <f aca="true">RAND()</f>
        <v>0.761514422034354</v>
      </c>
      <c r="U352" s="40" t="n">
        <f aca="true">RAND()</f>
        <v>0.42598558122014</v>
      </c>
    </row>
    <row r="353" customFormat="false" ht="15" hidden="false" customHeight="false" outlineLevel="0" collapsed="false">
      <c r="A353" s="36" t="n">
        <v>273</v>
      </c>
      <c r="B353" s="37" t="n">
        <f aca="false">1+IF($G$6=$E$6,$F$6,IF(P353&lt;($F$6-$E$6)/($G$6-$E$6),$E$6+SQRT(P353*($G$6-$E$6)*($F$6-$E$6)),$G$6-SQRT((1-P353)*($G$6-$E$6)*($G$6-$F$6))))</f>
        <v>1.02058655973802</v>
      </c>
      <c r="C353" s="37" t="n">
        <f aca="false">1+IF($G$7=$E$7,$F$7,IF(Q353&lt;($F$7-$E$7)/($G$7-$E$7),$E$7+SQRT(Q353*($G$7-$E$7)*($F$7-$E$7)),$G$7-SQRT((1-Q353)*($G$7-$E$7)*($G$7-$F$7))))</f>
        <v>0.934537905331759</v>
      </c>
      <c r="D353" s="37" t="n">
        <f aca="false">1+IF($G$8=$E$8,$F$8,IF(R353&lt;($F$8-$E$8)/($G$8-$E$8),$E$8+SQRT(R353*($G$8-$E$8)*($F$8-$E$8)),$G$8-SQRT((1-R353)*($G$8-$E$8)*($G$8-$F$8))))</f>
        <v>1.00637771789091</v>
      </c>
      <c r="E353" s="37" t="n">
        <f aca="false">1+IF($G$9=$E$9,$F$9,IF(S353&lt;($F$9-$E$9)/($G$9-$E$9),$E$9+SQRT(S353*($G$9-$E$9)*($F$9-$E$9)),$G$9-SQRT((1-S353)*($G$9-$E$9)*($G$9-$F$9))))</f>
        <v>1.00407657413358</v>
      </c>
      <c r="F353" s="37" t="n">
        <f aca="false">1+IF($G$10=$E$10,$F$10,IF(T353&lt;($F$10-$E$10)/($G$10-$E$10),$E$10+SQRT(T353*($G$10-$E$10)*($F$10-$E$10)),$G$10-SQRT((1-T353)*($G$10-$E$10)*($G$10-$F$10))))</f>
        <v>0.977695852850788</v>
      </c>
      <c r="G353" s="38" t="n">
        <f aca="false">IF($G$11=$E$11,$F$11,IF(U353&lt;($F$11-$E$11)/($G$11-$E$11),$E$11+SQRT(U353*($G$11-$E$11)*($F$11-$E$11)),$G$11-SQRT((1-U353)*($G$11-$E$11)*($G$11-$F$11))))</f>
        <v>0.10813992856261</v>
      </c>
      <c r="H353" s="39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-1955391705.70158</v>
      </c>
      <c r="I353" s="39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9759027.57627957</v>
      </c>
      <c r="J353" s="39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309511119.926174</v>
      </c>
      <c r="K353" s="39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658148004.918608</v>
      </c>
      <c r="L353" s="39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791027896.133066</v>
      </c>
      <c r="M353" s="39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972321795.171116</v>
      </c>
      <c r="N353" s="39" t="n">
        <f aca="false">IF(COUNT('Business Case'!B11:G11)=0,"",H353+NPV(G353,I353:M353))</f>
        <v>-104408503.563687</v>
      </c>
      <c r="P353" s="40" t="n">
        <f aca="true">RAND()</f>
        <v>0.88464660426066</v>
      </c>
      <c r="Q353" s="40" t="n">
        <f aca="true">RAND()</f>
        <v>0.407466881758586</v>
      </c>
      <c r="R353" s="40" t="n">
        <f aca="true">RAND()</f>
        <v>0.41565788617905</v>
      </c>
      <c r="S353" s="40" t="n">
        <f aca="true">RAND()</f>
        <v>0.432169434224205</v>
      </c>
      <c r="T353" s="40" t="n">
        <f aca="true">RAND()</f>
        <v>0.0511373510088319</v>
      </c>
      <c r="U353" s="40" t="n">
        <f aca="true">RAND()</f>
        <v>0.681424851168147</v>
      </c>
    </row>
    <row r="354" customFormat="false" ht="15" hidden="false" customHeight="false" outlineLevel="0" collapsed="false">
      <c r="A354" s="36" t="n">
        <v>274</v>
      </c>
      <c r="B354" s="37" t="n">
        <f aca="false">1+IF($G$6=$E$6,$F$6,IF(P354&lt;($F$6-$E$6)/($G$6-$E$6),$E$6+SQRT(P354*($G$6-$E$6)*($F$6-$E$6)),$G$6-SQRT((1-P354)*($G$6-$E$6)*($G$6-$F$6))))</f>
        <v>0.992468403020388</v>
      </c>
      <c r="C354" s="37" t="n">
        <f aca="false">1+IF($G$7=$E$7,$F$7,IF(Q354&lt;($F$7-$E$7)/($G$7-$E$7),$E$7+SQRT(Q354*($G$7-$E$7)*($F$7-$E$7)),$G$7-SQRT((1-Q354)*($G$7-$E$7)*($G$7-$F$7))))</f>
        <v>1.00618105600467</v>
      </c>
      <c r="D354" s="37" t="n">
        <f aca="false">1+IF($G$8=$E$8,$F$8,IF(R354&lt;($F$8-$E$8)/($G$8-$E$8),$E$8+SQRT(R354*($G$8-$E$8)*($F$8-$E$8)),$G$8-SQRT((1-R354)*($G$8-$E$8)*($G$8-$F$8))))</f>
        <v>1.03688049222473</v>
      </c>
      <c r="E354" s="37" t="n">
        <f aca="false">1+IF($G$9=$E$9,$F$9,IF(S354&lt;($F$9-$E$9)/($G$9-$E$9),$E$9+SQRT(S354*($G$9-$E$9)*($F$9-$E$9)),$G$9-SQRT((1-S354)*($G$9-$E$9)*($G$9-$F$9))))</f>
        <v>0.967291440492792</v>
      </c>
      <c r="F354" s="37" t="n">
        <f aca="false">1+IF($G$10=$E$10,$F$10,IF(T354&lt;($F$10-$E$10)/($G$10-$E$10),$E$10+SQRT(T354*($G$10-$E$10)*($F$10-$E$10)),$G$10-SQRT((1-T354)*($G$10-$E$10)*($G$10-$F$10))))</f>
        <v>1.19221220607136</v>
      </c>
      <c r="G354" s="38" t="n">
        <f aca="false">IF($G$11=$E$11,$F$11,IF(U354&lt;($F$11-$E$11)/($G$11-$E$11),$E$11+SQRT(U354*($G$11-$E$11)*($F$11-$E$11)),$G$11-SQRT((1-U354)*($G$11-$E$11)*($G$11-$F$11))))</f>
        <v>0.117683393677155</v>
      </c>
      <c r="H354" s="39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-2384424412.14272</v>
      </c>
      <c r="I354" s="39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-24690724.0720617</v>
      </c>
      <c r="J354" s="39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259156189.93788</v>
      </c>
      <c r="K354" s="39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602613714.251389</v>
      </c>
      <c r="L354" s="39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731741068.679231</v>
      </c>
      <c r="M354" s="39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921555509.014135</v>
      </c>
      <c r="N354" s="39" t="n">
        <f aca="false">IF(COUNT('Business Case'!B11:G11)=0,"",H354+NPV(G354,I354:M354))</f>
        <v>-770199966.129682</v>
      </c>
      <c r="P354" s="40" t="n">
        <f aca="true">RAND()</f>
        <v>0.570027037142727</v>
      </c>
      <c r="Q354" s="40" t="n">
        <f aca="true">RAND()</f>
        <v>0.693572019971361</v>
      </c>
      <c r="R354" s="40" t="n">
        <f aca="true">RAND()</f>
        <v>0.73439518254715</v>
      </c>
      <c r="S354" s="40" t="n">
        <f aca="true">RAND()</f>
        <v>0.181125518543801</v>
      </c>
      <c r="T354" s="40" t="n">
        <f aca="true">RAND()</f>
        <v>0.955474278304811</v>
      </c>
      <c r="U354" s="40" t="n">
        <f aca="true">RAND()</f>
        <v>0.898867472458695</v>
      </c>
    </row>
    <row r="355" customFormat="false" ht="15" hidden="false" customHeight="false" outlineLevel="0" collapsed="false">
      <c r="A355" s="36" t="n">
        <v>275</v>
      </c>
      <c r="B355" s="37" t="n">
        <f aca="false">1+IF($G$6=$E$6,$F$6,IF(P355&lt;($F$6-$E$6)/($G$6-$E$6),$E$6+SQRT(P355*($G$6-$E$6)*($F$6-$E$6)),$G$6-SQRT((1-P355)*($G$6-$E$6)*($G$6-$F$6))))</f>
        <v>0.993705541586061</v>
      </c>
      <c r="C355" s="37" t="n">
        <f aca="false">1+IF($G$7=$E$7,$F$7,IF(Q355&lt;($F$7-$E$7)/($G$7-$E$7),$E$7+SQRT(Q355*($G$7-$E$7)*($F$7-$E$7)),$G$7-SQRT((1-Q355)*($G$7-$E$7)*($G$7-$F$7))))</f>
        <v>0.741529376187709</v>
      </c>
      <c r="D355" s="37" t="n">
        <f aca="false">1+IF($G$8=$E$8,$F$8,IF(R355&lt;($F$8-$E$8)/($G$8-$E$8),$E$8+SQRT(R355*($G$8-$E$8)*($F$8-$E$8)),$G$8-SQRT((1-R355)*($G$8-$E$8)*($G$8-$F$8))))</f>
        <v>0.99109323711812</v>
      </c>
      <c r="E355" s="37" t="n">
        <f aca="false">1+IF($G$9=$E$9,$F$9,IF(S355&lt;($F$9-$E$9)/($G$9-$E$9),$E$9+SQRT(S355*($G$9-$E$9)*($F$9-$E$9)),$G$9-SQRT((1-S355)*($G$9-$E$9)*($G$9-$F$9))))</f>
        <v>1.02214038462831</v>
      </c>
      <c r="F355" s="37" t="n">
        <f aca="false">1+IF($G$10=$E$10,$F$10,IF(T355&lt;($F$10-$E$10)/($G$10-$E$10),$E$10+SQRT(T355*($G$10-$E$10)*($F$10-$E$10)),$G$10-SQRT((1-T355)*($G$10-$E$10)*($G$10-$F$10))))</f>
        <v>1.02835653992568</v>
      </c>
      <c r="G355" s="38" t="n">
        <f aca="false">IF($G$11=$E$11,$F$11,IF(U355&lt;($F$11-$E$11)/($G$11-$E$11),$E$11+SQRT(U355*($G$11-$E$11)*($F$11-$E$11)),$G$11-SQRT((1-U355)*($G$11-$E$11)*($G$11-$F$11))))</f>
        <v>0.0966135116589227</v>
      </c>
      <c r="H355" s="39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-2056713079.85135</v>
      </c>
      <c r="I355" s="39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-59062703.4566687</v>
      </c>
      <c r="J355" s="39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168257528.09638</v>
      </c>
      <c r="K355" s="39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446995586.645712</v>
      </c>
      <c r="L355" s="39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548234942.712065</v>
      </c>
      <c r="M355" s="39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688297643.229744</v>
      </c>
      <c r="N355" s="39" t="n">
        <f aca="false">IF(COUNT('Business Case'!B11:G11)=0,"",H355+NPV(G355,I355:M355))</f>
        <v>-818583638.168386</v>
      </c>
      <c r="P355" s="40" t="n">
        <f aca="true">RAND()</f>
        <v>0.585381901595804</v>
      </c>
      <c r="Q355" s="40" t="n">
        <f aca="true">RAND()</f>
        <v>0.0127754747151129</v>
      </c>
      <c r="R355" s="40" t="n">
        <f aca="true">RAND()</f>
        <v>0.225153884912807</v>
      </c>
      <c r="S355" s="40" t="n">
        <f aca="true">RAND()</f>
        <v>0.564051166853453</v>
      </c>
      <c r="T355" s="40" t="n">
        <f aca="true">RAND()</f>
        <v>0.344989021417089</v>
      </c>
      <c r="U355" s="40" t="n">
        <f aca="true">RAND()</f>
        <v>0.276008769641162</v>
      </c>
    </row>
    <row r="356" customFormat="false" ht="15" hidden="false" customHeight="false" outlineLevel="0" collapsed="false">
      <c r="A356" s="36" t="n">
        <v>276</v>
      </c>
      <c r="B356" s="37" t="n">
        <f aca="false">1+IF($G$6=$E$6,$F$6,IF(P356&lt;($F$6-$E$6)/($G$6-$E$6),$E$6+SQRT(P356*($G$6-$E$6)*($F$6-$E$6)),$G$6-SQRT((1-P356)*($G$6-$E$6)*($G$6-$F$6))))</f>
        <v>0.966595276186525</v>
      </c>
      <c r="C356" s="37" t="n">
        <f aca="false">1+IF($G$7=$E$7,$F$7,IF(Q356&lt;($F$7-$E$7)/($G$7-$E$7),$E$7+SQRT(Q356*($G$7-$E$7)*($F$7-$E$7)),$G$7-SQRT((1-Q356)*($G$7-$E$7)*($G$7-$F$7))))</f>
        <v>0.861135812672591</v>
      </c>
      <c r="D356" s="37" t="n">
        <f aca="false">1+IF($G$8=$E$8,$F$8,IF(R356&lt;($F$8-$E$8)/($G$8-$E$8),$E$8+SQRT(R356*($G$8-$E$8)*($F$8-$E$8)),$G$8-SQRT((1-R356)*($G$8-$E$8)*($G$8-$F$8))))</f>
        <v>0.985893911368657</v>
      </c>
      <c r="E356" s="37" t="n">
        <f aca="false">1+IF($G$9=$E$9,$F$9,IF(S356&lt;($F$9-$E$9)/($G$9-$E$9),$E$9+SQRT(S356*($G$9-$E$9)*($F$9-$E$9)),$G$9-SQRT((1-S356)*($G$9-$E$9)*($G$9-$F$9))))</f>
        <v>1.06175717000357</v>
      </c>
      <c r="F356" s="37" t="n">
        <f aca="false">1+IF($G$10=$E$10,$F$10,IF(T356&lt;($F$10-$E$10)/($G$10-$E$10),$E$10+SQRT(T356*($G$10-$E$10)*($F$10-$E$10)),$G$10-SQRT((1-T356)*($G$10-$E$10)*($G$10-$F$10))))</f>
        <v>1.14604351272064</v>
      </c>
      <c r="G356" s="38" t="n">
        <f aca="false">IF($G$11=$E$11,$F$11,IF(U356&lt;($F$11-$E$11)/($G$11-$E$11),$E$11+SQRT(U356*($G$11-$E$11)*($F$11-$E$11)),$G$11-SQRT((1-U356)*($G$11-$E$11)*($G$11-$F$11))))</f>
        <v>0.0936481779359257</v>
      </c>
      <c r="H356" s="39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-2292087025.44128</v>
      </c>
      <c r="I356" s="39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-61579688.6482875</v>
      </c>
      <c r="J356" s="39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185576894.432194</v>
      </c>
      <c r="K356" s="39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490035653.148709</v>
      </c>
      <c r="L356" s="39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601187881.430334</v>
      </c>
      <c r="M356" s="39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759404734.665059</v>
      </c>
      <c r="N356" s="39" t="n">
        <f aca="false">IF(COUNT('Business Case'!B11:G11)=0,"",H356+NPV(G356,I356:M356))</f>
        <v>-912988523.916394</v>
      </c>
      <c r="P356" s="40" t="n">
        <f aca="true">RAND()</f>
        <v>0.295662054023968</v>
      </c>
      <c r="Q356" s="40" t="n">
        <f aca="true">RAND()</f>
        <v>0.192331482412269</v>
      </c>
      <c r="R356" s="40" t="n">
        <f aca="true">RAND()</f>
        <v>0.171783049778802</v>
      </c>
      <c r="S356" s="40" t="n">
        <f aca="true">RAND()</f>
        <v>0.792352078779225</v>
      </c>
      <c r="T356" s="40" t="n">
        <f aca="true">RAND()</f>
        <v>0.855907316700486</v>
      </c>
      <c r="U356" s="40" t="n">
        <f aca="true">RAND()</f>
        <v>0.186272760970689</v>
      </c>
    </row>
    <row r="357" customFormat="false" ht="15" hidden="false" customHeight="false" outlineLevel="0" collapsed="false">
      <c r="A357" s="36" t="n">
        <v>277</v>
      </c>
      <c r="B357" s="37" t="n">
        <f aca="false">1+IF($G$6=$E$6,$F$6,IF(P357&lt;($F$6-$E$6)/($G$6-$E$6),$E$6+SQRT(P357*($G$6-$E$6)*($F$6-$E$6)),$G$6-SQRT((1-P357)*($G$6-$E$6)*($G$6-$F$6))))</f>
        <v>0.924015333686051</v>
      </c>
      <c r="C357" s="37" t="n">
        <f aca="false">1+IF($G$7=$E$7,$F$7,IF(Q357&lt;($F$7-$E$7)/($G$7-$E$7),$E$7+SQRT(Q357*($G$7-$E$7)*($F$7-$E$7)),$G$7-SQRT((1-Q357)*($G$7-$E$7)*($G$7-$F$7))))</f>
        <v>1.00448044192867</v>
      </c>
      <c r="D357" s="37" t="n">
        <f aca="false">1+IF($G$8=$E$8,$F$8,IF(R357&lt;($F$8-$E$8)/($G$8-$E$8),$E$8+SQRT(R357*($G$8-$E$8)*($F$8-$E$8)),$G$8-SQRT((1-R357)*($G$8-$E$8)*($G$8-$F$8))))</f>
        <v>1.04220206468576</v>
      </c>
      <c r="E357" s="37" t="n">
        <f aca="false">1+IF($G$9=$E$9,$F$9,IF(S357&lt;($F$9-$E$9)/($G$9-$E$9),$E$9+SQRT(S357*($G$9-$E$9)*($F$9-$E$9)),$G$9-SQRT((1-S357)*($G$9-$E$9)*($G$9-$F$9))))</f>
        <v>1.0113669520828</v>
      </c>
      <c r="F357" s="37" t="n">
        <f aca="false">1+IF($G$10=$E$10,$F$10,IF(T357&lt;($F$10-$E$10)/($G$10-$E$10),$E$10+SQRT(T357*($G$10-$E$10)*($F$10-$E$10)),$G$10-SQRT((1-T357)*($G$10-$E$10)*($G$10-$F$10))))</f>
        <v>1.13356655394789</v>
      </c>
      <c r="G357" s="38" t="n">
        <f aca="false">IF($G$11=$E$11,$F$11,IF(U357&lt;($F$11-$E$11)/($G$11-$E$11),$E$11+SQRT(U357*($G$11-$E$11)*($F$11-$E$11)),$G$11-SQRT((1-U357)*($G$11-$E$11)*($G$11-$F$11))))</f>
        <v>0.0906102544427026</v>
      </c>
      <c r="H357" s="39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-2267133107.89579</v>
      </c>
      <c r="I357" s="39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-80977069.8906485</v>
      </c>
      <c r="J357" s="39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143334468.544701</v>
      </c>
      <c r="K357" s="39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424324334.677446</v>
      </c>
      <c r="L357" s="39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531171895.719252</v>
      </c>
      <c r="M357" s="39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707595660.984378</v>
      </c>
      <c r="N357" s="39" t="n">
        <f aca="false">IF(COUNT('Business Case'!B11:G11)=0,"",H357+NPV(G357,I357:M357))</f>
        <v>-1059711674.10187</v>
      </c>
      <c r="P357" s="40" t="n">
        <f aca="true">RAND()</f>
        <v>0.0384490834701576</v>
      </c>
      <c r="Q357" s="40" t="n">
        <f aca="true">RAND()</f>
        <v>0.686282343981099</v>
      </c>
      <c r="R357" s="40" t="n">
        <f aca="true">RAND()</f>
        <v>0.777293244894045</v>
      </c>
      <c r="S357" s="40" t="n">
        <f aca="true">RAND()</f>
        <v>0.487490080671697</v>
      </c>
      <c r="T357" s="40" t="n">
        <f aca="true">RAND()</f>
        <v>0.819243368539083</v>
      </c>
      <c r="U357" s="40" t="n">
        <f aca="true">RAND()</f>
        <v>0.112577499338891</v>
      </c>
    </row>
    <row r="358" customFormat="false" ht="15" hidden="false" customHeight="false" outlineLevel="0" collapsed="false">
      <c r="A358" s="36" t="n">
        <v>278</v>
      </c>
      <c r="B358" s="37" t="n">
        <f aca="false">1+IF($G$6=$E$6,$F$6,IF(P358&lt;($F$6-$E$6)/($G$6-$E$6),$E$6+SQRT(P358*($G$6-$E$6)*($F$6-$E$6)),$G$6-SQRT((1-P358)*($G$6-$E$6)*($G$6-$F$6))))</f>
        <v>1.0109777308697</v>
      </c>
      <c r="C358" s="37" t="n">
        <f aca="false">1+IF($G$7=$E$7,$F$7,IF(Q358&lt;($F$7-$E$7)/($G$7-$E$7),$E$7+SQRT(Q358*($G$7-$E$7)*($F$7-$E$7)),$G$7-SQRT((1-Q358)*($G$7-$E$7)*($G$7-$F$7))))</f>
        <v>0.952182759081514</v>
      </c>
      <c r="D358" s="37" t="n">
        <f aca="false">1+IF($G$8=$E$8,$F$8,IF(R358&lt;($F$8-$E$8)/($G$8-$E$8),$E$8+SQRT(R358*($G$8-$E$8)*($F$8-$E$8)),$G$8-SQRT((1-R358)*($G$8-$E$8)*($G$8-$F$8))))</f>
        <v>1.01695054627017</v>
      </c>
      <c r="E358" s="37" t="n">
        <f aca="false">1+IF($G$9=$E$9,$F$9,IF(S358&lt;($F$9-$E$9)/($G$9-$E$9),$E$9+SQRT(S358*($G$9-$E$9)*($F$9-$E$9)),$G$9-SQRT((1-S358)*($G$9-$E$9)*($G$9-$F$9))))</f>
        <v>0.988916797487565</v>
      </c>
      <c r="F358" s="37" t="n">
        <f aca="false">1+IF($G$10=$E$10,$F$10,IF(T358&lt;($F$10-$E$10)/($G$10-$E$10),$E$10+SQRT(T358*($G$10-$E$10)*($F$10-$E$10)),$G$10-SQRT((1-T358)*($G$10-$E$10)*($G$10-$F$10))))</f>
        <v>0.998300377889808</v>
      </c>
      <c r="G358" s="38" t="n">
        <f aca="false">IF($G$11=$E$11,$F$11,IF(U358&lt;($F$11-$E$11)/($G$11-$E$11),$E$11+SQRT(U358*($G$11-$E$11)*($F$11-$E$11)),$G$11-SQRT((1-U358)*($G$11-$E$11)*($G$11-$F$11))))</f>
        <v>0.0978722003454905</v>
      </c>
      <c r="H358" s="39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-1996600755.77962</v>
      </c>
      <c r="I358" s="39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2407007.52875876</v>
      </c>
      <c r="J358" s="39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295171049.146579</v>
      </c>
      <c r="K358" s="39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637850109.65889</v>
      </c>
      <c r="L358" s="39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768706808.663062</v>
      </c>
      <c r="M358" s="39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951684576.886675</v>
      </c>
      <c r="N358" s="39" t="n">
        <f aca="false">IF(COUNT('Business Case'!B11:G11)=0,"",H358+NPV(G358,I358:M358))</f>
        <v>-141711690.786663</v>
      </c>
      <c r="P358" s="40" t="n">
        <f aca="true">RAND()</f>
        <v>0.796968334922982</v>
      </c>
      <c r="Q358" s="40" t="n">
        <f aca="true">RAND()</f>
        <v>0.471082547984926</v>
      </c>
      <c r="R358" s="40" t="n">
        <f aca="true">RAND()</f>
        <v>0.540185882345067</v>
      </c>
      <c r="S358" s="40" t="n">
        <f aca="true">RAND()</f>
        <v>0.316247875017787</v>
      </c>
      <c r="T358" s="40" t="n">
        <f aca="true">RAND()</f>
        <v>0.155528433619881</v>
      </c>
      <c r="U358" s="40" t="n">
        <f aca="true">RAND()</f>
        <v>0.319415545189351</v>
      </c>
    </row>
    <row r="359" customFormat="false" ht="15" hidden="false" customHeight="false" outlineLevel="0" collapsed="false">
      <c r="A359" s="36" t="n">
        <v>279</v>
      </c>
      <c r="B359" s="37" t="n">
        <f aca="false">1+IF($G$6=$E$6,$F$6,IF(P359&lt;($F$6-$E$6)/($G$6-$E$6),$E$6+SQRT(P359*($G$6-$E$6)*($F$6-$E$6)),$G$6-SQRT((1-P359)*($G$6-$E$6)*($G$6-$F$6))))</f>
        <v>0.949350781014774</v>
      </c>
      <c r="C359" s="37" t="n">
        <f aca="false">1+IF($G$7=$E$7,$F$7,IF(Q359&lt;($F$7-$E$7)/($G$7-$E$7),$E$7+SQRT(Q359*($G$7-$E$7)*($F$7-$E$7)),$G$7-SQRT((1-Q359)*($G$7-$E$7)*($G$7-$F$7))))</f>
        <v>0.898288171083401</v>
      </c>
      <c r="D359" s="37" t="n">
        <f aca="false">1+IF($G$8=$E$8,$F$8,IF(R359&lt;($F$8-$E$8)/($G$8-$E$8),$E$8+SQRT(R359*($G$8-$E$8)*($F$8-$E$8)),$G$8-SQRT((1-R359)*($G$8-$E$8)*($G$8-$F$8))))</f>
        <v>0.971339710219415</v>
      </c>
      <c r="E359" s="37" t="n">
        <f aca="false">1+IF($G$9=$E$9,$F$9,IF(S359&lt;($F$9-$E$9)/($G$9-$E$9),$E$9+SQRT(S359*($G$9-$E$9)*($F$9-$E$9)),$G$9-SQRT((1-S359)*($G$9-$E$9)*($G$9-$F$9))))</f>
        <v>1.03598860563822</v>
      </c>
      <c r="F359" s="37" t="n">
        <f aca="false">1+IF($G$10=$E$10,$F$10,IF(T359&lt;($F$10-$E$10)/($G$10-$E$10),$E$10+SQRT(T359*($G$10-$E$10)*($F$10-$E$10)),$G$10-SQRT((1-T359)*($G$10-$E$10)*($G$10-$F$10))))</f>
        <v>0.996982277646635</v>
      </c>
      <c r="G359" s="38" t="n">
        <f aca="false">IF($G$11=$E$11,$F$11,IF(U359&lt;($F$11-$E$11)/($G$11-$E$11),$E$11+SQRT(U359*($G$11-$E$11)*($F$11-$E$11)),$G$11-SQRT((1-U359)*($G$11-$E$11)*($G$11-$F$11))))</f>
        <v>0.110078558098053</v>
      </c>
      <c r="H359" s="39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-1993964555.29327</v>
      </c>
      <c r="I359" s="39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-39399785.7919482</v>
      </c>
      <c r="J359" s="39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212424899.403541</v>
      </c>
      <c r="K359" s="39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514098698.481362</v>
      </c>
      <c r="L359" s="39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627512702.547205</v>
      </c>
      <c r="M359" s="39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789611135.384277</v>
      </c>
      <c r="N359" s="39" t="n">
        <f aca="false">IF(COUNT('Business Case'!B11:G11)=0,"",H359+NPV(G359,I359:M359))</f>
        <v>-599573149.026213</v>
      </c>
      <c r="P359" s="40" t="n">
        <f aca="true">RAND()</f>
        <v>0.162366639117875</v>
      </c>
      <c r="Q359" s="40" t="n">
        <f aca="true">RAND()</f>
        <v>0.291245916974817</v>
      </c>
      <c r="R359" s="40" t="n">
        <f aca="true">RAND()</f>
        <v>0.0607177642998161</v>
      </c>
      <c r="S359" s="40" t="n">
        <f aca="true">RAND()</f>
        <v>0.653370718818185</v>
      </c>
      <c r="T359" s="40" t="n">
        <f aca="true">RAND()</f>
        <v>0.147155627524365</v>
      </c>
      <c r="U359" s="40" t="n">
        <f aca="true">RAND()</f>
        <v>0.735424101698229</v>
      </c>
    </row>
    <row r="360" customFormat="false" ht="15" hidden="false" customHeight="false" outlineLevel="0" collapsed="false">
      <c r="A360" s="36" t="n">
        <v>280</v>
      </c>
      <c r="B360" s="37" t="n">
        <f aca="false">1+IF($G$6=$E$6,$F$6,IF(P360&lt;($F$6-$E$6)/($G$6-$E$6),$E$6+SQRT(P360*($G$6-$E$6)*($F$6-$E$6)),$G$6-SQRT((1-P360)*($G$6-$E$6)*($G$6-$F$6))))</f>
        <v>0.981201247598478</v>
      </c>
      <c r="C360" s="37" t="n">
        <f aca="false">1+IF($G$7=$E$7,$F$7,IF(Q360&lt;($F$7-$E$7)/($G$7-$E$7),$E$7+SQRT(Q360*($G$7-$E$7)*($F$7-$E$7)),$G$7-SQRT((1-Q360)*($G$7-$E$7)*($G$7-$F$7))))</f>
        <v>0.800570440062758</v>
      </c>
      <c r="D360" s="37" t="n">
        <f aca="false">1+IF($G$8=$E$8,$F$8,IF(R360&lt;($F$8-$E$8)/($G$8-$E$8),$E$8+SQRT(R360*($G$8-$E$8)*($F$8-$E$8)),$G$8-SQRT((1-R360)*($G$8-$E$8)*($G$8-$F$8))))</f>
        <v>1.03092890582303</v>
      </c>
      <c r="E360" s="37" t="n">
        <f aca="false">1+IF($G$9=$E$9,$F$9,IF(S360&lt;($F$9-$E$9)/($G$9-$E$9),$E$9+SQRT(S360*($G$9-$E$9)*($F$9-$E$9)),$G$9-SQRT((1-S360)*($G$9-$E$9)*($G$9-$F$9))))</f>
        <v>0.956300809210485</v>
      </c>
      <c r="F360" s="37" t="n">
        <f aca="false">1+IF($G$10=$E$10,$F$10,IF(T360&lt;($F$10-$E$10)/($G$10-$E$10),$E$10+SQRT(T360*($G$10-$E$10)*($F$10-$E$10)),$G$10-SQRT((1-T360)*($G$10-$E$10)*($G$10-$F$10))))</f>
        <v>1.06720566615742</v>
      </c>
      <c r="G360" s="38" t="n">
        <f aca="false">IF($G$11=$E$11,$F$11,IF(U360&lt;($F$11-$E$11)/($G$11-$E$11),$E$11+SQRT(U360*($G$11-$E$11)*($F$11-$E$11)),$G$11-SQRT((1-U360)*($G$11-$E$11)*($G$11-$F$11))))</f>
        <v>0.121182276636774</v>
      </c>
      <c r="H360" s="39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-2134411332.31484</v>
      </c>
      <c r="I360" s="39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-62533464.6979534</v>
      </c>
      <c r="J360" s="39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158361006.133395</v>
      </c>
      <c r="K360" s="39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432615760.272615</v>
      </c>
      <c r="L360" s="39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533394846.445618</v>
      </c>
      <c r="M360" s="39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682706623.872992</v>
      </c>
      <c r="N360" s="39" t="n">
        <f aca="false">IF(COUNT('Business Case'!B11:G11)=0,"",H360+NPV(G360,I360:M360))</f>
        <v>-1034350915.39943</v>
      </c>
      <c r="P360" s="40" t="n">
        <f aca="true">RAND()</f>
        <v>0.439576174103287</v>
      </c>
      <c r="Q360" s="40" t="n">
        <f aca="true">RAND()</f>
        <v>0.0749215808475322</v>
      </c>
      <c r="R360" s="40" t="n">
        <f aca="true">RAND()</f>
        <v>0.68194559661309</v>
      </c>
      <c r="S360" s="40" t="n">
        <f aca="true">RAND()</f>
        <v>0.126791244710215</v>
      </c>
      <c r="T360" s="40" t="n">
        <f aca="true">RAND()</f>
        <v>0.554483086867301</v>
      </c>
      <c r="U360" s="40" t="n">
        <f aca="true">RAND()</f>
        <v>0.948165169793076</v>
      </c>
    </row>
    <row r="361" customFormat="false" ht="15" hidden="false" customHeight="false" outlineLevel="0" collapsed="false">
      <c r="A361" s="36" t="n">
        <v>281</v>
      </c>
      <c r="B361" s="37" t="n">
        <f aca="false">1+IF($G$6=$E$6,$F$6,IF(P361&lt;($F$6-$E$6)/($G$6-$E$6),$E$6+SQRT(P361*($G$6-$E$6)*($F$6-$E$6)),$G$6-SQRT((1-P361)*($G$6-$E$6)*($G$6-$F$6))))</f>
        <v>0.950692429198569</v>
      </c>
      <c r="C361" s="37" t="n">
        <f aca="false">1+IF($G$7=$E$7,$F$7,IF(Q361&lt;($F$7-$E$7)/($G$7-$E$7),$E$7+SQRT(Q361*($G$7-$E$7)*($F$7-$E$7)),$G$7-SQRT((1-Q361)*($G$7-$E$7)*($G$7-$F$7))))</f>
        <v>0.932785972569924</v>
      </c>
      <c r="D361" s="37" t="n">
        <f aca="false">1+IF($G$8=$E$8,$F$8,IF(R361&lt;($F$8-$E$8)/($G$8-$E$8),$E$8+SQRT(R361*($G$8-$E$8)*($F$8-$E$8)),$G$8-SQRT((1-R361)*($G$8-$E$8)*($G$8-$F$8))))</f>
        <v>0.993100433939969</v>
      </c>
      <c r="E361" s="37" t="n">
        <f aca="false">1+IF($G$9=$E$9,$F$9,IF(S361&lt;($F$9-$E$9)/($G$9-$E$9),$E$9+SQRT(S361*($G$9-$E$9)*($F$9-$E$9)),$G$9-SQRT((1-S361)*($G$9-$E$9)*($G$9-$F$9))))</f>
        <v>1.04266469272552</v>
      </c>
      <c r="F361" s="37" t="n">
        <f aca="false">1+IF($G$10=$E$10,$F$10,IF(T361&lt;($F$10-$E$10)/($G$10-$E$10),$E$10+SQRT(T361*($G$10-$E$10)*($F$10-$E$10)),$G$10-SQRT((1-T361)*($G$10-$E$10)*($G$10-$F$10))))</f>
        <v>1.04693341601716</v>
      </c>
      <c r="G361" s="38" t="n">
        <f aca="false">IF($G$11=$E$11,$F$11,IF(U361&lt;($F$11-$E$11)/($G$11-$E$11),$E$11+SQRT(U361*($G$11-$E$11)*($F$11-$E$11)),$G$11-SQRT((1-U361)*($G$11-$E$11)*($G$11-$F$11))))</f>
        <v>0.110767740289481</v>
      </c>
      <c r="H361" s="39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-2093866832.03432</v>
      </c>
      <c r="I361" s="39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-46801800.7404887</v>
      </c>
      <c r="J361" s="39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205327985.84997</v>
      </c>
      <c r="K361" s="39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509804443.241287</v>
      </c>
      <c r="L361" s="39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624495256.387215</v>
      </c>
      <c r="M361" s="39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793056786.607312</v>
      </c>
      <c r="N361" s="39" t="n">
        <f aca="false">IF(COUNT('Business Case'!B11:G11)=0,"",H361+NPV(G361,I361:M361))</f>
        <v>-718336180.192962</v>
      </c>
      <c r="P361" s="40" t="n">
        <f aca="true">RAND()</f>
        <v>0.171314825203461</v>
      </c>
      <c r="Q361" s="40" t="n">
        <f aca="true">RAND()</f>
        <v>0.401402289076483</v>
      </c>
      <c r="R361" s="40" t="n">
        <f aca="true">RAND()</f>
        <v>0.247686320775155</v>
      </c>
      <c r="S361" s="40" t="n">
        <f aca="true">RAND()</f>
        <v>0.692776848327812</v>
      </c>
      <c r="T361" s="40" t="n">
        <f aca="true">RAND()</f>
        <v>0.450186166260528</v>
      </c>
      <c r="U361" s="40" t="n">
        <f aca="true">RAND()</f>
        <v>0.753413457618094</v>
      </c>
    </row>
    <row r="362" customFormat="false" ht="15" hidden="false" customHeight="false" outlineLevel="0" collapsed="false">
      <c r="A362" s="36" t="n">
        <v>282</v>
      </c>
      <c r="B362" s="37" t="n">
        <f aca="false">1+IF($G$6=$E$6,$F$6,IF(P362&lt;($F$6-$E$6)/($G$6-$E$6),$E$6+SQRT(P362*($G$6-$E$6)*($F$6-$E$6)),$G$6-SQRT((1-P362)*($G$6-$E$6)*($G$6-$F$6))))</f>
        <v>0.950079840028671</v>
      </c>
      <c r="C362" s="37" t="n">
        <f aca="false">1+IF($G$7=$E$7,$F$7,IF(Q362&lt;($F$7-$E$7)/($G$7-$E$7),$E$7+SQRT(Q362*($G$7-$E$7)*($F$7-$E$7)),$G$7-SQRT((1-Q362)*($G$7-$E$7)*($G$7-$F$7))))</f>
        <v>0.879316010642101</v>
      </c>
      <c r="D362" s="37" t="n">
        <f aca="false">1+IF($G$8=$E$8,$F$8,IF(R362&lt;($F$8-$E$8)/($G$8-$E$8),$E$8+SQRT(R362*($G$8-$E$8)*($F$8-$E$8)),$G$8-SQRT((1-R362)*($G$8-$E$8)*($G$8-$F$8))))</f>
        <v>1.03102686823945</v>
      </c>
      <c r="E362" s="37" t="n">
        <f aca="false">1+IF($G$9=$E$9,$F$9,IF(S362&lt;($F$9-$E$9)/($G$9-$E$9),$E$9+SQRT(S362*($G$9-$E$9)*($F$9-$E$9)),$G$9-SQRT((1-S362)*($G$9-$E$9)*($G$9-$F$9))))</f>
        <v>1.0698607588419</v>
      </c>
      <c r="F362" s="37" t="n">
        <f aca="false">1+IF($G$10=$E$10,$F$10,IF(T362&lt;($F$10-$E$10)/($G$10-$E$10),$E$10+SQRT(T362*($G$10-$E$10)*($F$10-$E$10)),$G$10-SQRT((1-T362)*($G$10-$E$10)*($G$10-$F$10))))</f>
        <v>1.03974033500585</v>
      </c>
      <c r="G362" s="38" t="n">
        <f aca="false">IF($G$11=$E$11,$F$11,IF(U362&lt;($F$11-$E$11)/($G$11-$E$11),$E$11+SQRT(U362*($G$11-$E$11)*($F$11-$E$11)),$G$11-SQRT((1-U362)*($G$11-$E$11)*($G$11-$F$11))))</f>
        <v>0.119801545493279</v>
      </c>
      <c r="H362" s="39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-2079480670.0117</v>
      </c>
      <c r="I362" s="39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-79252827.4169247</v>
      </c>
      <c r="J362" s="39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140910772.873423</v>
      </c>
      <c r="K362" s="39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413061389.914063</v>
      </c>
      <c r="L362" s="39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515321386.210425</v>
      </c>
      <c r="M362" s="39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674118098.641448</v>
      </c>
      <c r="N362" s="39" t="n">
        <f aca="false">IF(COUNT('Business Case'!B11:G11)=0,"",H362+NPV(G362,I362:M362))</f>
        <v>-1033136295.62445</v>
      </c>
      <c r="P362" s="40" t="n">
        <f aca="true">RAND()</f>
        <v>0.167199358486488</v>
      </c>
      <c r="Q362" s="40" t="n">
        <f aca="true">RAND()</f>
        <v>0.238179493871096</v>
      </c>
      <c r="R362" s="40" t="n">
        <f aca="true">RAND()</f>
        <v>0.682847139676089</v>
      </c>
      <c r="S362" s="40" t="n">
        <f aca="true">RAND()</f>
        <v>0.828738720709421</v>
      </c>
      <c r="T362" s="40" t="n">
        <f aca="true">RAND()</f>
        <v>0.410544977020624</v>
      </c>
      <c r="U362" s="40" t="n">
        <f aca="true">RAND()</f>
        <v>0.930661017116222</v>
      </c>
    </row>
    <row r="363" customFormat="false" ht="15" hidden="false" customHeight="false" outlineLevel="0" collapsed="false">
      <c r="A363" s="36" t="n">
        <v>283</v>
      </c>
      <c r="B363" s="37" t="n">
        <f aca="false">1+IF($G$6=$E$6,$F$6,IF(P363&lt;($F$6-$E$6)/($G$6-$E$6),$E$6+SQRT(P363*($G$6-$E$6)*($F$6-$E$6)),$G$6-SQRT((1-P363)*($G$6-$E$6)*($G$6-$F$6))))</f>
        <v>1.0033907020889</v>
      </c>
      <c r="C363" s="37" t="n">
        <f aca="false">1+IF($G$7=$E$7,$F$7,IF(Q363&lt;($F$7-$E$7)/($G$7-$E$7),$E$7+SQRT(Q363*($G$7-$E$7)*($F$7-$E$7)),$G$7-SQRT((1-Q363)*($G$7-$E$7)*($G$7-$F$7))))</f>
        <v>0.928218846722611</v>
      </c>
      <c r="D363" s="37" t="n">
        <f aca="false">1+IF($G$8=$E$8,$F$8,IF(R363&lt;($F$8-$E$8)/($G$8-$E$8),$E$8+SQRT(R363*($G$8-$E$8)*($F$8-$E$8)),$G$8-SQRT((1-R363)*($G$8-$E$8)*($G$8-$F$8))))</f>
        <v>1.0189071576168</v>
      </c>
      <c r="E363" s="37" t="n">
        <f aca="false">1+IF($G$9=$E$9,$F$9,IF(S363&lt;($F$9-$E$9)/($G$9-$E$9),$E$9+SQRT(S363*($G$9-$E$9)*($F$9-$E$9)),$G$9-SQRT((1-S363)*($G$9-$E$9)*($G$9-$F$9))))</f>
        <v>0.959165343563421</v>
      </c>
      <c r="F363" s="37" t="n">
        <f aca="false">1+IF($G$10=$E$10,$F$10,IF(T363&lt;($F$10-$E$10)/($G$10-$E$10),$E$10+SQRT(T363*($G$10-$E$10)*($F$10-$E$10)),$G$10-SQRT((1-T363)*($G$10-$E$10)*($G$10-$F$10))))</f>
        <v>1.06870345875133</v>
      </c>
      <c r="G363" s="38" t="n">
        <f aca="false">IF($G$11=$E$11,$F$11,IF(U363&lt;($F$11-$E$11)/($G$11-$E$11),$E$11+SQRT(U363*($G$11-$E$11)*($F$11-$E$11)),$G$11-SQRT((1-U363)*($G$11-$E$11)*($G$11-$F$11))))</f>
        <v>0.110140085512364</v>
      </c>
      <c r="H363" s="39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-2137406917.50266</v>
      </c>
      <c r="I363" s="39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-12847713.6218395</v>
      </c>
      <c r="J363" s="39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265850252.236392</v>
      </c>
      <c r="K363" s="39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597983391.032189</v>
      </c>
      <c r="L363" s="39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723070727.485079</v>
      </c>
      <c r="M363" s="39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900104807.235881</v>
      </c>
      <c r="N363" s="39" t="n">
        <f aca="false">IF(COUNT('Business Case'!B11:G11)=0,"",H363+NPV(G363,I363:M363))</f>
        <v>-486289430.606929</v>
      </c>
      <c r="P363" s="40" t="n">
        <f aca="true">RAND()</f>
        <v>0.710343113097876</v>
      </c>
      <c r="Q363" s="40" t="n">
        <f aca="true">RAND()</f>
        <v>0.385806237032582</v>
      </c>
      <c r="R363" s="40" t="n">
        <f aca="true">RAND()</f>
        <v>0.561596727614269</v>
      </c>
      <c r="S363" s="40" t="n">
        <f aca="true">RAND()</f>
        <v>0.140021515159108</v>
      </c>
      <c r="T363" s="40" t="n">
        <f aca="true">RAND()</f>
        <v>0.561754188416935</v>
      </c>
      <c r="U363" s="40" t="n">
        <f aca="true">RAND()</f>
        <v>0.737055864362524</v>
      </c>
    </row>
    <row r="364" customFormat="false" ht="15" hidden="false" customHeight="false" outlineLevel="0" collapsed="false">
      <c r="A364" s="36" t="n">
        <v>284</v>
      </c>
      <c r="B364" s="37" t="n">
        <f aca="false">1+IF($G$6=$E$6,$F$6,IF(P364&lt;($F$6-$E$6)/($G$6-$E$6),$E$6+SQRT(P364*($G$6-$E$6)*($F$6-$E$6)),$G$6-SQRT((1-P364)*($G$6-$E$6)*($G$6-$F$6))))</f>
        <v>1.02348052315288</v>
      </c>
      <c r="C364" s="37" t="n">
        <f aca="false">1+IF($G$7=$E$7,$F$7,IF(Q364&lt;($F$7-$E$7)/($G$7-$E$7),$E$7+SQRT(Q364*($G$7-$E$7)*($F$7-$E$7)),$G$7-SQRT((1-Q364)*($G$7-$E$7)*($G$7-$F$7))))</f>
        <v>0.905386858812455</v>
      </c>
      <c r="D364" s="37" t="n">
        <f aca="false">1+IF($G$8=$E$8,$F$8,IF(R364&lt;($F$8-$E$8)/($G$8-$E$8),$E$8+SQRT(R364*($G$8-$E$8)*($F$8-$E$8)),$G$8-SQRT((1-R364)*($G$8-$E$8)*($G$8-$F$8))))</f>
        <v>1.00832418428108</v>
      </c>
      <c r="E364" s="37" t="n">
        <f aca="false">1+IF($G$9=$E$9,$F$9,IF(S364&lt;($F$9-$E$9)/($G$9-$E$9),$E$9+SQRT(S364*($G$9-$E$9)*($F$9-$E$9)),$G$9-SQRT((1-S364)*($G$9-$E$9)*($G$9-$F$9))))</f>
        <v>0.998893866719019</v>
      </c>
      <c r="F364" s="37" t="n">
        <f aca="false">1+IF($G$10=$E$10,$F$10,IF(T364&lt;($F$10-$E$10)/($G$10-$E$10),$E$10+SQRT(T364*($G$10-$E$10)*($F$10-$E$10)),$G$10-SQRT((1-T364)*($G$10-$E$10)*($G$10-$F$10))))</f>
        <v>1.2422295213496</v>
      </c>
      <c r="G364" s="38" t="n">
        <f aca="false">IF($G$11=$E$11,$F$11,IF(U364&lt;($F$11-$E$11)/($G$11-$E$11),$E$11+SQRT(U364*($G$11-$E$11)*($F$11-$E$11)),$G$11-SQRT((1-U364)*($G$11-$E$11)*($G$11-$F$11))))</f>
        <v>0.0877490110078738</v>
      </c>
      <c r="H364" s="39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-2484459042.69919</v>
      </c>
      <c r="I364" s="39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-22657117.9963744</v>
      </c>
      <c r="J364" s="39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268988743.086591</v>
      </c>
      <c r="K364" s="39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622746080.237036</v>
      </c>
      <c r="L364" s="39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751986246.662648</v>
      </c>
      <c r="M364" s="39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928123083.351412</v>
      </c>
      <c r="N364" s="39" t="n">
        <f aca="false">IF(COUNT('Business Case'!B11:G11)=0,"",H364+NPV(G364,I364:M364))</f>
        <v>-647449065.89387</v>
      </c>
      <c r="P364" s="40" t="n">
        <f aca="true">RAND()</f>
        <v>0.906228979700654</v>
      </c>
      <c r="Q364" s="40" t="n">
        <f aca="true">RAND()</f>
        <v>0.312472309428499</v>
      </c>
      <c r="R364" s="40" t="n">
        <f aca="true">RAND()</f>
        <v>0.43970298748468</v>
      </c>
      <c r="S364" s="40" t="n">
        <f aca="true">RAND()</f>
        <v>0.391199874985562</v>
      </c>
      <c r="T364" s="40" t="n">
        <f aca="true">RAND()</f>
        <v>0.999194928820581</v>
      </c>
      <c r="U364" s="40" t="n">
        <f aca="true">RAND()</f>
        <v>0.0600471716001494</v>
      </c>
    </row>
    <row r="365" customFormat="false" ht="15" hidden="false" customHeight="false" outlineLevel="0" collapsed="false">
      <c r="A365" s="36" t="n">
        <v>285</v>
      </c>
      <c r="B365" s="37" t="n">
        <f aca="false">1+IF($G$6=$E$6,$F$6,IF(P365&lt;($F$6-$E$6)/($G$6-$E$6),$E$6+SQRT(P365*($G$6-$E$6)*($F$6-$E$6)),$G$6-SQRT((1-P365)*($G$6-$E$6)*($G$6-$F$6))))</f>
        <v>0.945542918551921</v>
      </c>
      <c r="C365" s="37" t="n">
        <f aca="false">1+IF($G$7=$E$7,$F$7,IF(Q365&lt;($F$7-$E$7)/($G$7-$E$7),$E$7+SQRT(Q365*($G$7-$E$7)*($F$7-$E$7)),$G$7-SQRT((1-Q365)*($G$7-$E$7)*($G$7-$F$7))))</f>
        <v>0.782069920386063</v>
      </c>
      <c r="D365" s="37" t="n">
        <f aca="false">1+IF($G$8=$E$8,$F$8,IF(R365&lt;($F$8-$E$8)/($G$8-$E$8),$E$8+SQRT(R365*($G$8-$E$8)*($F$8-$E$8)),$G$8-SQRT((1-R365)*($G$8-$E$8)*($G$8-$F$8))))</f>
        <v>0.998342710602736</v>
      </c>
      <c r="E365" s="37" t="n">
        <f aca="false">1+IF($G$9=$E$9,$F$9,IF(S365&lt;($F$9-$E$9)/($G$9-$E$9),$E$9+SQRT(S365*($G$9-$E$9)*($F$9-$E$9)),$G$9-SQRT((1-S365)*($G$9-$E$9)*($G$9-$F$9))))</f>
        <v>0.980452273454086</v>
      </c>
      <c r="F365" s="37" t="n">
        <f aca="false">1+IF($G$10=$E$10,$F$10,IF(T365&lt;($F$10-$E$10)/($G$10-$E$10),$E$10+SQRT(T365*($G$10-$E$10)*($F$10-$E$10)),$G$10-SQRT((1-T365)*($G$10-$E$10)*($G$10-$F$10))))</f>
        <v>1.11367389163261</v>
      </c>
      <c r="G365" s="38" t="n">
        <f aca="false">IF($G$11=$E$11,$F$11,IF(U365&lt;($F$11-$E$11)/($G$11-$E$11),$E$11+SQRT(U365*($G$11-$E$11)*($F$11-$E$11)),$G$11-SQRT((1-U365)*($G$11-$E$11)*($G$11-$F$11))))</f>
        <v>0.102172860301161</v>
      </c>
      <c r="H365" s="39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-2227347783.26522</v>
      </c>
      <c r="I365" s="39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-83128191.0267217</v>
      </c>
      <c r="J365" s="39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122865998.588726</v>
      </c>
      <c r="K365" s="39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384543882.785803</v>
      </c>
      <c r="L365" s="39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478765064.786777</v>
      </c>
      <c r="M365" s="39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619325551.497146</v>
      </c>
      <c r="N365" s="39" t="n">
        <f aca="false">IF(COUNT('Business Case'!B11:G11)=0,"",H365+NPV(G365,I365:M365))</f>
        <v>-1209210853.45797</v>
      </c>
      <c r="P365" s="40" t="n">
        <f aca="true">RAND()</f>
        <v>0.138277162015128</v>
      </c>
      <c r="Q365" s="40" t="n">
        <f aca="true">RAND()</f>
        <v>0.0498923839420351</v>
      </c>
      <c r="R365" s="40" t="n">
        <f aca="true">RAND()</f>
        <v>0.311602355789317</v>
      </c>
      <c r="S365" s="40" t="n">
        <f aca="true">RAND()</f>
        <v>0.258902732157241</v>
      </c>
      <c r="T365" s="40" t="n">
        <f aca="true">RAND()</f>
        <v>0.752202562365365</v>
      </c>
      <c r="U365" s="40" t="n">
        <f aca="true">RAND()</f>
        <v>0.483766864120853</v>
      </c>
    </row>
    <row r="366" customFormat="false" ht="15" hidden="false" customHeight="false" outlineLevel="0" collapsed="false">
      <c r="A366" s="36" t="n">
        <v>286</v>
      </c>
      <c r="B366" s="37" t="n">
        <f aca="false">1+IF($G$6=$E$6,$F$6,IF(P366&lt;($F$6-$E$6)/($G$6-$E$6),$E$6+SQRT(P366*($G$6-$E$6)*($F$6-$E$6)),$G$6-SQRT((1-P366)*($G$6-$E$6)*($G$6-$F$6))))</f>
        <v>0.97192015640412</v>
      </c>
      <c r="C366" s="37" t="n">
        <f aca="false">1+IF($G$7=$E$7,$F$7,IF(Q366&lt;($F$7-$E$7)/($G$7-$E$7),$E$7+SQRT(Q366*($G$7-$E$7)*($F$7-$E$7)),$G$7-SQRT((1-Q366)*($G$7-$E$7)*($G$7-$F$7))))</f>
        <v>0.833916921811134</v>
      </c>
      <c r="D366" s="37" t="n">
        <f aca="false">1+IF($G$8=$E$8,$F$8,IF(R366&lt;($F$8-$E$8)/($G$8-$E$8),$E$8+SQRT(R366*($G$8-$E$8)*($F$8-$E$8)),$G$8-SQRT((1-R366)*($G$8-$E$8)*($G$8-$F$8))))</f>
        <v>0.999671411969991</v>
      </c>
      <c r="E366" s="37" t="n">
        <f aca="false">1+IF($G$9=$E$9,$F$9,IF(S366&lt;($F$9-$E$9)/($G$9-$E$9),$E$9+SQRT(S366*($G$9-$E$9)*($F$9-$E$9)),$G$9-SQRT((1-S366)*($G$9-$E$9)*($G$9-$F$9))))</f>
        <v>1.04737964633333</v>
      </c>
      <c r="F366" s="37" t="n">
        <f aca="false">1+IF($G$10=$E$10,$F$10,IF(T366&lt;($F$10-$E$10)/($G$10-$E$10),$E$10+SQRT(T366*($G$10-$E$10)*($F$10-$E$10)),$G$10-SQRT((1-T366)*($G$10-$E$10)*($G$10-$F$10))))</f>
        <v>1.07771492006272</v>
      </c>
      <c r="G366" s="38" t="n">
        <f aca="false">IF($G$11=$E$11,$F$11,IF(U366&lt;($F$11-$E$11)/($G$11-$E$11),$E$11+SQRT(U366*($G$11-$E$11)*($F$11-$E$11)),$G$11-SQRT((1-U366)*($G$11-$E$11)*($G$11-$F$11))))</f>
        <v>0.0904402156423136</v>
      </c>
      <c r="H366" s="39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-2155429840.12543</v>
      </c>
      <c r="I366" s="39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-61625308.2423424</v>
      </c>
      <c r="J366" s="39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175474615.70766</v>
      </c>
      <c r="K366" s="39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466460285.660799</v>
      </c>
      <c r="L366" s="39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573504496.629115</v>
      </c>
      <c r="M366" s="39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727564463.046518</v>
      </c>
      <c r="N366" s="39" t="n">
        <f aca="false">IF(COUNT('Business Case'!B11:G11)=0,"",H366+NPV(G366,I366:M366))</f>
        <v>-827070256.710536</v>
      </c>
      <c r="P366" s="40" t="n">
        <f aca="true">RAND()</f>
        <v>0.344833926479543</v>
      </c>
      <c r="Q366" s="40" t="n">
        <f aca="true">RAND()</f>
        <v>0.132842532943477</v>
      </c>
      <c r="R366" s="40" t="n">
        <f aca="true">RAND()</f>
        <v>0.328966555612344</v>
      </c>
      <c r="S366" s="40" t="n">
        <f aca="true">RAND()</f>
        <v>0.719175013688744</v>
      </c>
      <c r="T366" s="40" t="n">
        <f aca="true">RAND()</f>
        <v>0.604238016413387</v>
      </c>
      <c r="U366" s="40" t="n">
        <f aca="true">RAND()</f>
        <v>0.108998102658009</v>
      </c>
    </row>
    <row r="367" customFormat="false" ht="15" hidden="false" customHeight="false" outlineLevel="0" collapsed="false">
      <c r="A367" s="36" t="n">
        <v>287</v>
      </c>
      <c r="B367" s="37" t="n">
        <f aca="false">1+IF($G$6=$E$6,$F$6,IF(P367&lt;($F$6-$E$6)/($G$6-$E$6),$E$6+SQRT(P367*($G$6-$E$6)*($F$6-$E$6)),$G$6-SQRT((1-P367)*($G$6-$E$6)*($G$6-$F$6))))</f>
        <v>1.00878368491351</v>
      </c>
      <c r="C367" s="37" t="n">
        <f aca="false">1+IF($G$7=$E$7,$F$7,IF(Q367&lt;($F$7-$E$7)/($G$7-$E$7),$E$7+SQRT(Q367*($G$7-$E$7)*($F$7-$E$7)),$G$7-SQRT((1-Q367)*($G$7-$E$7)*($G$7-$F$7))))</f>
        <v>0.964338406359114</v>
      </c>
      <c r="D367" s="37" t="n">
        <f aca="false">1+IF($G$8=$E$8,$F$8,IF(R367&lt;($F$8-$E$8)/($G$8-$E$8),$E$8+SQRT(R367*($G$8-$E$8)*($F$8-$E$8)),$G$8-SQRT((1-R367)*($G$8-$E$8)*($G$8-$F$8))))</f>
        <v>1.07199085724837</v>
      </c>
      <c r="E367" s="37" t="n">
        <f aca="false">1+IF($G$9=$E$9,$F$9,IF(S367&lt;($F$9-$E$9)/($G$9-$E$9),$E$9+SQRT(S367*($G$9-$E$9)*($F$9-$E$9)),$G$9-SQRT((1-S367)*($G$9-$E$9)*($G$9-$F$9))))</f>
        <v>1.08013459598437</v>
      </c>
      <c r="F367" s="37" t="n">
        <f aca="false">1+IF($G$10=$E$10,$F$10,IF(T367&lt;($F$10-$E$10)/($G$10-$E$10),$E$10+SQRT(T367*($G$10-$E$10)*($F$10-$E$10)),$G$10-SQRT((1-T367)*($G$10-$E$10)*($G$10-$F$10))))</f>
        <v>1.02073685560762</v>
      </c>
      <c r="G367" s="38" t="n">
        <f aca="false">IF($G$11=$E$11,$F$11,IF(U367&lt;($F$11-$E$11)/($G$11-$E$11),$E$11+SQRT(U367*($G$11-$E$11)*($F$11-$E$11)),$G$11-SQRT((1-U367)*($G$11-$E$11)*($G$11-$F$11))))</f>
        <v>0.0952783503249285</v>
      </c>
      <c r="H367" s="39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-2041473711.21523</v>
      </c>
      <c r="I367" s="39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-38502164.6429153</v>
      </c>
      <c r="J367" s="39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229094906.663407</v>
      </c>
      <c r="K367" s="39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547728820.75011</v>
      </c>
      <c r="L367" s="39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670548118.411883</v>
      </c>
      <c r="M367" s="39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855459624.823376</v>
      </c>
      <c r="N367" s="39" t="n">
        <f aca="false">IF(COUNT('Business Case'!B11:G11)=0,"",H367+NPV(G367,I367:M367))</f>
        <v>-460130674.317408</v>
      </c>
      <c r="P367" s="40" t="n">
        <f aca="true">RAND()</f>
        <v>0.773495382758822</v>
      </c>
      <c r="Q367" s="40" t="n">
        <f aca="true">RAND()</f>
        <v>0.517591059825749</v>
      </c>
      <c r="R367" s="40" t="n">
        <f aca="true">RAND()</f>
        <v>0.947699194821266</v>
      </c>
      <c r="S367" s="40" t="n">
        <f aca="true">RAND()</f>
        <v>0.869835341912874</v>
      </c>
      <c r="T367" s="40" t="n">
        <f aca="true">RAND()</f>
        <v>0.299178808310895</v>
      </c>
      <c r="U367" s="40" t="n">
        <f aca="true">RAND()</f>
        <v>0.233427988651242</v>
      </c>
    </row>
    <row r="368" customFormat="false" ht="15" hidden="false" customHeight="false" outlineLevel="0" collapsed="false">
      <c r="A368" s="36" t="n">
        <v>288</v>
      </c>
      <c r="B368" s="37" t="n">
        <f aca="false">1+IF($G$6=$E$6,$F$6,IF(P368&lt;($F$6-$E$6)/($G$6-$E$6),$E$6+SQRT(P368*($G$6-$E$6)*($F$6-$E$6)),$G$6-SQRT((1-P368)*($G$6-$E$6)*($G$6-$F$6))))</f>
        <v>0.9684506915857</v>
      </c>
      <c r="C368" s="37" t="n">
        <f aca="false">1+IF($G$7=$E$7,$F$7,IF(Q368&lt;($F$7-$E$7)/($G$7-$E$7),$E$7+SQRT(Q368*($G$7-$E$7)*($F$7-$E$7)),$G$7-SQRT((1-Q368)*($G$7-$E$7)*($G$7-$F$7))))</f>
        <v>0.943743236478156</v>
      </c>
      <c r="D368" s="37" t="n">
        <f aca="false">1+IF($G$8=$E$8,$F$8,IF(R368&lt;($F$8-$E$8)/($G$8-$E$8),$E$8+SQRT(R368*($G$8-$E$8)*($F$8-$E$8)),$G$8-SQRT((1-R368)*($G$8-$E$8)*($G$8-$F$8))))</f>
        <v>1.02478249536259</v>
      </c>
      <c r="E368" s="37" t="n">
        <f aca="false">1+IF($G$9=$E$9,$F$9,IF(S368&lt;($F$9-$E$9)/($G$9-$E$9),$E$9+SQRT(S368*($G$9-$E$9)*($F$9-$E$9)),$G$9-SQRT((1-S368)*($G$9-$E$9)*($G$9-$F$9))))</f>
        <v>1.01887534900114</v>
      </c>
      <c r="F368" s="37" t="n">
        <f aca="false">1+IF($G$10=$E$10,$F$10,IF(T368&lt;($F$10-$E$10)/($G$10-$E$10),$E$10+SQRT(T368*($G$10-$E$10)*($F$10-$E$10)),$G$10-SQRT((1-T368)*($G$10-$E$10)*($G$10-$F$10))))</f>
        <v>1.03093192320718</v>
      </c>
      <c r="G368" s="38" t="n">
        <f aca="false">IF($G$11=$E$11,$F$11,IF(U368&lt;($F$11-$E$11)/($G$11-$E$11),$E$11+SQRT(U368*($G$11-$E$11)*($F$11-$E$11)),$G$11-SQRT((1-U368)*($G$11-$E$11)*($G$11-$F$11))))</f>
        <v>0.101685852742859</v>
      </c>
      <c r="H368" s="39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-2061863846.41437</v>
      </c>
      <c r="I368" s="39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-41845146.7158838</v>
      </c>
      <c r="J368" s="39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211667115.592928</v>
      </c>
      <c r="K368" s="39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516725974.062099</v>
      </c>
      <c r="L368" s="39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632816822.88238</v>
      </c>
      <c r="M368" s="39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806544010.494437</v>
      </c>
      <c r="N368" s="39" t="n">
        <f aca="false">IF(COUNT('Business Case'!B11:G11)=0,"",H368+NPV(G368,I368:M368))</f>
        <v>-612442601.99332</v>
      </c>
      <c r="P368" s="40" t="n">
        <f aca="true">RAND()</f>
        <v>0.312366478570708</v>
      </c>
      <c r="Q368" s="40" t="n">
        <f aca="true">RAND()</f>
        <v>0.440079743176637</v>
      </c>
      <c r="R368" s="40" t="n">
        <f aca="true">RAND()</f>
        <v>0.622821799741448</v>
      </c>
      <c r="S368" s="40" t="n">
        <f aca="true">RAND()</f>
        <v>0.541502024011364</v>
      </c>
      <c r="T368" s="40" t="n">
        <f aca="true">RAND()</f>
        <v>0.360122369737286</v>
      </c>
      <c r="U368" s="40" t="n">
        <f aca="true">RAND()</f>
        <v>0.465539376733942</v>
      </c>
    </row>
    <row r="369" customFormat="false" ht="15" hidden="false" customHeight="false" outlineLevel="0" collapsed="false">
      <c r="A369" s="36" t="n">
        <v>289</v>
      </c>
      <c r="B369" s="37" t="n">
        <f aca="false">1+IF($G$6=$E$6,$F$6,IF(P369&lt;($F$6-$E$6)/($G$6-$E$6),$E$6+SQRT(P369*($G$6-$E$6)*($F$6-$E$6)),$G$6-SQRT((1-P369)*($G$6-$E$6)*($G$6-$F$6))))</f>
        <v>0.984370239479568</v>
      </c>
      <c r="C369" s="37" t="n">
        <f aca="false">1+IF($G$7=$E$7,$F$7,IF(Q369&lt;($F$7-$E$7)/($G$7-$E$7),$E$7+SQRT(Q369*($G$7-$E$7)*($F$7-$E$7)),$G$7-SQRT((1-Q369)*($G$7-$E$7)*($G$7-$F$7))))</f>
        <v>1.01552282363984</v>
      </c>
      <c r="D369" s="37" t="n">
        <f aca="false">1+IF($G$8=$E$8,$F$8,IF(R369&lt;($F$8-$E$8)/($G$8-$E$8),$E$8+SQRT(R369*($G$8-$E$8)*($F$8-$E$8)),$G$8-SQRT((1-R369)*($G$8-$E$8)*($G$8-$F$8))))</f>
        <v>1.0460992643109</v>
      </c>
      <c r="E369" s="37" t="n">
        <f aca="false">1+IF($G$9=$E$9,$F$9,IF(S369&lt;($F$9-$E$9)/($G$9-$E$9),$E$9+SQRT(S369*($G$9-$E$9)*($F$9-$E$9)),$G$9-SQRT((1-S369)*($G$9-$E$9)*($G$9-$F$9))))</f>
        <v>1.01547822815147</v>
      </c>
      <c r="F369" s="37" t="n">
        <f aca="false">1+IF($G$10=$E$10,$F$10,IF(T369&lt;($F$10-$E$10)/($G$10-$E$10),$E$10+SQRT(T369*($G$10-$E$10)*($F$10-$E$10)),$G$10-SQRT((1-T369)*($G$10-$E$10)*($G$10-$F$10))))</f>
        <v>0.983035588523465</v>
      </c>
      <c r="G369" s="38" t="n">
        <f aca="false">IF($G$11=$E$11,$F$11,IF(U369&lt;($F$11-$E$11)/($G$11-$E$11),$E$11+SQRT(U369*($G$11-$E$11)*($F$11-$E$11)),$G$11-SQRT((1-U369)*($G$11-$E$11)*($G$11-$F$11))))</f>
        <v>0.101651508361421</v>
      </c>
      <c r="H369" s="39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-1966071177.04693</v>
      </c>
      <c r="I369" s="39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-19572657.0783717</v>
      </c>
      <c r="J369" s="39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255381127.812898</v>
      </c>
      <c r="K369" s="39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579486692.130342</v>
      </c>
      <c r="L369" s="39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705685873.143535</v>
      </c>
      <c r="M369" s="39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895699429.748774</v>
      </c>
      <c r="N369" s="39" t="n">
        <f aca="false">IF(COUNT('Business Case'!B11:G11)=0,"",H369+NPV(G369,I369:M369))</f>
        <v>-308877772.937718</v>
      </c>
      <c r="P369" s="40" t="n">
        <f aca="true">RAND()</f>
        <v>0.474555820655981</v>
      </c>
      <c r="Q369" s="40" t="n">
        <f aca="true">RAND()</f>
        <v>0.732087245010344</v>
      </c>
      <c r="R369" s="40" t="n">
        <f aca="true">RAND()</f>
        <v>0.806314046144929</v>
      </c>
      <c r="S369" s="40" t="n">
        <f aca="true">RAND()</f>
        <v>0.517437143966194</v>
      </c>
      <c r="T369" s="40" t="n">
        <f aca="true">RAND()</f>
        <v>0.0727566739394438</v>
      </c>
      <c r="U369" s="40" t="n">
        <f aca="true">RAND()</f>
        <v>0.464242014544953</v>
      </c>
    </row>
    <row r="370" customFormat="false" ht="15" hidden="false" customHeight="false" outlineLevel="0" collapsed="false">
      <c r="A370" s="36" t="n">
        <v>290</v>
      </c>
      <c r="B370" s="37" t="n">
        <f aca="false">1+IF($G$6=$E$6,$F$6,IF(P370&lt;($F$6-$E$6)/($G$6-$E$6),$E$6+SQRT(P370*($G$6-$E$6)*($F$6-$E$6)),$G$6-SQRT((1-P370)*($G$6-$E$6)*($G$6-$F$6))))</f>
        <v>0.995582714549989</v>
      </c>
      <c r="C370" s="37" t="n">
        <f aca="false">1+IF($G$7=$E$7,$F$7,IF(Q370&lt;($F$7-$E$7)/($G$7-$E$7),$E$7+SQRT(Q370*($G$7-$E$7)*($F$7-$E$7)),$G$7-SQRT((1-Q370)*($G$7-$E$7)*($G$7-$F$7))))</f>
        <v>0.975759477211355</v>
      </c>
      <c r="D370" s="37" t="n">
        <f aca="false">1+IF($G$8=$E$8,$F$8,IF(R370&lt;($F$8-$E$8)/($G$8-$E$8),$E$8+SQRT(R370*($G$8-$E$8)*($F$8-$E$8)),$G$8-SQRT((1-R370)*($G$8-$E$8)*($G$8-$F$8))))</f>
        <v>1.02494178883094</v>
      </c>
      <c r="E370" s="37" t="n">
        <f aca="false">1+IF($G$9=$E$9,$F$9,IF(S370&lt;($F$9-$E$9)/($G$9-$E$9),$E$9+SQRT(S370*($G$9-$E$9)*($F$9-$E$9)),$G$9-SQRT((1-S370)*($G$9-$E$9)*($G$9-$F$9))))</f>
        <v>0.987751560318185</v>
      </c>
      <c r="F370" s="37" t="n">
        <f aca="false">1+IF($G$10=$E$10,$F$10,IF(T370&lt;($F$10-$E$10)/($G$10-$E$10),$E$10+SQRT(T370*($G$10-$E$10)*($F$10-$E$10)),$G$10-SQRT((1-T370)*($G$10-$E$10)*($G$10-$F$10))))</f>
        <v>1.19627088655448</v>
      </c>
      <c r="G370" s="38" t="n">
        <f aca="false">IF($G$11=$E$11,$F$11,IF(U370&lt;($F$11-$E$11)/($G$11-$E$11),$E$11+SQRT(U370*($G$11-$E$11)*($F$11-$E$11)),$G$11-SQRT((1-U370)*($G$11-$E$11)*($G$11-$F$11))))</f>
        <v>0.122758748391675</v>
      </c>
      <c r="H370" s="39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-2392541773.10897</v>
      </c>
      <c r="I370" s="39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-26727879.1818649</v>
      </c>
      <c r="J370" s="39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256989532.277551</v>
      </c>
      <c r="K370" s="39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600520488.064691</v>
      </c>
      <c r="L370" s="39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728666245.290221</v>
      </c>
      <c r="M370" s="39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913319322.355039</v>
      </c>
      <c r="N370" s="39" t="n">
        <f aca="false">IF(COUNT('Business Case'!B11:G11)=0,"",H370+NPV(G370,I370:M370))</f>
        <v>-817734648.114408</v>
      </c>
      <c r="P370" s="40" t="n">
        <f aca="true">RAND()</f>
        <v>0.609070354716317</v>
      </c>
      <c r="Q370" s="40" t="n">
        <f aca="true">RAND()</f>
        <v>0.563283624236146</v>
      </c>
      <c r="R370" s="40" t="n">
        <f aca="true">RAND()</f>
        <v>0.62441766240675</v>
      </c>
      <c r="S370" s="40" t="n">
        <f aca="true">RAND()</f>
        <v>0.308013453531044</v>
      </c>
      <c r="T370" s="40" t="n">
        <f aca="true">RAND()</f>
        <v>0.961509098244783</v>
      </c>
      <c r="U370" s="40" t="n">
        <f aca="true">RAND()</f>
        <v>0.965042850096622</v>
      </c>
    </row>
    <row r="371" customFormat="false" ht="15" hidden="false" customHeight="false" outlineLevel="0" collapsed="false">
      <c r="A371" s="36" t="n">
        <v>291</v>
      </c>
      <c r="B371" s="37" t="n">
        <f aca="false">1+IF($G$6=$E$6,$F$6,IF(P371&lt;($F$6-$E$6)/($G$6-$E$6),$E$6+SQRT(P371*($G$6-$E$6)*($F$6-$E$6)),$G$6-SQRT((1-P371)*($G$6-$E$6)*($G$6-$F$6))))</f>
        <v>1.00488047717406</v>
      </c>
      <c r="C371" s="37" t="n">
        <f aca="false">1+IF($G$7=$E$7,$F$7,IF(Q371&lt;($F$7-$E$7)/($G$7-$E$7),$E$7+SQRT(Q371*($G$7-$E$7)*($F$7-$E$7)),$G$7-SQRT((1-Q371)*($G$7-$E$7)*($G$7-$F$7))))</f>
        <v>0.955141794028959</v>
      </c>
      <c r="D371" s="37" t="n">
        <f aca="false">1+IF($G$8=$E$8,$F$8,IF(R371&lt;($F$8-$E$8)/($G$8-$E$8),$E$8+SQRT(R371*($G$8-$E$8)*($F$8-$E$8)),$G$8-SQRT((1-R371)*($G$8-$E$8)*($G$8-$F$8))))</f>
        <v>0.995770890869409</v>
      </c>
      <c r="E371" s="37" t="n">
        <f aca="false">1+IF($G$9=$E$9,$F$9,IF(S371&lt;($F$9-$E$9)/($G$9-$E$9),$E$9+SQRT(S371*($G$9-$E$9)*($F$9-$E$9)),$G$9-SQRT((1-S371)*($G$9-$E$9)*($G$9-$F$9))))</f>
        <v>0.995073130936113</v>
      </c>
      <c r="F371" s="37" t="n">
        <f aca="false">1+IF($G$10=$E$10,$F$10,IF(T371&lt;($F$10-$E$10)/($G$10-$E$10),$E$10+SQRT(T371*($G$10-$E$10)*($F$10-$E$10)),$G$10-SQRT((1-T371)*($G$10-$E$10)*($G$10-$F$10))))</f>
        <v>1.01827400800487</v>
      </c>
      <c r="G371" s="38" t="n">
        <f aca="false">IF($G$11=$E$11,$F$11,IF(U371&lt;($F$11-$E$11)/($G$11-$E$11),$E$11+SQRT(U371*($G$11-$E$11)*($F$11-$E$11)),$G$11-SQRT((1-U371)*($G$11-$E$11)*($G$11-$F$11))))</f>
        <v>0.103556945006495</v>
      </c>
      <c r="H371" s="39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-2036548016.00974</v>
      </c>
      <c r="I371" s="39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6176699.35645384</v>
      </c>
      <c r="J371" s="39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305436403.96897</v>
      </c>
      <c r="K371" s="39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655609808.98173</v>
      </c>
      <c r="L371" s="39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788533847.343543</v>
      </c>
      <c r="M371" s="39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970973266.543899</v>
      </c>
      <c r="N371" s="39" t="n">
        <f aca="false">IF(COUNT('Business Case'!B11:G11)=0,"",H371+NPV(G371,I371:M371))</f>
        <v>-167413711.968868</v>
      </c>
      <c r="P371" s="40" t="n">
        <f aca="true">RAND()</f>
        <v>0.728563821327986</v>
      </c>
      <c r="Q371" s="40" t="n">
        <f aca="true">RAND()</f>
        <v>0.482202481928265</v>
      </c>
      <c r="R371" s="40" t="n">
        <f aca="true">RAND()</f>
        <v>0.279329926797251</v>
      </c>
      <c r="S371" s="40" t="n">
        <f aca="true">RAND()</f>
        <v>0.361556009039807</v>
      </c>
      <c r="T371" s="40" t="n">
        <f aca="true">RAND()</f>
        <v>0.284040861784958</v>
      </c>
      <c r="U371" s="40" t="n">
        <f aca="true">RAND()</f>
        <v>0.533843228406962</v>
      </c>
    </row>
    <row r="372" customFormat="false" ht="15" hidden="false" customHeight="false" outlineLevel="0" collapsed="false">
      <c r="A372" s="36" t="n">
        <v>292</v>
      </c>
      <c r="B372" s="37" t="n">
        <f aca="false">1+IF($G$6=$E$6,$F$6,IF(P372&lt;($F$6-$E$6)/($G$6-$E$6),$E$6+SQRT(P372*($G$6-$E$6)*($F$6-$E$6)),$G$6-SQRT((1-P372)*($G$6-$E$6)*($G$6-$F$6))))</f>
        <v>0.935120884168001</v>
      </c>
      <c r="C372" s="37" t="n">
        <f aca="false">1+IF($G$7=$E$7,$F$7,IF(Q372&lt;($F$7-$E$7)/($G$7-$E$7),$E$7+SQRT(Q372*($G$7-$E$7)*($F$7-$E$7)),$G$7-SQRT((1-Q372)*($G$7-$E$7)*($G$7-$F$7))))</f>
        <v>1.05237532241324</v>
      </c>
      <c r="D372" s="37" t="n">
        <f aca="false">1+IF($G$8=$E$8,$F$8,IF(R372&lt;($F$8-$E$8)/($G$8-$E$8),$E$8+SQRT(R372*($G$8-$E$8)*($F$8-$E$8)),$G$8-SQRT((1-R372)*($G$8-$E$8)*($G$8-$F$8))))</f>
        <v>1.03216239599206</v>
      </c>
      <c r="E372" s="37" t="n">
        <f aca="false">1+IF($G$9=$E$9,$F$9,IF(S372&lt;($F$9-$E$9)/($G$9-$E$9),$E$9+SQRT(S372*($G$9-$E$9)*($F$9-$E$9)),$G$9-SQRT((1-S372)*($G$9-$E$9)*($G$9-$F$9))))</f>
        <v>0.961143265272988</v>
      </c>
      <c r="F372" s="37" t="n">
        <f aca="false">1+IF($G$10=$E$10,$F$10,IF(T372&lt;($F$10-$E$10)/($G$10-$E$10),$E$10+SQRT(T372*($G$10-$E$10)*($F$10-$E$10)),$G$10-SQRT((1-T372)*($G$10-$E$10)*($G$10-$F$10))))</f>
        <v>1.05309115291114</v>
      </c>
      <c r="G372" s="38" t="n">
        <f aca="false">IF($G$11=$E$11,$F$11,IF(U372&lt;($F$11-$E$11)/($G$11-$E$11),$E$11+SQRT(U372*($G$11-$E$11)*($F$11-$E$11)),$G$11-SQRT((1-U372)*($G$11-$E$11)*($G$11-$F$11))))</f>
        <v>0.114689481618234</v>
      </c>
      <c r="H372" s="39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-2106182305.82228</v>
      </c>
      <c r="I372" s="39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-43010988.1166566</v>
      </c>
      <c r="J372" s="39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206977359.05943</v>
      </c>
      <c r="K372" s="39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509620263.881074</v>
      </c>
      <c r="L372" s="39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626960144.72631</v>
      </c>
      <c r="M372" s="39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814017519.552282</v>
      </c>
      <c r="N372" s="39" t="n">
        <f aca="false">IF(COUNT('Business Case'!B11:G11)=0,"",H372+NPV(G372,I372:M372))</f>
        <v>-731148905.77824</v>
      </c>
      <c r="P372" s="40" t="n">
        <f aca="true">RAND()</f>
        <v>0.0822317669828078</v>
      </c>
      <c r="Q372" s="40" t="n">
        <f aca="true">RAND()</f>
        <v>0.858806256682688</v>
      </c>
      <c r="R372" s="40" t="n">
        <f aca="true">RAND()</f>
        <v>0.693203965497436</v>
      </c>
      <c r="S372" s="40" t="n">
        <f aca="true">RAND()</f>
        <v>0.149539955529718</v>
      </c>
      <c r="T372" s="40" t="n">
        <f aca="true">RAND()</f>
        <v>0.483025412508467</v>
      </c>
      <c r="U372" s="40" t="n">
        <f aca="true">RAND()</f>
        <v>0.843725351254404</v>
      </c>
    </row>
    <row r="373" customFormat="false" ht="15" hidden="false" customHeight="false" outlineLevel="0" collapsed="false">
      <c r="A373" s="36" t="n">
        <v>293</v>
      </c>
      <c r="B373" s="37" t="n">
        <f aca="false">1+IF($G$6=$E$6,$F$6,IF(P373&lt;($F$6-$E$6)/($G$6-$E$6),$E$6+SQRT(P373*($G$6-$E$6)*($F$6-$E$6)),$G$6-SQRT((1-P373)*($G$6-$E$6)*($G$6-$F$6))))</f>
        <v>0.963572243031533</v>
      </c>
      <c r="C373" s="37" t="n">
        <f aca="false">1+IF($G$7=$E$7,$F$7,IF(Q373&lt;($F$7-$E$7)/($G$7-$E$7),$E$7+SQRT(Q373*($G$7-$E$7)*($F$7-$E$7)),$G$7-SQRT((1-Q373)*($G$7-$E$7)*($G$7-$F$7))))</f>
        <v>0.969825821287509</v>
      </c>
      <c r="D373" s="37" t="n">
        <f aca="false">1+IF($G$8=$E$8,$F$8,IF(R373&lt;($F$8-$E$8)/($G$8-$E$8),$E$8+SQRT(R373*($G$8-$E$8)*($F$8-$E$8)),$G$8-SQRT((1-R373)*($G$8-$E$8)*($G$8-$F$8))))</f>
        <v>1.00664094197516</v>
      </c>
      <c r="E373" s="37" t="n">
        <f aca="false">1+IF($G$9=$E$9,$F$9,IF(S373&lt;($F$9-$E$9)/($G$9-$E$9),$E$9+SQRT(S373*($G$9-$E$9)*($F$9-$E$9)),$G$9-SQRT((1-S373)*($G$9-$E$9)*($G$9-$F$9))))</f>
        <v>1.03520168257386</v>
      </c>
      <c r="F373" s="37" t="n">
        <f aca="false">1+IF($G$10=$E$10,$F$10,IF(T373&lt;($F$10-$E$10)/($G$10-$E$10),$E$10+SQRT(T373*($G$10-$E$10)*($F$10-$E$10)),$G$10-SQRT((1-T373)*($G$10-$E$10)*($G$10-$F$10))))</f>
        <v>0.974924981784505</v>
      </c>
      <c r="G373" s="38" t="n">
        <f aca="false">IF($G$11=$E$11,$F$11,IF(U373&lt;($F$11-$E$11)/($G$11-$E$11),$E$11+SQRT(U373*($G$11-$E$11)*($F$11-$E$11)),$G$11-SQRT((1-U373)*($G$11-$E$11)*($G$11-$F$11))))</f>
        <v>0.105366801256935</v>
      </c>
      <c r="H373" s="39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-1949849963.56901</v>
      </c>
      <c r="I373" s="39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-27492273.8665269</v>
      </c>
      <c r="J373" s="39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238157966.731016</v>
      </c>
      <c r="K373" s="39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552554456.417784</v>
      </c>
      <c r="L373" s="39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673400761.299375</v>
      </c>
      <c r="M373" s="39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851029997.052634</v>
      </c>
      <c r="N373" s="39" t="n">
        <f aca="false">IF(COUNT('Business Case'!B11:G11)=0,"",H373+NPV(G373,I373:M373))</f>
        <v>-403885881.941185</v>
      </c>
      <c r="P373" s="40" t="n">
        <f aca="true">RAND()</f>
        <v>0.26942867227069</v>
      </c>
      <c r="Q373" s="40" t="n">
        <f aca="true">RAND()</f>
        <v>0.539303509877621</v>
      </c>
      <c r="R373" s="40" t="n">
        <f aca="true">RAND()</f>
        <v>0.418939085647588</v>
      </c>
      <c r="S373" s="40" t="n">
        <f aca="true">RAND()</f>
        <v>0.648569235096725</v>
      </c>
      <c r="T373" s="40" t="n">
        <f aca="true">RAND()</f>
        <v>0.0414169811305272</v>
      </c>
      <c r="U373" s="40" t="n">
        <f aca="true">RAND()</f>
        <v>0.595470346456453</v>
      </c>
    </row>
    <row r="374" customFormat="false" ht="15" hidden="false" customHeight="false" outlineLevel="0" collapsed="false">
      <c r="A374" s="36" t="n">
        <v>294</v>
      </c>
      <c r="B374" s="37" t="n">
        <f aca="false">1+IF($G$6=$E$6,$F$6,IF(P374&lt;($F$6-$E$6)/($G$6-$E$6),$E$6+SQRT(P374*($G$6-$E$6)*($F$6-$E$6)),$G$6-SQRT((1-P374)*($G$6-$E$6)*($G$6-$F$6))))</f>
        <v>0.991744790588305</v>
      </c>
      <c r="C374" s="37" t="n">
        <f aca="false">1+IF($G$7=$E$7,$F$7,IF(Q374&lt;($F$7-$E$7)/($G$7-$E$7),$E$7+SQRT(Q374*($G$7-$E$7)*($F$7-$E$7)),$G$7-SQRT((1-Q374)*($G$7-$E$7)*($G$7-$F$7))))</f>
        <v>0.78686416328809</v>
      </c>
      <c r="D374" s="37" t="n">
        <f aca="false">1+IF($G$8=$E$8,$F$8,IF(R374&lt;($F$8-$E$8)/($G$8-$E$8),$E$8+SQRT(R374*($G$8-$E$8)*($F$8-$E$8)),$G$8-SQRT((1-R374)*($G$8-$E$8)*($G$8-$F$8))))</f>
        <v>1.02455580719276</v>
      </c>
      <c r="E374" s="37" t="n">
        <f aca="false">1+IF($G$9=$E$9,$F$9,IF(S374&lt;($F$9-$E$9)/($G$9-$E$9),$E$9+SQRT(S374*($G$9-$E$9)*($F$9-$E$9)),$G$9-SQRT((1-S374)*($G$9-$E$9)*($G$9-$F$9))))</f>
        <v>0.97371279231756</v>
      </c>
      <c r="F374" s="37" t="n">
        <f aca="false">1+IF($G$10=$E$10,$F$10,IF(T374&lt;($F$10-$E$10)/($G$10-$E$10),$E$10+SQRT(T374*($G$10-$E$10)*($F$10-$E$10)),$G$10-SQRT((1-T374)*($G$10-$E$10)*($G$10-$F$10))))</f>
        <v>1.19851330261184</v>
      </c>
      <c r="G374" s="38" t="n">
        <f aca="false">IF($G$11=$E$11,$F$11,IF(U374&lt;($F$11-$E$11)/($G$11-$E$11),$E$11+SQRT(U374*($G$11-$E$11)*($F$11-$E$11)),$G$11-SQRT((1-U374)*($G$11-$E$11)*($G$11-$F$11))))</f>
        <v>0.12082525372599</v>
      </c>
      <c r="H374" s="39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-2397026605.22369</v>
      </c>
      <c r="I374" s="39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-72292518.3884904</v>
      </c>
      <c r="J374" s="39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154182552.213949</v>
      </c>
      <c r="K374" s="39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440583287.94698</v>
      </c>
      <c r="L374" s="39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543044511.255918</v>
      </c>
      <c r="M374" s="39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691376943.350608</v>
      </c>
      <c r="N374" s="39" t="n">
        <f aca="false">IF(COUNT('Business Case'!B11:G11)=0,"",H374+NPV(G374,I374:M374))</f>
        <v>-1290924205.07369</v>
      </c>
      <c r="P374" s="40" t="n">
        <f aca="true">RAND()</f>
        <v>0.561140440006131</v>
      </c>
      <c r="Q374" s="40" t="n">
        <f aca="true">RAND()</f>
        <v>0.0558917249165924</v>
      </c>
      <c r="R374" s="40" t="n">
        <f aca="true">RAND()</f>
        <v>0.620544918110975</v>
      </c>
      <c r="S374" s="40" t="n">
        <f aca="true">RAND()</f>
        <v>0.217343030050071</v>
      </c>
      <c r="T374" s="40" t="n">
        <f aca="true">RAND()</f>
        <v>0.964654933227472</v>
      </c>
      <c r="U374" s="40" t="n">
        <f aca="true">RAND()</f>
        <v>0.943882687205031</v>
      </c>
    </row>
    <row r="375" customFormat="false" ht="15" hidden="false" customHeight="false" outlineLevel="0" collapsed="false">
      <c r="A375" s="36" t="n">
        <v>295</v>
      </c>
      <c r="B375" s="37" t="n">
        <f aca="false">1+IF($G$6=$E$6,$F$6,IF(P375&lt;($F$6-$E$6)/($G$6-$E$6),$E$6+SQRT(P375*($G$6-$E$6)*($F$6-$E$6)),$G$6-SQRT((1-P375)*($G$6-$E$6)*($G$6-$F$6))))</f>
        <v>0.935600244591037</v>
      </c>
      <c r="C375" s="37" t="n">
        <f aca="false">1+IF($G$7=$E$7,$F$7,IF(Q375&lt;($F$7-$E$7)/($G$7-$E$7),$E$7+SQRT(Q375*($G$7-$E$7)*($F$7-$E$7)),$G$7-SQRT((1-Q375)*($G$7-$E$7)*($G$7-$F$7))))</f>
        <v>0.92457813118317</v>
      </c>
      <c r="D375" s="37" t="n">
        <f aca="false">1+IF($G$8=$E$8,$F$8,IF(R375&lt;($F$8-$E$8)/($G$8-$E$8),$E$8+SQRT(R375*($G$8-$E$8)*($F$8-$E$8)),$G$8-SQRT((1-R375)*($G$8-$E$8)*($G$8-$F$8))))</f>
        <v>1.03496761044285</v>
      </c>
      <c r="E375" s="37" t="n">
        <f aca="false">1+IF($G$9=$E$9,$F$9,IF(S375&lt;($F$9-$E$9)/($G$9-$E$9),$E$9+SQRT(S375*($G$9-$E$9)*($F$9-$E$9)),$G$9-SQRT((1-S375)*($G$9-$E$9)*($G$9-$F$9))))</f>
        <v>0.941270517460083</v>
      </c>
      <c r="F375" s="37" t="n">
        <f aca="false">1+IF($G$10=$E$10,$F$10,IF(T375&lt;($F$10-$E$10)/($G$10-$E$10),$E$10+SQRT(T375*($G$10-$E$10)*($F$10-$E$10)),$G$10-SQRT((1-T375)*($G$10-$E$10)*($G$10-$F$10))))</f>
        <v>1.03575103453515</v>
      </c>
      <c r="G375" s="38" t="n">
        <f aca="false">IF($G$11=$E$11,$F$11,IF(U375&lt;($F$11-$E$11)/($G$11-$E$11),$E$11+SQRT(U375*($G$11-$E$11)*($F$11-$E$11)),$G$11-SQRT((1-U375)*($G$11-$E$11)*($G$11-$F$11))))</f>
        <v>0.0921830388870048</v>
      </c>
      <c r="H375" s="39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-2071502069.07029</v>
      </c>
      <c r="I375" s="39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-63601392.5038083</v>
      </c>
      <c r="J375" s="39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155064427.679895</v>
      </c>
      <c r="K375" s="39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425517799.590356</v>
      </c>
      <c r="L375" s="39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528302034.085706</v>
      </c>
      <c r="M375" s="39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692727986.806675</v>
      </c>
      <c r="N375" s="39" t="n">
        <f aca="false">IF(COUNT('Business Case'!B11:G11)=0,"",H375+NPV(G375,I375:M375))</f>
        <v>-856107203.509861</v>
      </c>
      <c r="P375" s="40" t="n">
        <f aca="true">RAND()</f>
        <v>0.0844918276627747</v>
      </c>
      <c r="Q375" s="40" t="n">
        <f aca="true">RAND()</f>
        <v>0.373595088931297</v>
      </c>
      <c r="R375" s="40" t="n">
        <f aca="true">RAND()</f>
        <v>0.718052553899168</v>
      </c>
      <c r="S375" s="40" t="n">
        <f aca="true">RAND()</f>
        <v>0.0681302244569211</v>
      </c>
      <c r="T375" s="40" t="n">
        <f aca="true">RAND()</f>
        <v>0.387965077296528</v>
      </c>
      <c r="U375" s="40" t="n">
        <f aca="true">RAND()</f>
        <v>0.148426436522271</v>
      </c>
    </row>
    <row r="376" customFormat="false" ht="15" hidden="false" customHeight="false" outlineLevel="0" collapsed="false">
      <c r="A376" s="36" t="n">
        <v>296</v>
      </c>
      <c r="B376" s="37" t="n">
        <f aca="false">1+IF($G$6=$E$6,$F$6,IF(P376&lt;($F$6-$E$6)/($G$6-$E$6),$E$6+SQRT(P376*($G$6-$E$6)*($F$6-$E$6)),$G$6-SQRT((1-P376)*($G$6-$E$6)*($G$6-$F$6))))</f>
        <v>0.985296014756852</v>
      </c>
      <c r="C376" s="37" t="n">
        <f aca="false">1+IF($G$7=$E$7,$F$7,IF(Q376&lt;($F$7-$E$7)/($G$7-$E$7),$E$7+SQRT(Q376*($G$7-$E$7)*($F$7-$E$7)),$G$7-SQRT((1-Q376)*($G$7-$E$7)*($G$7-$F$7))))</f>
        <v>1.06500138152767</v>
      </c>
      <c r="D376" s="37" t="n">
        <f aca="false">1+IF($G$8=$E$8,$F$8,IF(R376&lt;($F$8-$E$8)/($G$8-$E$8),$E$8+SQRT(R376*($G$8-$E$8)*($F$8-$E$8)),$G$8-SQRT((1-R376)*($G$8-$E$8)*($G$8-$F$8))))</f>
        <v>0.985484991071894</v>
      </c>
      <c r="E376" s="37" t="n">
        <f aca="false">1+IF($G$9=$E$9,$F$9,IF(S376&lt;($F$9-$E$9)/($G$9-$E$9),$E$9+SQRT(S376*($G$9-$E$9)*($F$9-$E$9)),$G$9-SQRT((1-S376)*($G$9-$E$9)*($G$9-$F$9))))</f>
        <v>0.999055958175867</v>
      </c>
      <c r="F376" s="37" t="n">
        <f aca="false">1+IF($G$10=$E$10,$F$10,IF(T376&lt;($F$10-$E$10)/($G$10-$E$10),$E$10+SQRT(T376*($G$10-$E$10)*($F$10-$E$10)),$G$10-SQRT((1-T376)*($G$10-$E$10)*($G$10-$F$10))))</f>
        <v>1.13772447414894</v>
      </c>
      <c r="G376" s="38" t="n">
        <f aca="false">IF($G$11=$E$11,$F$11,IF(U376&lt;($F$11-$E$11)/($G$11-$E$11),$E$11+SQRT(U376*($G$11-$E$11)*($F$11-$E$11)),$G$11-SQRT((1-U376)*($G$11-$E$11)*($G$11-$F$11))))</f>
        <v>0.10299122358218</v>
      </c>
      <c r="H376" s="39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-2275448948.29789</v>
      </c>
      <c r="I376" s="39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11968273.1961324</v>
      </c>
      <c r="J376" s="39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334172620.481406</v>
      </c>
      <c r="K376" s="39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713263191.474126</v>
      </c>
      <c r="L376" s="39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856929886.85031</v>
      </c>
      <c r="M376" s="39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1056388741.39632</v>
      </c>
      <c r="N376" s="39" t="n">
        <f aca="false">IF(COUNT('Business Case'!B11:G11)=0,"",H376+NPV(G376,I376:M376))</f>
        <v>-232321680.710889</v>
      </c>
      <c r="P376" s="40" t="n">
        <f aca="true">RAND()</f>
        <v>0.485027342226745</v>
      </c>
      <c r="Q376" s="40" t="n">
        <f aca="true">RAND()</f>
        <v>0.892966442337702</v>
      </c>
      <c r="R376" s="40" t="n">
        <f aca="true">RAND()</f>
        <v>0.167891278849656</v>
      </c>
      <c r="S376" s="40" t="n">
        <f aca="true">RAND()</f>
        <v>0.392483314005565</v>
      </c>
      <c r="T376" s="40" t="n">
        <f aca="true">RAND()</f>
        <v>0.831922750598249</v>
      </c>
      <c r="U376" s="40" t="n">
        <f aca="true">RAND()</f>
        <v>0.513683997608155</v>
      </c>
    </row>
    <row r="377" customFormat="false" ht="15" hidden="false" customHeight="false" outlineLevel="0" collapsed="false">
      <c r="A377" s="36" t="n">
        <v>297</v>
      </c>
      <c r="B377" s="37" t="n">
        <f aca="false">1+IF($G$6=$E$6,$F$6,IF(P377&lt;($F$6-$E$6)/($G$6-$E$6),$E$6+SQRT(P377*($G$6-$E$6)*($F$6-$E$6)),$G$6-SQRT((1-P377)*($G$6-$E$6)*($G$6-$F$6))))</f>
        <v>0.942763599309664</v>
      </c>
      <c r="C377" s="37" t="n">
        <f aca="false">1+IF($G$7=$E$7,$F$7,IF(Q377&lt;($F$7-$E$7)/($G$7-$E$7),$E$7+SQRT(Q377*($G$7-$E$7)*($F$7-$E$7)),$G$7-SQRT((1-Q377)*($G$7-$E$7)*($G$7-$F$7))))</f>
        <v>0.987828131566096</v>
      </c>
      <c r="D377" s="37" t="n">
        <f aca="false">1+IF($G$8=$E$8,$F$8,IF(R377&lt;($F$8-$E$8)/($G$8-$E$8),$E$8+SQRT(R377*($G$8-$E$8)*($F$8-$E$8)),$G$8-SQRT((1-R377)*($G$8-$E$8)*($G$8-$F$8))))</f>
        <v>0.989908305998999</v>
      </c>
      <c r="E377" s="37" t="n">
        <f aca="false">1+IF($G$9=$E$9,$F$9,IF(S377&lt;($F$9-$E$9)/($G$9-$E$9),$E$9+SQRT(S377*($G$9-$E$9)*($F$9-$E$9)),$G$9-SQRT((1-S377)*($G$9-$E$9)*($G$9-$F$9))))</f>
        <v>1.01363130398155</v>
      </c>
      <c r="F377" s="37" t="n">
        <f aca="false">1+IF($G$10=$E$10,$F$10,IF(T377&lt;($F$10-$E$10)/($G$10-$E$10),$E$10+SQRT(T377*($G$10-$E$10)*($F$10-$E$10)),$G$10-SQRT((1-T377)*($G$10-$E$10)*($G$10-$F$10))))</f>
        <v>1.00310848059209</v>
      </c>
      <c r="G377" s="38" t="n">
        <f aca="false">IF($G$11=$E$11,$F$11,IF(U377&lt;($F$11-$E$11)/($G$11-$E$11),$E$11+SQRT(U377*($G$11-$E$11)*($F$11-$E$11)),$G$11-SQRT((1-U377)*($G$11-$E$11)*($G$11-$F$11))))</f>
        <v>0.114909733944509</v>
      </c>
      <c r="H377" s="39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-2006216961.18417</v>
      </c>
      <c r="I377" s="39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-30520672.7773049</v>
      </c>
      <c r="J377" s="39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231685864.836364</v>
      </c>
      <c r="K377" s="39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544047826.479637</v>
      </c>
      <c r="L377" s="39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663635332.954585</v>
      </c>
      <c r="M377" s="39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840654632.941743</v>
      </c>
      <c r="N377" s="39" t="n">
        <f aca="false">IF(COUNT('Business Case'!B11:G11)=0,"",H377+NPV(G377,I377:M377))</f>
        <v>-537125694.515405</v>
      </c>
      <c r="P377" s="40" t="n">
        <f aca="true">RAND()</f>
        <v>0.121915028394498</v>
      </c>
      <c r="Q377" s="40" t="n">
        <f aca="true">RAND()</f>
        <v>0.613666913487627</v>
      </c>
      <c r="R377" s="40" t="n">
        <f aca="true">RAND()</f>
        <v>0.212356385027968</v>
      </c>
      <c r="S377" s="40" t="n">
        <f aca="true">RAND()</f>
        <v>0.504095433232741</v>
      </c>
      <c r="T377" s="40" t="n">
        <f aca="true">RAND()</f>
        <v>0.187261035259355</v>
      </c>
      <c r="U377" s="40" t="n">
        <f aca="true">RAND()</f>
        <v>0.848189246916335</v>
      </c>
    </row>
    <row r="378" customFormat="false" ht="15" hidden="false" customHeight="false" outlineLevel="0" collapsed="false">
      <c r="A378" s="36" t="n">
        <v>298</v>
      </c>
      <c r="B378" s="37" t="n">
        <f aca="false">1+IF($G$6=$E$6,$F$6,IF(P378&lt;($F$6-$E$6)/($G$6-$E$6),$E$6+SQRT(P378*($G$6-$E$6)*($F$6-$E$6)),$G$6-SQRT((1-P378)*($G$6-$E$6)*($G$6-$F$6))))</f>
        <v>0.994267761995683</v>
      </c>
      <c r="C378" s="37" t="n">
        <f aca="false">1+IF($G$7=$E$7,$F$7,IF(Q378&lt;($F$7-$E$7)/($G$7-$E$7),$E$7+SQRT(Q378*($G$7-$E$7)*($F$7-$E$7)),$G$7-SQRT((1-Q378)*($G$7-$E$7)*($G$7-$F$7))))</f>
        <v>1.0155324780219</v>
      </c>
      <c r="D378" s="37" t="n">
        <f aca="false">1+IF($G$8=$E$8,$F$8,IF(R378&lt;($F$8-$E$8)/($G$8-$E$8),$E$8+SQRT(R378*($G$8-$E$8)*($F$8-$E$8)),$G$8-SQRT((1-R378)*($G$8-$E$8)*($G$8-$F$8))))</f>
        <v>1.02364831407119</v>
      </c>
      <c r="E378" s="37" t="n">
        <f aca="false">1+IF($G$9=$E$9,$F$9,IF(S378&lt;($F$9-$E$9)/($G$9-$E$9),$E$9+SQRT(S378*($G$9-$E$9)*($F$9-$E$9)),$G$9-SQRT((1-S378)*($G$9-$E$9)*($G$9-$F$9))))</f>
        <v>0.967598098842279</v>
      </c>
      <c r="F378" s="37" t="n">
        <f aca="false">1+IF($G$10=$E$10,$F$10,IF(T378&lt;($F$10-$E$10)/($G$10-$E$10),$E$10+SQRT(T378*($G$10-$E$10)*($F$10-$E$10)),$G$10-SQRT((1-T378)*($G$10-$E$10)*($G$10-$F$10))))</f>
        <v>1.22823592416824</v>
      </c>
      <c r="G378" s="38" t="n">
        <f aca="false">IF($G$11=$E$11,$F$11,IF(U378&lt;($F$11-$E$11)/($G$11-$E$11),$E$11+SQRT(U378*($G$11-$E$11)*($F$11-$E$11)),$G$11-SQRT((1-U378)*($G$11-$E$11)*($G$11-$F$11))))</f>
        <v>0.12286492274758</v>
      </c>
      <c r="H378" s="39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-2456471848.33648</v>
      </c>
      <c r="I378" s="39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-17898763.4498397</v>
      </c>
      <c r="J378" s="39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276961943.996003</v>
      </c>
      <c r="K378" s="39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633234447.650258</v>
      </c>
      <c r="L378" s="39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766416969.347863</v>
      </c>
      <c r="M378" s="39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958342875.033981</v>
      </c>
      <c r="N378" s="39" t="n">
        <f aca="false">IF(COUNT('Business Case'!B11:G11)=0,"",H378+NPV(G378,I378:M378))</f>
        <v>-786454948.247192</v>
      </c>
      <c r="P378" s="40" t="n">
        <f aca="true">RAND()</f>
        <v>0.592427396778318</v>
      </c>
      <c r="Q378" s="40" t="n">
        <f aca="true">RAND()</f>
        <v>0.732125711601013</v>
      </c>
      <c r="R378" s="40" t="n">
        <f aca="true">RAND()</f>
        <v>0.61136133705521</v>
      </c>
      <c r="S378" s="40" t="n">
        <f aca="true">RAND()</f>
        <v>0.18278011868362</v>
      </c>
      <c r="T378" s="40" t="n">
        <f aca="true">RAND()</f>
        <v>0.993684333375859</v>
      </c>
      <c r="U378" s="40" t="n">
        <f aca="true">RAND()</f>
        <v>0.966060448401331</v>
      </c>
    </row>
    <row r="379" customFormat="false" ht="15" hidden="false" customHeight="false" outlineLevel="0" collapsed="false">
      <c r="A379" s="36" t="n">
        <v>299</v>
      </c>
      <c r="B379" s="37" t="n">
        <f aca="false">1+IF($G$6=$E$6,$F$6,IF(P379&lt;($F$6-$E$6)/($G$6-$E$6),$E$6+SQRT(P379*($G$6-$E$6)*($F$6-$E$6)),$G$6-SQRT((1-P379)*($G$6-$E$6)*($G$6-$F$6))))</f>
        <v>0.976880041679598</v>
      </c>
      <c r="C379" s="37" t="n">
        <f aca="false">1+IF($G$7=$E$7,$F$7,IF(Q379&lt;($F$7-$E$7)/($G$7-$E$7),$E$7+SQRT(Q379*($G$7-$E$7)*($F$7-$E$7)),$G$7-SQRT((1-Q379)*($G$7-$E$7)*($G$7-$F$7))))</f>
        <v>0.918196730810705</v>
      </c>
      <c r="D379" s="37" t="n">
        <f aca="false">1+IF($G$8=$E$8,$F$8,IF(R379&lt;($F$8-$E$8)/($G$8-$E$8),$E$8+SQRT(R379*($G$8-$E$8)*($F$8-$E$8)),$G$8-SQRT((1-R379)*($G$8-$E$8)*($G$8-$F$8))))</f>
        <v>0.975161693924188</v>
      </c>
      <c r="E379" s="37" t="n">
        <f aca="false">1+IF($G$9=$E$9,$F$9,IF(S379&lt;($F$9-$E$9)/($G$9-$E$9),$E$9+SQRT(S379*($G$9-$E$9)*($F$9-$E$9)),$G$9-SQRT((1-S379)*($G$9-$E$9)*($G$9-$F$9))))</f>
        <v>0.968706642666745</v>
      </c>
      <c r="F379" s="37" t="n">
        <f aca="false">1+IF($G$10=$E$10,$F$10,IF(T379&lt;($F$10-$E$10)/($G$10-$E$10),$E$10+SQRT(T379*($G$10-$E$10)*($F$10-$E$10)),$G$10-SQRT((1-T379)*($G$10-$E$10)*($G$10-$F$10))))</f>
        <v>0.984195720792643</v>
      </c>
      <c r="G379" s="38" t="n">
        <f aca="false">IF($G$11=$E$11,$F$11,IF(U379&lt;($F$11-$E$11)/($G$11-$E$11),$E$11+SQRT(U379*($G$11-$E$11)*($F$11-$E$11)),$G$11-SQRT((1-U379)*($G$11-$E$11)*($G$11-$F$11))))</f>
        <v>0.0979355392025194</v>
      </c>
      <c r="H379" s="39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-1968391441.58529</v>
      </c>
      <c r="I379" s="39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-6355249.36341727</v>
      </c>
      <c r="J379" s="39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269957982.204485</v>
      </c>
      <c r="K379" s="39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595480999.81202</v>
      </c>
      <c r="L379" s="39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718584626.511216</v>
      </c>
      <c r="M379" s="39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889080315.482312</v>
      </c>
      <c r="N379" s="39" t="n">
        <f aca="false">IF(COUNT('Business Case'!B11:G11)=0,"",H379+NPV(G379,I379:M379))</f>
        <v>-248548629.474299</v>
      </c>
      <c r="P379" s="40" t="n">
        <f aca="true">RAND()</f>
        <v>0.394036053910453</v>
      </c>
      <c r="Q379" s="40" t="n">
        <f aca="true">RAND()</f>
        <v>0.352665283973921</v>
      </c>
      <c r="R379" s="40" t="n">
        <f aca="true">RAND()</f>
        <v>0.0844147788179363</v>
      </c>
      <c r="S379" s="40" t="n">
        <f aca="true">RAND()</f>
        <v>0.188824109861431</v>
      </c>
      <c r="T379" s="40" t="n">
        <f aca="true">RAND()</f>
        <v>0.0779564880352254</v>
      </c>
      <c r="U379" s="40" t="n">
        <f aca="true">RAND()</f>
        <v>0.321683566485111</v>
      </c>
    </row>
    <row r="380" customFormat="false" ht="15" hidden="false" customHeight="false" outlineLevel="0" collapsed="false">
      <c r="A380" s="36" t="n">
        <v>300</v>
      </c>
      <c r="B380" s="37" t="n">
        <f aca="false">1+IF($G$6=$E$6,$F$6,IF(P380&lt;($F$6-$E$6)/($G$6-$E$6),$E$6+SQRT(P380*($G$6-$E$6)*($F$6-$E$6)),$G$6-SQRT((1-P380)*($G$6-$E$6)*($G$6-$F$6))))</f>
        <v>0.962039999735703</v>
      </c>
      <c r="C380" s="37" t="n">
        <f aca="false">1+IF($G$7=$E$7,$F$7,IF(Q380&lt;($F$7-$E$7)/($G$7-$E$7),$E$7+SQRT(Q380*($G$7-$E$7)*($F$7-$E$7)),$G$7-SQRT((1-Q380)*($G$7-$E$7)*($G$7-$F$7))))</f>
        <v>1.01203477472481</v>
      </c>
      <c r="D380" s="37" t="n">
        <f aca="false">1+IF($G$8=$E$8,$F$8,IF(R380&lt;($F$8-$E$8)/($G$8-$E$8),$E$8+SQRT(R380*($G$8-$E$8)*($F$8-$E$8)),$G$8-SQRT((1-R380)*($G$8-$E$8)*($G$8-$F$8))))</f>
        <v>1.00282484659582</v>
      </c>
      <c r="E380" s="37" t="n">
        <f aca="false">1+IF($G$9=$E$9,$F$9,IF(S380&lt;($F$9-$E$9)/($G$9-$E$9),$E$9+SQRT(S380*($G$9-$E$9)*($F$9-$E$9)),$G$9-SQRT((1-S380)*($G$9-$E$9)*($G$9-$F$9))))</f>
        <v>1.02916568840108</v>
      </c>
      <c r="F380" s="37" t="n">
        <f aca="false">1+IF($G$10=$E$10,$F$10,IF(T380&lt;($F$10-$E$10)/($G$10-$E$10),$E$10+SQRT(T380*($G$10-$E$10)*($F$10-$E$10)),$G$10-SQRT((1-T380)*($G$10-$E$10)*($G$10-$F$10))))</f>
        <v>1.04555896777506</v>
      </c>
      <c r="G380" s="38" t="n">
        <f aca="false">IF($G$11=$E$11,$F$11,IF(U380&lt;($F$11-$E$11)/($G$11-$E$11),$E$11+SQRT(U380*($G$11-$E$11)*($F$11-$E$11)),$G$11-SQRT((1-U380)*($G$11-$E$11)*($G$11-$F$11))))</f>
        <v>0.111812193881132</v>
      </c>
      <c r="H380" s="39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-2091117935.55013</v>
      </c>
      <c r="I380" s="39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-23456763.3954844</v>
      </c>
      <c r="J380" s="39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254462084.596923</v>
      </c>
      <c r="K380" s="39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584658880.978082</v>
      </c>
      <c r="L380" s="39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710946732.788718</v>
      </c>
      <c r="M380" s="39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896012029.761138</v>
      </c>
      <c r="N380" s="39" t="n">
        <f aca="false">IF(COUNT('Business Case'!B11:G11)=0,"",H380+NPV(G380,I380:M380))</f>
        <v>-488253907.607235</v>
      </c>
      <c r="P380" s="40" t="n">
        <f aca="true">RAND()</f>
        <v>0.256597437813739</v>
      </c>
      <c r="Q380" s="40" t="n">
        <f aca="true">RAND()</f>
        <v>0.718008838737256</v>
      </c>
      <c r="R380" s="40" t="n">
        <f aca="true">RAND()</f>
        <v>0.370465970724896</v>
      </c>
      <c r="S380" s="40" t="n">
        <f aca="true">RAND()</f>
        <v>0.610641843744424</v>
      </c>
      <c r="T380" s="40" t="n">
        <f aca="true">RAND()</f>
        <v>0.442718191237367</v>
      </c>
      <c r="U380" s="40" t="n">
        <f aca="true">RAND()</f>
        <v>0.779469139054981</v>
      </c>
    </row>
    <row r="381" customFormat="false" ht="15" hidden="false" customHeight="false" outlineLevel="0" collapsed="false">
      <c r="A381" s="36" t="n">
        <v>301</v>
      </c>
      <c r="B381" s="37" t="n">
        <f aca="false">1+IF($G$6=$E$6,$F$6,IF(P381&lt;($F$6-$E$6)/($G$6-$E$6),$E$6+SQRT(P381*($G$6-$E$6)*($F$6-$E$6)),$G$6-SQRT((1-P381)*($G$6-$E$6)*($G$6-$F$6))))</f>
        <v>0.987134068106946</v>
      </c>
      <c r="C381" s="37" t="n">
        <f aca="false">1+IF($G$7=$E$7,$F$7,IF(Q381&lt;($F$7-$E$7)/($G$7-$E$7),$E$7+SQRT(Q381*($G$7-$E$7)*($F$7-$E$7)),$G$7-SQRT((1-Q381)*($G$7-$E$7)*($G$7-$F$7))))</f>
        <v>0.94763016477409</v>
      </c>
      <c r="D381" s="37" t="n">
        <f aca="false">1+IF($G$8=$E$8,$F$8,IF(R381&lt;($F$8-$E$8)/($G$8-$E$8),$E$8+SQRT(R381*($G$8-$E$8)*($F$8-$E$8)),$G$8-SQRT((1-R381)*($G$8-$E$8)*($G$8-$F$8))))</f>
        <v>0.972431596571376</v>
      </c>
      <c r="E381" s="37" t="n">
        <f aca="false">1+IF($G$9=$E$9,$F$9,IF(S381&lt;($F$9-$E$9)/($G$9-$E$9),$E$9+SQRT(S381*($G$9-$E$9)*($F$9-$E$9)),$G$9-SQRT((1-S381)*($G$9-$E$9)*($G$9-$F$9))))</f>
        <v>0.966665392676393</v>
      </c>
      <c r="F381" s="37" t="n">
        <f aca="false">1+IF($G$10=$E$10,$F$10,IF(T381&lt;($F$10-$E$10)/($G$10-$E$10),$E$10+SQRT(T381*($G$10-$E$10)*($F$10-$E$10)),$G$10-SQRT((1-T381)*($G$10-$E$10)*($G$10-$F$10))))</f>
        <v>0.991218442446573</v>
      </c>
      <c r="G381" s="38" t="n">
        <f aca="false">IF($G$11=$E$11,$F$11,IF(U381&lt;($F$11-$E$11)/($G$11-$E$11),$E$11+SQRT(U381*($G$11-$E$11)*($F$11-$E$11)),$G$11-SQRT((1-U381)*($G$11-$E$11)*($G$11-$F$11))))</f>
        <v>0.0930661843154142</v>
      </c>
      <c r="H381" s="39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-1982436884.89315</v>
      </c>
      <c r="I381" s="39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9379216.80828959</v>
      </c>
      <c r="J381" s="39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303833203.636625</v>
      </c>
      <c r="K381" s="39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647848112.587289</v>
      </c>
      <c r="L381" s="39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778328179.487938</v>
      </c>
      <c r="M381" s="39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956136238.256224</v>
      </c>
      <c r="N381" s="39" t="n">
        <f aca="false">IF(COUNT('Business Case'!B11:G11)=0,"",H381+NPV(G381,I381:M381))</f>
        <v>-65516719.8858094</v>
      </c>
      <c r="P381" s="40" t="n">
        <f aca="true">RAND()</f>
        <v>0.506156388324388</v>
      </c>
      <c r="Q381" s="40" t="n">
        <f aca="true">RAND()</f>
        <v>0.454227396341057</v>
      </c>
      <c r="R381" s="40" t="n">
        <f aca="true">RAND()</f>
        <v>0.0670902032987959</v>
      </c>
      <c r="S381" s="40" t="n">
        <f aca="true">RAND()</f>
        <v>0.177770983227906</v>
      </c>
      <c r="T381" s="40" t="n">
        <f aca="true">RAND()</f>
        <v>0.113263999848097</v>
      </c>
      <c r="U381" s="40" t="n">
        <f aca="true">RAND()</f>
        <v>0.170725172564375</v>
      </c>
    </row>
    <row r="382" customFormat="false" ht="15" hidden="false" customHeight="false" outlineLevel="0" collapsed="false">
      <c r="A382" s="36" t="n">
        <v>302</v>
      </c>
      <c r="B382" s="37" t="n">
        <f aca="false">1+IF($G$6=$E$6,$F$6,IF(P382&lt;($F$6-$E$6)/($G$6-$E$6),$E$6+SQRT(P382*($G$6-$E$6)*($F$6-$E$6)),$G$6-SQRT((1-P382)*($G$6-$E$6)*($G$6-$F$6))))</f>
        <v>1.00995489381919</v>
      </c>
      <c r="C382" s="37" t="n">
        <f aca="false">1+IF($G$7=$E$7,$F$7,IF(Q382&lt;($F$7-$E$7)/($G$7-$E$7),$E$7+SQRT(Q382*($G$7-$E$7)*($F$7-$E$7)),$G$7-SQRT((1-Q382)*($G$7-$E$7)*($G$7-$F$7))))</f>
        <v>0.879763359073087</v>
      </c>
      <c r="D382" s="37" t="n">
        <f aca="false">1+IF($G$8=$E$8,$F$8,IF(R382&lt;($F$8-$E$8)/($G$8-$E$8),$E$8+SQRT(R382*($G$8-$E$8)*($F$8-$E$8)),$G$8-SQRT((1-R382)*($G$8-$E$8)*($G$8-$F$8))))</f>
        <v>1.03186909614391</v>
      </c>
      <c r="E382" s="37" t="n">
        <f aca="false">1+IF($G$9=$E$9,$F$9,IF(S382&lt;($F$9-$E$9)/($G$9-$E$9),$E$9+SQRT(S382*($G$9-$E$9)*($F$9-$E$9)),$G$9-SQRT((1-S382)*($G$9-$E$9)*($G$9-$F$9))))</f>
        <v>1.00672398274494</v>
      </c>
      <c r="F382" s="37" t="n">
        <f aca="false">1+IF($G$10=$E$10,$F$10,IF(T382&lt;($F$10-$E$10)/($G$10-$E$10),$E$10+SQRT(T382*($G$10-$E$10)*($F$10-$E$10)),$G$10-SQRT((1-T382)*($G$10-$E$10)*($G$10-$F$10))))</f>
        <v>1.07034981440107</v>
      </c>
      <c r="G382" s="38" t="n">
        <f aca="false">IF($G$11=$E$11,$F$11,IF(U382&lt;($F$11-$E$11)/($G$11-$E$11),$E$11+SQRT(U382*($G$11-$E$11)*($F$11-$E$11)),$G$11-SQRT((1-U382)*($G$11-$E$11)*($G$11-$F$11))))</f>
        <v>0.0956149117250279</v>
      </c>
      <c r="H382" s="39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-2140699628.80215</v>
      </c>
      <c r="I382" s="39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-33210444.6398938</v>
      </c>
      <c r="J382" s="39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229831187.211797</v>
      </c>
      <c r="K382" s="39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546390309.783542</v>
      </c>
      <c r="L382" s="39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664778150.204204</v>
      </c>
      <c r="M382" s="39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833668280.789743</v>
      </c>
      <c r="N382" s="39" t="n">
        <f aca="false">IF(COUNT('Business Case'!B11:G11)=0,"",H382+NPV(G382,I382:M382))</f>
        <v>-574635080.973759</v>
      </c>
      <c r="P382" s="40" t="n">
        <f aca="true">RAND()</f>
        <v>0.786185262795647</v>
      </c>
      <c r="Q382" s="40" t="n">
        <f aca="true">RAND()</f>
        <v>0.239369372335108</v>
      </c>
      <c r="R382" s="40" t="n">
        <f aca="true">RAND()</f>
        <v>0.69054532931679</v>
      </c>
      <c r="S382" s="40" t="n">
        <f aca="true">RAND()</f>
        <v>0.452586210120732</v>
      </c>
      <c r="T382" s="40" t="n">
        <f aca="true">RAND()</f>
        <v>0.569677477523622</v>
      </c>
      <c r="U382" s="40" t="n">
        <f aca="true">RAND()</f>
        <v>0.243825468180412</v>
      </c>
    </row>
    <row r="383" customFormat="false" ht="15" hidden="false" customHeight="false" outlineLevel="0" collapsed="false">
      <c r="A383" s="36" t="n">
        <v>303</v>
      </c>
      <c r="B383" s="37" t="n">
        <f aca="false">1+IF($G$6=$E$6,$F$6,IF(P383&lt;($F$6-$E$6)/($G$6-$E$6),$E$6+SQRT(P383*($G$6-$E$6)*($F$6-$E$6)),$G$6-SQRT((1-P383)*($G$6-$E$6)*($G$6-$F$6))))</f>
        <v>1.03725682957096</v>
      </c>
      <c r="C383" s="37" t="n">
        <f aca="false">1+IF($G$7=$E$7,$F$7,IF(Q383&lt;($F$7-$E$7)/($G$7-$E$7),$E$7+SQRT(Q383*($G$7-$E$7)*($F$7-$E$7)),$G$7-SQRT((1-Q383)*($G$7-$E$7)*($G$7-$F$7))))</f>
        <v>1.00019949652387</v>
      </c>
      <c r="D383" s="37" t="n">
        <f aca="false">1+IF($G$8=$E$8,$F$8,IF(R383&lt;($F$8-$E$8)/($G$8-$E$8),$E$8+SQRT(R383*($G$8-$E$8)*($F$8-$E$8)),$G$8-SQRT((1-R383)*($G$8-$E$8)*($G$8-$F$8))))</f>
        <v>1.03492942943451</v>
      </c>
      <c r="E383" s="37" t="n">
        <f aca="false">1+IF($G$9=$E$9,$F$9,IF(S383&lt;($F$9-$E$9)/($G$9-$E$9),$E$9+SQRT(S383*($G$9-$E$9)*($F$9-$E$9)),$G$9-SQRT((1-S383)*($G$9-$E$9)*($G$9-$F$9))))</f>
        <v>1.0427984659321</v>
      </c>
      <c r="F383" s="37" t="n">
        <f aca="false">1+IF($G$10=$E$10,$F$10,IF(T383&lt;($F$10-$E$10)/($G$10-$E$10),$E$10+SQRT(T383*($G$10-$E$10)*($F$10-$E$10)),$G$10-SQRT((1-T383)*($G$10-$E$10)*($G$10-$F$10))))</f>
        <v>1.0532934714111</v>
      </c>
      <c r="G383" s="38" t="n">
        <f aca="false">IF($G$11=$E$11,$F$11,IF(U383&lt;($F$11-$E$11)/($G$11-$E$11),$E$11+SQRT(U383*($G$11-$E$11)*($F$11-$E$11)),$G$11-SQRT((1-U383)*($G$11-$E$11)*($G$11-$F$11))))</f>
        <v>0.123769656982141</v>
      </c>
      <c r="H383" s="39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-2106586942.8222</v>
      </c>
      <c r="I383" s="39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12453338.5318022</v>
      </c>
      <c r="J383" s="39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332304087.311413</v>
      </c>
      <c r="K383" s="39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704819509.661579</v>
      </c>
      <c r="L383" s="39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847291173.422218</v>
      </c>
      <c r="M383" s="39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1044492284.67645</v>
      </c>
      <c r="N383" s="39" t="n">
        <f aca="false">IF(COUNT('Business Case'!B11:G11)=0,"",H383+NPV(G383,I383:M383))</f>
        <v>-221644841.917714</v>
      </c>
      <c r="P383" s="40" t="n">
        <f aca="true">RAND()</f>
        <v>0.978348214322178</v>
      </c>
      <c r="Q383" s="40" t="n">
        <f aca="true">RAND()</f>
        <v>0.667552728271096</v>
      </c>
      <c r="R383" s="40" t="n">
        <f aca="true">RAND()</f>
        <v>0.717721389752097</v>
      </c>
      <c r="S383" s="40" t="n">
        <f aca="true">RAND()</f>
        <v>0.693542162493013</v>
      </c>
      <c r="T383" s="40" t="n">
        <f aca="true">RAND()</f>
        <v>0.484087221473399</v>
      </c>
      <c r="U383" s="40" t="n">
        <f aca="true">RAND()</f>
        <v>0.974121883919876</v>
      </c>
    </row>
    <row r="384" customFormat="false" ht="15" hidden="false" customHeight="false" outlineLevel="0" collapsed="false">
      <c r="A384" s="36" t="n">
        <v>304</v>
      </c>
      <c r="B384" s="37" t="n">
        <f aca="false">1+IF($G$6=$E$6,$F$6,IF(P384&lt;($F$6-$E$6)/($G$6-$E$6),$E$6+SQRT(P384*($G$6-$E$6)*($F$6-$E$6)),$G$6-SQRT((1-P384)*($G$6-$E$6)*($G$6-$F$6))))</f>
        <v>0.96190990000264</v>
      </c>
      <c r="C384" s="37" t="n">
        <f aca="false">1+IF($G$7=$E$7,$F$7,IF(Q384&lt;($F$7-$E$7)/($G$7-$E$7),$E$7+SQRT(Q384*($G$7-$E$7)*($F$7-$E$7)),$G$7-SQRT((1-Q384)*($G$7-$E$7)*($G$7-$F$7))))</f>
        <v>0.980837186953973</v>
      </c>
      <c r="D384" s="37" t="n">
        <f aca="false">1+IF($G$8=$E$8,$F$8,IF(R384&lt;($F$8-$E$8)/($G$8-$E$8),$E$8+SQRT(R384*($G$8-$E$8)*($F$8-$E$8)),$G$8-SQRT((1-R384)*($G$8-$E$8)*($G$8-$F$8))))</f>
        <v>1.01121366409489</v>
      </c>
      <c r="E384" s="37" t="n">
        <f aca="false">1+IF($G$9=$E$9,$F$9,IF(S384&lt;($F$9-$E$9)/($G$9-$E$9),$E$9+SQRT(S384*($G$9-$E$9)*($F$9-$E$9)),$G$9-SQRT((1-S384)*($G$9-$E$9)*($G$9-$F$9))))</f>
        <v>1.03204437663568</v>
      </c>
      <c r="F384" s="37" t="n">
        <f aca="false">1+IF($G$10=$E$10,$F$10,IF(T384&lt;($F$10-$E$10)/($G$10-$E$10),$E$10+SQRT(T384*($G$10-$E$10)*($F$10-$E$10)),$G$10-SQRT((1-T384)*($G$10-$E$10)*($G$10-$F$10))))</f>
        <v>1.102931096412</v>
      </c>
      <c r="G384" s="38" t="n">
        <f aca="false">IF($G$11=$E$11,$F$11,IF(U384&lt;($F$11-$E$11)/($G$11-$E$11),$E$11+SQRT(U384*($G$11-$E$11)*($F$11-$E$11)),$G$11-SQRT((1-U384)*($G$11-$E$11)*($G$11-$F$11))))</f>
        <v>0.120842050911082</v>
      </c>
      <c r="H384" s="39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-2205862192.824</v>
      </c>
      <c r="I384" s="39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-40924741.5724757</v>
      </c>
      <c r="J384" s="39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224110184.555707</v>
      </c>
      <c r="K384" s="39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544291665.50449</v>
      </c>
      <c r="L384" s="39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665243206.015128</v>
      </c>
      <c r="M384" s="39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844579314.255297</v>
      </c>
      <c r="N384" s="39" t="n">
        <f aca="false">IF(COUNT('Business Case'!B11:G11)=0,"",H384+NPV(G384,I384:M384))</f>
        <v>-778495642.967737</v>
      </c>
      <c r="P384" s="40" t="n">
        <f aca="true">RAND()</f>
        <v>0.25552238122246</v>
      </c>
      <c r="Q384" s="40" t="n">
        <f aca="true">RAND()</f>
        <v>0.584218707972004</v>
      </c>
      <c r="R384" s="40" t="n">
        <f aca="true">RAND()</f>
        <v>0.474465770436368</v>
      </c>
      <c r="S384" s="40" t="n">
        <f aca="true">RAND()</f>
        <v>0.628972557779617</v>
      </c>
      <c r="T384" s="40" t="n">
        <f aca="true">RAND()</f>
        <v>0.711609834632315</v>
      </c>
      <c r="U384" s="40" t="n">
        <f aca="true">RAND()</f>
        <v>0.944087978989852</v>
      </c>
    </row>
    <row r="385" customFormat="false" ht="15" hidden="false" customHeight="false" outlineLevel="0" collapsed="false">
      <c r="A385" s="36" t="n">
        <v>305</v>
      </c>
      <c r="B385" s="37" t="n">
        <f aca="false">1+IF($G$6=$E$6,$F$6,IF(P385&lt;($F$6-$E$6)/($G$6-$E$6),$E$6+SQRT(P385*($G$6-$E$6)*($F$6-$E$6)),$G$6-SQRT((1-P385)*($G$6-$E$6)*($G$6-$F$6))))</f>
        <v>0.937803267881184</v>
      </c>
      <c r="C385" s="37" t="n">
        <f aca="false">1+IF($G$7=$E$7,$F$7,IF(Q385&lt;($F$7-$E$7)/($G$7-$E$7),$E$7+SQRT(Q385*($G$7-$E$7)*($F$7-$E$7)),$G$7-SQRT((1-Q385)*($G$7-$E$7)*($G$7-$F$7))))</f>
        <v>0.963821924798552</v>
      </c>
      <c r="D385" s="37" t="n">
        <f aca="false">1+IF($G$8=$E$8,$F$8,IF(R385&lt;($F$8-$E$8)/($G$8-$E$8),$E$8+SQRT(R385*($G$8-$E$8)*($F$8-$E$8)),$G$8-SQRT((1-R385)*($G$8-$E$8)*($G$8-$F$8))))</f>
        <v>0.979487564726443</v>
      </c>
      <c r="E385" s="37" t="n">
        <f aca="false">1+IF($G$9=$E$9,$F$9,IF(S385&lt;($F$9-$E$9)/($G$9-$E$9),$E$9+SQRT(S385*($G$9-$E$9)*($F$9-$E$9)),$G$9-SQRT((1-S385)*($G$9-$E$9)*($G$9-$F$9))))</f>
        <v>0.997929599866439</v>
      </c>
      <c r="F385" s="37" t="n">
        <f aca="false">1+IF($G$10=$E$10,$F$10,IF(T385&lt;($F$10-$E$10)/($G$10-$E$10),$E$10+SQRT(T385*($G$10-$E$10)*($F$10-$E$10)),$G$10-SQRT((1-T385)*($G$10-$E$10)*($G$10-$F$10))))</f>
        <v>1.02243787179184</v>
      </c>
      <c r="G385" s="38" t="n">
        <f aca="false">IF($G$11=$E$11,$F$11,IF(U385&lt;($F$11-$E$11)/($G$11-$E$11),$E$11+SQRT(U385*($G$11-$E$11)*($F$11-$E$11)),$G$11-SQRT((1-U385)*($G$11-$E$11)*($G$11-$F$11))))</f>
        <v>0.117699189735886</v>
      </c>
      <c r="H385" s="39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-2044875743.58368</v>
      </c>
      <c r="I385" s="39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-33946173.115331</v>
      </c>
      <c r="J385" s="39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223113928.231456</v>
      </c>
      <c r="K385" s="39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531295923.167836</v>
      </c>
      <c r="L385" s="39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648220555.73805</v>
      </c>
      <c r="M385" s="39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820029182.405115</v>
      </c>
      <c r="N385" s="39" t="n">
        <f aca="false">IF(COUNT('Business Case'!B11:G11)=0,"",H385+NPV(G385,I385:M385))</f>
        <v>-630668967.340685</v>
      </c>
      <c r="P385" s="40" t="n">
        <f aca="true">RAND()</f>
        <v>0.0952724708331038</v>
      </c>
      <c r="Q385" s="40" t="n">
        <f aca="true">RAND()</f>
        <v>0.515570429662316</v>
      </c>
      <c r="R385" s="40" t="n">
        <f aca="true">RAND()</f>
        <v>0.115935529799486</v>
      </c>
      <c r="S385" s="40" t="n">
        <f aca="true">RAND()</f>
        <v>0.383608261200035</v>
      </c>
      <c r="T385" s="40" t="n">
        <f aca="true">RAND()</f>
        <v>0.309539704071633</v>
      </c>
      <c r="U385" s="40" t="n">
        <f aca="true">RAND()</f>
        <v>0.899126711230839</v>
      </c>
    </row>
    <row r="386" customFormat="false" ht="15" hidden="false" customHeight="false" outlineLevel="0" collapsed="false">
      <c r="A386" s="36" t="n">
        <v>306</v>
      </c>
      <c r="B386" s="37" t="n">
        <f aca="false">1+IF($G$6=$E$6,$F$6,IF(P386&lt;($F$6-$E$6)/($G$6-$E$6),$E$6+SQRT(P386*($G$6-$E$6)*($F$6-$E$6)),$G$6-SQRT((1-P386)*($G$6-$E$6)*($G$6-$F$6))))</f>
        <v>0.947903334470368</v>
      </c>
      <c r="C386" s="37" t="n">
        <f aca="false">1+IF($G$7=$E$7,$F$7,IF(Q386&lt;($F$7-$E$7)/($G$7-$E$7),$E$7+SQRT(Q386*($G$7-$E$7)*($F$7-$E$7)),$G$7-SQRT((1-Q386)*($G$7-$E$7)*($G$7-$F$7))))</f>
        <v>0.921045888765642</v>
      </c>
      <c r="D386" s="37" t="n">
        <f aca="false">1+IF($G$8=$E$8,$F$8,IF(R386&lt;($F$8-$E$8)/($G$8-$E$8),$E$8+SQRT(R386*($G$8-$E$8)*($F$8-$E$8)),$G$8-SQRT((1-R386)*($G$8-$E$8)*($G$8-$F$8))))</f>
        <v>1.06185468309578</v>
      </c>
      <c r="E386" s="37" t="n">
        <f aca="false">1+IF($G$9=$E$9,$F$9,IF(S386&lt;($F$9-$E$9)/($G$9-$E$9),$E$9+SQRT(S386*($G$9-$E$9)*($F$9-$E$9)),$G$9-SQRT((1-S386)*($G$9-$E$9)*($G$9-$F$9))))</f>
        <v>1.04946740184709</v>
      </c>
      <c r="F386" s="37" t="n">
        <f aca="false">1+IF($G$10=$E$10,$F$10,IF(T386&lt;($F$10-$E$10)/($G$10-$E$10),$E$10+SQRT(T386*($G$10-$E$10)*($F$10-$E$10)),$G$10-SQRT((1-T386)*($G$10-$E$10)*($G$10-$F$10))))</f>
        <v>1.15128444826733</v>
      </c>
      <c r="G386" s="38" t="n">
        <f aca="false">IF($G$11=$E$11,$F$11,IF(U386&lt;($F$11-$E$11)/($G$11-$E$11),$E$11+SQRT(U386*($G$11-$E$11)*($F$11-$E$11)),$G$11-SQRT((1-U386)*($G$11-$E$11)*($G$11-$F$11))))</f>
        <v>0.0982316340773415</v>
      </c>
      <c r="H386" s="39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-2302568896.53466</v>
      </c>
      <c r="I386" s="39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-95187651.5286354</v>
      </c>
      <c r="J386" s="39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119246964.713434</v>
      </c>
      <c r="K386" s="39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391245803.36887</v>
      </c>
      <c r="L386" s="39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492897047.717103</v>
      </c>
      <c r="M386" s="39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658848761.855259</v>
      </c>
      <c r="N386" s="39" t="n">
        <f aca="false">IF(COUNT('Business Case'!B11:G11)=0,"",H386+NPV(G386,I386:M386))</f>
        <v>-1243776283.08631</v>
      </c>
      <c r="P386" s="40" t="n">
        <f aca="true">RAND()</f>
        <v>0.152981963558662</v>
      </c>
      <c r="Q386" s="40" t="n">
        <f aca="true">RAND()</f>
        <v>0.361935444001426</v>
      </c>
      <c r="R386" s="40" t="n">
        <f aca="true">RAND()</f>
        <v>0.902995653218451</v>
      </c>
      <c r="S386" s="40" t="n">
        <f aca="true">RAND()</f>
        <v>0.730485245563346</v>
      </c>
      <c r="T386" s="40" t="n">
        <f aca="true">RAND()</f>
        <v>0.870069864614864</v>
      </c>
      <c r="U386" s="40" t="n">
        <f aca="true">RAND()</f>
        <v>0.332392481130079</v>
      </c>
    </row>
    <row r="387" customFormat="false" ht="15" hidden="false" customHeight="false" outlineLevel="0" collapsed="false">
      <c r="A387" s="36" t="n">
        <v>307</v>
      </c>
      <c r="B387" s="37" t="n">
        <f aca="false">1+IF($G$6=$E$6,$F$6,IF(P387&lt;($F$6-$E$6)/($G$6-$E$6),$E$6+SQRT(P387*($G$6-$E$6)*($F$6-$E$6)),$G$6-SQRT((1-P387)*($G$6-$E$6)*($G$6-$F$6))))</f>
        <v>0.935533743165368</v>
      </c>
      <c r="C387" s="37" t="n">
        <f aca="false">1+IF($G$7=$E$7,$F$7,IF(Q387&lt;($F$7-$E$7)/($G$7-$E$7),$E$7+SQRT(Q387*($G$7-$E$7)*($F$7-$E$7)),$G$7-SQRT((1-Q387)*($G$7-$E$7)*($G$7-$F$7))))</f>
        <v>0.85445514614814</v>
      </c>
      <c r="D387" s="37" t="n">
        <f aca="false">1+IF($G$8=$E$8,$F$8,IF(R387&lt;($F$8-$E$8)/($G$8-$E$8),$E$8+SQRT(R387*($G$8-$E$8)*($F$8-$E$8)),$G$8-SQRT((1-R387)*($G$8-$E$8)*($G$8-$F$8))))</f>
        <v>1.03684936638398</v>
      </c>
      <c r="E387" s="37" t="n">
        <f aca="false">1+IF($G$9=$E$9,$F$9,IF(S387&lt;($F$9-$E$9)/($G$9-$E$9),$E$9+SQRT(S387*($G$9-$E$9)*($F$9-$E$9)),$G$9-SQRT((1-S387)*($G$9-$E$9)*($G$9-$F$9))))</f>
        <v>1.11622919880946</v>
      </c>
      <c r="F387" s="37" t="n">
        <f aca="false">1+IF($G$10=$E$10,$F$10,IF(T387&lt;($F$10-$E$10)/($G$10-$E$10),$E$10+SQRT(T387*($G$10-$E$10)*($F$10-$E$10)),$G$10-SQRT((1-T387)*($G$10-$E$10)*($G$10-$F$10))))</f>
        <v>0.982621409566173</v>
      </c>
      <c r="G387" s="38" t="n">
        <f aca="false">IF($G$11=$E$11,$F$11,IF(U387&lt;($F$11-$E$11)/($G$11-$E$11),$E$11+SQRT(U387*($G$11-$E$11)*($F$11-$E$11)),$G$11-SQRT((1-U387)*($G$11-$E$11)*($G$11-$F$11))))</f>
        <v>0.100695559073178</v>
      </c>
      <c r="H387" s="39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-1965242819.13235</v>
      </c>
      <c r="I387" s="39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-97217503.7820135</v>
      </c>
      <c r="J387" s="39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103994350.308526</v>
      </c>
      <c r="K387" s="39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354337274.877375</v>
      </c>
      <c r="L387" s="39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449034176.137709</v>
      </c>
      <c r="M387" s="39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600978733.903555</v>
      </c>
      <c r="N387" s="39" t="n">
        <f aca="false">IF(COUNT('Business Case'!B11:G11)=0,"",H387+NPV(G387,I387:M387))</f>
        <v>-1024110068.48341</v>
      </c>
      <c r="P387" s="40" t="n">
        <f aca="true">RAND()</f>
        <v>0.0841764602228207</v>
      </c>
      <c r="Q387" s="40" t="n">
        <f aca="true">RAND()</f>
        <v>0.176714016086248</v>
      </c>
      <c r="R387" s="40" t="n">
        <f aca="true">RAND()</f>
        <v>0.734133164926314</v>
      </c>
      <c r="S387" s="40" t="n">
        <f aca="true">RAND()</f>
        <v>0.969587546318639</v>
      </c>
      <c r="T387" s="40" t="n">
        <f aca="true">RAND()</f>
        <v>0.0709437574722657</v>
      </c>
      <c r="U387" s="40" t="n">
        <f aca="true">RAND()</f>
        <v>0.427499827977609</v>
      </c>
    </row>
    <row r="388" customFormat="false" ht="15" hidden="false" customHeight="false" outlineLevel="0" collapsed="false">
      <c r="A388" s="36" t="n">
        <v>308</v>
      </c>
      <c r="B388" s="37" t="n">
        <f aca="false">1+IF($G$6=$E$6,$F$6,IF(P388&lt;($F$6-$E$6)/($G$6-$E$6),$E$6+SQRT(P388*($G$6-$E$6)*($F$6-$E$6)),$G$6-SQRT((1-P388)*($G$6-$E$6)*($G$6-$F$6))))</f>
        <v>1.00511438169197</v>
      </c>
      <c r="C388" s="37" t="n">
        <f aca="false">1+IF($G$7=$E$7,$F$7,IF(Q388&lt;($F$7-$E$7)/($G$7-$E$7),$E$7+SQRT(Q388*($G$7-$E$7)*($F$7-$E$7)),$G$7-SQRT((1-Q388)*($G$7-$E$7)*($G$7-$F$7))))</f>
        <v>1.09091881485696</v>
      </c>
      <c r="D388" s="37" t="n">
        <f aca="false">1+IF($G$8=$E$8,$F$8,IF(R388&lt;($F$8-$E$8)/($G$8-$E$8),$E$8+SQRT(R388*($G$8-$E$8)*($F$8-$E$8)),$G$8-SQRT((1-R388)*($G$8-$E$8)*($G$8-$F$8))))</f>
        <v>1.04917069314707</v>
      </c>
      <c r="E388" s="37" t="n">
        <f aca="false">1+IF($G$9=$E$9,$F$9,IF(S388&lt;($F$9-$E$9)/($G$9-$E$9),$E$9+SQRT(S388*($G$9-$E$9)*($F$9-$E$9)),$G$9-SQRT((1-S388)*($G$9-$E$9)*($G$9-$F$9))))</f>
        <v>1.03385596799565</v>
      </c>
      <c r="F388" s="37" t="n">
        <f aca="false">1+IF($G$10=$E$10,$F$10,IF(T388&lt;($F$10-$E$10)/($G$10-$E$10),$E$10+SQRT(T388*($G$10-$E$10)*($F$10-$E$10)),$G$10-SQRT((1-T388)*($G$10-$E$10)*($G$10-$F$10))))</f>
        <v>1.02947725104858</v>
      </c>
      <c r="G388" s="38" t="n">
        <f aca="false">IF($G$11=$E$11,$F$11,IF(U388&lt;($F$11-$E$11)/($G$11-$E$11),$E$11+SQRT(U388*($G$11-$E$11)*($F$11-$E$11)),$G$11-SQRT((1-U388)*($G$11-$E$11)*($G$11-$F$11))))</f>
        <v>0.0909655513269385</v>
      </c>
      <c r="H388" s="39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-2058954502.09716</v>
      </c>
      <c r="I388" s="39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5383275.24957897</v>
      </c>
      <c r="J388" s="39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317571060.426283</v>
      </c>
      <c r="K388" s="39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681232708.155417</v>
      </c>
      <c r="L388" s="39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823190280.663175</v>
      </c>
      <c r="M388" s="39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1031612656.63189</v>
      </c>
      <c r="N388" s="39" t="n">
        <f aca="false">IF(COUNT('Business Case'!B11:G11)=0,"",H388+NPV(G388,I388:M388))</f>
        <v>-13935964.2287061</v>
      </c>
      <c r="P388" s="40" t="n">
        <f aca="true">RAND()</f>
        <v>0.731370835880783</v>
      </c>
      <c r="Q388" s="40" t="n">
        <f aca="true">RAND()</f>
        <v>0.948287608327323</v>
      </c>
      <c r="R388" s="40" t="n">
        <f aca="true">RAND()</f>
        <v>0.827758770990054</v>
      </c>
      <c r="S388" s="40" t="n">
        <f aca="true">RAND()</f>
        <v>0.64028170212728</v>
      </c>
      <c r="T388" s="40" t="n">
        <f aca="true">RAND()</f>
        <v>0.351596229265456</v>
      </c>
      <c r="U388" s="40" t="n">
        <f aca="true">RAND()</f>
        <v>0.120243315903723</v>
      </c>
    </row>
    <row r="389" customFormat="false" ht="15" hidden="false" customHeight="false" outlineLevel="0" collapsed="false">
      <c r="A389" s="36" t="n">
        <v>309</v>
      </c>
      <c r="B389" s="37" t="n">
        <f aca="false">1+IF($G$6=$E$6,$F$6,IF(P389&lt;($F$6-$E$6)/($G$6-$E$6),$E$6+SQRT(P389*($G$6-$E$6)*($F$6-$E$6)),$G$6-SQRT((1-P389)*($G$6-$E$6)*($G$6-$F$6))))</f>
        <v>0.951406014923867</v>
      </c>
      <c r="C389" s="37" t="n">
        <f aca="false">1+IF($G$7=$E$7,$F$7,IF(Q389&lt;($F$7-$E$7)/($G$7-$E$7),$E$7+SQRT(Q389*($G$7-$E$7)*($F$7-$E$7)),$G$7-SQRT((1-Q389)*($G$7-$E$7)*($G$7-$F$7))))</f>
        <v>0.971993495292903</v>
      </c>
      <c r="D389" s="37" t="n">
        <f aca="false">1+IF($G$8=$E$8,$F$8,IF(R389&lt;($F$8-$E$8)/($G$8-$E$8),$E$8+SQRT(R389*($G$8-$E$8)*($F$8-$E$8)),$G$8-SQRT((1-R389)*($G$8-$E$8)*($G$8-$F$8))))</f>
        <v>1.03787910402238</v>
      </c>
      <c r="E389" s="37" t="n">
        <f aca="false">1+IF($G$9=$E$9,$F$9,IF(S389&lt;($F$9-$E$9)/($G$9-$E$9),$E$9+SQRT(S389*($G$9-$E$9)*($F$9-$E$9)),$G$9-SQRT((1-S389)*($G$9-$E$9)*($G$9-$F$9))))</f>
        <v>0.983326936648655</v>
      </c>
      <c r="F389" s="37" t="n">
        <f aca="false">1+IF($G$10=$E$10,$F$10,IF(T389&lt;($F$10-$E$10)/($G$10-$E$10),$E$10+SQRT(T389*($G$10-$E$10)*($F$10-$E$10)),$G$10-SQRT((1-T389)*($G$10-$E$10)*($G$10-$F$10))))</f>
        <v>1.14790315016968</v>
      </c>
      <c r="G389" s="38" t="n">
        <f aca="false">IF($G$11=$E$11,$F$11,IF(U389&lt;($F$11-$E$11)/($G$11-$E$11),$E$11+SQRT(U389*($G$11-$E$11)*($F$11-$E$11)),$G$11-SQRT((1-U389)*($G$11-$E$11)*($G$11-$F$11))))</f>
        <v>0.100359958972439</v>
      </c>
      <c r="H389" s="39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-2295806300.33936</v>
      </c>
      <c r="I389" s="39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-61544494.7038368</v>
      </c>
      <c r="J389" s="39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179469998.137675</v>
      </c>
      <c r="K389" s="39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477879648.487672</v>
      </c>
      <c r="L389" s="39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590177534.192804</v>
      </c>
      <c r="M389" s="39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765956002.028258</v>
      </c>
      <c r="N389" s="39" t="n">
        <f aca="false">IF(COUNT('Business Case'!B11:G11)=0,"",H389+NPV(G389,I389:M389))</f>
        <v>-967433427.996423</v>
      </c>
      <c r="P389" s="40" t="n">
        <f aca="true">RAND()</f>
        <v>0.176171891356858</v>
      </c>
      <c r="Q389" s="40" t="n">
        <f aca="true">RAND()</f>
        <v>0.548003418382595</v>
      </c>
      <c r="R389" s="40" t="n">
        <f aca="true">RAND()</f>
        <v>0.742732952195851</v>
      </c>
      <c r="S389" s="40" t="n">
        <f aca="true">RAND()</f>
        <v>0.277735134849958</v>
      </c>
      <c r="T389" s="40" t="n">
        <f aca="true">RAND()</f>
        <v>0.86101644339634</v>
      </c>
      <c r="U389" s="40" t="n">
        <f aca="true">RAND()</f>
        <v>0.414311978589685</v>
      </c>
    </row>
    <row r="390" customFormat="false" ht="15" hidden="false" customHeight="false" outlineLevel="0" collapsed="false">
      <c r="A390" s="36" t="n">
        <v>310</v>
      </c>
      <c r="B390" s="37" t="n">
        <f aca="false">1+IF($G$6=$E$6,$F$6,IF(P390&lt;($F$6-$E$6)/($G$6-$E$6),$E$6+SQRT(P390*($G$6-$E$6)*($F$6-$E$6)),$G$6-SQRT((1-P390)*($G$6-$E$6)*($G$6-$F$6))))</f>
        <v>0.954393353128118</v>
      </c>
      <c r="C390" s="37" t="n">
        <f aca="false">1+IF($G$7=$E$7,$F$7,IF(Q390&lt;($F$7-$E$7)/($G$7-$E$7),$E$7+SQRT(Q390*($G$7-$E$7)*($F$7-$E$7)),$G$7-SQRT((1-Q390)*($G$7-$E$7)*($G$7-$F$7))))</f>
        <v>0.917184763858902</v>
      </c>
      <c r="D390" s="37" t="n">
        <f aca="false">1+IF($G$8=$E$8,$F$8,IF(R390&lt;($F$8-$E$8)/($G$8-$E$8),$E$8+SQRT(R390*($G$8-$E$8)*($F$8-$E$8)),$G$8-SQRT((1-R390)*($G$8-$E$8)*($G$8-$F$8))))</f>
        <v>0.995812652008486</v>
      </c>
      <c r="E390" s="37" t="n">
        <f aca="false">1+IF($G$9=$E$9,$F$9,IF(S390&lt;($F$9-$E$9)/($G$9-$E$9),$E$9+SQRT(S390*($G$9-$E$9)*($F$9-$E$9)),$G$9-SQRT((1-S390)*($G$9-$E$9)*($G$9-$F$9))))</f>
        <v>1.03096621524157</v>
      </c>
      <c r="F390" s="37" t="n">
        <f aca="false">1+IF($G$10=$E$10,$F$10,IF(T390&lt;($F$10-$E$10)/($G$10-$E$10),$E$10+SQRT(T390*($G$10-$E$10)*($F$10-$E$10)),$G$10-SQRT((1-T390)*($G$10-$E$10)*($G$10-$F$10))))</f>
        <v>1.14513021245046</v>
      </c>
      <c r="G390" s="38" t="n">
        <f aca="false">IF($G$11=$E$11,$F$11,IF(U390&lt;($F$11-$E$11)/($G$11-$E$11),$E$11+SQRT(U390*($G$11-$E$11)*($F$11-$E$11)),$G$11-SQRT((1-U390)*($G$11-$E$11)*($G$11-$F$11))))</f>
        <v>0.106837942361728</v>
      </c>
      <c r="H390" s="39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-2290260424.90092</v>
      </c>
      <c r="I390" s="39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-57075176.1115702</v>
      </c>
      <c r="J390" s="39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192344470.217803</v>
      </c>
      <c r="K390" s="39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499020627.1697</v>
      </c>
      <c r="L390" s="39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612412779.538521</v>
      </c>
      <c r="M390" s="39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778800265.963189</v>
      </c>
      <c r="N390" s="39" t="n">
        <f aca="false">IF(COUNT('Business Case'!B11:G11)=0,"",H390+NPV(G390,I390:M390))</f>
        <v>-939941558.716881</v>
      </c>
      <c r="P390" s="40" t="n">
        <f aca="true">RAND()</f>
        <v>0.197242457634672</v>
      </c>
      <c r="Q390" s="40" t="n">
        <f aca="true">RAND()</f>
        <v>0.349401641869979</v>
      </c>
      <c r="R390" s="40" t="n">
        <f aca="true">RAND()</f>
        <v>0.27983987787342</v>
      </c>
      <c r="S390" s="40" t="n">
        <f aca="true">RAND()</f>
        <v>0.62215888229558</v>
      </c>
      <c r="T390" s="40" t="n">
        <f aca="true">RAND()</f>
        <v>0.853364368790856</v>
      </c>
      <c r="U390" s="40" t="n">
        <f aca="true">RAND()</f>
        <v>0.642346057307584</v>
      </c>
    </row>
    <row r="391" customFormat="false" ht="15" hidden="false" customHeight="false" outlineLevel="0" collapsed="false">
      <c r="A391" s="36" t="n">
        <v>311</v>
      </c>
      <c r="B391" s="37" t="n">
        <f aca="false">1+IF($G$6=$E$6,$F$6,IF(P391&lt;($F$6-$E$6)/($G$6-$E$6),$E$6+SQRT(P391*($G$6-$E$6)*($F$6-$E$6)),$G$6-SQRT((1-P391)*($G$6-$E$6)*($G$6-$F$6))))</f>
        <v>0.945773362764824</v>
      </c>
      <c r="C391" s="37" t="n">
        <f aca="false">1+IF($G$7=$E$7,$F$7,IF(Q391&lt;($F$7-$E$7)/($G$7-$E$7),$E$7+SQRT(Q391*($G$7-$E$7)*($F$7-$E$7)),$G$7-SQRT((1-Q391)*($G$7-$E$7)*($G$7-$F$7))))</f>
        <v>0.858586136098704</v>
      </c>
      <c r="D391" s="37" t="n">
        <f aca="false">1+IF($G$8=$E$8,$F$8,IF(R391&lt;($F$8-$E$8)/($G$8-$E$8),$E$8+SQRT(R391*($G$8-$E$8)*($F$8-$E$8)),$G$8-SQRT((1-R391)*($G$8-$E$8)*($G$8-$F$8))))</f>
        <v>1.00178562558045</v>
      </c>
      <c r="E391" s="37" t="n">
        <f aca="false">1+IF($G$9=$E$9,$F$9,IF(S391&lt;($F$9-$E$9)/($G$9-$E$9),$E$9+SQRT(S391*($G$9-$E$9)*($F$9-$E$9)),$G$9-SQRT((1-S391)*($G$9-$E$9)*($G$9-$F$9))))</f>
        <v>1.13373309586945</v>
      </c>
      <c r="F391" s="37" t="n">
        <f aca="false">1+IF($G$10=$E$10,$F$10,IF(T391&lt;($F$10-$E$10)/($G$10-$E$10),$E$10+SQRT(T391*($G$10-$E$10)*($F$10-$E$10)),$G$10-SQRT((1-T391)*($G$10-$E$10)*($G$10-$F$10))))</f>
        <v>0.998513190314318</v>
      </c>
      <c r="G391" s="38" t="n">
        <f aca="false">IF($G$11=$E$11,$F$11,IF(U391&lt;($F$11-$E$11)/($G$11-$E$11),$E$11+SQRT(U391*($G$11-$E$11)*($F$11-$E$11)),$G$11-SQRT((1-U391)*($G$11-$E$11)*($G$11-$F$11))))</f>
        <v>0.12336051694798</v>
      </c>
      <c r="H391" s="39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-1997026380.62864</v>
      </c>
      <c r="I391" s="39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-78366623.8559976</v>
      </c>
      <c r="J391" s="39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146430443.740915</v>
      </c>
      <c r="K391" s="39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421153170.853544</v>
      </c>
      <c r="L391" s="39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524149210.845077</v>
      </c>
      <c r="M391" s="39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678499473.537503</v>
      </c>
      <c r="N391" s="39" t="n">
        <f aca="false">IF(COUNT('Business Case'!B11:G11)=0,"",H391+NPV(G391,I391:M391))</f>
        <v>-945252092.645378</v>
      </c>
      <c r="P391" s="40" t="n">
        <f aca="true">RAND()</f>
        <v>0.139680049253346</v>
      </c>
      <c r="Q391" s="40" t="n">
        <f aca="true">RAND()</f>
        <v>0.186293056020123</v>
      </c>
      <c r="R391" s="40" t="n">
        <f aca="true">RAND()</f>
        <v>0.35692911049179</v>
      </c>
      <c r="S391" s="40" t="n">
        <f aca="true">RAND()</f>
        <v>0.992943675466864</v>
      </c>
      <c r="T391" s="40" t="n">
        <f aca="true">RAND()</f>
        <v>0.156901975631548</v>
      </c>
      <c r="U391" s="40" t="n">
        <f aca="true">RAND()</f>
        <v>0.970611509867962</v>
      </c>
    </row>
    <row r="392" customFormat="false" ht="15" hidden="false" customHeight="false" outlineLevel="0" collapsed="false">
      <c r="A392" s="36" t="n">
        <v>312</v>
      </c>
      <c r="B392" s="37" t="n">
        <f aca="false">1+IF($G$6=$E$6,$F$6,IF(P392&lt;($F$6-$E$6)/($G$6-$E$6),$E$6+SQRT(P392*($G$6-$E$6)*($F$6-$E$6)),$G$6-SQRT((1-P392)*($G$6-$E$6)*($G$6-$F$6))))</f>
        <v>0.956983935499637</v>
      </c>
      <c r="C392" s="37" t="n">
        <f aca="false">1+IF($G$7=$E$7,$F$7,IF(Q392&lt;($F$7-$E$7)/($G$7-$E$7),$E$7+SQRT(Q392*($G$7-$E$7)*($F$7-$E$7)),$G$7-SQRT((1-Q392)*($G$7-$E$7)*($G$7-$F$7))))</f>
        <v>1.06958397873119</v>
      </c>
      <c r="D392" s="37" t="n">
        <f aca="false">1+IF($G$8=$E$8,$F$8,IF(R392&lt;($F$8-$E$8)/($G$8-$E$8),$E$8+SQRT(R392*($G$8-$E$8)*($F$8-$E$8)),$G$8-SQRT((1-R392)*($G$8-$E$8)*($G$8-$F$8))))</f>
        <v>1.00563328642967</v>
      </c>
      <c r="E392" s="37" t="n">
        <f aca="false">1+IF($G$9=$E$9,$F$9,IF(S392&lt;($F$9-$E$9)/($G$9-$E$9),$E$9+SQRT(S392*($G$9-$E$9)*($F$9-$E$9)),$G$9-SQRT((1-S392)*($G$9-$E$9)*($G$9-$F$9))))</f>
        <v>0.94692260904939</v>
      </c>
      <c r="F392" s="37" t="n">
        <f aca="false">1+IF($G$10=$E$10,$F$10,IF(T392&lt;($F$10-$E$10)/($G$10-$E$10),$E$10+SQRT(T392*($G$10-$E$10)*($F$10-$E$10)),$G$10-SQRT((1-T392)*($G$10-$E$10)*($G$10-$F$10))))</f>
        <v>1.02290792715878</v>
      </c>
      <c r="G392" s="38" t="n">
        <f aca="false">IF($G$11=$E$11,$F$11,IF(U392&lt;($F$11-$E$11)/($G$11-$E$11),$E$11+SQRT(U392*($G$11-$E$11)*($F$11-$E$11)),$G$11-SQRT((1-U392)*($G$11-$E$11)*($G$11-$F$11))))</f>
        <v>0.105901545787145</v>
      </c>
      <c r="H392" s="39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-2045815854.31757</v>
      </c>
      <c r="I392" s="39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-2249822.86180894</v>
      </c>
      <c r="J392" s="39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285505653.685737</v>
      </c>
      <c r="K392" s="39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624406526.591223</v>
      </c>
      <c r="L392" s="39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755699759.898174</v>
      </c>
      <c r="M392" s="39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950260836.08257</v>
      </c>
      <c r="N392" s="39" t="n">
        <f aca="false">IF(COUNT('Business Case'!B11:G11)=0,"",H392+NPV(G392,I392:M392))</f>
        <v>-273066906.962022</v>
      </c>
      <c r="P392" s="40" t="n">
        <f aca="true">RAND()</f>
        <v>0.216477927001783</v>
      </c>
      <c r="Q392" s="40" t="n">
        <f aca="true">RAND()</f>
        <v>0.904196496641393</v>
      </c>
      <c r="R392" s="40" t="n">
        <f aca="true">RAND()</f>
        <v>0.406328224662343</v>
      </c>
      <c r="S392" s="40" t="n">
        <f aca="true">RAND()</f>
        <v>0.0880692496000775</v>
      </c>
      <c r="T392" s="40" t="n">
        <f aca="true">RAND()</f>
        <v>0.312389206035728</v>
      </c>
      <c r="U392" s="40" t="n">
        <f aca="true">RAND()</f>
        <v>0.612843003033956</v>
      </c>
    </row>
    <row r="393" customFormat="false" ht="15" hidden="false" customHeight="false" outlineLevel="0" collapsed="false">
      <c r="A393" s="36" t="n">
        <v>313</v>
      </c>
      <c r="B393" s="37" t="n">
        <f aca="false">1+IF($G$6=$E$6,$F$6,IF(P393&lt;($F$6-$E$6)/($G$6-$E$6),$E$6+SQRT(P393*($G$6-$E$6)*($F$6-$E$6)),$G$6-SQRT((1-P393)*($G$6-$E$6)*($G$6-$F$6))))</f>
        <v>0.996135854831548</v>
      </c>
      <c r="C393" s="37" t="n">
        <f aca="false">1+IF($G$7=$E$7,$F$7,IF(Q393&lt;($F$7-$E$7)/($G$7-$E$7),$E$7+SQRT(Q393*($G$7-$E$7)*($F$7-$E$7)),$G$7-SQRT((1-Q393)*($G$7-$E$7)*($G$7-$F$7))))</f>
        <v>0.963991274409556</v>
      </c>
      <c r="D393" s="37" t="n">
        <f aca="false">1+IF($G$8=$E$8,$F$8,IF(R393&lt;($F$8-$E$8)/($G$8-$E$8),$E$8+SQRT(R393*($G$8-$E$8)*($F$8-$E$8)),$G$8-SQRT((1-R393)*($G$8-$E$8)*($G$8-$F$8))))</f>
        <v>1.0520413513809</v>
      </c>
      <c r="E393" s="37" t="n">
        <f aca="false">1+IF($G$9=$E$9,$F$9,IF(S393&lt;($F$9-$E$9)/($G$9-$E$9),$E$9+SQRT(S393*($G$9-$E$9)*($F$9-$E$9)),$G$9-SQRT((1-S393)*($G$9-$E$9)*($G$9-$F$9))))</f>
        <v>0.984201492629078</v>
      </c>
      <c r="F393" s="37" t="n">
        <f aca="false">1+IF($G$10=$E$10,$F$10,IF(T393&lt;($F$10-$E$10)/($G$10-$E$10),$E$10+SQRT(T393*($G$10-$E$10)*($F$10-$E$10)),$G$10-SQRT((1-T393)*($G$10-$E$10)*($G$10-$F$10))))</f>
        <v>1.11053322484554</v>
      </c>
      <c r="G393" s="38" t="n">
        <f aca="false">IF($G$11=$E$11,$F$11,IF(U393&lt;($F$11-$E$11)/($G$11-$E$11),$E$11+SQRT(U393*($G$11-$E$11)*($F$11-$E$11)),$G$11-SQRT((1-U393)*($G$11-$E$11)*($G$11-$F$11))))</f>
        <v>0.105047161389307</v>
      </c>
      <c r="H393" s="39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-2221066449.69108</v>
      </c>
      <c r="I393" s="39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-33427875.2226032</v>
      </c>
      <c r="J393" s="39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233931227.841227</v>
      </c>
      <c r="K393" s="39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556816992.147335</v>
      </c>
      <c r="L393" s="39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679123495.535295</v>
      </c>
      <c r="M393" s="39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861650908.552052</v>
      </c>
      <c r="N393" s="39" t="n">
        <f aca="false">IF(COUNT('Business Case'!B11:G11)=0,"",H393+NPV(G393,I393:M393))</f>
        <v>-668763797.228944</v>
      </c>
      <c r="P393" s="40" t="n">
        <f aca="true">RAND()</f>
        <v>0.6161401722795</v>
      </c>
      <c r="Q393" s="40" t="n">
        <f aca="true">RAND()</f>
        <v>0.516232540476901</v>
      </c>
      <c r="R393" s="40" t="n">
        <f aca="true">RAND()</f>
        <v>0.846664534841966</v>
      </c>
      <c r="S393" s="40" t="n">
        <f aca="true">RAND()</f>
        <v>0.283595654438588</v>
      </c>
      <c r="T393" s="40" t="n">
        <f aca="true">RAND()</f>
        <v>0.740653581706878</v>
      </c>
      <c r="U393" s="40" t="n">
        <f aca="true">RAND()</f>
        <v>0.5849038968458</v>
      </c>
    </row>
    <row r="394" customFormat="false" ht="15" hidden="false" customHeight="false" outlineLevel="0" collapsed="false">
      <c r="A394" s="36" t="n">
        <v>314</v>
      </c>
      <c r="B394" s="37" t="n">
        <f aca="false">1+IF($G$6=$E$6,$F$6,IF(P394&lt;($F$6-$E$6)/($G$6-$E$6),$E$6+SQRT(P394*($G$6-$E$6)*($F$6-$E$6)),$G$6-SQRT((1-P394)*($G$6-$E$6)*($G$6-$F$6))))</f>
        <v>0.959871622332405</v>
      </c>
      <c r="C394" s="37" t="n">
        <f aca="false">1+IF($G$7=$E$7,$F$7,IF(Q394&lt;($F$7-$E$7)/($G$7-$E$7),$E$7+SQRT(Q394*($G$7-$E$7)*($F$7-$E$7)),$G$7-SQRT((1-Q394)*($G$7-$E$7)*($G$7-$F$7))))</f>
        <v>0.760845853438666</v>
      </c>
      <c r="D394" s="37" t="n">
        <f aca="false">1+IF($G$8=$E$8,$F$8,IF(R394&lt;($F$8-$E$8)/($G$8-$E$8),$E$8+SQRT(R394*($G$8-$E$8)*($F$8-$E$8)),$G$8-SQRT((1-R394)*($G$8-$E$8)*($G$8-$F$8))))</f>
        <v>1.05870034581913</v>
      </c>
      <c r="E394" s="37" t="n">
        <f aca="false">1+IF($G$9=$E$9,$F$9,IF(S394&lt;($F$9-$E$9)/($G$9-$E$9),$E$9+SQRT(S394*($G$9-$E$9)*($F$9-$E$9)),$G$9-SQRT((1-S394)*($G$9-$E$9)*($G$9-$F$9))))</f>
        <v>0.996121269626994</v>
      </c>
      <c r="F394" s="37" t="n">
        <f aca="false">1+IF($G$10=$E$10,$F$10,IF(T394&lt;($F$10-$E$10)/($G$10-$E$10),$E$10+SQRT(T394*($G$10-$E$10)*($F$10-$E$10)),$G$10-SQRT((1-T394)*($G$10-$E$10)*($G$10-$F$10))))</f>
        <v>1.15767208909063</v>
      </c>
      <c r="G394" s="38" t="n">
        <f aca="false">IF($G$11=$E$11,$F$11,IF(U394&lt;($F$11-$E$11)/($G$11-$E$11),$E$11+SQRT(U394*($G$11-$E$11)*($F$11-$E$11)),$G$11-SQRT((1-U394)*($G$11-$E$11)*($G$11-$F$11))))</f>
        <v>0.101902067162005</v>
      </c>
      <c r="H394" s="39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-2315344178.18126</v>
      </c>
      <c r="I394" s="39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-109450655.587485</v>
      </c>
      <c r="J394" s="39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76373837.8516846</v>
      </c>
      <c r="K394" s="39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320081935.745386</v>
      </c>
      <c r="L394" s="39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407263097.276198</v>
      </c>
      <c r="M394" s="39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546081247.723853</v>
      </c>
      <c r="N394" s="39" t="n">
        <f aca="false">IF(COUNT('Business Case'!B11:G11)=0,"",H394+NPV(G394,I394:M394))</f>
        <v>-1500125171.95106</v>
      </c>
      <c r="P394" s="40" t="n">
        <f aca="true">RAND()</f>
        <v>0.238974077380942</v>
      </c>
      <c r="Q394" s="40" t="n">
        <f aca="true">RAND()</f>
        <v>0.0274238361531823</v>
      </c>
      <c r="R394" s="40" t="n">
        <f aca="true">RAND()</f>
        <v>0.88628923763601</v>
      </c>
      <c r="S394" s="40" t="n">
        <f aca="true">RAND()</f>
        <v>0.369571938988213</v>
      </c>
      <c r="T394" s="40" t="n">
        <f aca="true">RAND()</f>
        <v>0.886340758228149</v>
      </c>
      <c r="U394" s="40" t="n">
        <f aca="true">RAND()</f>
        <v>0.473670780154349</v>
      </c>
    </row>
    <row r="395" customFormat="false" ht="15" hidden="false" customHeight="false" outlineLevel="0" collapsed="false">
      <c r="A395" s="36" t="n">
        <v>315</v>
      </c>
      <c r="B395" s="37" t="n">
        <f aca="false">1+IF($G$6=$E$6,$F$6,IF(P395&lt;($F$6-$E$6)/($G$6-$E$6),$E$6+SQRT(P395*($G$6-$E$6)*($F$6-$E$6)),$G$6-SQRT((1-P395)*($G$6-$E$6)*($G$6-$F$6))))</f>
        <v>0.960602697511308</v>
      </c>
      <c r="C395" s="37" t="n">
        <f aca="false">1+IF($G$7=$E$7,$F$7,IF(Q395&lt;($F$7-$E$7)/($G$7-$E$7),$E$7+SQRT(Q395*($G$7-$E$7)*($F$7-$E$7)),$G$7-SQRT((1-Q395)*($G$7-$E$7)*($G$7-$F$7))))</f>
        <v>1.02408301260334</v>
      </c>
      <c r="D395" s="37" t="n">
        <f aca="false">1+IF($G$8=$E$8,$F$8,IF(R395&lt;($F$8-$E$8)/($G$8-$E$8),$E$8+SQRT(R395*($G$8-$E$8)*($F$8-$E$8)),$G$8-SQRT((1-R395)*($G$8-$E$8)*($G$8-$F$8))))</f>
        <v>0.969079686156076</v>
      </c>
      <c r="E395" s="37" t="n">
        <f aca="false">1+IF($G$9=$E$9,$F$9,IF(S395&lt;($F$9-$E$9)/($G$9-$E$9),$E$9+SQRT(S395*($G$9-$E$9)*($F$9-$E$9)),$G$9-SQRT((1-S395)*($G$9-$E$9)*($G$9-$F$9))))</f>
        <v>0.95392530505507</v>
      </c>
      <c r="F395" s="37" t="n">
        <f aca="false">1+IF($G$10=$E$10,$F$10,IF(T395&lt;($F$10-$E$10)/($G$10-$E$10),$E$10+SQRT(T395*($G$10-$E$10)*($F$10-$E$10)),$G$10-SQRT((1-T395)*($G$10-$E$10)*($G$10-$F$10))))</f>
        <v>1.03117086731195</v>
      </c>
      <c r="G395" s="38" t="n">
        <f aca="false">IF($G$11=$E$11,$F$11,IF(U395&lt;($F$11-$E$11)/($G$11-$E$11),$E$11+SQRT(U395*($G$11-$E$11)*($F$11-$E$11)),$G$11-SQRT((1-U395)*($G$11-$E$11)*($G$11-$F$11))))</f>
        <v>0.0974173074587754</v>
      </c>
      <c r="H395" s="39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-2062341734.6239</v>
      </c>
      <c r="I395" s="39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7950522.19742693</v>
      </c>
      <c r="J395" s="39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305663230.628057</v>
      </c>
      <c r="K395" s="39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654934482.424284</v>
      </c>
      <c r="L395" s="39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788169999.316613</v>
      </c>
      <c r="M395" s="39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975158710.101594</v>
      </c>
      <c r="N395" s="39" t="n">
        <f aca="false">IF(COUNT('Business Case'!B11:G11)=0,"",H395+NPV(G395,I395:M395))</f>
        <v>-149676329.123353</v>
      </c>
      <c r="P395" s="40" t="n">
        <f aca="true">RAND()</f>
        <v>0.244845796376472</v>
      </c>
      <c r="Q395" s="40" t="n">
        <f aca="true">RAND()</f>
        <v>0.765109811628862</v>
      </c>
      <c r="R395" s="40" t="n">
        <f aca="true">RAND()</f>
        <v>0.0485379231752472</v>
      </c>
      <c r="S395" s="40" t="n">
        <f aca="true">RAND()</f>
        <v>0.116317541011294</v>
      </c>
      <c r="T395" s="40" t="n">
        <f aca="true">RAND()</f>
        <v>0.361517475826624</v>
      </c>
      <c r="U395" s="40" t="n">
        <f aca="true">RAND()</f>
        <v>0.303362599113513</v>
      </c>
    </row>
    <row r="396" customFormat="false" ht="15" hidden="false" customHeight="false" outlineLevel="0" collapsed="false">
      <c r="A396" s="36" t="n">
        <v>316</v>
      </c>
      <c r="B396" s="37" t="n">
        <f aca="false">1+IF($G$6=$E$6,$F$6,IF(P396&lt;($F$6-$E$6)/($G$6-$E$6),$E$6+SQRT(P396*($G$6-$E$6)*($F$6-$E$6)),$G$6-SQRT((1-P396)*($G$6-$E$6)*($G$6-$F$6))))</f>
        <v>1.0067230847426</v>
      </c>
      <c r="C396" s="37" t="n">
        <f aca="false">1+IF($G$7=$E$7,$F$7,IF(Q396&lt;($F$7-$E$7)/($G$7-$E$7),$E$7+SQRT(Q396*($G$7-$E$7)*($F$7-$E$7)),$G$7-SQRT((1-Q396)*($G$7-$E$7)*($G$7-$F$7))))</f>
        <v>0.961575891607231</v>
      </c>
      <c r="D396" s="37" t="n">
        <f aca="false">1+IF($G$8=$E$8,$F$8,IF(R396&lt;($F$8-$E$8)/($G$8-$E$8),$E$8+SQRT(R396*($G$8-$E$8)*($F$8-$E$8)),$G$8-SQRT((1-R396)*($G$8-$E$8)*($G$8-$F$8))))</f>
        <v>0.999206948259902</v>
      </c>
      <c r="E396" s="37" t="n">
        <f aca="false">1+IF($G$9=$E$9,$F$9,IF(S396&lt;($F$9-$E$9)/($G$9-$E$9),$E$9+SQRT(S396*($G$9-$E$9)*($F$9-$E$9)),$G$9-SQRT((1-S396)*($G$9-$E$9)*($G$9-$F$9))))</f>
        <v>1.00330951993848</v>
      </c>
      <c r="F396" s="37" t="n">
        <f aca="false">1+IF($G$10=$E$10,$F$10,IF(T396&lt;($F$10-$E$10)/($G$10-$E$10),$E$10+SQRT(T396*($G$10-$E$10)*($F$10-$E$10)),$G$10-SQRT((1-T396)*($G$10-$E$10)*($G$10-$F$10))))</f>
        <v>1.09280277012346</v>
      </c>
      <c r="G396" s="38" t="n">
        <f aca="false">IF($G$11=$E$11,$F$11,IF(U396&lt;($F$11-$E$11)/($G$11-$E$11),$E$11+SQRT(U396*($G$11-$E$11)*($F$11-$E$11)),$G$11-SQRT((1-U396)*($G$11-$E$11)*($G$11-$F$11))))</f>
        <v>0.0992104703526021</v>
      </c>
      <c r="H396" s="39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-2185605540.24693</v>
      </c>
      <c r="I396" s="39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-1098679.21245424</v>
      </c>
      <c r="J396" s="39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299936759.505314</v>
      </c>
      <c r="K396" s="39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655612336.729255</v>
      </c>
      <c r="L396" s="39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789412967.756927</v>
      </c>
      <c r="M396" s="39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973418134.093213</v>
      </c>
      <c r="N396" s="39" t="n">
        <f aca="false">IF(COUNT('Business Case'!B11:G11)=0,"",H396+NPV(G396,I396:M396))</f>
        <v>-297413486.329442</v>
      </c>
      <c r="P396" s="40" t="n">
        <f aca="true">RAND()</f>
        <v>0.750281147440557</v>
      </c>
      <c r="Q396" s="40" t="n">
        <f aca="true">RAND()</f>
        <v>0.506829237556428</v>
      </c>
      <c r="R396" s="40" t="n">
        <f aca="true">RAND()</f>
        <v>0.322843167607018</v>
      </c>
      <c r="S396" s="40" t="n">
        <f aca="true">RAND()</f>
        <v>0.426184081581921</v>
      </c>
      <c r="T396" s="40" t="n">
        <f aca="true">RAND()</f>
        <v>0.67052041225525</v>
      </c>
      <c r="U396" s="40" t="n">
        <f aca="true">RAND()</f>
        <v>0.369042171168206</v>
      </c>
    </row>
    <row r="397" customFormat="false" ht="15" hidden="false" customHeight="false" outlineLevel="0" collapsed="false">
      <c r="A397" s="36" t="n">
        <v>317</v>
      </c>
      <c r="B397" s="37" t="n">
        <f aca="false">1+IF($G$6=$E$6,$F$6,IF(P397&lt;($F$6-$E$6)/($G$6-$E$6),$E$6+SQRT(P397*($G$6-$E$6)*($F$6-$E$6)),$G$6-SQRT((1-P397)*($G$6-$E$6)*($G$6-$F$6))))</f>
        <v>0.987542234212947</v>
      </c>
      <c r="C397" s="37" t="n">
        <f aca="false">1+IF($G$7=$E$7,$F$7,IF(Q397&lt;($F$7-$E$7)/($G$7-$E$7),$E$7+SQRT(Q397*($G$7-$E$7)*($F$7-$E$7)),$G$7-SQRT((1-Q397)*($G$7-$E$7)*($G$7-$F$7))))</f>
        <v>1.05287600336416</v>
      </c>
      <c r="D397" s="37" t="n">
        <f aca="false">1+IF($G$8=$E$8,$F$8,IF(R397&lt;($F$8-$E$8)/($G$8-$E$8),$E$8+SQRT(R397*($G$8-$E$8)*($F$8-$E$8)),$G$8-SQRT((1-R397)*($G$8-$E$8)*($G$8-$F$8))))</f>
        <v>0.971131477491515</v>
      </c>
      <c r="E397" s="37" t="n">
        <f aca="false">1+IF($G$9=$E$9,$F$9,IF(S397&lt;($F$9-$E$9)/($G$9-$E$9),$E$9+SQRT(S397*($G$9-$E$9)*($F$9-$E$9)),$G$9-SQRT((1-S397)*($G$9-$E$9)*($G$9-$F$9))))</f>
        <v>0.987907968455978</v>
      </c>
      <c r="F397" s="37" t="n">
        <f aca="false">1+IF($G$10=$E$10,$F$10,IF(T397&lt;($F$10-$E$10)/($G$10-$E$10),$E$10+SQRT(T397*($G$10-$E$10)*($F$10-$E$10)),$G$10-SQRT((1-T397)*($G$10-$E$10)*($G$10-$F$10))))</f>
        <v>1.1258751149871</v>
      </c>
      <c r="G397" s="38" t="n">
        <f aca="false">IF($G$11=$E$11,$F$11,IF(U397&lt;($F$11-$E$11)/($G$11-$E$11),$E$11+SQRT(U397*($G$11-$E$11)*($F$11-$E$11)),$G$11-SQRT((1-U397)*($G$11-$E$11)*($G$11-$F$11))))</f>
        <v>0.101228008486862</v>
      </c>
      <c r="H397" s="39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-2251750229.97421</v>
      </c>
      <c r="I397" s="39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21240263.7372832</v>
      </c>
      <c r="J397" s="39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349449685.641398</v>
      </c>
      <c r="K397" s="39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733952863.294868</v>
      </c>
      <c r="L397" s="39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879290092.96536</v>
      </c>
      <c r="M397" s="39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1076927582.66219</v>
      </c>
      <c r="N397" s="39" t="n">
        <f aca="false">IF(COUNT('Business Case'!B11:G11)=0,"",H397+NPV(G397,I397:M397))</f>
        <v>-131857954.615835</v>
      </c>
      <c r="P397" s="40" t="n">
        <f aca="true">RAND()</f>
        <v>0.510909518066299</v>
      </c>
      <c r="Q397" s="40" t="n">
        <f aca="true">RAND()</f>
        <v>0.860250804110834</v>
      </c>
      <c r="R397" s="40" t="n">
        <f aca="true">RAND()</f>
        <v>0.0595385787965844</v>
      </c>
      <c r="S397" s="40" t="n">
        <f aca="true">RAND()</f>
        <v>0.30911243672229</v>
      </c>
      <c r="T397" s="40" t="n">
        <f aca="true">RAND()</f>
        <v>0.79457350560714</v>
      </c>
      <c r="U397" s="40" t="n">
        <f aca="true">RAND()</f>
        <v>0.448115002911924</v>
      </c>
    </row>
    <row r="398" customFormat="false" ht="15" hidden="false" customHeight="false" outlineLevel="0" collapsed="false">
      <c r="A398" s="36" t="n">
        <v>318</v>
      </c>
      <c r="B398" s="37" t="n">
        <f aca="false">1+IF($G$6=$E$6,$F$6,IF(P398&lt;($F$6-$E$6)/($G$6-$E$6),$E$6+SQRT(P398*($G$6-$E$6)*($F$6-$E$6)),$G$6-SQRT((1-P398)*($G$6-$E$6)*($G$6-$F$6))))</f>
        <v>0.996004176814626</v>
      </c>
      <c r="C398" s="37" t="n">
        <f aca="false">1+IF($G$7=$E$7,$F$7,IF(Q398&lt;($F$7-$E$7)/($G$7-$E$7),$E$7+SQRT(Q398*($G$7-$E$7)*($F$7-$E$7)),$G$7-SQRT((1-Q398)*($G$7-$E$7)*($G$7-$F$7))))</f>
        <v>0.771077954296735</v>
      </c>
      <c r="D398" s="37" t="n">
        <f aca="false">1+IF($G$8=$E$8,$F$8,IF(R398&lt;($F$8-$E$8)/($G$8-$E$8),$E$8+SQRT(R398*($G$8-$E$8)*($F$8-$E$8)),$G$8-SQRT((1-R398)*($G$8-$E$8)*($G$8-$F$8))))</f>
        <v>1.00649401893633</v>
      </c>
      <c r="E398" s="37" t="n">
        <f aca="false">1+IF($G$9=$E$9,$F$9,IF(S398&lt;($F$9-$E$9)/($G$9-$E$9),$E$9+SQRT(S398*($G$9-$E$9)*($F$9-$E$9)),$G$9-SQRT((1-S398)*($G$9-$E$9)*($G$9-$F$9))))</f>
        <v>0.960179346882731</v>
      </c>
      <c r="F398" s="37" t="n">
        <f aca="false">1+IF($G$10=$E$10,$F$10,IF(T398&lt;($F$10-$E$10)/($G$10-$E$10),$E$10+SQRT(T398*($G$10-$E$10)*($F$10-$E$10)),$G$10-SQRT((1-T398)*($G$10-$E$10)*($G$10-$F$10))))</f>
        <v>1.17536326247512</v>
      </c>
      <c r="G398" s="38" t="n">
        <f aca="false">IF($G$11=$E$11,$F$11,IF(U398&lt;($F$11-$E$11)/($G$11-$E$11),$E$11+SQRT(U398*($G$11-$E$11)*($F$11-$E$11)),$G$11-SQRT((1-U398)*($G$11-$E$11)*($G$11-$F$11))))</f>
        <v>0.103121525911567</v>
      </c>
      <c r="H398" s="39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-2350726524.95024</v>
      </c>
      <c r="I398" s="39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-62135672.010206</v>
      </c>
      <c r="J398" s="39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169615442.738444</v>
      </c>
      <c r="K398" s="39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460134720.610849</v>
      </c>
      <c r="L398" s="39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563927063.783478</v>
      </c>
      <c r="M398" s="39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709907907.527081</v>
      </c>
      <c r="N398" s="39" t="n">
        <f aca="false">IF(COUNT('Business Case'!B11:G11)=0,"",H398+NPV(G398,I398:M398))</f>
        <v>-1109464201.34939</v>
      </c>
      <c r="P398" s="40" t="n">
        <f aca="true">RAND()</f>
        <v>0.614453464390264</v>
      </c>
      <c r="Q398" s="40" t="n">
        <f aca="true">RAND()</f>
        <v>0.0374227821259903</v>
      </c>
      <c r="R398" s="40" t="n">
        <f aca="true">RAND()</f>
        <v>0.417108767021366</v>
      </c>
      <c r="S398" s="40" t="n">
        <f aca="true">RAND()</f>
        <v>0.144862151649283</v>
      </c>
      <c r="T398" s="40" t="n">
        <f aca="true">RAND()</f>
        <v>0.925724765488563</v>
      </c>
      <c r="U398" s="40" t="n">
        <f aca="true">RAND()</f>
        <v>0.518365087118287</v>
      </c>
    </row>
    <row r="399" customFormat="false" ht="15" hidden="false" customHeight="false" outlineLevel="0" collapsed="false">
      <c r="A399" s="36" t="n">
        <v>319</v>
      </c>
      <c r="B399" s="37" t="n">
        <f aca="false">1+IF($G$6=$E$6,$F$6,IF(P399&lt;($F$6-$E$6)/($G$6-$E$6),$E$6+SQRT(P399*($G$6-$E$6)*($F$6-$E$6)),$G$6-SQRT((1-P399)*($G$6-$E$6)*($G$6-$F$6))))</f>
        <v>1.00719023462318</v>
      </c>
      <c r="C399" s="37" t="n">
        <f aca="false">1+IF($G$7=$E$7,$F$7,IF(Q399&lt;($F$7-$E$7)/($G$7-$E$7),$E$7+SQRT(Q399*($G$7-$E$7)*($F$7-$E$7)),$G$7-SQRT((1-Q399)*($G$7-$E$7)*($G$7-$F$7))))</f>
        <v>0.872533963021064</v>
      </c>
      <c r="D399" s="37" t="n">
        <f aca="false">1+IF($G$8=$E$8,$F$8,IF(R399&lt;($F$8-$E$8)/($G$8-$E$8),$E$8+SQRT(R399*($G$8-$E$8)*($F$8-$E$8)),$G$8-SQRT((1-R399)*($G$8-$E$8)*($G$8-$F$8))))</f>
        <v>0.97875922116556</v>
      </c>
      <c r="E399" s="37" t="n">
        <f aca="false">1+IF($G$9=$E$9,$F$9,IF(S399&lt;($F$9-$E$9)/($G$9-$E$9),$E$9+SQRT(S399*($G$9-$E$9)*($F$9-$E$9)),$G$9-SQRT((1-S399)*($G$9-$E$9)*($G$9-$F$9))))</f>
        <v>1.06532478132604</v>
      </c>
      <c r="F399" s="37" t="n">
        <f aca="false">1+IF($G$10=$E$10,$F$10,IF(T399&lt;($F$10-$E$10)/($G$10-$E$10),$E$10+SQRT(T399*($G$10-$E$10)*($F$10-$E$10)),$G$10-SQRT((1-T399)*($G$10-$E$10)*($G$10-$F$10))))</f>
        <v>1.00618971172575</v>
      </c>
      <c r="G399" s="38" t="n">
        <f aca="false">IF($G$11=$E$11,$F$11,IF(U399&lt;($F$11-$E$11)/($G$11-$E$11),$E$11+SQRT(U399*($G$11-$E$11)*($F$11-$E$11)),$G$11-SQRT((1-U399)*($G$11-$E$11)*($G$11-$F$11))))</f>
        <v>0.11460341592345</v>
      </c>
      <c r="H399" s="39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-2012379423.4515</v>
      </c>
      <c r="I399" s="39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-15038794.7525935</v>
      </c>
      <c r="J399" s="39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267587956.0625</v>
      </c>
      <c r="K399" s="39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600524192.46388</v>
      </c>
      <c r="L399" s="39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725104703.062611</v>
      </c>
      <c r="M399" s="39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892148468.194622</v>
      </c>
      <c r="N399" s="39" t="n">
        <f aca="false">IF(COUNT('Business Case'!B11:G11)=0,"",H399+NPV(G399,I399:M399))</f>
        <v>-388391732.428444</v>
      </c>
      <c r="P399" s="40" t="n">
        <f aca="true">RAND()</f>
        <v>0.755643198450895</v>
      </c>
      <c r="Q399" s="40" t="n">
        <f aca="true">RAND()</f>
        <v>0.220503469598177</v>
      </c>
      <c r="R399" s="40" t="n">
        <f aca="true">RAND()</f>
        <v>0.110279040273277</v>
      </c>
      <c r="S399" s="40" t="n">
        <f aca="true">RAND()</f>
        <v>0.808802862467133</v>
      </c>
      <c r="T399" s="40" t="n">
        <f aca="true">RAND()</f>
        <v>0.207420577755025</v>
      </c>
      <c r="U399" s="40" t="n">
        <f aca="true">RAND()</f>
        <v>0.841963465849157</v>
      </c>
    </row>
    <row r="400" customFormat="false" ht="15" hidden="false" customHeight="false" outlineLevel="0" collapsed="false">
      <c r="A400" s="36" t="n">
        <v>320</v>
      </c>
      <c r="B400" s="37" t="n">
        <f aca="false">1+IF($G$6=$E$6,$F$6,IF(P400&lt;($F$6-$E$6)/($G$6-$E$6),$E$6+SQRT(P400*($G$6-$E$6)*($F$6-$E$6)),$G$6-SQRT((1-P400)*($G$6-$E$6)*($G$6-$F$6))))</f>
        <v>1.00323898928942</v>
      </c>
      <c r="C400" s="37" t="n">
        <f aca="false">1+IF($G$7=$E$7,$F$7,IF(Q400&lt;($F$7-$E$7)/($G$7-$E$7),$E$7+SQRT(Q400*($G$7-$E$7)*($F$7-$E$7)),$G$7-SQRT((1-Q400)*($G$7-$E$7)*($G$7-$F$7))))</f>
        <v>0.991084191182242</v>
      </c>
      <c r="D400" s="37" t="n">
        <f aca="false">1+IF($G$8=$E$8,$F$8,IF(R400&lt;($F$8-$E$8)/($G$8-$E$8),$E$8+SQRT(R400*($G$8-$E$8)*($F$8-$E$8)),$G$8-SQRT((1-R400)*($G$8-$E$8)*($G$8-$F$8))))</f>
        <v>1.03282280854886</v>
      </c>
      <c r="E400" s="37" t="n">
        <f aca="false">1+IF($G$9=$E$9,$F$9,IF(S400&lt;($F$9-$E$9)/($G$9-$E$9),$E$9+SQRT(S400*($G$9-$E$9)*($F$9-$E$9)),$G$9-SQRT((1-S400)*($G$9-$E$9)*($G$9-$F$9))))</f>
        <v>0.963340680193791</v>
      </c>
      <c r="F400" s="37" t="n">
        <f aca="false">1+IF($G$10=$E$10,$F$10,IF(T400&lt;($F$10-$E$10)/($G$10-$E$10),$E$10+SQRT(T400*($G$10-$E$10)*($F$10-$E$10)),$G$10-SQRT((1-T400)*($G$10-$E$10)*($G$10-$F$10))))</f>
        <v>1.01205012917219</v>
      </c>
      <c r="G400" s="38" t="n">
        <f aca="false">IF($G$11=$E$11,$F$11,IF(U400&lt;($F$11-$E$11)/($G$11-$E$11),$E$11+SQRT(U400*($G$11-$E$11)*($F$11-$E$11)),$G$11-SQRT((1-U400)*($G$11-$E$11)*($G$11-$F$11))))</f>
        <v>0.112361816502005</v>
      </c>
      <c r="H400" s="39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-2024100258.34438</v>
      </c>
      <c r="I400" s="39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653686.404480979</v>
      </c>
      <c r="J400" s="39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291043647.079021</v>
      </c>
      <c r="K400" s="39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632036114.21217</v>
      </c>
      <c r="L400" s="39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763195578.856538</v>
      </c>
      <c r="M400" s="39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952191039.830575</v>
      </c>
      <c r="N400" s="39" t="n">
        <f aca="false">IF(COUNT('Business Case'!B11:G11)=0,"",H400+NPV(G400,I400:M400))</f>
        <v>-271505346.142212</v>
      </c>
      <c r="P400" s="40" t="n">
        <f aca="true">RAND()</f>
        <v>0.708454383643368</v>
      </c>
      <c r="Q400" s="40" t="n">
        <f aca="true">RAND()</f>
        <v>0.627629676712739</v>
      </c>
      <c r="R400" s="40" t="n">
        <f aca="true">RAND()</f>
        <v>0.699148329915827</v>
      </c>
      <c r="S400" s="40" t="n">
        <f aca="true">RAND()</f>
        <v>0.160481670696482</v>
      </c>
      <c r="T400" s="40" t="n">
        <f aca="true">RAND()</f>
        <v>0.245064786307059</v>
      </c>
      <c r="U400" s="40" t="n">
        <f aca="true">RAND()</f>
        <v>0.792596321927373</v>
      </c>
    </row>
    <row r="401" customFormat="false" ht="15" hidden="false" customHeight="false" outlineLevel="0" collapsed="false">
      <c r="A401" s="36" t="n">
        <v>321</v>
      </c>
      <c r="B401" s="37" t="n">
        <f aca="false">1+IF($G$6=$E$6,$F$6,IF(P401&lt;($F$6-$E$6)/($G$6-$E$6),$E$6+SQRT(P401*($G$6-$E$6)*($F$6-$E$6)),$G$6-SQRT((1-P401)*($G$6-$E$6)*($G$6-$F$6))))</f>
        <v>0.982055002997144</v>
      </c>
      <c r="C401" s="37" t="n">
        <f aca="false">1+IF($G$7=$E$7,$F$7,IF(Q401&lt;($F$7-$E$7)/($G$7-$E$7),$E$7+SQRT(Q401*($G$7-$E$7)*($F$7-$E$7)),$G$7-SQRT((1-Q401)*($G$7-$E$7)*($G$7-$F$7))))</f>
        <v>0.956739574406524</v>
      </c>
      <c r="D401" s="37" t="n">
        <f aca="false">1+IF($G$8=$E$8,$F$8,IF(R401&lt;($F$8-$E$8)/($G$8-$E$8),$E$8+SQRT(R401*($G$8-$E$8)*($F$8-$E$8)),$G$8-SQRT((1-R401)*($G$8-$E$8)*($G$8-$F$8))))</f>
        <v>0.994998190842725</v>
      </c>
      <c r="E401" s="37" t="n">
        <f aca="false">1+IF($G$9=$E$9,$F$9,IF(S401&lt;($F$9-$E$9)/($G$9-$E$9),$E$9+SQRT(S401*($G$9-$E$9)*($F$9-$E$9)),$G$9-SQRT((1-S401)*($G$9-$E$9)*($G$9-$F$9))))</f>
        <v>1.00820187995016</v>
      </c>
      <c r="F401" s="37" t="n">
        <f aca="false">1+IF($G$10=$E$10,$F$10,IF(T401&lt;($F$10-$E$10)/($G$10-$E$10),$E$10+SQRT(T401*($G$10-$E$10)*($F$10-$E$10)),$G$10-SQRT((1-T401)*($G$10-$E$10)*($G$10-$F$10))))</f>
        <v>1.03161832600109</v>
      </c>
      <c r="G401" s="38" t="n">
        <f aca="false">IF($G$11=$E$11,$F$11,IF(U401&lt;($F$11-$E$11)/($G$11-$E$11),$E$11+SQRT(U401*($G$11-$E$11)*($F$11-$E$11)),$G$11-SQRT((1-U401)*($G$11-$E$11)*($G$11-$F$11))))</f>
        <v>0.0968882426111707</v>
      </c>
      <c r="H401" s="39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-2063236652.00218</v>
      </c>
      <c r="I401" s="39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-12983656.4568239</v>
      </c>
      <c r="J401" s="39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269268181.725463</v>
      </c>
      <c r="K401" s="39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603100936.207805</v>
      </c>
      <c r="L401" s="39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729656452.075293</v>
      </c>
      <c r="M401" s="39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908250086.012286</v>
      </c>
      <c r="N401" s="39" t="n">
        <f aca="false">IF(COUNT('Business Case'!B11:G11)=0,"",H401+NPV(G401,I401:M401))</f>
        <v>-318246152.269918</v>
      </c>
      <c r="P401" s="40" t="n">
        <f aca="true">RAND()</f>
        <v>0.448868234457419</v>
      </c>
      <c r="Q401" s="40" t="n">
        <f aca="true">RAND()</f>
        <v>0.488260807899576</v>
      </c>
      <c r="R401" s="40" t="n">
        <f aca="true">RAND()</f>
        <v>0.269978290549106</v>
      </c>
      <c r="S401" s="40" t="n">
        <f aca="true">RAND()</f>
        <v>0.463821150675509</v>
      </c>
      <c r="T401" s="40" t="n">
        <f aca="true">RAND()</f>
        <v>0.364125926152461</v>
      </c>
      <c r="U401" s="40" t="n">
        <f aca="true">RAND()</f>
        <v>0.285212738493762</v>
      </c>
    </row>
    <row r="402" customFormat="false" ht="15" hidden="false" customHeight="false" outlineLevel="0" collapsed="false">
      <c r="A402" s="36" t="n">
        <v>322</v>
      </c>
      <c r="B402" s="37" t="n">
        <f aca="false">1+IF($G$6=$E$6,$F$6,IF(P402&lt;($F$6-$E$6)/($G$6-$E$6),$E$6+SQRT(P402*($G$6-$E$6)*($F$6-$E$6)),$G$6-SQRT((1-P402)*($G$6-$E$6)*($G$6-$F$6))))</f>
        <v>1.01880195606234</v>
      </c>
      <c r="C402" s="37" t="n">
        <f aca="false">1+IF($G$7=$E$7,$F$7,IF(Q402&lt;($F$7-$E$7)/($G$7-$E$7),$E$7+SQRT(Q402*($G$7-$E$7)*($F$7-$E$7)),$G$7-SQRT((1-Q402)*($G$7-$E$7)*($G$7-$F$7))))</f>
        <v>0.725564839946915</v>
      </c>
      <c r="D402" s="37" t="n">
        <f aca="false">1+IF($G$8=$E$8,$F$8,IF(R402&lt;($F$8-$E$8)/($G$8-$E$8),$E$8+SQRT(R402*($G$8-$E$8)*($F$8-$E$8)),$G$8-SQRT((1-R402)*($G$8-$E$8)*($G$8-$F$8))))</f>
        <v>1.08198630086547</v>
      </c>
      <c r="E402" s="37" t="n">
        <f aca="false">1+IF($G$9=$E$9,$F$9,IF(S402&lt;($F$9-$E$9)/($G$9-$E$9),$E$9+SQRT(S402*($G$9-$E$9)*($F$9-$E$9)),$G$9-SQRT((1-S402)*($G$9-$E$9)*($G$9-$F$9))))</f>
        <v>1.0070102668176</v>
      </c>
      <c r="F402" s="37" t="n">
        <f aca="false">1+IF($G$10=$E$10,$F$10,IF(T402&lt;($F$10-$E$10)/($G$10-$E$10),$E$10+SQRT(T402*($G$10-$E$10)*($F$10-$E$10)),$G$10-SQRT((1-T402)*($G$10-$E$10)*($G$10-$F$10))))</f>
        <v>1.06132936556383</v>
      </c>
      <c r="G402" s="38" t="n">
        <f aca="false">IF($G$11=$E$11,$F$11,IF(U402&lt;($F$11-$E$11)/($G$11-$E$11),$E$11+SQRT(U402*($G$11-$E$11)*($F$11-$E$11)),$G$11-SQRT((1-U402)*($G$11-$E$11)*($G$11-$F$11))))</f>
        <v>0.105449778536214</v>
      </c>
      <c r="H402" s="39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-2122658731.12767</v>
      </c>
      <c r="I402" s="39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-84070044.0472032</v>
      </c>
      <c r="J402" s="39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119510192.968704</v>
      </c>
      <c r="K402" s="39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376156898.262804</v>
      </c>
      <c r="L402" s="39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469563966.978282</v>
      </c>
      <c r="M402" s="39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610072410.384252</v>
      </c>
      <c r="N402" s="39" t="n">
        <f aca="false">IF(COUNT('Business Case'!B11:G11)=0,"",H402+NPV(G402,I402:M402))</f>
        <v>-1138457103.66544</v>
      </c>
      <c r="P402" s="40" t="n">
        <f aca="true">RAND()</f>
        <v>0.870224273928493</v>
      </c>
      <c r="Q402" s="40" t="n">
        <f aca="true">RAND()</f>
        <v>0.00484119290008444</v>
      </c>
      <c r="R402" s="40" t="n">
        <f aca="true">RAND()</f>
        <v>0.978367109566033</v>
      </c>
      <c r="S402" s="40" t="n">
        <f aca="true">RAND()</f>
        <v>0.454771632118021</v>
      </c>
      <c r="T402" s="40" t="n">
        <f aca="true">RAND()</f>
        <v>0.525378556019397</v>
      </c>
      <c r="U402" s="40" t="n">
        <f aca="true">RAND()</f>
        <v>0.598191084052713</v>
      </c>
    </row>
    <row r="403" customFormat="false" ht="15" hidden="false" customHeight="false" outlineLevel="0" collapsed="false">
      <c r="A403" s="36" t="n">
        <v>323</v>
      </c>
      <c r="B403" s="37" t="n">
        <f aca="false">1+IF($G$6=$E$6,$F$6,IF(P403&lt;($F$6-$E$6)/($G$6-$E$6),$E$6+SQRT(P403*($G$6-$E$6)*($F$6-$E$6)),$G$6-SQRT((1-P403)*($G$6-$E$6)*($G$6-$F$6))))</f>
        <v>0.9964953921601</v>
      </c>
      <c r="C403" s="37" t="n">
        <f aca="false">1+IF($G$7=$E$7,$F$7,IF(Q403&lt;($F$7-$E$7)/($G$7-$E$7),$E$7+SQRT(Q403*($G$7-$E$7)*($F$7-$E$7)),$G$7-SQRT((1-Q403)*($G$7-$E$7)*($G$7-$F$7))))</f>
        <v>0.916757147346784</v>
      </c>
      <c r="D403" s="37" t="n">
        <f aca="false">1+IF($G$8=$E$8,$F$8,IF(R403&lt;($F$8-$E$8)/($G$8-$E$8),$E$8+SQRT(R403*($G$8-$E$8)*($F$8-$E$8)),$G$8-SQRT((1-R403)*($G$8-$E$8)*($G$8-$F$8))))</f>
        <v>1.00990489393699</v>
      </c>
      <c r="E403" s="37" t="n">
        <f aca="false">1+IF($G$9=$E$9,$F$9,IF(S403&lt;($F$9-$E$9)/($G$9-$E$9),$E$9+SQRT(S403*($G$9-$E$9)*($F$9-$E$9)),$G$9-SQRT((1-S403)*($G$9-$E$9)*($G$9-$F$9))))</f>
        <v>0.952993408677962</v>
      </c>
      <c r="F403" s="37" t="n">
        <f aca="false">1+IF($G$10=$E$10,$F$10,IF(T403&lt;($F$10-$E$10)/($G$10-$E$10),$E$10+SQRT(T403*($G$10-$E$10)*($F$10-$E$10)),$G$10-SQRT((1-T403)*($G$10-$E$10)*($G$10-$F$10))))</f>
        <v>1.00635352426672</v>
      </c>
      <c r="G403" s="38" t="n">
        <f aca="false">IF($G$11=$E$11,$F$11,IF(U403&lt;($F$11-$E$11)/($G$11-$E$11),$E$11+SQRT(U403*($G$11-$E$11)*($F$11-$E$11)),$G$11-SQRT((1-U403)*($G$11-$E$11)*($G$11-$F$11))))</f>
        <v>0.106324157751181</v>
      </c>
      <c r="H403" s="39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-2012707048.53344</v>
      </c>
      <c r="I403" s="39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-9205363.61374103</v>
      </c>
      <c r="J403" s="39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265098423.028674</v>
      </c>
      <c r="K403" s="39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589719885.884425</v>
      </c>
      <c r="L403" s="39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712726571.508881</v>
      </c>
      <c r="M403" s="39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886373066.932299</v>
      </c>
      <c r="N403" s="39" t="n">
        <f aca="false">IF(COUNT('Business Case'!B11:G11)=0,"",H403+NPV(G403,I403:M403))</f>
        <v>-358343113.489542</v>
      </c>
      <c r="P403" s="40" t="n">
        <f aca="true">RAND()</f>
        <v>0.620757380542098</v>
      </c>
      <c r="Q403" s="40" t="n">
        <f aca="true">RAND()</f>
        <v>0.348027117969744</v>
      </c>
      <c r="R403" s="40" t="n">
        <f aca="true">RAND()</f>
        <v>0.458858124232979</v>
      </c>
      <c r="S403" s="40" t="n">
        <f aca="true">RAND()</f>
        <v>0.112332054532382</v>
      </c>
      <c r="T403" s="40" t="n">
        <f aca="true">RAND()</f>
        <v>0.208485264836711</v>
      </c>
      <c r="U403" s="40" t="n">
        <f aca="true">RAND()</f>
        <v>0.626302995872703</v>
      </c>
    </row>
    <row r="404" customFormat="false" ht="15" hidden="false" customHeight="false" outlineLevel="0" collapsed="false">
      <c r="A404" s="36" t="n">
        <v>324</v>
      </c>
      <c r="B404" s="37" t="n">
        <f aca="false">1+IF($G$6=$E$6,$F$6,IF(P404&lt;($F$6-$E$6)/($G$6-$E$6),$E$6+SQRT(P404*($G$6-$E$6)*($F$6-$E$6)),$G$6-SQRT((1-P404)*($G$6-$E$6)*($G$6-$F$6))))</f>
        <v>0.982584027088592</v>
      </c>
      <c r="C404" s="37" t="n">
        <f aca="false">1+IF($G$7=$E$7,$F$7,IF(Q404&lt;($F$7-$E$7)/($G$7-$E$7),$E$7+SQRT(Q404*($G$7-$E$7)*($F$7-$E$7)),$G$7-SQRT((1-Q404)*($G$7-$E$7)*($G$7-$F$7))))</f>
        <v>0.908250201034012</v>
      </c>
      <c r="D404" s="37" t="n">
        <f aca="false">1+IF($G$8=$E$8,$F$8,IF(R404&lt;($F$8-$E$8)/($G$8-$E$8),$E$8+SQRT(R404*($G$8-$E$8)*($F$8-$E$8)),$G$8-SQRT((1-R404)*($G$8-$E$8)*($G$8-$F$8))))</f>
        <v>0.982292564964698</v>
      </c>
      <c r="E404" s="37" t="n">
        <f aca="false">1+IF($G$9=$E$9,$F$9,IF(S404&lt;($F$9-$E$9)/($G$9-$E$9),$E$9+SQRT(S404*($G$9-$E$9)*($F$9-$E$9)),$G$9-SQRT((1-S404)*($G$9-$E$9)*($G$9-$F$9))))</f>
        <v>0.984558540346018</v>
      </c>
      <c r="F404" s="37" t="n">
        <f aca="false">1+IF($G$10=$E$10,$F$10,IF(T404&lt;($F$10-$E$10)/($G$10-$E$10),$E$10+SQRT(T404*($G$10-$E$10)*($F$10-$E$10)),$G$10-SQRT((1-T404)*($G$10-$E$10)*($G$10-$F$10))))</f>
        <v>1.21955544871876</v>
      </c>
      <c r="G404" s="38" t="n">
        <f aca="false">IF($G$11=$E$11,$F$11,IF(U404&lt;($F$11-$E$11)/($G$11-$E$11),$E$11+SQRT(U404*($G$11-$E$11)*($F$11-$E$11)),$G$11-SQRT((1-U404)*($G$11-$E$11)*($G$11-$F$11))))</f>
        <v>0.121499862479565</v>
      </c>
      <c r="H404" s="39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-2439110897.43752</v>
      </c>
      <c r="I404" s="39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-33975619.0116122</v>
      </c>
      <c r="J404" s="39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240272213.430507</v>
      </c>
      <c r="K404" s="39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575497818.308564</v>
      </c>
      <c r="L404" s="39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697756217.219037</v>
      </c>
      <c r="M404" s="39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867389718.416092</v>
      </c>
      <c r="N404" s="39" t="n">
        <f aca="false">IF(COUNT('Business Case'!B11:G11)=0,"",H404+NPV(G404,I404:M404))</f>
        <v>-940420292.704259</v>
      </c>
      <c r="P404" s="40" t="n">
        <f aca="true">RAND()</f>
        <v>0.454674768677951</v>
      </c>
      <c r="Q404" s="40" t="n">
        <f aca="true">RAND()</f>
        <v>0.321245527634863</v>
      </c>
      <c r="R404" s="40" t="n">
        <f aca="true">RAND()</f>
        <v>0.139041300266564</v>
      </c>
      <c r="S404" s="40" t="n">
        <f aca="true">RAND()</f>
        <v>0.286005869817965</v>
      </c>
      <c r="T404" s="40" t="n">
        <f aca="true">RAND()</f>
        <v>0.987641723963784</v>
      </c>
      <c r="U404" s="40" t="n">
        <f aca="true">RAND()</f>
        <v>0.951831774755791</v>
      </c>
    </row>
    <row r="405" customFormat="false" ht="15" hidden="false" customHeight="false" outlineLevel="0" collapsed="false">
      <c r="A405" s="36" t="n">
        <v>325</v>
      </c>
      <c r="B405" s="37" t="n">
        <f aca="false">1+IF($G$6=$E$6,$F$6,IF(P405&lt;($F$6-$E$6)/($G$6-$E$6),$E$6+SQRT(P405*($G$6-$E$6)*($F$6-$E$6)),$G$6-SQRT((1-P405)*($G$6-$E$6)*($G$6-$F$6))))</f>
        <v>0.986520324125124</v>
      </c>
      <c r="C405" s="37" t="n">
        <f aca="false">1+IF($G$7=$E$7,$F$7,IF(Q405&lt;($F$7-$E$7)/($G$7-$E$7),$E$7+SQRT(Q405*($G$7-$E$7)*($F$7-$E$7)),$G$7-SQRT((1-Q405)*($G$7-$E$7)*($G$7-$F$7))))</f>
        <v>0.806196530628307</v>
      </c>
      <c r="D405" s="37" t="n">
        <f aca="false">1+IF($G$8=$E$8,$F$8,IF(R405&lt;($F$8-$E$8)/($G$8-$E$8),$E$8+SQRT(R405*($G$8-$E$8)*($F$8-$E$8)),$G$8-SQRT((1-R405)*($G$8-$E$8)*($G$8-$F$8))))</f>
        <v>1.00740668340471</v>
      </c>
      <c r="E405" s="37" t="n">
        <f aca="false">1+IF($G$9=$E$9,$F$9,IF(S405&lt;($F$9-$E$9)/($G$9-$E$9),$E$9+SQRT(S405*($G$9-$E$9)*($F$9-$E$9)),$G$9-SQRT((1-S405)*($G$9-$E$9)*($G$9-$F$9))))</f>
        <v>0.993984748692491</v>
      </c>
      <c r="F405" s="37" t="n">
        <f aca="false">1+IF($G$10=$E$10,$F$10,IF(T405&lt;($F$10-$E$10)/($G$10-$E$10),$E$10+SQRT(T405*($G$10-$E$10)*($F$10-$E$10)),$G$10-SQRT((1-T405)*($G$10-$E$10)*($G$10-$F$10))))</f>
        <v>1.08478148756656</v>
      </c>
      <c r="G405" s="38" t="n">
        <f aca="false">IF($G$11=$E$11,$F$11,IF(U405&lt;($F$11-$E$11)/($G$11-$E$11),$E$11+SQRT(U405*($G$11-$E$11)*($F$11-$E$11)),$G$11-SQRT((1-U405)*($G$11-$E$11)*($G$11-$F$11))))</f>
        <v>0.103082040935017</v>
      </c>
      <c r="H405" s="39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-2169562975.13312</v>
      </c>
      <c r="I405" s="39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-55385645.5394113</v>
      </c>
      <c r="J405" s="39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180281357.920481</v>
      </c>
      <c r="K405" s="39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470187435.758701</v>
      </c>
      <c r="L405" s="39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576229682.897714</v>
      </c>
      <c r="M405" s="39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727405869.152488</v>
      </c>
      <c r="N405" s="39" t="n">
        <f aca="false">IF(COUNT('Business Case'!B11:G11)=0,"",H405+NPV(G405,I405:M405))</f>
        <v>-886725822.27684</v>
      </c>
      <c r="P405" s="40" t="n">
        <f aca="true">RAND()</f>
        <v>0.499051099114438</v>
      </c>
      <c r="Q405" s="40" t="n">
        <f aca="true">RAND()</f>
        <v>0.0835385416110285</v>
      </c>
      <c r="R405" s="40" t="n">
        <f aca="true">RAND()</f>
        <v>0.428431848125673</v>
      </c>
      <c r="S405" s="40" t="n">
        <f aca="true">RAND()</f>
        <v>0.353325319471625</v>
      </c>
      <c r="T405" s="40" t="n">
        <f aca="true">RAND()</f>
        <v>0.636037908657091</v>
      </c>
      <c r="U405" s="40" t="n">
        <f aca="true">RAND()</f>
        <v>0.516948986517281</v>
      </c>
    </row>
    <row r="406" customFormat="false" ht="15" hidden="false" customHeight="false" outlineLevel="0" collapsed="false">
      <c r="A406" s="36" t="n">
        <v>326</v>
      </c>
      <c r="B406" s="37" t="n">
        <f aca="false">1+IF($G$6=$E$6,$F$6,IF(P406&lt;($F$6-$E$6)/($G$6-$E$6),$E$6+SQRT(P406*($G$6-$E$6)*($F$6-$E$6)),$G$6-SQRT((1-P406)*($G$6-$E$6)*($G$6-$F$6))))</f>
        <v>0.956825639925634</v>
      </c>
      <c r="C406" s="37" t="n">
        <f aca="false">1+IF($G$7=$E$7,$F$7,IF(Q406&lt;($F$7-$E$7)/($G$7-$E$7),$E$7+SQRT(Q406*($G$7-$E$7)*($F$7-$E$7)),$G$7-SQRT((1-Q406)*($G$7-$E$7)*($G$7-$F$7))))</f>
        <v>0.988376048869759</v>
      </c>
      <c r="D406" s="37" t="n">
        <f aca="false">1+IF($G$8=$E$8,$F$8,IF(R406&lt;($F$8-$E$8)/($G$8-$E$8),$E$8+SQRT(R406*($G$8-$E$8)*($F$8-$E$8)),$G$8-SQRT((1-R406)*($G$8-$E$8)*($G$8-$F$8))))</f>
        <v>1.08543745938442</v>
      </c>
      <c r="E406" s="37" t="n">
        <f aca="false">1+IF($G$9=$E$9,$F$9,IF(S406&lt;($F$9-$E$9)/($G$9-$E$9),$E$9+SQRT(S406*($G$9-$E$9)*($F$9-$E$9)),$G$9-SQRT((1-S406)*($G$9-$E$9)*($G$9-$F$9))))</f>
        <v>1.03126053876055</v>
      </c>
      <c r="F406" s="37" t="n">
        <f aca="false">1+IF($G$10=$E$10,$F$10,IF(T406&lt;($F$10-$E$10)/($G$10-$E$10),$E$10+SQRT(T406*($G$10-$E$10)*($F$10-$E$10)),$G$10-SQRT((1-T406)*($G$10-$E$10)*($G$10-$F$10))))</f>
        <v>1.09936034905464</v>
      </c>
      <c r="G406" s="38" t="n">
        <f aca="false">IF($G$11=$E$11,$F$11,IF(U406&lt;($F$11-$E$11)/($G$11-$E$11),$E$11+SQRT(U406*($G$11-$E$11)*($F$11-$E$11)),$G$11-SQRT((1-U406)*($G$11-$E$11)*($G$11-$F$11))))</f>
        <v>0.106816678731683</v>
      </c>
      <c r="H406" s="39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-2198720698.10927</v>
      </c>
      <c r="I406" s="39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-80205473.6554697</v>
      </c>
      <c r="J406" s="39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145195608.002246</v>
      </c>
      <c r="K406" s="39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425564707.112693</v>
      </c>
      <c r="L406" s="39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533381915.529245</v>
      </c>
      <c r="M406" s="39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713141245.447807</v>
      </c>
      <c r="N406" s="39" t="n">
        <f aca="false">IF(COUNT('Business Case'!B11:G11)=0,"",H406+NPV(G406,I406:M406))</f>
        <v>-1054050431.97143</v>
      </c>
      <c r="P406" s="40" t="n">
        <f aca="true">RAND()</f>
        <v>0.215276890197184</v>
      </c>
      <c r="Q406" s="40" t="n">
        <f aca="true">RAND()</f>
        <v>0.616005522679508</v>
      </c>
      <c r="R406" s="40" t="n">
        <f aca="true">RAND()</f>
        <v>0.985862160721314</v>
      </c>
      <c r="S406" s="40" t="n">
        <f aca="true">RAND()</f>
        <v>0.624025075855075</v>
      </c>
      <c r="T406" s="40" t="n">
        <f aca="true">RAND()</f>
        <v>0.697435940840784</v>
      </c>
      <c r="U406" s="40" t="n">
        <f aca="true">RAND()</f>
        <v>0.641689076646673</v>
      </c>
    </row>
    <row r="407" customFormat="false" ht="15" hidden="false" customHeight="false" outlineLevel="0" collapsed="false">
      <c r="A407" s="36" t="n">
        <v>327</v>
      </c>
      <c r="B407" s="37" t="n">
        <f aca="false">1+IF($G$6=$E$6,$F$6,IF(P407&lt;($F$6-$E$6)/($G$6-$E$6),$E$6+SQRT(P407*($G$6-$E$6)*($F$6-$E$6)),$G$6-SQRT((1-P407)*($G$6-$E$6)*($G$6-$F$6))))</f>
        <v>1.00758913017036</v>
      </c>
      <c r="C407" s="37" t="n">
        <f aca="false">1+IF($G$7=$E$7,$F$7,IF(Q407&lt;($F$7-$E$7)/($G$7-$E$7),$E$7+SQRT(Q407*($G$7-$E$7)*($F$7-$E$7)),$G$7-SQRT((1-Q407)*($G$7-$E$7)*($G$7-$F$7))))</f>
        <v>1.08097934042183</v>
      </c>
      <c r="D407" s="37" t="n">
        <f aca="false">1+IF($G$8=$E$8,$F$8,IF(R407&lt;($F$8-$E$8)/($G$8-$E$8),$E$8+SQRT(R407*($G$8-$E$8)*($F$8-$E$8)),$G$8-SQRT((1-R407)*($G$8-$E$8)*($G$8-$F$8))))</f>
        <v>1.01730393194974</v>
      </c>
      <c r="E407" s="37" t="n">
        <f aca="false">1+IF($G$9=$E$9,$F$9,IF(S407&lt;($F$9-$E$9)/($G$9-$E$9),$E$9+SQRT(S407*($G$9-$E$9)*($F$9-$E$9)),$G$9-SQRT((1-S407)*($G$9-$E$9)*($G$9-$F$9))))</f>
        <v>1.03482505850127</v>
      </c>
      <c r="F407" s="37" t="n">
        <f aca="false">1+IF($G$10=$E$10,$F$10,IF(T407&lt;($F$10-$E$10)/($G$10-$E$10),$E$10+SQRT(T407*($G$10-$E$10)*($F$10-$E$10)),$G$10-SQRT((1-T407)*($G$10-$E$10)*($G$10-$F$10))))</f>
        <v>0.994779375437297</v>
      </c>
      <c r="G407" s="38" t="n">
        <f aca="false">IF($G$11=$E$11,$F$11,IF(U407&lt;($F$11-$E$11)/($G$11-$E$11),$E$11+SQRT(U407*($G$11-$E$11)*($F$11-$E$11)),$G$11-SQRT((1-U407)*($G$11-$E$11)*($G$11-$F$11))))</f>
        <v>0.109154011243737</v>
      </c>
      <c r="H407" s="39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-1989558750.87459</v>
      </c>
      <c r="I407" s="39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26075509.8573387</v>
      </c>
      <c r="J407" s="39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355244329.026036</v>
      </c>
      <c r="K407" s="39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734152116.966598</v>
      </c>
      <c r="L407" s="39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881517222.321995</v>
      </c>
      <c r="M407" s="39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1088549133.30074</v>
      </c>
      <c r="N407" s="39" t="n">
        <f aca="false">IF(COUNT('Business Case'!B11:G11)=0,"",H407+NPV(G407,I407:M407))</f>
        <v>91674510.0391696</v>
      </c>
      <c r="P407" s="40" t="n">
        <f aca="true">RAND()</f>
        <v>0.760175749372496</v>
      </c>
      <c r="Q407" s="40" t="n">
        <f aca="true">RAND()</f>
        <v>0.929424422983619</v>
      </c>
      <c r="R407" s="40" t="n">
        <f aca="true">RAND()</f>
        <v>0.544090688601802</v>
      </c>
      <c r="S407" s="40" t="n">
        <f aca="true">RAND()</f>
        <v>0.646259542687029</v>
      </c>
      <c r="T407" s="40" t="n">
        <f aca="true">RAND()</f>
        <v>0.133679497636958</v>
      </c>
      <c r="U407" s="40" t="n">
        <f aca="true">RAND()</f>
        <v>0.710296501849171</v>
      </c>
    </row>
    <row r="408" customFormat="false" ht="15" hidden="false" customHeight="false" outlineLevel="0" collapsed="false">
      <c r="A408" s="36" t="n">
        <v>328</v>
      </c>
      <c r="B408" s="37" t="n">
        <f aca="false">1+IF($G$6=$E$6,$F$6,IF(P408&lt;($F$6-$E$6)/($G$6-$E$6),$E$6+SQRT(P408*($G$6-$E$6)*($F$6-$E$6)),$G$6-SQRT((1-P408)*($G$6-$E$6)*($G$6-$F$6))))</f>
        <v>0.997624630747804</v>
      </c>
      <c r="C408" s="37" t="n">
        <f aca="false">1+IF($G$7=$E$7,$F$7,IF(Q408&lt;($F$7-$E$7)/($G$7-$E$7),$E$7+SQRT(Q408*($G$7-$E$7)*($F$7-$E$7)),$G$7-SQRT((1-Q408)*($G$7-$E$7)*($G$7-$F$7))))</f>
        <v>1.01318538663469</v>
      </c>
      <c r="D408" s="37" t="n">
        <f aca="false">1+IF($G$8=$E$8,$F$8,IF(R408&lt;($F$8-$E$8)/($G$8-$E$8),$E$8+SQRT(R408*($G$8-$E$8)*($F$8-$E$8)),$G$8-SQRT((1-R408)*($G$8-$E$8)*($G$8-$F$8))))</f>
        <v>0.964259551924862</v>
      </c>
      <c r="E408" s="37" t="n">
        <f aca="false">1+IF($G$9=$E$9,$F$9,IF(S408&lt;($F$9-$E$9)/($G$9-$E$9),$E$9+SQRT(S408*($G$9-$E$9)*($F$9-$E$9)),$G$9-SQRT((1-S408)*($G$9-$E$9)*($G$9-$F$9))))</f>
        <v>1.11787389961407</v>
      </c>
      <c r="F408" s="37" t="n">
        <f aca="false">1+IF($G$10=$E$10,$F$10,IF(T408&lt;($F$10-$E$10)/($G$10-$E$10),$E$10+SQRT(T408*($G$10-$E$10)*($F$10-$E$10)),$G$10-SQRT((1-T408)*($G$10-$E$10)*($G$10-$F$10))))</f>
        <v>1.01209712888825</v>
      </c>
      <c r="G408" s="38" t="n">
        <f aca="false">IF($G$11=$E$11,$F$11,IF(U408&lt;($F$11-$E$11)/($G$11-$E$11),$E$11+SQRT(U408*($G$11-$E$11)*($F$11-$E$11)),$G$11-SQRT((1-U408)*($G$11-$E$11)*($G$11-$F$11))))</f>
        <v>0.112038561839578</v>
      </c>
      <c r="H408" s="39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-2024194257.77649</v>
      </c>
      <c r="I408" s="39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15198010.1970993</v>
      </c>
      <c r="J408" s="39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342966169.472055</v>
      </c>
      <c r="K408" s="39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721339185.191424</v>
      </c>
      <c r="L408" s="39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865527750.059017</v>
      </c>
      <c r="M408" s="39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1057656564.82669</v>
      </c>
      <c r="N408" s="39" t="n">
        <f aca="false">IF(COUNT('Business Case'!B11:G11)=0,"",H408+NPV(G408,I408:M408))</f>
        <v>-20730087.6447074</v>
      </c>
      <c r="P408" s="40" t="n">
        <f aca="true">RAND()</f>
        <v>0.635371235243006</v>
      </c>
      <c r="Q408" s="40" t="n">
        <f aca="true">RAND()</f>
        <v>0.722692763995561</v>
      </c>
      <c r="R408" s="40" t="n">
        <f aca="true">RAND()</f>
        <v>0.027111309479712</v>
      </c>
      <c r="S408" s="40" t="n">
        <f aca="true">RAND()</f>
        <v>0.972477697973158</v>
      </c>
      <c r="T408" s="40" t="n">
        <f aca="true">RAND()</f>
        <v>0.245362985557128</v>
      </c>
      <c r="U408" s="40" t="n">
        <f aca="true">RAND()</f>
        <v>0.784924492806217</v>
      </c>
    </row>
    <row r="409" customFormat="false" ht="15" hidden="false" customHeight="false" outlineLevel="0" collapsed="false">
      <c r="A409" s="36" t="n">
        <v>329</v>
      </c>
      <c r="B409" s="37" t="n">
        <f aca="false">1+IF($G$6=$E$6,$F$6,IF(P409&lt;($F$6-$E$6)/($G$6-$E$6),$E$6+SQRT(P409*($G$6-$E$6)*($F$6-$E$6)),$G$6-SQRT((1-P409)*($G$6-$E$6)*($G$6-$F$6))))</f>
        <v>0.993161942555679</v>
      </c>
      <c r="C409" s="37" t="n">
        <f aca="false">1+IF($G$7=$E$7,$F$7,IF(Q409&lt;($F$7-$E$7)/($G$7-$E$7),$E$7+SQRT(Q409*($G$7-$E$7)*($F$7-$E$7)),$G$7-SQRT((1-Q409)*($G$7-$E$7)*($G$7-$F$7))))</f>
        <v>1.02880705386011</v>
      </c>
      <c r="D409" s="37" t="n">
        <f aca="false">1+IF($G$8=$E$8,$F$8,IF(R409&lt;($F$8-$E$8)/($G$8-$E$8),$E$8+SQRT(R409*($G$8-$E$8)*($F$8-$E$8)),$G$8-SQRT((1-R409)*($G$8-$E$8)*($G$8-$F$8))))</f>
        <v>1.02858031154765</v>
      </c>
      <c r="E409" s="37" t="n">
        <f aca="false">1+IF($G$9=$E$9,$F$9,IF(S409&lt;($F$9-$E$9)/($G$9-$E$9),$E$9+SQRT(S409*($G$9-$E$9)*($F$9-$E$9)),$G$9-SQRT((1-S409)*($G$9-$E$9)*($G$9-$F$9))))</f>
        <v>1.13183671649105</v>
      </c>
      <c r="F409" s="37" t="n">
        <f aca="false">1+IF($G$10=$E$10,$F$10,IF(T409&lt;($F$10-$E$10)/($G$10-$E$10),$E$10+SQRT(T409*($G$10-$E$10)*($F$10-$E$10)),$G$10-SQRT((1-T409)*($G$10-$E$10)*($G$10-$F$10))))</f>
        <v>1.12678636173548</v>
      </c>
      <c r="G409" s="38" t="n">
        <f aca="false">IF($G$11=$E$11,$F$11,IF(U409&lt;($F$11-$E$11)/($G$11-$E$11),$E$11+SQRT(U409*($G$11-$E$11)*($F$11-$E$11)),$G$11-SQRT((1-U409)*($G$11-$E$11)*($G$11-$F$11))))</f>
        <v>0.120664738321232</v>
      </c>
      <c r="H409" s="39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-2253572723.47095</v>
      </c>
      <c r="I409" s="39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-31408844.1468986</v>
      </c>
      <c r="J409" s="39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263776790.073425</v>
      </c>
      <c r="K409" s="39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615301742.380522</v>
      </c>
      <c r="L409" s="39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749009394.526395</v>
      </c>
      <c r="M409" s="39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943227818.591436</v>
      </c>
      <c r="N409" s="39" t="n">
        <f aca="false">IF(COUNT('Business Case'!B11:G11)=0,"",H409+NPV(G409,I409:M409))</f>
        <v>-625879162.53874</v>
      </c>
      <c r="P409" s="40" t="n">
        <f aca="true">RAND()</f>
        <v>0.57860983604984</v>
      </c>
      <c r="Q409" s="40" t="n">
        <f aca="true">RAND()</f>
        <v>0.782403997124934</v>
      </c>
      <c r="R409" s="40" t="n">
        <f aca="true">RAND()</f>
        <v>0.65994854009128</v>
      </c>
      <c r="S409" s="40" t="n">
        <f aca="true">RAND()</f>
        <v>0.991202536857957</v>
      </c>
      <c r="T409" s="40" t="n">
        <f aca="true">RAND()</f>
        <v>0.797578657941591</v>
      </c>
      <c r="U409" s="40" t="n">
        <f aca="true">RAND()</f>
        <v>0.941901926259286</v>
      </c>
    </row>
    <row r="410" customFormat="false" ht="15" hidden="false" customHeight="false" outlineLevel="0" collapsed="false">
      <c r="A410" s="36" t="n">
        <v>330</v>
      </c>
      <c r="B410" s="37" t="n">
        <f aca="false">1+IF($G$6=$E$6,$F$6,IF(P410&lt;($F$6-$E$6)/($G$6-$E$6),$E$6+SQRT(P410*($G$6-$E$6)*($F$6-$E$6)),$G$6-SQRT((1-P410)*($G$6-$E$6)*($G$6-$F$6))))</f>
        <v>0.999413124672631</v>
      </c>
      <c r="C410" s="37" t="n">
        <f aca="false">1+IF($G$7=$E$7,$F$7,IF(Q410&lt;($F$7-$E$7)/($G$7-$E$7),$E$7+SQRT(Q410*($G$7-$E$7)*($F$7-$E$7)),$G$7-SQRT((1-Q410)*($G$7-$E$7)*($G$7-$F$7))))</f>
        <v>0.968252526713096</v>
      </c>
      <c r="D410" s="37" t="n">
        <f aca="false">1+IF($G$8=$E$8,$F$8,IF(R410&lt;($F$8-$E$8)/($G$8-$E$8),$E$8+SQRT(R410*($G$8-$E$8)*($F$8-$E$8)),$G$8-SQRT((1-R410)*($G$8-$E$8)*($G$8-$F$8))))</f>
        <v>1.00092459039121</v>
      </c>
      <c r="E410" s="37" t="n">
        <f aca="false">1+IF($G$9=$E$9,$F$9,IF(S410&lt;($F$9-$E$9)/($G$9-$E$9),$E$9+SQRT(S410*($G$9-$E$9)*($F$9-$E$9)),$G$9-SQRT((1-S410)*($G$9-$E$9)*($G$9-$F$9))))</f>
        <v>1.07476128566256</v>
      </c>
      <c r="F410" s="37" t="n">
        <f aca="false">1+IF($G$10=$E$10,$F$10,IF(T410&lt;($F$10-$E$10)/($G$10-$E$10),$E$10+SQRT(T410*($G$10-$E$10)*($F$10-$E$10)),$G$10-SQRT((1-T410)*($G$10-$E$10)*($G$10-$F$10))))</f>
        <v>1.05407152620831</v>
      </c>
      <c r="G410" s="38" t="n">
        <f aca="false">IF($G$11=$E$11,$F$11,IF(U410&lt;($F$11-$E$11)/($G$11-$E$11),$E$11+SQRT(U410*($G$11-$E$11)*($F$11-$E$11)),$G$11-SQRT((1-U410)*($G$11-$E$11)*($G$11-$F$11))))</f>
        <v>0.0996638325076364</v>
      </c>
      <c r="H410" s="39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-2108143052.41663</v>
      </c>
      <c r="I410" s="39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-11925982.66919</v>
      </c>
      <c r="J410" s="39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284550995.344471</v>
      </c>
      <c r="K410" s="39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633731549.668548</v>
      </c>
      <c r="L410" s="39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766000377.833637</v>
      </c>
      <c r="M410" s="39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949937806.383249</v>
      </c>
      <c r="N410" s="39" t="n">
        <f aca="false">IF(COUNT('Business Case'!B11:G11)=0,"",H410+NPV(G410,I410:M410))</f>
        <v>-292542196.509026</v>
      </c>
      <c r="P410" s="40" t="n">
        <f aca="true">RAND()</f>
        <v>0.658864623811741</v>
      </c>
      <c r="Q410" s="40" t="n">
        <f aca="true">RAND()</f>
        <v>0.533032726577483</v>
      </c>
      <c r="R410" s="40" t="n">
        <f aca="true">RAND()</f>
        <v>0.345604214056641</v>
      </c>
      <c r="S410" s="40" t="n">
        <f aca="true">RAND()</f>
        <v>0.849043623062661</v>
      </c>
      <c r="T410" s="40" t="n">
        <f aca="true">RAND()</f>
        <v>0.488160442102141</v>
      </c>
      <c r="U410" s="40" t="n">
        <f aca="true">RAND()</f>
        <v>0.38666630888838</v>
      </c>
    </row>
    <row r="411" customFormat="false" ht="15" hidden="false" customHeight="false" outlineLevel="0" collapsed="false">
      <c r="A411" s="36" t="n">
        <v>331</v>
      </c>
      <c r="B411" s="37" t="n">
        <f aca="false">1+IF($G$6=$E$6,$F$6,IF(P411&lt;($F$6-$E$6)/($G$6-$E$6),$E$6+SQRT(P411*($G$6-$E$6)*($F$6-$E$6)),$G$6-SQRT((1-P411)*($G$6-$E$6)*($G$6-$F$6))))</f>
        <v>0.981475845667883</v>
      </c>
      <c r="C411" s="37" t="n">
        <f aca="false">1+IF($G$7=$E$7,$F$7,IF(Q411&lt;($F$7-$E$7)/($G$7-$E$7),$E$7+SQRT(Q411*($G$7-$E$7)*($F$7-$E$7)),$G$7-SQRT((1-Q411)*($G$7-$E$7)*($G$7-$F$7))))</f>
        <v>0.981160524127622</v>
      </c>
      <c r="D411" s="37" t="n">
        <f aca="false">1+IF($G$8=$E$8,$F$8,IF(R411&lt;($F$8-$E$8)/($G$8-$E$8),$E$8+SQRT(R411*($G$8-$E$8)*($F$8-$E$8)),$G$8-SQRT((1-R411)*($G$8-$E$8)*($G$8-$F$8))))</f>
        <v>0.995261535572231</v>
      </c>
      <c r="E411" s="37" t="n">
        <f aca="false">1+IF($G$9=$E$9,$F$9,IF(S411&lt;($F$9-$E$9)/($G$9-$E$9),$E$9+SQRT(S411*($G$9-$E$9)*($F$9-$E$9)),$G$9-SQRT((1-S411)*($G$9-$E$9)*($G$9-$F$9))))</f>
        <v>0.938336700426891</v>
      </c>
      <c r="F411" s="37" t="n">
        <f aca="false">1+IF($G$10=$E$10,$F$10,IF(T411&lt;($F$10-$E$10)/($G$10-$E$10),$E$10+SQRT(T411*($G$10-$E$10)*($F$10-$E$10)),$G$10-SQRT((1-T411)*($G$10-$E$10)*($G$10-$F$10))))</f>
        <v>1.11628515572304</v>
      </c>
      <c r="G411" s="38" t="n">
        <f aca="false">IF($G$11=$E$11,$F$11,IF(U411&lt;($F$11-$E$11)/($G$11-$E$11),$E$11+SQRT(U411*($G$11-$E$11)*($F$11-$E$11)),$G$11-SQRT((1-U411)*($G$11-$E$11)*($G$11-$F$11))))</f>
        <v>0.083049787662376</v>
      </c>
      <c r="H411" s="39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-2232570311.44609</v>
      </c>
      <c r="I411" s="39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-6122494.3627153</v>
      </c>
      <c r="J411" s="39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282736166.458766</v>
      </c>
      <c r="K411" s="39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627409085.066401</v>
      </c>
      <c r="L411" s="39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756976079.214354</v>
      </c>
      <c r="M411" s="39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940020335.522045</v>
      </c>
      <c r="N411" s="39" t="n">
        <f aca="false">IF(COUNT('Business Case'!B11:G11)=0,"",H411+NPV(G411,I411:M411))</f>
        <v>-322359623.560311</v>
      </c>
      <c r="P411" s="40" t="n">
        <f aca="true">RAND()</f>
        <v>0.442554228486449</v>
      </c>
      <c r="Q411" s="40" t="n">
        <f aca="true">RAND()</f>
        <v>0.585564743168292</v>
      </c>
      <c r="R411" s="40" t="n">
        <f aca="true">RAND()</f>
        <v>0.273147546980844</v>
      </c>
      <c r="S411" s="40" t="n">
        <f aca="true">RAND()</f>
        <v>0.058788103984846</v>
      </c>
      <c r="T411" s="40" t="n">
        <f aca="true">RAND()</f>
        <v>0.761604538933195</v>
      </c>
      <c r="U411" s="40" t="n">
        <f aca="true">RAND()</f>
        <v>0.00930120478558064</v>
      </c>
    </row>
    <row r="412" customFormat="false" ht="15" hidden="false" customHeight="false" outlineLevel="0" collapsed="false">
      <c r="A412" s="36" t="n">
        <v>332</v>
      </c>
      <c r="B412" s="37" t="n">
        <f aca="false">1+IF($G$6=$E$6,$F$6,IF(P412&lt;($F$6-$E$6)/($G$6-$E$6),$E$6+SQRT(P412*($G$6-$E$6)*($F$6-$E$6)),$G$6-SQRT((1-P412)*($G$6-$E$6)*($G$6-$F$6))))</f>
        <v>0.955020674063593</v>
      </c>
      <c r="C412" s="37" t="n">
        <f aca="false">1+IF($G$7=$E$7,$F$7,IF(Q412&lt;($F$7-$E$7)/($G$7-$E$7),$E$7+SQRT(Q412*($G$7-$E$7)*($F$7-$E$7)),$G$7-SQRT((1-Q412)*($G$7-$E$7)*($G$7-$F$7))))</f>
        <v>1.00430447344348</v>
      </c>
      <c r="D412" s="37" t="n">
        <f aca="false">1+IF($G$8=$E$8,$F$8,IF(R412&lt;($F$8-$E$8)/($G$8-$E$8),$E$8+SQRT(R412*($G$8-$E$8)*($F$8-$E$8)),$G$8-SQRT((1-R412)*($G$8-$E$8)*($G$8-$F$8))))</f>
        <v>1.00305795923883</v>
      </c>
      <c r="E412" s="37" t="n">
        <f aca="false">1+IF($G$9=$E$9,$F$9,IF(S412&lt;($F$9-$E$9)/($G$9-$E$9),$E$9+SQRT(S412*($G$9-$E$9)*($F$9-$E$9)),$G$9-SQRT((1-S412)*($G$9-$E$9)*($G$9-$F$9))))</f>
        <v>1.02585388661623</v>
      </c>
      <c r="F412" s="37" t="n">
        <f aca="false">1+IF($G$10=$E$10,$F$10,IF(T412&lt;($F$10-$E$10)/($G$10-$E$10),$E$10+SQRT(T412*($G$10-$E$10)*($F$10-$E$10)),$G$10-SQRT((1-T412)*($G$10-$E$10)*($G$10-$F$10))))</f>
        <v>0.971216420132392</v>
      </c>
      <c r="G412" s="38" t="n">
        <f aca="false">IF($G$11=$E$11,$F$11,IF(U412&lt;($F$11-$E$11)/($G$11-$E$11),$E$11+SQRT(U412*($G$11-$E$11)*($F$11-$E$11)),$G$11-SQRT((1-U412)*($G$11-$E$11)*($G$11-$F$11))))</f>
        <v>0.109620414043759</v>
      </c>
      <c r="H412" s="39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-1942432840.26478</v>
      </c>
      <c r="I412" s="39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-22817373.5735312</v>
      </c>
      <c r="J412" s="39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247084696.327414</v>
      </c>
      <c r="K412" s="39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565547587.23498</v>
      </c>
      <c r="L412" s="39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688662529.724901</v>
      </c>
      <c r="M412" s="39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870974251.934401</v>
      </c>
      <c r="N412" s="39" t="n">
        <f aca="false">IF(COUNT('Business Case'!B11:G11)=0,"",H412+NPV(G412,I412:M412))</f>
        <v>-376341386.980931</v>
      </c>
      <c r="P412" s="40" t="n">
        <f aca="true">RAND()</f>
        <v>0.201818304960809</v>
      </c>
      <c r="Q412" s="40" t="n">
        <f aca="true">RAND()</f>
        <v>0.685523163576583</v>
      </c>
      <c r="R412" s="40" t="n">
        <f aca="true">RAND()</f>
        <v>0.373482715537352</v>
      </c>
      <c r="S412" s="40" t="n">
        <f aca="true">RAND()</f>
        <v>0.589006467512139</v>
      </c>
      <c r="T412" s="40" t="n">
        <f aca="true">RAND()</f>
        <v>0.030009098882278</v>
      </c>
      <c r="U412" s="40" t="n">
        <f aca="true">RAND()</f>
        <v>0.72311498416812</v>
      </c>
    </row>
    <row r="413" customFormat="false" ht="15" hidden="false" customHeight="false" outlineLevel="0" collapsed="false">
      <c r="A413" s="36" t="n">
        <v>333</v>
      </c>
      <c r="B413" s="37" t="n">
        <f aca="false">1+IF($G$6=$E$6,$F$6,IF(P413&lt;($F$6-$E$6)/($G$6-$E$6),$E$6+SQRT(P413*($G$6-$E$6)*($F$6-$E$6)),$G$6-SQRT((1-P413)*($G$6-$E$6)*($G$6-$F$6))))</f>
        <v>0.997247806255504</v>
      </c>
      <c r="C413" s="37" t="n">
        <f aca="false">1+IF($G$7=$E$7,$F$7,IF(Q413&lt;($F$7-$E$7)/($G$7-$E$7),$E$7+SQRT(Q413*($G$7-$E$7)*($F$7-$E$7)),$G$7-SQRT((1-Q413)*($G$7-$E$7)*($G$7-$F$7))))</f>
        <v>0.982759098231439</v>
      </c>
      <c r="D413" s="37" t="n">
        <f aca="false">1+IF($G$8=$E$8,$F$8,IF(R413&lt;($F$8-$E$8)/($G$8-$E$8),$E$8+SQRT(R413*($G$8-$E$8)*($F$8-$E$8)),$G$8-SQRT((1-R413)*($G$8-$E$8)*($G$8-$F$8))))</f>
        <v>1.06346121030858</v>
      </c>
      <c r="E413" s="37" t="n">
        <f aca="false">1+IF($G$9=$E$9,$F$9,IF(S413&lt;($F$9-$E$9)/($G$9-$E$9),$E$9+SQRT(S413*($G$9-$E$9)*($F$9-$E$9)),$G$9-SQRT((1-S413)*($G$9-$E$9)*($G$9-$F$9))))</f>
        <v>1.02412092521688</v>
      </c>
      <c r="F413" s="37" t="n">
        <f aca="false">1+IF($G$10=$E$10,$F$10,IF(T413&lt;($F$10-$E$10)/($G$10-$E$10),$E$10+SQRT(T413*($G$10-$E$10)*($F$10-$E$10)),$G$10-SQRT((1-T413)*($G$10-$E$10)*($G$10-$F$10))))</f>
        <v>1.04388357942697</v>
      </c>
      <c r="G413" s="38" t="n">
        <f aca="false">IF($G$11=$E$11,$F$11,IF(U413&lt;($F$11-$E$11)/($G$11-$E$11),$E$11+SQRT(U413*($G$11-$E$11)*($F$11-$E$11)),$G$11-SQRT((1-U413)*($G$11-$E$11)*($G$11-$F$11))))</f>
        <v>0.111617252022536</v>
      </c>
      <c r="H413" s="39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-2087767158.85394</v>
      </c>
      <c r="I413" s="39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-33110284.8647575</v>
      </c>
      <c r="J413" s="39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234603801.531281</v>
      </c>
      <c r="K413" s="39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554512066.898668</v>
      </c>
      <c r="L413" s="39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677620774.198853</v>
      </c>
      <c r="M413" s="39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863909505.957135</v>
      </c>
      <c r="N413" s="39" t="n">
        <f aca="false">IF(COUNT('Business Case'!B11:G11)=0,"",H413+NPV(G413,I413:M413))</f>
        <v>-571261954.670775</v>
      </c>
      <c r="P413" s="40" t="n">
        <f aca="true">RAND()</f>
        <v>0.630475721433871</v>
      </c>
      <c r="Q413" s="40" t="n">
        <f aca="true">RAND()</f>
        <v>0.592242278760418</v>
      </c>
      <c r="R413" s="40" t="n">
        <f aca="true">RAND()</f>
        <v>0.910994456525753</v>
      </c>
      <c r="S413" s="40" t="n">
        <f aca="true">RAND()</f>
        <v>0.577452227513219</v>
      </c>
      <c r="T413" s="40" t="n">
        <f aca="true">RAND()</f>
        <v>0.433546948935495</v>
      </c>
      <c r="U413" s="40" t="n">
        <f aca="true">RAND()</f>
        <v>0.774716384531352</v>
      </c>
    </row>
    <row r="414" customFormat="false" ht="15" hidden="false" customHeight="false" outlineLevel="0" collapsed="false">
      <c r="A414" s="36" t="n">
        <v>334</v>
      </c>
      <c r="B414" s="37" t="n">
        <f aca="false">1+IF($G$6=$E$6,$F$6,IF(P414&lt;($F$6-$E$6)/($G$6-$E$6),$E$6+SQRT(P414*($G$6-$E$6)*($F$6-$E$6)),$G$6-SQRT((1-P414)*($G$6-$E$6)*($G$6-$F$6))))</f>
        <v>0.962408962477644</v>
      </c>
      <c r="C414" s="37" t="n">
        <f aca="false">1+IF($G$7=$E$7,$F$7,IF(Q414&lt;($F$7-$E$7)/($G$7-$E$7),$E$7+SQRT(Q414*($G$7-$E$7)*($F$7-$E$7)),$G$7-SQRT((1-Q414)*($G$7-$E$7)*($G$7-$F$7))))</f>
        <v>0.83418583530051</v>
      </c>
      <c r="D414" s="37" t="n">
        <f aca="false">1+IF($G$8=$E$8,$F$8,IF(R414&lt;($F$8-$E$8)/($G$8-$E$8),$E$8+SQRT(R414*($G$8-$E$8)*($F$8-$E$8)),$G$8-SQRT((1-R414)*($G$8-$E$8)*($G$8-$F$8))))</f>
        <v>1.00510108217156</v>
      </c>
      <c r="E414" s="37" t="n">
        <f aca="false">1+IF($G$9=$E$9,$F$9,IF(S414&lt;($F$9-$E$9)/($G$9-$E$9),$E$9+SQRT(S414*($G$9-$E$9)*($F$9-$E$9)),$G$9-SQRT((1-S414)*($G$9-$E$9)*($G$9-$F$9))))</f>
        <v>0.968603678145209</v>
      </c>
      <c r="F414" s="37" t="n">
        <f aca="false">1+IF($G$10=$E$10,$F$10,IF(T414&lt;($F$10-$E$10)/($G$10-$E$10),$E$10+SQRT(T414*($G$10-$E$10)*($F$10-$E$10)),$G$10-SQRT((1-T414)*($G$10-$E$10)*($G$10-$F$10))))</f>
        <v>1.0121943177851</v>
      </c>
      <c r="G414" s="38" t="n">
        <f aca="false">IF($G$11=$E$11,$F$11,IF(U414&lt;($F$11-$E$11)/($G$11-$E$11),$E$11+SQRT(U414*($G$11-$E$11)*($F$11-$E$11)),$G$11-SQRT((1-U414)*($G$11-$E$11)*($G$11-$F$11))))</f>
        <v>0.0981428325409633</v>
      </c>
      <c r="H414" s="39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-2024388635.5702</v>
      </c>
      <c r="I414" s="39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-52214361.4600027</v>
      </c>
      <c r="J414" s="39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176144751.484657</v>
      </c>
      <c r="K414" s="39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455113580.318571</v>
      </c>
      <c r="L414" s="39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558979017.69606</v>
      </c>
      <c r="M414" s="39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711580549.540372</v>
      </c>
      <c r="N414" s="39" t="n">
        <f aca="false">IF(COUNT('Business Case'!B11:G11)=0,"",H414+NPV(G414,I414:M414))</f>
        <v>-752234407.67596</v>
      </c>
      <c r="P414" s="40" t="n">
        <f aca="true">RAND()</f>
        <v>0.259658573169063</v>
      </c>
      <c r="Q414" s="40" t="n">
        <f aca="true">RAND()</f>
        <v>0.133376580705893</v>
      </c>
      <c r="R414" s="40" t="n">
        <f aca="true">RAND()</f>
        <v>0.399613026332706</v>
      </c>
      <c r="S414" s="40" t="n">
        <f aca="true">RAND()</f>
        <v>0.188258586202057</v>
      </c>
      <c r="T414" s="40" t="n">
        <f aca="true">RAND()</f>
        <v>0.245979433417419</v>
      </c>
      <c r="U414" s="40" t="n">
        <f aca="true">RAND()</f>
        <v>0.329162372609437</v>
      </c>
    </row>
    <row r="415" customFormat="false" ht="15" hidden="false" customHeight="false" outlineLevel="0" collapsed="false">
      <c r="A415" s="36" t="n">
        <v>335</v>
      </c>
      <c r="B415" s="37" t="n">
        <f aca="false">1+IF($G$6=$E$6,$F$6,IF(P415&lt;($F$6-$E$6)/($G$6-$E$6),$E$6+SQRT(P415*($G$6-$E$6)*($F$6-$E$6)),$G$6-SQRT((1-P415)*($G$6-$E$6)*($G$6-$F$6))))</f>
        <v>1.01742350605068</v>
      </c>
      <c r="C415" s="37" t="n">
        <f aca="false">1+IF($G$7=$E$7,$F$7,IF(Q415&lt;($F$7-$E$7)/($G$7-$E$7),$E$7+SQRT(Q415*($G$7-$E$7)*($F$7-$E$7)),$G$7-SQRT((1-Q415)*($G$7-$E$7)*($G$7-$F$7))))</f>
        <v>0.908291300519401</v>
      </c>
      <c r="D415" s="37" t="n">
        <f aca="false">1+IF($G$8=$E$8,$F$8,IF(R415&lt;($F$8-$E$8)/($G$8-$E$8),$E$8+SQRT(R415*($G$8-$E$8)*($F$8-$E$8)),$G$8-SQRT((1-R415)*($G$8-$E$8)*($G$8-$F$8))))</f>
        <v>0.982387490364995</v>
      </c>
      <c r="E415" s="37" t="n">
        <f aca="false">1+IF($G$9=$E$9,$F$9,IF(S415&lt;($F$9-$E$9)/($G$9-$E$9),$E$9+SQRT(S415*($G$9-$E$9)*($F$9-$E$9)),$G$9-SQRT((1-S415)*($G$9-$E$9)*($G$9-$F$9))))</f>
        <v>1.10771311766346</v>
      </c>
      <c r="F415" s="37" t="n">
        <f aca="false">1+IF($G$10=$E$10,$F$10,IF(T415&lt;($F$10-$E$10)/($G$10-$E$10),$E$10+SQRT(T415*($G$10-$E$10)*($F$10-$E$10)),$G$10-SQRT((1-T415)*($G$10-$E$10)*($G$10-$F$10))))</f>
        <v>1.19052664412292</v>
      </c>
      <c r="G415" s="38" t="n">
        <f aca="false">IF($G$11=$E$11,$F$11,IF(U415&lt;($F$11-$E$11)/($G$11-$E$11),$E$11+SQRT(U415*($G$11-$E$11)*($F$11-$E$11)),$G$11-SQRT((1-U415)*($G$11-$E$11)*($G$11-$F$11))))</f>
        <v>0.101720216705229</v>
      </c>
      <c r="H415" s="39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-2381053288.24583</v>
      </c>
      <c r="I415" s="39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-24340547.6028117</v>
      </c>
      <c r="J415" s="39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275794595.644763</v>
      </c>
      <c r="K415" s="39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635456071.098483</v>
      </c>
      <c r="L415" s="39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767438599.585242</v>
      </c>
      <c r="M415" s="39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943094743.641859</v>
      </c>
      <c r="N415" s="39" t="n">
        <f aca="false">IF(COUNT('Business Case'!B11:G11)=0,"",H415+NPV(G415,I415:M415))</f>
        <v>-598798584.971065</v>
      </c>
      <c r="P415" s="40" t="n">
        <f aca="true">RAND()</f>
        <v>0.858502938929309</v>
      </c>
      <c r="Q415" s="40" t="n">
        <f aca="true">RAND()</f>
        <v>0.321372339793064</v>
      </c>
      <c r="R415" s="40" t="n">
        <f aca="true">RAND()</f>
        <v>0.139859937619017</v>
      </c>
      <c r="S415" s="40" t="n">
        <f aca="true">RAND()</f>
        <v>0.952315188860157</v>
      </c>
      <c r="T415" s="40" t="n">
        <f aca="true">RAND()</f>
        <v>0.952838932542902</v>
      </c>
      <c r="U415" s="40" t="n">
        <f aca="true">RAND()</f>
        <v>0.466835904533857</v>
      </c>
    </row>
    <row r="416" customFormat="false" ht="15" hidden="false" customHeight="false" outlineLevel="0" collapsed="false">
      <c r="A416" s="36" t="n">
        <v>336</v>
      </c>
      <c r="B416" s="37" t="n">
        <f aca="false">1+IF($G$6=$E$6,$F$6,IF(P416&lt;($F$6-$E$6)/($G$6-$E$6),$E$6+SQRT(P416*($G$6-$E$6)*($F$6-$E$6)),$G$6-SQRT((1-P416)*($G$6-$E$6)*($G$6-$F$6))))</f>
        <v>0.978599408084821</v>
      </c>
      <c r="C416" s="37" t="n">
        <f aca="false">1+IF($G$7=$E$7,$F$7,IF(Q416&lt;($F$7-$E$7)/($G$7-$E$7),$E$7+SQRT(Q416*($G$7-$E$7)*($F$7-$E$7)),$G$7-SQRT((1-Q416)*($G$7-$E$7)*($G$7-$F$7))))</f>
        <v>0.920337031077181</v>
      </c>
      <c r="D416" s="37" t="n">
        <f aca="false">1+IF($G$8=$E$8,$F$8,IF(R416&lt;($F$8-$E$8)/($G$8-$E$8),$E$8+SQRT(R416*($G$8-$E$8)*($F$8-$E$8)),$G$8-SQRT((1-R416)*($G$8-$E$8)*($G$8-$F$8))))</f>
        <v>1.0146013582854</v>
      </c>
      <c r="E416" s="37" t="n">
        <f aca="false">1+IF($G$9=$E$9,$F$9,IF(S416&lt;($F$9-$E$9)/($G$9-$E$9),$E$9+SQRT(S416*($G$9-$E$9)*($F$9-$E$9)),$G$9-SQRT((1-S416)*($G$9-$E$9)*($G$9-$F$9))))</f>
        <v>0.918278578930709</v>
      </c>
      <c r="F416" s="37" t="n">
        <f aca="false">1+IF($G$10=$E$10,$F$10,IF(T416&lt;($F$10-$E$10)/($G$10-$E$10),$E$10+SQRT(T416*($G$10-$E$10)*($F$10-$E$10)),$G$10-SQRT((1-T416)*($G$10-$E$10)*($G$10-$F$10))))</f>
        <v>1.16386600485224</v>
      </c>
      <c r="G416" s="38" t="n">
        <f aca="false">IF($G$11=$E$11,$F$11,IF(U416&lt;($F$11-$E$11)/($G$11-$E$11),$E$11+SQRT(U416*($G$11-$E$11)*($F$11-$E$11)),$G$11-SQRT((1-U416)*($G$11-$E$11)*($G$11-$F$11))))</f>
        <v>0.108213491387693</v>
      </c>
      <c r="H416" s="39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-2327732009.70448</v>
      </c>
      <c r="I416" s="39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-33983209.9013946</v>
      </c>
      <c r="J416" s="39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225688638.242801</v>
      </c>
      <c r="K416" s="39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543553786.629608</v>
      </c>
      <c r="L416" s="39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661237231.768619</v>
      </c>
      <c r="M416" s="39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832431125.102154</v>
      </c>
      <c r="N416" s="39" t="n">
        <f aca="false">IF(COUNT('Business Case'!B11:G11)=0,"",H416+NPV(G416,I416:M416))</f>
        <v>-838869785.129728</v>
      </c>
      <c r="P416" s="40" t="n">
        <f aca="true">RAND()</f>
        <v>0.41185779675228</v>
      </c>
      <c r="Q416" s="40" t="n">
        <f aca="true">RAND()</f>
        <v>0.359617831584493</v>
      </c>
      <c r="R416" s="40" t="n">
        <f aca="true">RAND()</f>
        <v>0.513804799553451</v>
      </c>
      <c r="S416" s="40" t="n">
        <f aca="true">RAND()</f>
        <v>0.013364257909047</v>
      </c>
      <c r="T416" s="40" t="n">
        <f aca="true">RAND()</f>
        <v>0.90107913173181</v>
      </c>
      <c r="U416" s="40" t="n">
        <f aca="true">RAND()</f>
        <v>0.683565361657254</v>
      </c>
    </row>
    <row r="417" customFormat="false" ht="15" hidden="false" customHeight="false" outlineLevel="0" collapsed="false">
      <c r="A417" s="36" t="n">
        <v>337</v>
      </c>
      <c r="B417" s="37" t="n">
        <f aca="false">1+IF($G$6=$E$6,$F$6,IF(P417&lt;($F$6-$E$6)/($G$6-$E$6),$E$6+SQRT(P417*($G$6-$E$6)*($F$6-$E$6)),$G$6-SQRT((1-P417)*($G$6-$E$6)*($G$6-$F$6))))</f>
        <v>0.949552912507239</v>
      </c>
      <c r="C417" s="37" t="n">
        <f aca="false">1+IF($G$7=$E$7,$F$7,IF(Q417&lt;($F$7-$E$7)/($G$7-$E$7),$E$7+SQRT(Q417*($G$7-$E$7)*($F$7-$E$7)),$G$7-SQRT((1-Q417)*($G$7-$E$7)*($G$7-$F$7))))</f>
        <v>1.03942434893772</v>
      </c>
      <c r="D417" s="37" t="n">
        <f aca="false">1+IF($G$8=$E$8,$F$8,IF(R417&lt;($F$8-$E$8)/($G$8-$E$8),$E$8+SQRT(R417*($G$8-$E$8)*($F$8-$E$8)),$G$8-SQRT((1-R417)*($G$8-$E$8)*($G$8-$F$8))))</f>
        <v>1.05101568323526</v>
      </c>
      <c r="E417" s="37" t="n">
        <f aca="false">1+IF($G$9=$E$9,$F$9,IF(S417&lt;($F$9-$E$9)/($G$9-$E$9),$E$9+SQRT(S417*($G$9-$E$9)*($F$9-$E$9)),$G$9-SQRT((1-S417)*($G$9-$E$9)*($G$9-$F$9))))</f>
        <v>1.00384414840019</v>
      </c>
      <c r="F417" s="37" t="n">
        <f aca="false">1+IF($G$10=$E$10,$F$10,IF(T417&lt;($F$10-$E$10)/($G$10-$E$10),$E$10+SQRT(T417*($G$10-$E$10)*($F$10-$E$10)),$G$10-SQRT((1-T417)*($G$10-$E$10)*($G$10-$F$10))))</f>
        <v>1.00156813990432</v>
      </c>
      <c r="G417" s="38" t="n">
        <f aca="false">IF($G$11=$E$11,$F$11,IF(U417&lt;($F$11-$E$11)/($G$11-$E$11),$E$11+SQRT(U417*($G$11-$E$11)*($F$11-$E$11)),$G$11-SQRT((1-U417)*($G$11-$E$11)*($G$11-$F$11))))</f>
        <v>0.0933155873235202</v>
      </c>
      <c r="H417" s="39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-2003136279.80864</v>
      </c>
      <c r="I417" s="39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-44902019.6166632</v>
      </c>
      <c r="J417" s="39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204264892.241721</v>
      </c>
      <c r="K417" s="39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503510211.095322</v>
      </c>
      <c r="L417" s="39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620676168.102856</v>
      </c>
      <c r="M417" s="39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808282926.570588</v>
      </c>
      <c r="N417" s="39" t="n">
        <f aca="false">IF(COUNT('Business Case'!B11:G11)=0,"",H417+NPV(G417,I417:M417))</f>
        <v>-536241485.584531</v>
      </c>
      <c r="P417" s="40" t="n">
        <f aca="true">RAND()</f>
        <v>0.163699409196673</v>
      </c>
      <c r="Q417" s="40" t="n">
        <f aca="true">RAND()</f>
        <v>0.818859635439291</v>
      </c>
      <c r="R417" s="40" t="n">
        <f aca="true">RAND()</f>
        <v>0.840035780739464</v>
      </c>
      <c r="S417" s="40" t="n">
        <f aca="true">RAND()</f>
        <v>0.430359121150254</v>
      </c>
      <c r="T417" s="40" t="n">
        <f aca="true">RAND()</f>
        <v>0.17708814519201</v>
      </c>
      <c r="U417" s="40" t="n">
        <f aca="true">RAND()</f>
        <v>0.177304865770293</v>
      </c>
    </row>
    <row r="418" customFormat="false" ht="15" hidden="false" customHeight="false" outlineLevel="0" collapsed="false">
      <c r="A418" s="36" t="n">
        <v>338</v>
      </c>
      <c r="B418" s="37" t="n">
        <f aca="false">1+IF($G$6=$E$6,$F$6,IF(P418&lt;($F$6-$E$6)/($G$6-$E$6),$E$6+SQRT(P418*($G$6-$E$6)*($F$6-$E$6)),$G$6-SQRT((1-P418)*($G$6-$E$6)*($G$6-$F$6))))</f>
        <v>0.957901649083742</v>
      </c>
      <c r="C418" s="37" t="n">
        <f aca="false">1+IF($G$7=$E$7,$F$7,IF(Q418&lt;($F$7-$E$7)/($G$7-$E$7),$E$7+SQRT(Q418*($G$7-$E$7)*($F$7-$E$7)),$G$7-SQRT((1-Q418)*($G$7-$E$7)*($G$7-$F$7))))</f>
        <v>0.905762461522259</v>
      </c>
      <c r="D418" s="37" t="n">
        <f aca="false">1+IF($G$8=$E$8,$F$8,IF(R418&lt;($F$8-$E$8)/($G$8-$E$8),$E$8+SQRT(R418*($G$8-$E$8)*($F$8-$E$8)),$G$8-SQRT((1-R418)*($G$8-$E$8)*($G$8-$F$8))))</f>
        <v>1.0548657158027</v>
      </c>
      <c r="E418" s="37" t="n">
        <f aca="false">1+IF($G$9=$E$9,$F$9,IF(S418&lt;($F$9-$E$9)/($G$9-$E$9),$E$9+SQRT(S418*($G$9-$E$9)*($F$9-$E$9)),$G$9-SQRT((1-S418)*($G$9-$E$9)*($G$9-$F$9))))</f>
        <v>1.08238704081563</v>
      </c>
      <c r="F418" s="37" t="n">
        <f aca="false">1+IF($G$10=$E$10,$F$10,IF(T418&lt;($F$10-$E$10)/($G$10-$E$10),$E$10+SQRT(T418*($G$10-$E$10)*($F$10-$E$10)),$G$10-SQRT((1-T418)*($G$10-$E$10)*($G$10-$F$10))))</f>
        <v>1.03237180058564</v>
      </c>
      <c r="G418" s="38" t="n">
        <f aca="false">IF($G$11=$E$11,$F$11,IF(U418&lt;($F$11-$E$11)/($G$11-$E$11),$E$11+SQRT(U418*($G$11-$E$11)*($F$11-$E$11)),$G$11-SQRT((1-U418)*($G$11-$E$11)*($G$11-$F$11))))</f>
        <v>0.0910641931350783</v>
      </c>
      <c r="H418" s="39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-2064743601.17127</v>
      </c>
      <c r="I418" s="39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-80596017.3125287</v>
      </c>
      <c r="J418" s="39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140938592.110254</v>
      </c>
      <c r="K418" s="39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414091791.56232</v>
      </c>
      <c r="L418" s="39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517922001.018424</v>
      </c>
      <c r="M418" s="39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682841369.085231</v>
      </c>
      <c r="N418" s="39" t="n">
        <f aca="false">IF(COUNT('Business Case'!B11:G11)=0,"",H418+NPV(G418,I418:M418))</f>
        <v>-894279258.025662</v>
      </c>
      <c r="P418" s="40" t="n">
        <f aca="true">RAND()</f>
        <v>0.22350673110779</v>
      </c>
      <c r="Q418" s="40" t="n">
        <f aca="true">RAND()</f>
        <v>0.313616226457031</v>
      </c>
      <c r="R418" s="40" t="n">
        <f aca="true">RAND()</f>
        <v>0.864193092666488</v>
      </c>
      <c r="S418" s="40" t="n">
        <f aca="true">RAND()</f>
        <v>0.878093006675543</v>
      </c>
      <c r="T418" s="40" t="n">
        <f aca="true">RAND()</f>
        <v>0.368506224262152</v>
      </c>
      <c r="U418" s="40" t="n">
        <f aca="true">RAND()</f>
        <v>0.122416369730315</v>
      </c>
    </row>
    <row r="419" customFormat="false" ht="15" hidden="false" customHeight="false" outlineLevel="0" collapsed="false">
      <c r="A419" s="36" t="n">
        <v>339</v>
      </c>
      <c r="B419" s="37" t="n">
        <f aca="false">1+IF($G$6=$E$6,$F$6,IF(P419&lt;($F$6-$E$6)/($G$6-$E$6),$E$6+SQRT(P419*($G$6-$E$6)*($F$6-$E$6)),$G$6-SQRT((1-P419)*($G$6-$E$6)*($G$6-$F$6))))</f>
        <v>1.00633585987591</v>
      </c>
      <c r="C419" s="37" t="n">
        <f aca="false">1+IF($G$7=$E$7,$F$7,IF(Q419&lt;($F$7-$E$7)/($G$7-$E$7),$E$7+SQRT(Q419*($G$7-$E$7)*($F$7-$E$7)),$G$7-SQRT((1-Q419)*($G$7-$E$7)*($G$7-$F$7))))</f>
        <v>1.0289820293482</v>
      </c>
      <c r="D419" s="37" t="n">
        <f aca="false">1+IF($G$8=$E$8,$F$8,IF(R419&lt;($F$8-$E$8)/($G$8-$E$8),$E$8+SQRT(R419*($G$8-$E$8)*($F$8-$E$8)),$G$8-SQRT((1-R419)*($G$8-$E$8)*($G$8-$F$8))))</f>
        <v>1.0089731981692</v>
      </c>
      <c r="E419" s="37" t="n">
        <f aca="false">1+IF($G$9=$E$9,$F$9,IF(S419&lt;($F$9-$E$9)/($G$9-$E$9),$E$9+SQRT(S419*($G$9-$E$9)*($F$9-$E$9)),$G$9-SQRT((1-S419)*($G$9-$E$9)*($G$9-$F$9))))</f>
        <v>1.11074048387771</v>
      </c>
      <c r="F419" s="37" t="n">
        <f aca="false">1+IF($G$10=$E$10,$F$10,IF(T419&lt;($F$10-$E$10)/($G$10-$E$10),$E$10+SQRT(T419*($G$10-$E$10)*($F$10-$E$10)),$G$10-SQRT((1-T419)*($G$10-$E$10)*($G$10-$F$10))))</f>
        <v>1.09486640633821</v>
      </c>
      <c r="G419" s="38" t="n">
        <f aca="false">IF($G$11=$E$11,$F$11,IF(U419&lt;($F$11-$E$11)/($G$11-$E$11),$E$11+SQRT(U419*($G$11-$E$11)*($F$11-$E$11)),$G$11-SQRT((1-U419)*($G$11-$E$11)*($G$11-$F$11))))</f>
        <v>0.123379809283447</v>
      </c>
      <c r="H419" s="39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-2189732812.67643</v>
      </c>
      <c r="I419" s="39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-4447209.60387355</v>
      </c>
      <c r="J419" s="39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312219916.786688</v>
      </c>
      <c r="K419" s="39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683630363.494159</v>
      </c>
      <c r="L419" s="39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824973004.659815</v>
      </c>
      <c r="M419" s="39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1021801132.68823</v>
      </c>
      <c r="N419" s="39" t="n">
        <f aca="false">IF(COUNT('Business Case'!B11:G11)=0,"",H419+NPV(G419,I419:M419))</f>
        <v>-374939327.322204</v>
      </c>
      <c r="P419" s="40" t="n">
        <f aca="true">RAND()</f>
        <v>0.745792382296505</v>
      </c>
      <c r="Q419" s="40" t="n">
        <f aca="true">RAND()</f>
        <v>0.783031863397339</v>
      </c>
      <c r="R419" s="40" t="n">
        <f aca="true">RAND()</f>
        <v>0.447608089897065</v>
      </c>
      <c r="S419" s="40" t="n">
        <f aca="true">RAND()</f>
        <v>0.958898410502501</v>
      </c>
      <c r="T419" s="40" t="n">
        <f aca="true">RAND()</f>
        <v>0.679114241567734</v>
      </c>
      <c r="U419" s="40" t="n">
        <f aca="true">RAND()</f>
        <v>0.970782049917644</v>
      </c>
    </row>
    <row r="420" customFormat="false" ht="15" hidden="false" customHeight="false" outlineLevel="0" collapsed="false">
      <c r="A420" s="36" t="n">
        <v>340</v>
      </c>
      <c r="B420" s="37" t="n">
        <f aca="false">1+IF($G$6=$E$6,$F$6,IF(P420&lt;($F$6-$E$6)/($G$6-$E$6),$E$6+SQRT(P420*($G$6-$E$6)*($F$6-$E$6)),$G$6-SQRT((1-P420)*($G$6-$E$6)*($G$6-$F$6))))</f>
        <v>0.994162186294923</v>
      </c>
      <c r="C420" s="37" t="n">
        <f aca="false">1+IF($G$7=$E$7,$F$7,IF(Q420&lt;($F$7-$E$7)/($G$7-$E$7),$E$7+SQRT(Q420*($G$7-$E$7)*($F$7-$E$7)),$G$7-SQRT((1-Q420)*($G$7-$E$7)*($G$7-$F$7))))</f>
        <v>0.960104040979855</v>
      </c>
      <c r="D420" s="37" t="n">
        <f aca="false">1+IF($G$8=$E$8,$F$8,IF(R420&lt;($F$8-$E$8)/($G$8-$E$8),$E$8+SQRT(R420*($G$8-$E$8)*($F$8-$E$8)),$G$8-SQRT((1-R420)*($G$8-$E$8)*($G$8-$F$8))))</f>
        <v>1.02136408525486</v>
      </c>
      <c r="E420" s="37" t="n">
        <f aca="false">1+IF($G$9=$E$9,$F$9,IF(S420&lt;($F$9-$E$9)/($G$9-$E$9),$E$9+SQRT(S420*($G$9-$E$9)*($F$9-$E$9)),$G$9-SQRT((1-S420)*($G$9-$E$9)*($G$9-$F$9))))</f>
        <v>0.973854641529259</v>
      </c>
      <c r="F420" s="37" t="n">
        <f aca="false">1+IF($G$10=$E$10,$F$10,IF(T420&lt;($F$10-$E$10)/($G$10-$E$10),$E$10+SQRT(T420*($G$10-$E$10)*($F$10-$E$10)),$G$10-SQRT((1-T420)*($G$10-$E$10)*($G$10-$F$10))))</f>
        <v>1.10324597815067</v>
      </c>
      <c r="G420" s="38" t="n">
        <f aca="false">IF($G$11=$E$11,$F$11,IF(U420&lt;($F$11-$E$11)/($G$11-$E$11),$E$11+SQRT(U420*($G$11-$E$11)*($F$11-$E$11)),$G$11-SQRT((1-U420)*($G$11-$E$11)*($G$11-$F$11))))</f>
        <v>0.103214700978546</v>
      </c>
      <c r="H420" s="39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-2206491956.30134</v>
      </c>
      <c r="I420" s="39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-18481282.3981625</v>
      </c>
      <c r="J420" s="39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261325398.070469</v>
      </c>
      <c r="K420" s="39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596294377.446634</v>
      </c>
      <c r="L420" s="39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722550760.953688</v>
      </c>
      <c r="M420" s="39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903981956.049998</v>
      </c>
      <c r="N420" s="39" t="n">
        <f aca="false">IF(COUNT('Business Case'!B11:G11)=0,"",H420+NPV(G420,I420:M420))</f>
        <v>-523473838.35147</v>
      </c>
      <c r="P420" s="40" t="n">
        <f aca="true">RAND()</f>
        <v>0.591101155189313</v>
      </c>
      <c r="Q420" s="40" t="n">
        <f aca="true">RAND()</f>
        <v>0.501141571363333</v>
      </c>
      <c r="R420" s="40" t="n">
        <f aca="true">RAND()</f>
        <v>0.587759527479648</v>
      </c>
      <c r="S420" s="40" t="n">
        <f aca="true">RAND()</f>
        <v>0.218180323016615</v>
      </c>
      <c r="T420" s="40" t="n">
        <f aca="true">RAND()</f>
        <v>0.712843427613948</v>
      </c>
      <c r="U420" s="40" t="n">
        <f aca="true">RAND()</f>
        <v>0.521698504220849</v>
      </c>
    </row>
    <row r="421" customFormat="false" ht="15" hidden="false" customHeight="false" outlineLevel="0" collapsed="false">
      <c r="A421" s="36" t="n">
        <v>341</v>
      </c>
      <c r="B421" s="37" t="n">
        <f aca="false">1+IF($G$6=$E$6,$F$6,IF(P421&lt;($F$6-$E$6)/($G$6-$E$6),$E$6+SQRT(P421*($G$6-$E$6)*($F$6-$E$6)),$G$6-SQRT((1-P421)*($G$6-$E$6)*($G$6-$F$6))))</f>
        <v>1.00598195258576</v>
      </c>
      <c r="C421" s="37" t="n">
        <f aca="false">1+IF($G$7=$E$7,$F$7,IF(Q421&lt;($F$7-$E$7)/($G$7-$E$7),$E$7+SQRT(Q421*($G$7-$E$7)*($F$7-$E$7)),$G$7-SQRT((1-Q421)*($G$7-$E$7)*($G$7-$F$7))))</f>
        <v>1.05098416055205</v>
      </c>
      <c r="D421" s="37" t="n">
        <f aca="false">1+IF($G$8=$E$8,$F$8,IF(R421&lt;($F$8-$E$8)/($G$8-$E$8),$E$8+SQRT(R421*($G$8-$E$8)*($F$8-$E$8)),$G$8-SQRT((1-R421)*($G$8-$E$8)*($G$8-$F$8))))</f>
        <v>1.01130276658635</v>
      </c>
      <c r="E421" s="37" t="n">
        <f aca="false">1+IF($G$9=$E$9,$F$9,IF(S421&lt;($F$9-$E$9)/($G$9-$E$9),$E$9+SQRT(S421*($G$9-$E$9)*($F$9-$E$9)),$G$9-SQRT((1-S421)*($G$9-$E$9)*($G$9-$F$9))))</f>
        <v>1.05918595050377</v>
      </c>
      <c r="F421" s="37" t="n">
        <f aca="false">1+IF($G$10=$E$10,$F$10,IF(T421&lt;($F$10-$E$10)/($G$10-$E$10),$E$10+SQRT(T421*($G$10-$E$10)*($F$10-$E$10)),$G$10-SQRT((1-T421)*($G$10-$E$10)*($G$10-$F$10))))</f>
        <v>1.02225302371644</v>
      </c>
      <c r="G421" s="38" t="n">
        <f aca="false">IF($G$11=$E$11,$F$11,IF(U421&lt;($F$11-$E$11)/($G$11-$E$11),$E$11+SQRT(U421*($G$11-$E$11)*($F$11-$E$11)),$G$11-SQRT((1-U421)*($G$11-$E$11)*($G$11-$F$11))))</f>
        <v>0.126381476758598</v>
      </c>
      <c r="H421" s="39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-2044506047.43287</v>
      </c>
      <c r="I421" s="39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14229750.6858841</v>
      </c>
      <c r="J421" s="39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336109979.623753</v>
      </c>
      <c r="K421" s="39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709102859.747444</v>
      </c>
      <c r="L421" s="39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852935558.539204</v>
      </c>
      <c r="M421" s="39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1053901648.84112</v>
      </c>
      <c r="N421" s="39" t="n">
        <f aca="false">IF(COUNT('Business Case'!B11:G11)=0,"",H421+NPV(G421,I421:M421))</f>
        <v>-159621297.812354</v>
      </c>
      <c r="P421" s="40" t="n">
        <f aca="true">RAND()</f>
        <v>0.7416548669117</v>
      </c>
      <c r="Q421" s="40" t="n">
        <f aca="true">RAND()</f>
        <v>0.854753533902488</v>
      </c>
      <c r="R421" s="40" t="n">
        <f aca="true">RAND()</f>
        <v>0.475520052317603</v>
      </c>
      <c r="S421" s="40" t="n">
        <f aca="true">RAND()</f>
        <v>0.780074891042552</v>
      </c>
      <c r="T421" s="40" t="n">
        <f aca="true">RAND()</f>
        <v>0.308417530582587</v>
      </c>
      <c r="U421" s="40" t="n">
        <f aca="true">RAND()</f>
        <v>0.991270859700958</v>
      </c>
    </row>
    <row r="422" customFormat="false" ht="15" hidden="false" customHeight="false" outlineLevel="0" collapsed="false">
      <c r="A422" s="36" t="n">
        <v>342</v>
      </c>
      <c r="B422" s="37" t="n">
        <f aca="false">1+IF($G$6=$E$6,$F$6,IF(P422&lt;($F$6-$E$6)/($G$6-$E$6),$E$6+SQRT(P422*($G$6-$E$6)*($F$6-$E$6)),$G$6-SQRT((1-P422)*($G$6-$E$6)*($G$6-$F$6))))</f>
        <v>0.97820705645966</v>
      </c>
      <c r="C422" s="37" t="n">
        <f aca="false">1+IF($G$7=$E$7,$F$7,IF(Q422&lt;($F$7-$E$7)/($G$7-$E$7),$E$7+SQRT(Q422*($G$7-$E$7)*($F$7-$E$7)),$G$7-SQRT((1-Q422)*($G$7-$E$7)*($G$7-$F$7))))</f>
        <v>0.736581720394807</v>
      </c>
      <c r="D422" s="37" t="n">
        <f aca="false">1+IF($G$8=$E$8,$F$8,IF(R422&lt;($F$8-$E$8)/($G$8-$E$8),$E$8+SQRT(R422*($G$8-$E$8)*($F$8-$E$8)),$G$8-SQRT((1-R422)*($G$8-$E$8)*($G$8-$F$8))))</f>
        <v>0.997689749698634</v>
      </c>
      <c r="E422" s="37" t="n">
        <f aca="false">1+IF($G$9=$E$9,$F$9,IF(S422&lt;($F$9-$E$9)/($G$9-$E$9),$E$9+SQRT(S422*($G$9-$E$9)*($F$9-$E$9)),$G$9-SQRT((1-S422)*($G$9-$E$9)*($G$9-$F$9))))</f>
        <v>1.00020774794274</v>
      </c>
      <c r="F422" s="37" t="n">
        <f aca="false">1+IF($G$10=$E$10,$F$10,IF(T422&lt;($F$10-$E$10)/($G$10-$E$10),$E$10+SQRT(T422*($G$10-$E$10)*($F$10-$E$10)),$G$10-SQRT((1-T422)*($G$10-$E$10)*($G$10-$F$10))))</f>
        <v>1.00442529287199</v>
      </c>
      <c r="G422" s="38" t="n">
        <f aca="false">IF($G$11=$E$11,$F$11,IF(U422&lt;($F$11-$E$11)/($G$11-$E$11),$E$11+SQRT(U422*($G$11-$E$11)*($F$11-$E$11)),$G$11-SQRT((1-U422)*($G$11-$E$11)*($G$11-$F$11))))</f>
        <v>0.113323773466525</v>
      </c>
      <c r="H422" s="39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-2008850585.74397</v>
      </c>
      <c r="I422" s="39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-66058616.4930908</v>
      </c>
      <c r="J422" s="39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147907084.049195</v>
      </c>
      <c r="K422" s="39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412094049.235081</v>
      </c>
      <c r="L422" s="39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508317446.74299</v>
      </c>
      <c r="M422" s="39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645275682.0423</v>
      </c>
      <c r="N422" s="39" t="n">
        <f aca="false">IF(COUNT('Business Case'!B11:G11)=0,"",H422+NPV(G422,I422:M422))</f>
        <v>-942106065.883394</v>
      </c>
      <c r="P422" s="40" t="n">
        <f aca="true">RAND()</f>
        <v>0.407756245338965</v>
      </c>
      <c r="Q422" s="40" t="n">
        <f aca="true">RAND()</f>
        <v>0.00991275753365805</v>
      </c>
      <c r="R422" s="40" t="n">
        <f aca="true">RAND()</f>
        <v>0.303241630175777</v>
      </c>
      <c r="S422" s="40" t="n">
        <f aca="true">RAND()</f>
        <v>0.401660832629709</v>
      </c>
      <c r="T422" s="40" t="n">
        <f aca="true">RAND()</f>
        <v>0.195907509586539</v>
      </c>
      <c r="U422" s="40" t="n">
        <f aca="true">RAND()</f>
        <v>0.814602312402827</v>
      </c>
    </row>
    <row r="423" customFormat="false" ht="15" hidden="false" customHeight="false" outlineLevel="0" collapsed="false">
      <c r="A423" s="36" t="n">
        <v>343</v>
      </c>
      <c r="B423" s="37" t="n">
        <f aca="false">1+IF($G$6=$E$6,$F$6,IF(P423&lt;($F$6-$E$6)/($G$6-$E$6),$E$6+SQRT(P423*($G$6-$E$6)*($F$6-$E$6)),$G$6-SQRT((1-P423)*($G$6-$E$6)*($G$6-$F$6))))</f>
        <v>0.960386598323134</v>
      </c>
      <c r="C423" s="37" t="n">
        <f aca="false">1+IF($G$7=$E$7,$F$7,IF(Q423&lt;($F$7-$E$7)/($G$7-$E$7),$E$7+SQRT(Q423*($G$7-$E$7)*($F$7-$E$7)),$G$7-SQRT((1-Q423)*($G$7-$E$7)*($G$7-$F$7))))</f>
        <v>1.02431299225027</v>
      </c>
      <c r="D423" s="37" t="n">
        <f aca="false">1+IF($G$8=$E$8,$F$8,IF(R423&lt;($F$8-$E$8)/($G$8-$E$8),$E$8+SQRT(R423*($G$8-$E$8)*($F$8-$E$8)),$G$8-SQRT((1-R423)*($G$8-$E$8)*($G$8-$F$8))))</f>
        <v>1.03280227357444</v>
      </c>
      <c r="E423" s="37" t="n">
        <f aca="false">1+IF($G$9=$E$9,$F$9,IF(S423&lt;($F$9-$E$9)/($G$9-$E$9),$E$9+SQRT(S423*($G$9-$E$9)*($F$9-$E$9)),$G$9-SQRT((1-S423)*($G$9-$E$9)*($G$9-$F$9))))</f>
        <v>0.97710471223954</v>
      </c>
      <c r="F423" s="37" t="n">
        <f aca="false">1+IF($G$10=$E$10,$F$10,IF(T423&lt;($F$10-$E$10)/($G$10-$E$10),$E$10+SQRT(T423*($G$10-$E$10)*($F$10-$E$10)),$G$10-SQRT((1-T423)*($G$10-$E$10)*($G$10-$F$10))))</f>
        <v>0.983399081763036</v>
      </c>
      <c r="G423" s="38" t="n">
        <f aca="false">IF($G$11=$E$11,$F$11,IF(U423&lt;($F$11-$E$11)/($G$11-$E$11),$E$11+SQRT(U423*($G$11-$E$11)*($F$11-$E$11)),$G$11-SQRT((1-U423)*($G$11-$E$11)*($G$11-$F$11))))</f>
        <v>0.0990837157595888</v>
      </c>
      <c r="H423" s="39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-1966798163.52607</v>
      </c>
      <c r="I423" s="39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-24096812.7653811</v>
      </c>
      <c r="J423" s="39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240087471.343527</v>
      </c>
      <c r="K423" s="39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553441709.540588</v>
      </c>
      <c r="L423" s="39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675501069.988572</v>
      </c>
      <c r="M423" s="39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862489698.252824</v>
      </c>
      <c r="N423" s="39" t="n">
        <f aca="false">IF(COUNT('Business Case'!B11:G11)=0,"",H423+NPV(G423,I423:M423))</f>
        <v>-372431363.627067</v>
      </c>
      <c r="P423" s="40" t="n">
        <f aca="true">RAND()</f>
        <v>0.243102750469306</v>
      </c>
      <c r="Q423" s="40" t="n">
        <f aca="true">RAND()</f>
        <v>0.765967053080302</v>
      </c>
      <c r="R423" s="40" t="n">
        <f aca="true">RAND()</f>
        <v>0.698964370882414</v>
      </c>
      <c r="S423" s="40" t="n">
        <f aca="true">RAND()</f>
        <v>0.237805465981694</v>
      </c>
      <c r="T423" s="40" t="n">
        <f aca="true">RAND()</f>
        <v>0.0743665775075992</v>
      </c>
      <c r="U423" s="40" t="n">
        <f aca="true">RAND()</f>
        <v>0.364188207192778</v>
      </c>
    </row>
    <row r="424" customFormat="false" ht="15" hidden="false" customHeight="false" outlineLevel="0" collapsed="false">
      <c r="A424" s="36" t="n">
        <v>344</v>
      </c>
      <c r="B424" s="37" t="n">
        <f aca="false">1+IF($G$6=$E$6,$F$6,IF(P424&lt;($F$6-$E$6)/($G$6-$E$6),$E$6+SQRT(P424*($G$6-$E$6)*($F$6-$E$6)),$G$6-SQRT((1-P424)*($G$6-$E$6)*($G$6-$F$6))))</f>
        <v>0.963041789656333</v>
      </c>
      <c r="C424" s="37" t="n">
        <f aca="false">1+IF($G$7=$E$7,$F$7,IF(Q424&lt;($F$7-$E$7)/($G$7-$E$7),$E$7+SQRT(Q424*($G$7-$E$7)*($F$7-$E$7)),$G$7-SQRT((1-Q424)*($G$7-$E$7)*($G$7-$F$7))))</f>
        <v>1.00839370029483</v>
      </c>
      <c r="D424" s="37" t="n">
        <f aca="false">1+IF($G$8=$E$8,$F$8,IF(R424&lt;($F$8-$E$8)/($G$8-$E$8),$E$8+SQRT(R424*($G$8-$E$8)*($F$8-$E$8)),$G$8-SQRT((1-R424)*($G$8-$E$8)*($G$8-$F$8))))</f>
        <v>1.08160030413132</v>
      </c>
      <c r="E424" s="37" t="n">
        <f aca="false">1+IF($G$9=$E$9,$F$9,IF(S424&lt;($F$9-$E$9)/($G$9-$E$9),$E$9+SQRT(S424*($G$9-$E$9)*($F$9-$E$9)),$G$9-SQRT((1-S424)*($G$9-$E$9)*($G$9-$F$9))))</f>
        <v>1.11661296438106</v>
      </c>
      <c r="F424" s="37" t="n">
        <f aca="false">1+IF($G$10=$E$10,$F$10,IF(T424&lt;($F$10-$E$10)/($G$10-$E$10),$E$10+SQRT(T424*($G$10-$E$10)*($F$10-$E$10)),$G$10-SQRT((1-T424)*($G$10-$E$10)*($G$10-$F$10))))</f>
        <v>1.10480226654054</v>
      </c>
      <c r="G424" s="38" t="n">
        <f aca="false">IF($G$11=$E$11,$F$11,IF(U424&lt;($F$11-$E$11)/($G$11-$E$11),$E$11+SQRT(U424*($G$11-$E$11)*($F$11-$E$11)),$G$11-SQRT((1-U424)*($G$11-$E$11)*($G$11-$F$11))))</f>
        <v>0.0966793066227821</v>
      </c>
      <c r="H424" s="39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-2209604533.08108</v>
      </c>
      <c r="I424" s="39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-82524563.4551083</v>
      </c>
      <c r="J424" s="39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154556597.47314</v>
      </c>
      <c r="K424" s="39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446877871.728415</v>
      </c>
      <c r="L424" s="39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559467014.834042</v>
      </c>
      <c r="M424" s="39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744058506.879867</v>
      </c>
      <c r="N424" s="39" t="n">
        <f aca="false">IF(COUNT('Business Case'!B11:G11)=0,"",H424+NPV(G424,I424:M424))</f>
        <v>-961729873.052431</v>
      </c>
      <c r="P424" s="40" t="n">
        <f aca="true">RAND()</f>
        <v>0.264951149538221</v>
      </c>
      <c r="Q424" s="40" t="n">
        <f aca="true">RAND()</f>
        <v>0.702928235315694</v>
      </c>
      <c r="R424" s="40" t="n">
        <f aca="true">RAND()</f>
        <v>0.977430079462681</v>
      </c>
      <c r="S424" s="40" t="n">
        <f aca="true">RAND()</f>
        <v>0.970274822735459</v>
      </c>
      <c r="T424" s="40" t="n">
        <f aca="true">RAND()</f>
        <v>0.718901575976467</v>
      </c>
      <c r="U424" s="40" t="n">
        <f aca="true">RAND()</f>
        <v>0.278199269416781</v>
      </c>
    </row>
    <row r="425" customFormat="false" ht="15" hidden="false" customHeight="false" outlineLevel="0" collapsed="false">
      <c r="A425" s="36" t="n">
        <v>345</v>
      </c>
      <c r="B425" s="37" t="n">
        <f aca="false">1+IF($G$6=$E$6,$F$6,IF(P425&lt;($F$6-$E$6)/($G$6-$E$6),$E$6+SQRT(P425*($G$6-$E$6)*($F$6-$E$6)),$G$6-SQRT((1-P425)*($G$6-$E$6)*($G$6-$F$6))))</f>
        <v>0.978359212131106</v>
      </c>
      <c r="C425" s="37" t="n">
        <f aca="false">1+IF($G$7=$E$7,$F$7,IF(Q425&lt;($F$7-$E$7)/($G$7-$E$7),$E$7+SQRT(Q425*($G$7-$E$7)*($F$7-$E$7)),$G$7-SQRT((1-Q425)*($G$7-$E$7)*($G$7-$F$7))))</f>
        <v>0.947213693098862</v>
      </c>
      <c r="D425" s="37" t="n">
        <f aca="false">1+IF($G$8=$E$8,$F$8,IF(R425&lt;($F$8-$E$8)/($G$8-$E$8),$E$8+SQRT(R425*($G$8-$E$8)*($F$8-$E$8)),$G$8-SQRT((1-R425)*($G$8-$E$8)*($G$8-$F$8))))</f>
        <v>1.00108662227597</v>
      </c>
      <c r="E425" s="37" t="n">
        <f aca="false">1+IF($G$9=$E$9,$F$9,IF(S425&lt;($F$9-$E$9)/($G$9-$E$9),$E$9+SQRT(S425*($G$9-$E$9)*($F$9-$E$9)),$G$9-SQRT((1-S425)*($G$9-$E$9)*($G$9-$F$9))))</f>
        <v>0.996653415688431</v>
      </c>
      <c r="F425" s="37" t="n">
        <f aca="false">1+IF($G$10=$E$10,$F$10,IF(T425&lt;($F$10-$E$10)/($G$10-$E$10),$E$10+SQRT(T425*($G$10-$E$10)*($F$10-$E$10)),$G$10-SQRT((1-T425)*($G$10-$E$10)*($G$10-$F$10))))</f>
        <v>1.00860098518548</v>
      </c>
      <c r="G425" s="38" t="n">
        <f aca="false">IF($G$11=$E$11,$F$11,IF(U425&lt;($F$11-$E$11)/($G$11-$E$11),$E$11+SQRT(U425*($G$11-$E$11)*($F$11-$E$11)),$G$11-SQRT((1-U425)*($G$11-$E$11)*($G$11-$F$11))))</f>
        <v>0.0888713884656084</v>
      </c>
      <c r="H425" s="39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-2017201970.37096</v>
      </c>
      <c r="I425" s="39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-17003159.6372758</v>
      </c>
      <c r="J425" s="39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256618813.126091</v>
      </c>
      <c r="K425" s="39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580670835.148732</v>
      </c>
      <c r="L425" s="39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703905438.183988</v>
      </c>
      <c r="M425" s="39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880055471.478388</v>
      </c>
      <c r="N425" s="39" t="n">
        <f aca="false">IF(COUNT('Business Case'!B11:G11)=0,"",H425+NPV(G425,I425:M425))</f>
        <v>-290917239.439576</v>
      </c>
      <c r="P425" s="40" t="n">
        <f aca="true">RAND()</f>
        <v>0.409344408387176</v>
      </c>
      <c r="Q425" s="40" t="n">
        <f aca="true">RAND()</f>
        <v>0.452700815226506</v>
      </c>
      <c r="R425" s="40" t="n">
        <f aca="true">RAND()</f>
        <v>0.34774291381491</v>
      </c>
      <c r="S425" s="40" t="n">
        <f aca="true">RAND()</f>
        <v>0.373675310569623</v>
      </c>
      <c r="T425" s="40" t="n">
        <f aca="true">RAND()</f>
        <v>0.223020208621068</v>
      </c>
      <c r="U425" s="40" t="n">
        <f aca="true">RAND()</f>
        <v>0.0787015333077302</v>
      </c>
    </row>
    <row r="426" customFormat="false" ht="15" hidden="false" customHeight="false" outlineLevel="0" collapsed="false">
      <c r="A426" s="36" t="n">
        <v>346</v>
      </c>
      <c r="B426" s="37" t="n">
        <f aca="false">1+IF($G$6=$E$6,$F$6,IF(P426&lt;($F$6-$E$6)/($G$6-$E$6),$E$6+SQRT(P426*($G$6-$E$6)*($F$6-$E$6)),$G$6-SQRT((1-P426)*($G$6-$E$6)*($G$6-$F$6))))</f>
        <v>0.99893246126405</v>
      </c>
      <c r="C426" s="37" t="n">
        <f aca="false">1+IF($G$7=$E$7,$F$7,IF(Q426&lt;($F$7-$E$7)/($G$7-$E$7),$E$7+SQRT(Q426*($G$7-$E$7)*($F$7-$E$7)),$G$7-SQRT((1-Q426)*($G$7-$E$7)*($G$7-$F$7))))</f>
        <v>0.967297828817139</v>
      </c>
      <c r="D426" s="37" t="n">
        <f aca="false">1+IF($G$8=$E$8,$F$8,IF(R426&lt;($F$8-$E$8)/($G$8-$E$8),$E$8+SQRT(R426*($G$8-$E$8)*($F$8-$E$8)),$G$8-SQRT((1-R426)*($G$8-$E$8)*($G$8-$F$8))))</f>
        <v>1.026054734552</v>
      </c>
      <c r="E426" s="37" t="n">
        <f aca="false">1+IF($G$9=$E$9,$F$9,IF(S426&lt;($F$9-$E$9)/($G$9-$E$9),$E$9+SQRT(S426*($G$9-$E$9)*($F$9-$E$9)),$G$9-SQRT((1-S426)*($G$9-$E$9)*($G$9-$F$9))))</f>
        <v>1.04837108121125</v>
      </c>
      <c r="F426" s="37" t="n">
        <f aca="false">1+IF($G$10=$E$10,$F$10,IF(T426&lt;($F$10-$E$10)/($G$10-$E$10),$E$10+SQRT(T426*($G$10-$E$10)*($F$10-$E$10)),$G$10-SQRT((1-T426)*($G$10-$E$10)*($G$10-$F$10))))</f>
        <v>1.16655101880951</v>
      </c>
      <c r="G426" s="38" t="n">
        <f aca="false">IF($G$11=$E$11,$F$11,IF(U426&lt;($F$11-$E$11)/($G$11-$E$11),$E$11+SQRT(U426*($G$11-$E$11)*($F$11-$E$11)),$G$11-SQRT((1-U426)*($G$11-$E$11)*($G$11-$F$11))))</f>
        <v>0.111282095836182</v>
      </c>
      <c r="H426" s="39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-2333102037.61902</v>
      </c>
      <c r="I426" s="39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-32464751.6525008</v>
      </c>
      <c r="J426" s="39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250895154.339658</v>
      </c>
      <c r="K426" s="39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592582611.272291</v>
      </c>
      <c r="L426" s="39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720430038.613324</v>
      </c>
      <c r="M426" s="39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904097728.003376</v>
      </c>
      <c r="N426" s="39" t="n">
        <f aca="false">IF(COUNT('Business Case'!B11:G11)=0,"",H426+NPV(G426,I426:M426))</f>
        <v>-721526528.481434</v>
      </c>
      <c r="P426" s="40" t="n">
        <f aca="true">RAND()</f>
        <v>0.652508792784178</v>
      </c>
      <c r="Q426" s="40" t="n">
        <f aca="true">RAND()</f>
        <v>0.529245402150789</v>
      </c>
      <c r="R426" s="40" t="n">
        <f aca="true">RAND()</f>
        <v>0.635473181188325</v>
      </c>
      <c r="S426" s="40" t="n">
        <f aca="true">RAND()</f>
        <v>0.724575009755464</v>
      </c>
      <c r="T426" s="40" t="n">
        <f aca="true">RAND()</f>
        <v>0.907150233843588</v>
      </c>
      <c r="U426" s="40" t="n">
        <f aca="true">RAND()</f>
        <v>0.766426709142741</v>
      </c>
    </row>
    <row r="427" customFormat="false" ht="15" hidden="false" customHeight="false" outlineLevel="0" collapsed="false">
      <c r="A427" s="36" t="n">
        <v>347</v>
      </c>
      <c r="B427" s="37" t="n">
        <f aca="false">1+IF($G$6=$E$6,$F$6,IF(P427&lt;($F$6-$E$6)/($G$6-$E$6),$E$6+SQRT(P427*($G$6-$E$6)*($F$6-$E$6)),$G$6-SQRT((1-P427)*($G$6-$E$6)*($G$6-$F$6))))</f>
        <v>1.04577292954192</v>
      </c>
      <c r="C427" s="37" t="n">
        <f aca="false">1+IF($G$7=$E$7,$F$7,IF(Q427&lt;($F$7-$E$7)/($G$7-$E$7),$E$7+SQRT(Q427*($G$7-$E$7)*($F$7-$E$7)),$G$7-SQRT((1-Q427)*($G$7-$E$7)*($G$7-$F$7))))</f>
        <v>0.978152861302166</v>
      </c>
      <c r="D427" s="37" t="n">
        <f aca="false">1+IF($G$8=$E$8,$F$8,IF(R427&lt;($F$8-$E$8)/($G$8-$E$8),$E$8+SQRT(R427*($G$8-$E$8)*($F$8-$E$8)),$G$8-SQRT((1-R427)*($G$8-$E$8)*($G$8-$F$8))))</f>
        <v>1.02210998394406</v>
      </c>
      <c r="E427" s="37" t="n">
        <f aca="false">1+IF($G$9=$E$9,$F$9,IF(S427&lt;($F$9-$E$9)/($G$9-$E$9),$E$9+SQRT(S427*($G$9-$E$9)*($F$9-$E$9)),$G$9-SQRT((1-S427)*($G$9-$E$9)*($G$9-$F$9))))</f>
        <v>0.979583761634084</v>
      </c>
      <c r="F427" s="37" t="n">
        <f aca="false">1+IF($G$10=$E$10,$F$10,IF(T427&lt;($F$10-$E$10)/($G$10-$E$10),$E$10+SQRT(T427*($G$10-$E$10)*($F$10-$E$10)),$G$10-SQRT((1-T427)*($G$10-$E$10)*($G$10-$F$10))))</f>
        <v>0.987279125042416</v>
      </c>
      <c r="G427" s="38" t="n">
        <f aca="false">IF($G$11=$E$11,$F$11,IF(U427&lt;($F$11-$E$11)/($G$11-$E$11),$E$11+SQRT(U427*($G$11-$E$11)*($F$11-$E$11)),$G$11-SQRT((1-U427)*($G$11-$E$11)*($G$11-$F$11))))</f>
        <v>0.0974318730568985</v>
      </c>
      <c r="H427" s="39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-1974558250.08483</v>
      </c>
      <c r="I427" s="39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34989393.2070272</v>
      </c>
      <c r="J427" s="39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361031982.429131</v>
      </c>
      <c r="K427" s="39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736438527.903355</v>
      </c>
      <c r="L427" s="39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880471706.048368</v>
      </c>
      <c r="M427" s="39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1074909438.93875</v>
      </c>
      <c r="N427" s="39" t="n">
        <f aca="false">IF(COUNT('Business Case'!B11:G11)=0,"",H427+NPV(G427,I427:M427))</f>
        <v>196590169.373309</v>
      </c>
      <c r="P427" s="40" t="n">
        <f aca="true">RAND()</f>
        <v>0.997617583378993</v>
      </c>
      <c r="Q427" s="40" t="n">
        <f aca="true">RAND()</f>
        <v>0.573103809263569</v>
      </c>
      <c r="R427" s="40" t="n">
        <f aca="true">RAND()</f>
        <v>0.59554302658698</v>
      </c>
      <c r="S427" s="40" t="n">
        <f aca="true">RAND()</f>
        <v>0.253343004633225</v>
      </c>
      <c r="T427" s="40" t="n">
        <f aca="true">RAND()</f>
        <v>0.0926488775952037</v>
      </c>
      <c r="U427" s="40" t="n">
        <f aca="true">RAND()</f>
        <v>0.303870198271825</v>
      </c>
    </row>
    <row r="428" customFormat="false" ht="15" hidden="false" customHeight="false" outlineLevel="0" collapsed="false">
      <c r="A428" s="36" t="n">
        <v>348</v>
      </c>
      <c r="B428" s="37" t="n">
        <f aca="false">1+IF($G$6=$E$6,$F$6,IF(P428&lt;($F$6-$E$6)/($G$6-$E$6),$E$6+SQRT(P428*($G$6-$E$6)*($F$6-$E$6)),$G$6-SQRT((1-P428)*($G$6-$E$6)*($G$6-$F$6))))</f>
        <v>0.929581523941526</v>
      </c>
      <c r="C428" s="37" t="n">
        <f aca="false">1+IF($G$7=$E$7,$F$7,IF(Q428&lt;($F$7-$E$7)/($G$7-$E$7),$E$7+SQRT(Q428*($G$7-$E$7)*($F$7-$E$7)),$G$7-SQRT((1-Q428)*($G$7-$E$7)*($G$7-$F$7))))</f>
        <v>0.900356978971345</v>
      </c>
      <c r="D428" s="37" t="n">
        <f aca="false">1+IF($G$8=$E$8,$F$8,IF(R428&lt;($F$8-$E$8)/($G$8-$E$8),$E$8+SQRT(R428*($G$8-$E$8)*($F$8-$E$8)),$G$8-SQRT((1-R428)*($G$8-$E$8)*($G$8-$F$8))))</f>
        <v>1.08130027971791</v>
      </c>
      <c r="E428" s="37" t="n">
        <f aca="false">1+IF($G$9=$E$9,$F$9,IF(S428&lt;($F$9-$E$9)/($G$9-$E$9),$E$9+SQRT(S428*($G$9-$E$9)*($F$9-$E$9)),$G$9-SQRT((1-S428)*($G$9-$E$9)*($G$9-$F$9))))</f>
        <v>1.07781750981714</v>
      </c>
      <c r="F428" s="37" t="n">
        <f aca="false">1+IF($G$10=$E$10,$F$10,IF(T428&lt;($F$10-$E$10)/($G$10-$E$10),$E$10+SQRT(T428*($G$10-$E$10)*($F$10-$E$10)),$G$10-SQRT((1-T428)*($G$10-$E$10)*($G$10-$F$10))))</f>
        <v>1.02486000077027</v>
      </c>
      <c r="G428" s="38" t="n">
        <f aca="false">IF($G$11=$E$11,$F$11,IF(U428&lt;($F$11-$E$11)/($G$11-$E$11),$E$11+SQRT(U428*($G$11-$E$11)*($F$11-$E$11)),$G$11-SQRT((1-U428)*($G$11-$E$11)*($G$11-$F$11))))</f>
        <v>0.112665294059451</v>
      </c>
      <c r="H428" s="39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-2049720001.54055</v>
      </c>
      <c r="I428" s="39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-111995745.438841</v>
      </c>
      <c r="J428" s="39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75147917.3167116</v>
      </c>
      <c r="K428" s="39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313534580.110778</v>
      </c>
      <c r="L428" s="39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404840973.176875</v>
      </c>
      <c r="M428" s="39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563929419.988562</v>
      </c>
      <c r="N428" s="39" t="n">
        <f aca="false">IF(COUNT('Business Case'!B11:G11)=0,"",H428+NPV(G428,I428:M428))</f>
        <v>-1267254516.82485</v>
      </c>
      <c r="P428" s="40" t="n">
        <f aca="true">RAND()</f>
        <v>0.0583377705802055</v>
      </c>
      <c r="Q428" s="40" t="n">
        <f aca="true">RAND()</f>
        <v>0.297354955722401</v>
      </c>
      <c r="R428" s="40" t="n">
        <f aca="true">RAND()</f>
        <v>0.97668803075811</v>
      </c>
      <c r="S428" s="40" t="n">
        <f aca="true">RAND()</f>
        <v>0.861058349626684</v>
      </c>
      <c r="T428" s="40" t="n">
        <f aca="true">RAND()</f>
        <v>0.324159743291189</v>
      </c>
      <c r="U428" s="40" t="n">
        <f aca="true">RAND()</f>
        <v>0.799671979969788</v>
      </c>
    </row>
    <row r="429" customFormat="false" ht="15" hidden="false" customHeight="false" outlineLevel="0" collapsed="false">
      <c r="A429" s="36" t="n">
        <v>349</v>
      </c>
      <c r="B429" s="37" t="n">
        <f aca="false">1+IF($G$6=$E$6,$F$6,IF(P429&lt;($F$6-$E$6)/($G$6-$E$6),$E$6+SQRT(P429*($G$6-$E$6)*($F$6-$E$6)),$G$6-SQRT((1-P429)*($G$6-$E$6)*($G$6-$F$6))))</f>
        <v>0.976968603322399</v>
      </c>
      <c r="C429" s="37" t="n">
        <f aca="false">1+IF($G$7=$E$7,$F$7,IF(Q429&lt;($F$7-$E$7)/($G$7-$E$7),$E$7+SQRT(Q429*($G$7-$E$7)*($F$7-$E$7)),$G$7-SQRT((1-Q429)*($G$7-$E$7)*($G$7-$F$7))))</f>
        <v>1.03327860567113</v>
      </c>
      <c r="D429" s="37" t="n">
        <f aca="false">1+IF($G$8=$E$8,$F$8,IF(R429&lt;($F$8-$E$8)/($G$8-$E$8),$E$8+SQRT(R429*($G$8-$E$8)*($F$8-$E$8)),$G$8-SQRT((1-R429)*($G$8-$E$8)*($G$8-$F$8))))</f>
        <v>1.01032640209175</v>
      </c>
      <c r="E429" s="37" t="n">
        <f aca="false">1+IF($G$9=$E$9,$F$9,IF(S429&lt;($F$9-$E$9)/($G$9-$E$9),$E$9+SQRT(S429*($G$9-$E$9)*($F$9-$E$9)),$G$9-SQRT((1-S429)*($G$9-$E$9)*($G$9-$F$9))))</f>
        <v>1.02996409208004</v>
      </c>
      <c r="F429" s="37" t="n">
        <f aca="false">1+IF($G$10=$E$10,$F$10,IF(T429&lt;($F$10-$E$10)/($G$10-$E$10),$E$10+SQRT(T429*($G$10-$E$10)*($F$10-$E$10)),$G$10-SQRT((1-T429)*($G$10-$E$10)*($G$10-$F$10))))</f>
        <v>0.989753734537289</v>
      </c>
      <c r="G429" s="38" t="n">
        <f aca="false">IF($G$11=$E$11,$F$11,IF(U429&lt;($F$11-$E$11)/($G$11-$E$11),$E$11+SQRT(U429*($G$11-$E$11)*($F$11-$E$11)),$G$11-SQRT((1-U429)*($G$11-$E$11)*($G$11-$F$11))))</f>
        <v>0.0963244472769211</v>
      </c>
      <c r="H429" s="39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-1979507469.07458</v>
      </c>
      <c r="I429" s="39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-5348523.78003278</v>
      </c>
      <c r="J429" s="39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287070702.190172</v>
      </c>
      <c r="K429" s="39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628977614.887241</v>
      </c>
      <c r="L429" s="39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761338345.145793</v>
      </c>
      <c r="M429" s="39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953220447.289125</v>
      </c>
      <c r="N429" s="39" t="n">
        <f aca="false">IF(COUNT('Business Case'!B11:G11)=0,"",H429+NPV(G429,I429:M429))</f>
        <v>-139338729.897363</v>
      </c>
      <c r="P429" s="40" t="n">
        <f aca="true">RAND()</f>
        <v>0.394944393160059</v>
      </c>
      <c r="Q429" s="40" t="n">
        <f aca="true">RAND()</f>
        <v>0.798164683050737</v>
      </c>
      <c r="R429" s="40" t="n">
        <f aca="true">RAND()</f>
        <v>0.463909722546012</v>
      </c>
      <c r="S429" s="40" t="n">
        <f aca="true">RAND()</f>
        <v>0.615770154928823</v>
      </c>
      <c r="T429" s="40" t="n">
        <f aca="true">RAND()</f>
        <v>0.105357293977418</v>
      </c>
      <c r="U429" s="40" t="n">
        <f aca="true">RAND()</f>
        <v>0.266487578896978</v>
      </c>
    </row>
    <row r="430" customFormat="false" ht="15" hidden="false" customHeight="false" outlineLevel="0" collapsed="false">
      <c r="A430" s="36" t="n">
        <v>350</v>
      </c>
      <c r="B430" s="37" t="n">
        <f aca="false">1+IF($G$6=$E$6,$F$6,IF(P430&lt;($F$6-$E$6)/($G$6-$E$6),$E$6+SQRT(P430*($G$6-$E$6)*($F$6-$E$6)),$G$6-SQRT((1-P430)*($G$6-$E$6)*($G$6-$F$6))))</f>
        <v>0.932757816861945</v>
      </c>
      <c r="C430" s="37" t="n">
        <f aca="false">1+IF($G$7=$E$7,$F$7,IF(Q430&lt;($F$7-$E$7)/($G$7-$E$7),$E$7+SQRT(Q430*($G$7-$E$7)*($F$7-$E$7)),$G$7-SQRT((1-Q430)*($G$7-$E$7)*($G$7-$F$7))))</f>
        <v>0.780467608806659</v>
      </c>
      <c r="D430" s="37" t="n">
        <f aca="false">1+IF($G$8=$E$8,$F$8,IF(R430&lt;($F$8-$E$8)/($G$8-$E$8),$E$8+SQRT(R430*($G$8-$E$8)*($F$8-$E$8)),$G$8-SQRT((1-R430)*($G$8-$E$8)*($G$8-$F$8))))</f>
        <v>0.980781425768957</v>
      </c>
      <c r="E430" s="37" t="n">
        <f aca="false">1+IF($G$9=$E$9,$F$9,IF(S430&lt;($F$9-$E$9)/($G$9-$E$9),$E$9+SQRT(S430*($G$9-$E$9)*($F$9-$E$9)),$G$9-SQRT((1-S430)*($G$9-$E$9)*($G$9-$F$9))))</f>
        <v>0.98434740030746</v>
      </c>
      <c r="F430" s="37" t="n">
        <f aca="false">1+IF($G$10=$E$10,$F$10,IF(T430&lt;($F$10-$E$10)/($G$10-$E$10),$E$10+SQRT(T430*($G$10-$E$10)*($F$10-$E$10)),$G$10-SQRT((1-T430)*($G$10-$E$10)*($G$10-$F$10))))</f>
        <v>1.02911260669317</v>
      </c>
      <c r="G430" s="38" t="n">
        <f aca="false">IF($G$11=$E$11,$F$11,IF(U430&lt;($F$11-$E$11)/($G$11-$E$11),$E$11+SQRT(U430*($G$11-$E$11)*($F$11-$E$11)),$G$11-SQRT((1-U430)*($G$11-$E$11)*($G$11-$F$11))))</f>
        <v>0.0944751448365001</v>
      </c>
      <c r="H430" s="39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-2058225213.38633</v>
      </c>
      <c r="I430" s="39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-76208784.5116885</v>
      </c>
      <c r="J430" s="39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128206751.679535</v>
      </c>
      <c r="K430" s="39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384077918.205416</v>
      </c>
      <c r="L430" s="39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477375670.075741</v>
      </c>
      <c r="M430" s="39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615751489.011947</v>
      </c>
      <c r="N430" s="39" t="n">
        <f aca="false">IF(COUNT('Business Case'!B11:G11)=0,"",H430+NPV(G430,I430:M430))</f>
        <v>-1003102973.55192</v>
      </c>
      <c r="P430" s="40" t="n">
        <f aca="true">RAND()</f>
        <v>0.0715383043707157</v>
      </c>
      <c r="Q430" s="40" t="n">
        <f aca="true">RAND()</f>
        <v>0.047963230126382</v>
      </c>
      <c r="R430" s="40" t="n">
        <f aca="true">RAND()</f>
        <v>0.126332822982642</v>
      </c>
      <c r="S430" s="40" t="n">
        <f aca="true">RAND()</f>
        <v>0.284579357545073</v>
      </c>
      <c r="T430" s="40" t="n">
        <f aca="true">RAND()</f>
        <v>0.349450126374832</v>
      </c>
      <c r="U430" s="40" t="n">
        <f aca="true">RAND()</f>
        <v>0.209529818037656</v>
      </c>
    </row>
    <row r="431" customFormat="false" ht="15" hidden="false" customHeight="false" outlineLevel="0" collapsed="false">
      <c r="A431" s="36" t="n">
        <v>351</v>
      </c>
      <c r="B431" s="37" t="n">
        <f aca="false">1+IF($G$6=$E$6,$F$6,IF(P431&lt;($F$6-$E$6)/($G$6-$E$6),$E$6+SQRT(P431*($G$6-$E$6)*($F$6-$E$6)),$G$6-SQRT((1-P431)*($G$6-$E$6)*($G$6-$F$6))))</f>
        <v>0.986078747097623</v>
      </c>
      <c r="C431" s="37" t="n">
        <f aca="false">1+IF($G$7=$E$7,$F$7,IF(Q431&lt;($F$7-$E$7)/($G$7-$E$7),$E$7+SQRT(Q431*($G$7-$E$7)*($F$7-$E$7)),$G$7-SQRT((1-Q431)*($G$7-$E$7)*($G$7-$F$7))))</f>
        <v>0.985665486899332</v>
      </c>
      <c r="D431" s="37" t="n">
        <f aca="false">1+IF($G$8=$E$8,$F$8,IF(R431&lt;($F$8-$E$8)/($G$8-$E$8),$E$8+SQRT(R431*($G$8-$E$8)*($F$8-$E$8)),$G$8-SQRT((1-R431)*($G$8-$E$8)*($G$8-$F$8))))</f>
        <v>1.01442795733945</v>
      </c>
      <c r="E431" s="37" t="n">
        <f aca="false">1+IF($G$9=$E$9,$F$9,IF(S431&lt;($F$9-$E$9)/($G$9-$E$9),$E$9+SQRT(S431*($G$9-$E$9)*($F$9-$E$9)),$G$9-SQRT((1-S431)*($G$9-$E$9)*($G$9-$F$9))))</f>
        <v>0.981431729040245</v>
      </c>
      <c r="F431" s="37" t="n">
        <f aca="false">1+IF($G$10=$E$10,$F$10,IF(T431&lt;($F$10-$E$10)/($G$10-$E$10),$E$10+SQRT(T431*($G$10-$E$10)*($F$10-$E$10)),$G$10-SQRT((1-T431)*($G$10-$E$10)*($G$10-$F$10))))</f>
        <v>0.993506657792332</v>
      </c>
      <c r="G431" s="38" t="n">
        <f aca="false">IF($G$11=$E$11,$F$11,IF(U431&lt;($F$11-$E$11)/($G$11-$E$11),$E$11+SQRT(U431*($G$11-$E$11)*($F$11-$E$11)),$G$11-SQRT((1-U431)*($G$11-$E$11)*($G$11-$F$11))))</f>
        <v>0.100870245716489</v>
      </c>
      <c r="H431" s="39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-1987013315.58466</v>
      </c>
      <c r="I431" s="39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-5065842.83857907</v>
      </c>
      <c r="J431" s="39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279164137.961169</v>
      </c>
      <c r="K431" s="39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613069451.650533</v>
      </c>
      <c r="L431" s="39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741403155.910162</v>
      </c>
      <c r="M431" s="39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926150231.205255</v>
      </c>
      <c r="N431" s="39" t="n">
        <f aca="false">IF(COUNT('Business Case'!B11:G11)=0,"",H431+NPV(G431,I431:M431))</f>
        <v>-224162704.990932</v>
      </c>
      <c r="P431" s="40" t="n">
        <f aca="true">RAND()</f>
        <v>0.493970046793101</v>
      </c>
      <c r="Q431" s="40" t="n">
        <f aca="true">RAND()</f>
        <v>0.604479780780983</v>
      </c>
      <c r="R431" s="40" t="n">
        <f aca="true">RAND()</f>
        <v>0.511828367660104</v>
      </c>
      <c r="S431" s="40" t="n">
        <f aca="true">RAND()</f>
        <v>0.265245059779358</v>
      </c>
      <c r="T431" s="40" t="n">
        <f aca="true">RAND()</f>
        <v>0.126188618150604</v>
      </c>
      <c r="U431" s="40" t="n">
        <f aca="true">RAND()</f>
        <v>0.434304943588164</v>
      </c>
    </row>
    <row r="432" customFormat="false" ht="15" hidden="false" customHeight="false" outlineLevel="0" collapsed="false">
      <c r="A432" s="36" t="n">
        <v>352</v>
      </c>
      <c r="B432" s="37" t="n">
        <f aca="false">1+IF($G$6=$E$6,$F$6,IF(P432&lt;($F$6-$E$6)/($G$6-$E$6),$E$6+SQRT(P432*($G$6-$E$6)*($F$6-$E$6)),$G$6-SQRT((1-P432)*($G$6-$E$6)*($G$6-$F$6))))</f>
        <v>1.02205643740721</v>
      </c>
      <c r="C432" s="37" t="n">
        <f aca="false">1+IF($G$7=$E$7,$F$7,IF(Q432&lt;($F$7-$E$7)/($G$7-$E$7),$E$7+SQRT(Q432*($G$7-$E$7)*($F$7-$E$7)),$G$7-SQRT((1-Q432)*($G$7-$E$7)*($G$7-$F$7))))</f>
        <v>0.956942937262843</v>
      </c>
      <c r="D432" s="37" t="n">
        <f aca="false">1+IF($G$8=$E$8,$F$8,IF(R432&lt;($F$8-$E$8)/($G$8-$E$8),$E$8+SQRT(R432*($G$8-$E$8)*($F$8-$E$8)),$G$8-SQRT((1-R432)*($G$8-$E$8)*($G$8-$F$8))))</f>
        <v>1.00169205260699</v>
      </c>
      <c r="E432" s="37" t="n">
        <f aca="false">1+IF($G$9=$E$9,$F$9,IF(S432&lt;($F$9-$E$9)/($G$9-$E$9),$E$9+SQRT(S432*($G$9-$E$9)*($F$9-$E$9)),$G$9-SQRT((1-S432)*($G$9-$E$9)*($G$9-$F$9))))</f>
        <v>1.01793475844995</v>
      </c>
      <c r="F432" s="37" t="n">
        <f aca="false">1+IF($G$10=$E$10,$F$10,IF(T432&lt;($F$10-$E$10)/($G$10-$E$10),$E$10+SQRT(T432*($G$10-$E$10)*($F$10-$E$10)),$G$10-SQRT((1-T432)*($G$10-$E$10)*($G$10-$F$10))))</f>
        <v>0.976142302398363</v>
      </c>
      <c r="G432" s="38" t="n">
        <f aca="false">IF($G$11=$E$11,$F$11,IF(U432&lt;($F$11-$E$11)/($G$11-$E$11),$E$11+SQRT(U432*($G$11-$E$11)*($F$11-$E$11)),$G$11-SQRT((1-U432)*($G$11-$E$11)*($G$11-$F$11))))</f>
        <v>0.113196410572491</v>
      </c>
      <c r="H432" s="39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-1952284604.79673</v>
      </c>
      <c r="I432" s="39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17319338.1224202</v>
      </c>
      <c r="J432" s="39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327705325.027543</v>
      </c>
      <c r="K432" s="39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686898427.052584</v>
      </c>
      <c r="L432" s="39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824161819.948479</v>
      </c>
      <c r="M432" s="39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1010069504.88318</v>
      </c>
      <c r="N432" s="39" t="n">
        <f aca="false">IF(COUNT('Business Case'!B11:G11)=0,"",H432+NPV(G432,I432:M432))</f>
        <v>-46775825.239151</v>
      </c>
      <c r="P432" s="40" t="n">
        <f aca="true">RAND()</f>
        <v>0.895887641283016</v>
      </c>
      <c r="Q432" s="40" t="n">
        <f aca="true">RAND()</f>
        <v>0.489034614883387</v>
      </c>
      <c r="R432" s="40" t="n">
        <f aca="true">RAND()</f>
        <v>0.355703165291529</v>
      </c>
      <c r="S432" s="40" t="n">
        <f aca="true">RAND()</f>
        <v>0.53490058598208</v>
      </c>
      <c r="T432" s="40" t="n">
        <f aca="true">RAND()</f>
        <v>0.0455613316458314</v>
      </c>
      <c r="U432" s="40" t="n">
        <f aca="true">RAND()</f>
        <v>0.811759588234478</v>
      </c>
    </row>
    <row r="433" customFormat="false" ht="15" hidden="false" customHeight="false" outlineLevel="0" collapsed="false">
      <c r="A433" s="36" t="n">
        <v>353</v>
      </c>
      <c r="B433" s="37" t="n">
        <f aca="false">1+IF($G$6=$E$6,$F$6,IF(P433&lt;($F$6-$E$6)/($G$6-$E$6),$E$6+SQRT(P433*($G$6-$E$6)*($F$6-$E$6)),$G$6-SQRT((1-P433)*($G$6-$E$6)*($G$6-$F$6))))</f>
        <v>0.940334099661931</v>
      </c>
      <c r="C433" s="37" t="n">
        <f aca="false">1+IF($G$7=$E$7,$F$7,IF(Q433&lt;($F$7-$E$7)/($G$7-$E$7),$E$7+SQRT(Q433*($G$7-$E$7)*($F$7-$E$7)),$G$7-SQRT((1-Q433)*($G$7-$E$7)*($G$7-$F$7))))</f>
        <v>0.78804352984035</v>
      </c>
      <c r="D433" s="37" t="n">
        <f aca="false">1+IF($G$8=$E$8,$F$8,IF(R433&lt;($F$8-$E$8)/($G$8-$E$8),$E$8+SQRT(R433*($G$8-$E$8)*($F$8-$E$8)),$G$8-SQRT((1-R433)*($G$8-$E$8)*($G$8-$F$8))))</f>
        <v>1.07524282580002</v>
      </c>
      <c r="E433" s="37" t="n">
        <f aca="false">1+IF($G$9=$E$9,$F$9,IF(S433&lt;($F$9-$E$9)/($G$9-$E$9),$E$9+SQRT(S433*($G$9-$E$9)*($F$9-$E$9)),$G$9-SQRT((1-S433)*($G$9-$E$9)*($G$9-$F$9))))</f>
        <v>0.999290941098412</v>
      </c>
      <c r="F433" s="37" t="n">
        <f aca="false">1+IF($G$10=$E$10,$F$10,IF(T433&lt;($F$10-$E$10)/($G$10-$E$10),$E$10+SQRT(T433*($G$10-$E$10)*($F$10-$E$10)),$G$10-SQRT((1-T433)*($G$10-$E$10)*($G$10-$F$10))))</f>
        <v>1.12484917846919</v>
      </c>
      <c r="G433" s="38" t="n">
        <f aca="false">IF($G$11=$E$11,$F$11,IF(U433&lt;($F$11-$E$11)/($G$11-$E$11),$E$11+SQRT(U433*($G$11-$E$11)*($F$11-$E$11)),$G$11-SQRT((1-U433)*($G$11-$E$11)*($G$11-$F$11))))</f>
        <v>0.103260896267473</v>
      </c>
      <c r="H433" s="39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-2249698356.93838</v>
      </c>
      <c r="I433" s="39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-119815954.967582</v>
      </c>
      <c r="J433" s="39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53366874.4260436</v>
      </c>
      <c r="K433" s="39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282792162.74313</v>
      </c>
      <c r="L433" s="39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366129569.001069</v>
      </c>
      <c r="M433" s="39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506983449.531417</v>
      </c>
      <c r="N433" s="39" t="n">
        <f aca="false">IF(COUNT('Business Case'!B11:G11)=0,"",H433+NPV(G433,I433:M433))</f>
        <v>-1546567921.16749</v>
      </c>
      <c r="P433" s="40" t="n">
        <f aca="true">RAND()</f>
        <v>0.108455973035905</v>
      </c>
      <c r="Q433" s="40" t="n">
        <f aca="true">RAND()</f>
        <v>0.0574197270129525</v>
      </c>
      <c r="R433" s="40" t="n">
        <f aca="true">RAND()</f>
        <v>0.959138821708788</v>
      </c>
      <c r="S433" s="40" t="n">
        <f aca="true">RAND()</f>
        <v>0.394347639368333</v>
      </c>
      <c r="T433" s="40" t="n">
        <f aca="true">RAND()</f>
        <v>0.791163624935518</v>
      </c>
      <c r="U433" s="40" t="n">
        <f aca="true">RAND()</f>
        <v>0.523346887720762</v>
      </c>
    </row>
    <row r="434" customFormat="false" ht="15" hidden="false" customHeight="false" outlineLevel="0" collapsed="false">
      <c r="A434" s="36" t="n">
        <v>354</v>
      </c>
      <c r="B434" s="37" t="n">
        <f aca="false">1+IF($G$6=$E$6,$F$6,IF(P434&lt;($F$6-$E$6)/($G$6-$E$6),$E$6+SQRT(P434*($G$6-$E$6)*($F$6-$E$6)),$G$6-SQRT((1-P434)*($G$6-$E$6)*($G$6-$F$6))))</f>
        <v>0.987305577011628</v>
      </c>
      <c r="C434" s="37" t="n">
        <f aca="false">1+IF($G$7=$E$7,$F$7,IF(Q434&lt;($F$7-$E$7)/($G$7-$E$7),$E$7+SQRT(Q434*($G$7-$E$7)*($F$7-$E$7)),$G$7-SQRT((1-Q434)*($G$7-$E$7)*($G$7-$F$7))))</f>
        <v>0.917055790151061</v>
      </c>
      <c r="D434" s="37" t="n">
        <f aca="false">1+IF($G$8=$E$8,$F$8,IF(R434&lt;($F$8-$E$8)/($G$8-$E$8),$E$8+SQRT(R434*($G$8-$E$8)*($F$8-$E$8)),$G$8-SQRT((1-R434)*($G$8-$E$8)*($G$8-$F$8))))</f>
        <v>1.02328160327676</v>
      </c>
      <c r="E434" s="37" t="n">
        <f aca="false">1+IF($G$9=$E$9,$F$9,IF(S434&lt;($F$9-$E$9)/($G$9-$E$9),$E$9+SQRT(S434*($G$9-$E$9)*($F$9-$E$9)),$G$9-SQRT((1-S434)*($G$9-$E$9)*($G$9-$F$9))))</f>
        <v>1.0861416294599</v>
      </c>
      <c r="F434" s="37" t="n">
        <f aca="false">1+IF($G$10=$E$10,$F$10,IF(T434&lt;($F$10-$E$10)/($G$10-$E$10),$E$10+SQRT(T434*($G$10-$E$10)*($F$10-$E$10)),$G$10-SQRT((1-T434)*($G$10-$E$10)*($G$10-$F$10))))</f>
        <v>1.12191733033327</v>
      </c>
      <c r="G434" s="38" t="n">
        <f aca="false">IF($G$11=$E$11,$F$11,IF(U434&lt;($F$11-$E$11)/($G$11-$E$11),$E$11+SQRT(U434*($G$11-$E$11)*($F$11-$E$11)),$G$11-SQRT((1-U434)*($G$11-$E$11)*($G$11-$F$11))))</f>
        <v>0.10765900118872</v>
      </c>
      <c r="H434" s="39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-2243834660.66654</v>
      </c>
      <c r="I434" s="39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-52367214.5031786</v>
      </c>
      <c r="J434" s="39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208843320.843242</v>
      </c>
      <c r="K434" s="39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526149722.706325</v>
      </c>
      <c r="L434" s="39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644511019.226515</v>
      </c>
      <c r="M434" s="39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816612168.619119</v>
      </c>
      <c r="N434" s="39" t="n">
        <f aca="false">IF(COUNT('Business Case'!B11:G11)=0,"",H434+NPV(G434,I434:M434))</f>
        <v>-815809998.042085</v>
      </c>
      <c r="P434" s="40" t="n">
        <f aca="true">RAND()</f>
        <v>0.508150918488892</v>
      </c>
      <c r="Q434" s="40" t="n">
        <f aca="true">RAND()</f>
        <v>0.348986785467418</v>
      </c>
      <c r="R434" s="40" t="n">
        <f aca="true">RAND()</f>
        <v>0.607619173614322</v>
      </c>
      <c r="S434" s="40" t="n">
        <f aca="true">RAND()</f>
        <v>0.891256226985698</v>
      </c>
      <c r="T434" s="40" t="n">
        <f aca="true">RAND()</f>
        <v>0.781264396413909</v>
      </c>
      <c r="U434" s="40" t="n">
        <f aca="true">RAND()</f>
        <v>0.66725318140959</v>
      </c>
    </row>
    <row r="435" customFormat="false" ht="15" hidden="false" customHeight="false" outlineLevel="0" collapsed="false">
      <c r="A435" s="36" t="n">
        <v>355</v>
      </c>
      <c r="B435" s="37" t="n">
        <f aca="false">1+IF($G$6=$E$6,$F$6,IF(P435&lt;($F$6-$E$6)/($G$6-$E$6),$E$6+SQRT(P435*($G$6-$E$6)*($F$6-$E$6)),$G$6-SQRT((1-P435)*($G$6-$E$6)*($G$6-$F$6))))</f>
        <v>0.96810035212602</v>
      </c>
      <c r="C435" s="37" t="n">
        <f aca="false">1+IF($G$7=$E$7,$F$7,IF(Q435&lt;($F$7-$E$7)/($G$7-$E$7),$E$7+SQRT(Q435*($G$7-$E$7)*($F$7-$E$7)),$G$7-SQRT((1-Q435)*($G$7-$E$7)*($G$7-$F$7))))</f>
        <v>0.815527338041402</v>
      </c>
      <c r="D435" s="37" t="n">
        <f aca="false">1+IF($G$8=$E$8,$F$8,IF(R435&lt;($F$8-$E$8)/($G$8-$E$8),$E$8+SQRT(R435*($G$8-$E$8)*($F$8-$E$8)),$G$8-SQRT((1-R435)*($G$8-$E$8)*($G$8-$F$8))))</f>
        <v>1.08690908717958</v>
      </c>
      <c r="E435" s="37" t="n">
        <f aca="false">1+IF($G$9=$E$9,$F$9,IF(S435&lt;($F$9-$E$9)/($G$9-$E$9),$E$9+SQRT(S435*($G$9-$E$9)*($F$9-$E$9)),$G$9-SQRT((1-S435)*($G$9-$E$9)*($G$9-$F$9))))</f>
        <v>0.978192138521728</v>
      </c>
      <c r="F435" s="37" t="n">
        <f aca="false">1+IF($G$10=$E$10,$F$10,IF(T435&lt;($F$10-$E$10)/($G$10-$E$10),$E$10+SQRT(T435*($G$10-$E$10)*($F$10-$E$10)),$G$10-SQRT((1-T435)*($G$10-$E$10)*($G$10-$F$10))))</f>
        <v>1.00137189484656</v>
      </c>
      <c r="G435" s="38" t="n">
        <f aca="false">IF($G$11=$E$11,$F$11,IF(U435&lt;($F$11-$E$11)/($G$11-$E$11),$E$11+SQRT(U435*($G$11-$E$11)*($F$11-$E$11)),$G$11-SQRT((1-U435)*($G$11-$E$11)*($G$11-$F$11))))</f>
        <v>0.0971693928717647</v>
      </c>
      <c r="H435" s="39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-2002743789.69312</v>
      </c>
      <c r="I435" s="39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-87264982.0793127</v>
      </c>
      <c r="J435" s="39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105634465.217886</v>
      </c>
      <c r="K435" s="39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348602507.257413</v>
      </c>
      <c r="L435" s="39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440187868.219191</v>
      </c>
      <c r="M435" s="39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590258366.797433</v>
      </c>
      <c r="N435" s="39" t="n">
        <f aca="false">IF(COUNT('Business Case'!B11:G11)=0,"",H435+NPV(G435,I435:M435))</f>
        <v>-1055560298.18562</v>
      </c>
      <c r="P435" s="40" t="n">
        <f aca="true">RAND()</f>
        <v>0.309177197312531</v>
      </c>
      <c r="Q435" s="40" t="n">
        <f aca="true">RAND()</f>
        <v>0.0988634506291281</v>
      </c>
      <c r="R435" s="40" t="n">
        <f aca="true">RAND()</f>
        <v>0.988575200101871</v>
      </c>
      <c r="S435" s="40" t="n">
        <f aca="true">RAND()</f>
        <v>0.244560421064045</v>
      </c>
      <c r="T435" s="40" t="n">
        <f aca="true">RAND()</f>
        <v>0.175787537704117</v>
      </c>
      <c r="U435" s="40" t="n">
        <f aca="true">RAND()</f>
        <v>0.294788051585004</v>
      </c>
    </row>
    <row r="436" customFormat="false" ht="15" hidden="false" customHeight="false" outlineLevel="0" collapsed="false">
      <c r="A436" s="36" t="n">
        <v>356</v>
      </c>
      <c r="B436" s="37" t="n">
        <f aca="false">1+IF($G$6=$E$6,$F$6,IF(P436&lt;($F$6-$E$6)/($G$6-$E$6),$E$6+SQRT(P436*($G$6-$E$6)*($F$6-$E$6)),$G$6-SQRT((1-P436)*($G$6-$E$6)*($G$6-$F$6))))</f>
        <v>1.01047373374803</v>
      </c>
      <c r="C436" s="37" t="n">
        <f aca="false">1+IF($G$7=$E$7,$F$7,IF(Q436&lt;($F$7-$E$7)/($G$7-$E$7),$E$7+SQRT(Q436*($G$7-$E$7)*($F$7-$E$7)),$G$7-SQRT((1-Q436)*($G$7-$E$7)*($G$7-$F$7))))</f>
        <v>0.907727987607409</v>
      </c>
      <c r="D436" s="37" t="n">
        <f aca="false">1+IF($G$8=$E$8,$F$8,IF(R436&lt;($F$8-$E$8)/($G$8-$E$8),$E$8+SQRT(R436*($G$8-$E$8)*($F$8-$E$8)),$G$8-SQRT((1-R436)*($G$8-$E$8)*($G$8-$F$8))))</f>
        <v>1.06826718313418</v>
      </c>
      <c r="E436" s="37" t="n">
        <f aca="false">1+IF($G$9=$E$9,$F$9,IF(S436&lt;($F$9-$E$9)/($G$9-$E$9),$E$9+SQRT(S436*($G$9-$E$9)*($F$9-$E$9)),$G$9-SQRT((1-S436)*($G$9-$E$9)*($G$9-$F$9))))</f>
        <v>1.05565300125071</v>
      </c>
      <c r="F436" s="37" t="n">
        <f aca="false">1+IF($G$10=$E$10,$F$10,IF(T436&lt;($F$10-$E$10)/($G$10-$E$10),$E$10+SQRT(T436*($G$10-$E$10)*($F$10-$E$10)),$G$10-SQRT((1-T436)*($G$10-$E$10)*($G$10-$F$10))))</f>
        <v>1.0361397283869</v>
      </c>
      <c r="G436" s="38" t="n">
        <f aca="false">IF($G$11=$E$11,$F$11,IF(U436&lt;($F$11-$E$11)/($G$11-$E$11),$E$11+SQRT(U436*($G$11-$E$11)*($F$11-$E$11)),$G$11-SQRT((1-U436)*($G$11-$E$11)*($G$11-$F$11))))</f>
        <v>0.104938265838524</v>
      </c>
      <c r="H436" s="39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-2072279456.7738</v>
      </c>
      <c r="I436" s="39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-46402351.2194411</v>
      </c>
      <c r="J436" s="39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208472604.552433</v>
      </c>
      <c r="K436" s="39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515154546.743651</v>
      </c>
      <c r="L436" s="39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631812516.917459</v>
      </c>
      <c r="M436" s="39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806160600.624965</v>
      </c>
      <c r="N436" s="39" t="n">
        <f aca="false">IF(COUNT('Business Case'!B11:G11)=0,"",H436+NPV(G436,I436:M436))</f>
        <v>-648293557.116611</v>
      </c>
      <c r="P436" s="40" t="n">
        <f aca="true">RAND()</f>
        <v>0.791689903490489</v>
      </c>
      <c r="Q436" s="40" t="n">
        <f aca="true">RAND()</f>
        <v>0.31963642100314</v>
      </c>
      <c r="R436" s="40" t="n">
        <f aca="true">RAND()</f>
        <v>0.932868555584009</v>
      </c>
      <c r="S436" s="40" t="n">
        <f aca="true">RAND()</f>
        <v>0.762630502053368</v>
      </c>
      <c r="T436" s="40" t="n">
        <f aca="true">RAND()</f>
        <v>0.390183789674274</v>
      </c>
      <c r="U436" s="40" t="n">
        <f aca="true">RAND()</f>
        <v>0.581272987213004</v>
      </c>
    </row>
    <row r="437" customFormat="false" ht="15" hidden="false" customHeight="false" outlineLevel="0" collapsed="false">
      <c r="A437" s="36" t="n">
        <v>357</v>
      </c>
      <c r="B437" s="37" t="n">
        <f aca="false">1+IF($G$6=$E$6,$F$6,IF(P437&lt;($F$6-$E$6)/($G$6-$E$6),$E$6+SQRT(P437*($G$6-$E$6)*($F$6-$E$6)),$G$6-SQRT((1-P437)*($G$6-$E$6)*($G$6-$F$6))))</f>
        <v>0.934385069889337</v>
      </c>
      <c r="C437" s="37" t="n">
        <f aca="false">1+IF($G$7=$E$7,$F$7,IF(Q437&lt;($F$7-$E$7)/($G$7-$E$7),$E$7+SQRT(Q437*($G$7-$E$7)*($F$7-$E$7)),$G$7-SQRT((1-Q437)*($G$7-$E$7)*($G$7-$F$7))))</f>
        <v>0.949547511841586</v>
      </c>
      <c r="D437" s="37" t="n">
        <f aca="false">1+IF($G$8=$E$8,$F$8,IF(R437&lt;($F$8-$E$8)/($G$8-$E$8),$E$8+SQRT(R437*($G$8-$E$8)*($F$8-$E$8)),$G$8-SQRT((1-R437)*($G$8-$E$8)*($G$8-$F$8))))</f>
        <v>0.981088262517228</v>
      </c>
      <c r="E437" s="37" t="n">
        <f aca="false">1+IF($G$9=$E$9,$F$9,IF(S437&lt;($F$9-$E$9)/($G$9-$E$9),$E$9+SQRT(S437*($G$9-$E$9)*($F$9-$E$9)),$G$9-SQRT((1-S437)*($G$9-$E$9)*($G$9-$F$9))))</f>
        <v>1.03860358341021</v>
      </c>
      <c r="F437" s="37" t="n">
        <f aca="false">1+IF($G$10=$E$10,$F$10,IF(T437&lt;($F$10-$E$10)/($G$10-$E$10),$E$10+SQRT(T437*($G$10-$E$10)*($F$10-$E$10)),$G$10-SQRT((1-T437)*($G$10-$E$10)*($G$10-$F$10))))</f>
        <v>0.998701645273844</v>
      </c>
      <c r="G437" s="38" t="n">
        <f aca="false">IF($G$11=$E$11,$F$11,IF(U437&lt;($F$11-$E$11)/($G$11-$E$11),$E$11+SQRT(U437*($G$11-$E$11)*($F$11-$E$11)),$G$11-SQRT((1-U437)*($G$11-$E$11)*($G$11-$F$11))))</f>
        <v>0.100854847927133</v>
      </c>
      <c r="H437" s="39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-1997403290.54769</v>
      </c>
      <c r="I437" s="39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-43737869.8513853</v>
      </c>
      <c r="J437" s="39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206078532.449829</v>
      </c>
      <c r="K437" s="39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505830017.014735</v>
      </c>
      <c r="L437" s="39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619765269.824662</v>
      </c>
      <c r="M437" s="39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788412422.727035</v>
      </c>
      <c r="N437" s="39" t="n">
        <f aca="false">IF(COUNT('Business Case'!B11:G11)=0,"",H437+NPV(G437,I437:M437))</f>
        <v>-578293735.024198</v>
      </c>
      <c r="P437" s="40" t="n">
        <f aca="true">RAND()</f>
        <v>0.0788222020863059</v>
      </c>
      <c r="Q437" s="40" t="n">
        <f aca="true">RAND()</f>
        <v>0.461288597528346</v>
      </c>
      <c r="R437" s="40" t="n">
        <f aca="true">RAND()</f>
        <v>0.128864008845342</v>
      </c>
      <c r="S437" s="40" t="n">
        <f aca="true">RAND()</f>
        <v>0.669089023225423</v>
      </c>
      <c r="T437" s="40" t="n">
        <f aca="true">RAND()</f>
        <v>0.158123350158619</v>
      </c>
      <c r="U437" s="40" t="n">
        <f aca="true">RAND()</f>
        <v>0.433706740432987</v>
      </c>
    </row>
    <row r="438" customFormat="false" ht="15" hidden="false" customHeight="false" outlineLevel="0" collapsed="false">
      <c r="A438" s="36" t="n">
        <v>358</v>
      </c>
      <c r="B438" s="37" t="n">
        <f aca="false">1+IF($G$6=$E$6,$F$6,IF(P438&lt;($F$6-$E$6)/($G$6-$E$6),$E$6+SQRT(P438*($G$6-$E$6)*($F$6-$E$6)),$G$6-SQRT((1-P438)*($G$6-$E$6)*($G$6-$F$6))))</f>
        <v>1.00033481346354</v>
      </c>
      <c r="C438" s="37" t="n">
        <f aca="false">1+IF($G$7=$E$7,$F$7,IF(Q438&lt;($F$7-$E$7)/($G$7-$E$7),$E$7+SQRT(Q438*($G$7-$E$7)*($F$7-$E$7)),$G$7-SQRT((1-Q438)*($G$7-$E$7)*($G$7-$F$7))))</f>
        <v>0.990964846332329</v>
      </c>
      <c r="D438" s="37" t="n">
        <f aca="false">1+IF($G$8=$E$8,$F$8,IF(R438&lt;($F$8-$E$8)/($G$8-$E$8),$E$8+SQRT(R438*($G$8-$E$8)*($F$8-$E$8)),$G$8-SQRT((1-R438)*($G$8-$E$8)*($G$8-$F$8))))</f>
        <v>1.0364335515263</v>
      </c>
      <c r="E438" s="37" t="n">
        <f aca="false">1+IF($G$9=$E$9,$F$9,IF(S438&lt;($F$9-$E$9)/($G$9-$E$9),$E$9+SQRT(S438*($G$9-$E$9)*($F$9-$E$9)),$G$9-SQRT((1-S438)*($G$9-$E$9)*($G$9-$F$9))))</f>
        <v>0.993156746791126</v>
      </c>
      <c r="F438" s="37" t="n">
        <f aca="false">1+IF($G$10=$E$10,$F$10,IF(T438&lt;($F$10-$E$10)/($G$10-$E$10),$E$10+SQRT(T438*($G$10-$E$10)*($F$10-$E$10)),$G$10-SQRT((1-T438)*($G$10-$E$10)*($G$10-$F$10))))</f>
        <v>0.973799611108224</v>
      </c>
      <c r="G438" s="38" t="n">
        <f aca="false">IF($G$11=$E$11,$F$11,IF(U438&lt;($F$11-$E$11)/($G$11-$E$11),$E$11+SQRT(U438*($G$11-$E$11)*($F$11-$E$11)),$G$11-SQRT((1-U438)*($G$11-$E$11)*($G$11-$F$11))))</f>
        <v>0.0865168030984985</v>
      </c>
      <c r="H438" s="39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-1947599222.21645</v>
      </c>
      <c r="I438" s="39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-3829623.47192587</v>
      </c>
      <c r="J438" s="39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282336421.103764</v>
      </c>
      <c r="K438" s="39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617192446.234865</v>
      </c>
      <c r="L438" s="39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746840339.455493</v>
      </c>
      <c r="M438" s="39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935266003.780177</v>
      </c>
      <c r="N438" s="39" t="n">
        <f aca="false">IF(COUNT('Business Case'!B11:G11)=0,"",H438+NPV(G438,I438:M438))</f>
        <v>-77214107.3059855</v>
      </c>
      <c r="P438" s="40" t="n">
        <f aca="true">RAND()</f>
        <v>0.671115899506499</v>
      </c>
      <c r="Q438" s="40" t="n">
        <f aca="true">RAND()</f>
        <v>0.627115124453301</v>
      </c>
      <c r="R438" s="40" t="n">
        <f aca="true">RAND()</f>
        <v>0.730620441896071</v>
      </c>
      <c r="S438" s="40" t="n">
        <f aca="true">RAND()</f>
        <v>0.347127178908236</v>
      </c>
      <c r="T438" s="40" t="n">
        <f aca="true">RAND()</f>
        <v>0.0377614325935123</v>
      </c>
      <c r="U438" s="40" t="n">
        <f aca="true">RAND()</f>
        <v>0.0424687226245998</v>
      </c>
    </row>
    <row r="439" customFormat="false" ht="15" hidden="false" customHeight="false" outlineLevel="0" collapsed="false">
      <c r="A439" s="36" t="n">
        <v>359</v>
      </c>
      <c r="B439" s="37" t="n">
        <f aca="false">1+IF($G$6=$E$6,$F$6,IF(P439&lt;($F$6-$E$6)/($G$6-$E$6),$E$6+SQRT(P439*($G$6-$E$6)*($F$6-$E$6)),$G$6-SQRT((1-P439)*($G$6-$E$6)*($G$6-$F$6))))</f>
        <v>0.912637192208926</v>
      </c>
      <c r="C439" s="37" t="n">
        <f aca="false">1+IF($G$7=$E$7,$F$7,IF(Q439&lt;($F$7-$E$7)/($G$7-$E$7),$E$7+SQRT(Q439*($G$7-$E$7)*($F$7-$E$7)),$G$7-SQRT((1-Q439)*($G$7-$E$7)*($G$7-$F$7))))</f>
        <v>0.981696588448401</v>
      </c>
      <c r="D439" s="37" t="n">
        <f aca="false">1+IF($G$8=$E$8,$F$8,IF(R439&lt;($F$8-$E$8)/($G$8-$E$8),$E$8+SQRT(R439*($G$8-$E$8)*($F$8-$E$8)),$G$8-SQRT((1-R439)*($G$8-$E$8)*($G$8-$F$8))))</f>
        <v>1.09102047896214</v>
      </c>
      <c r="E439" s="37" t="n">
        <f aca="false">1+IF($G$9=$E$9,$F$9,IF(S439&lt;($F$9-$E$9)/($G$9-$E$9),$E$9+SQRT(S439*($G$9-$E$9)*($F$9-$E$9)),$G$9-SQRT((1-S439)*($G$9-$E$9)*($G$9-$F$9))))</f>
        <v>0.97096264118731</v>
      </c>
      <c r="F439" s="37" t="n">
        <f aca="false">1+IF($G$10=$E$10,$F$10,IF(T439&lt;($F$10-$E$10)/($G$10-$E$10),$E$10+SQRT(T439*($G$10-$E$10)*($F$10-$E$10)),$G$10-SQRT((1-T439)*($G$10-$E$10)*($G$10-$F$10))))</f>
        <v>1.04852742034347</v>
      </c>
      <c r="G439" s="38" t="n">
        <f aca="false">IF($G$11=$E$11,$F$11,IF(U439&lt;($F$11-$E$11)/($G$11-$E$11),$E$11+SQRT(U439*($G$11-$E$11)*($F$11-$E$11)),$G$11-SQRT((1-U439)*($G$11-$E$11)*($G$11-$F$11))))</f>
        <v>0.112066973071832</v>
      </c>
      <c r="H439" s="39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-2097054840.68695</v>
      </c>
      <c r="I439" s="39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-103827771.689172</v>
      </c>
      <c r="J439" s="39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81713243.5222422</v>
      </c>
      <c r="K439" s="39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319680629.75083</v>
      </c>
      <c r="L439" s="39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412491073.014237</v>
      </c>
      <c r="M439" s="39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582789983.075384</v>
      </c>
      <c r="N439" s="39" t="n">
        <f aca="false">IF(COUNT('Business Case'!B11:G11)=0,"",H439+NPV(G439,I439:M439))</f>
        <v>-1279537426.01723</v>
      </c>
      <c r="P439" s="40" t="n">
        <f aca="true">RAND()</f>
        <v>0.0106465751283553</v>
      </c>
      <c r="Q439" s="40" t="n">
        <f aca="true">RAND()</f>
        <v>0.587799762544205</v>
      </c>
      <c r="R439" s="40" t="n">
        <f aca="true">RAND()</f>
        <v>0.994624546795378</v>
      </c>
      <c r="S439" s="40" t="n">
        <f aca="true">RAND()</f>
        <v>0.201427857771156</v>
      </c>
      <c r="T439" s="40" t="n">
        <f aca="true">RAND()</f>
        <v>0.458783995287255</v>
      </c>
      <c r="U439" s="40" t="n">
        <f aca="true">RAND()</f>
        <v>0.785604363462391</v>
      </c>
    </row>
    <row r="440" customFormat="false" ht="15" hidden="false" customHeight="false" outlineLevel="0" collapsed="false">
      <c r="A440" s="36" t="n">
        <v>360</v>
      </c>
      <c r="B440" s="37" t="n">
        <f aca="false">1+IF($G$6=$E$6,$F$6,IF(P440&lt;($F$6-$E$6)/($G$6-$E$6),$E$6+SQRT(P440*($G$6-$E$6)*($F$6-$E$6)),$G$6-SQRT((1-P440)*($G$6-$E$6)*($G$6-$F$6))))</f>
        <v>0.989260851914463</v>
      </c>
      <c r="C440" s="37" t="n">
        <f aca="false">1+IF($G$7=$E$7,$F$7,IF(Q440&lt;($F$7-$E$7)/($G$7-$E$7),$E$7+SQRT(Q440*($G$7-$E$7)*($F$7-$E$7)),$G$7-SQRT((1-Q440)*($G$7-$E$7)*($G$7-$F$7))))</f>
        <v>1.06398461499583</v>
      </c>
      <c r="D440" s="37" t="n">
        <f aca="false">1+IF($G$8=$E$8,$F$8,IF(R440&lt;($F$8-$E$8)/($G$8-$E$8),$E$8+SQRT(R440*($G$8-$E$8)*($F$8-$E$8)),$G$8-SQRT((1-R440)*($G$8-$E$8)*($G$8-$F$8))))</f>
        <v>1.02107204787688</v>
      </c>
      <c r="E440" s="37" t="n">
        <f aca="false">1+IF($G$9=$E$9,$F$9,IF(S440&lt;($F$9-$E$9)/($G$9-$E$9),$E$9+SQRT(S440*($G$9-$E$9)*($F$9-$E$9)),$G$9-SQRT((1-S440)*($G$9-$E$9)*($G$9-$F$9))))</f>
        <v>0.992212413031232</v>
      </c>
      <c r="F440" s="37" t="n">
        <f aca="false">1+IF($G$10=$E$10,$F$10,IF(T440&lt;($F$10-$E$10)/($G$10-$E$10),$E$10+SQRT(T440*($G$10-$E$10)*($F$10-$E$10)),$G$10-SQRT((1-T440)*($G$10-$E$10)*($G$10-$F$10))))</f>
        <v>1.07390646834766</v>
      </c>
      <c r="G440" s="38" t="n">
        <f aca="false">IF($G$11=$E$11,$F$11,IF(U440&lt;($F$11-$E$11)/($G$11-$E$11),$E$11+SQRT(U440*($G$11-$E$11)*($F$11-$E$11)),$G$11-SQRT((1-U440)*($G$11-$E$11)*($G$11-$F$11))))</f>
        <v>0.1028365237708</v>
      </c>
      <c r="H440" s="39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-2147812936.69532</v>
      </c>
      <c r="I440" s="39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2920756.23551355</v>
      </c>
      <c r="J440" s="39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308889388.092611</v>
      </c>
      <c r="K440" s="39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668553343.367092</v>
      </c>
      <c r="L440" s="39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806919303.088643</v>
      </c>
      <c r="M440" s="39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1006989589.81916</v>
      </c>
      <c r="N440" s="39" t="n">
        <f aca="false">IF(COUNT('Business Case'!B11:G11)=0,"",H440+NPV(G440,I440:M440))</f>
        <v>-230017238.345685</v>
      </c>
      <c r="P440" s="40" t="n">
        <f aca="true">RAND()</f>
        <v>0.531166645633045</v>
      </c>
      <c r="Q440" s="40" t="n">
        <f aca="true">RAND()</f>
        <v>0.890390422853093</v>
      </c>
      <c r="R440" s="40" t="n">
        <f aca="true">RAND()</f>
        <v>0.584691891576718</v>
      </c>
      <c r="S440" s="40" t="n">
        <f aca="true">RAND()</f>
        <v>0.340125164681697</v>
      </c>
      <c r="T440" s="40" t="n">
        <f aca="true">RAND()</f>
        <v>0.586547574802749</v>
      </c>
      <c r="U440" s="40" t="n">
        <f aca="true">RAND()</f>
        <v>0.508097039430445</v>
      </c>
    </row>
    <row r="441" customFormat="false" ht="15" hidden="false" customHeight="false" outlineLevel="0" collapsed="false">
      <c r="A441" s="36" t="n">
        <v>361</v>
      </c>
      <c r="B441" s="37" t="n">
        <f aca="false">1+IF($G$6=$E$6,$F$6,IF(P441&lt;($F$6-$E$6)/($G$6-$E$6),$E$6+SQRT(P441*($G$6-$E$6)*($F$6-$E$6)),$G$6-SQRT((1-P441)*($G$6-$E$6)*($G$6-$F$6))))</f>
        <v>0.988726411952421</v>
      </c>
      <c r="C441" s="37" t="n">
        <f aca="false">1+IF($G$7=$E$7,$F$7,IF(Q441&lt;($F$7-$E$7)/($G$7-$E$7),$E$7+SQRT(Q441*($G$7-$E$7)*($F$7-$E$7)),$G$7-SQRT((1-Q441)*($G$7-$E$7)*($G$7-$F$7))))</f>
        <v>1.04220570154211</v>
      </c>
      <c r="D441" s="37" t="n">
        <f aca="false">1+IF($G$8=$E$8,$F$8,IF(R441&lt;($F$8-$E$8)/($G$8-$E$8),$E$8+SQRT(R441*($G$8-$E$8)*($F$8-$E$8)),$G$8-SQRT((1-R441)*($G$8-$E$8)*($G$8-$F$8))))</f>
        <v>1.07658996759597</v>
      </c>
      <c r="E441" s="37" t="n">
        <f aca="false">1+IF($G$9=$E$9,$F$9,IF(S441&lt;($F$9-$E$9)/($G$9-$E$9),$E$9+SQRT(S441*($G$9-$E$9)*($F$9-$E$9)),$G$9-SQRT((1-S441)*($G$9-$E$9)*($G$9-$F$9))))</f>
        <v>1.05757750671017</v>
      </c>
      <c r="F441" s="37" t="n">
        <f aca="false">1+IF($G$10=$E$10,$F$10,IF(T441&lt;($F$10-$E$10)/($G$10-$E$10),$E$10+SQRT(T441*($G$10-$E$10)*($F$10-$E$10)),$G$10-SQRT((1-T441)*($G$10-$E$10)*($G$10-$F$10))))</f>
        <v>1.15765946954767</v>
      </c>
      <c r="G441" s="38" t="n">
        <f aca="false">IF($G$11=$E$11,$F$11,IF(U441&lt;($F$11-$E$11)/($G$11-$E$11),$E$11+SQRT(U441*($G$11-$E$11)*($F$11-$E$11)),$G$11-SQRT((1-U441)*($G$11-$E$11)*($G$11-$F$11))))</f>
        <v>0.0989217595299391</v>
      </c>
      <c r="H441" s="39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-2315318939.09534</v>
      </c>
      <c r="I441" s="39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-49943094.9292715</v>
      </c>
      <c r="J441" s="39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219686133.33951</v>
      </c>
      <c r="K441" s="39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547198335.085676</v>
      </c>
      <c r="L441" s="39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672687314.368003</v>
      </c>
      <c r="M441" s="39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868556448.594703</v>
      </c>
      <c r="N441" s="39" t="n">
        <f aca="false">IF(COUNT('Business Case'!B11:G11)=0,"",H441+NPV(G441,I441:M441))</f>
        <v>-763304946.86644</v>
      </c>
      <c r="P441" s="40" t="n">
        <f aca="true">RAND()</f>
        <v>0.524825078530044</v>
      </c>
      <c r="Q441" s="40" t="n">
        <f aca="true">RAND()</f>
        <v>0.827857618073637</v>
      </c>
      <c r="R441" s="40" t="n">
        <f aca="true">RAND()</f>
        <v>0.963464692189477</v>
      </c>
      <c r="S441" s="40" t="n">
        <f aca="true">RAND()</f>
        <v>0.77221553957578</v>
      </c>
      <c r="T441" s="40" t="n">
        <f aca="true">RAND()</f>
        <v>0.886309685810432</v>
      </c>
      <c r="U441" s="40" t="n">
        <f aca="true">RAND()</f>
        <v>0.358032983708842</v>
      </c>
    </row>
    <row r="442" customFormat="false" ht="15" hidden="false" customHeight="false" outlineLevel="0" collapsed="false">
      <c r="A442" s="36" t="n">
        <v>362</v>
      </c>
      <c r="B442" s="37" t="n">
        <f aca="false">1+IF($G$6=$E$6,$F$6,IF(P442&lt;($F$6-$E$6)/($G$6-$E$6),$E$6+SQRT(P442*($G$6-$E$6)*($F$6-$E$6)),$G$6-SQRT((1-P442)*($G$6-$E$6)*($G$6-$F$6))))</f>
        <v>0.962236170145867</v>
      </c>
      <c r="C442" s="37" t="n">
        <f aca="false">1+IF($G$7=$E$7,$F$7,IF(Q442&lt;($F$7-$E$7)/($G$7-$E$7),$E$7+SQRT(Q442*($G$7-$E$7)*($F$7-$E$7)),$G$7-SQRT((1-Q442)*($G$7-$E$7)*($G$7-$F$7))))</f>
        <v>1.09367326684634</v>
      </c>
      <c r="D442" s="37" t="n">
        <f aca="false">1+IF($G$8=$E$8,$F$8,IF(R442&lt;($F$8-$E$8)/($G$8-$E$8),$E$8+SQRT(R442*($G$8-$E$8)*($F$8-$E$8)),$G$8-SQRT((1-R442)*($G$8-$E$8)*($G$8-$F$8))))</f>
        <v>1.04709979520148</v>
      </c>
      <c r="E442" s="37" t="n">
        <f aca="false">1+IF($G$9=$E$9,$F$9,IF(S442&lt;($F$9-$E$9)/($G$9-$E$9),$E$9+SQRT(S442*($G$9-$E$9)*($F$9-$E$9)),$G$9-SQRT((1-S442)*($G$9-$E$9)*($G$9-$F$9))))</f>
        <v>1.02063124837558</v>
      </c>
      <c r="F442" s="37" t="n">
        <f aca="false">1+IF($G$10=$E$10,$F$10,IF(T442&lt;($F$10-$E$10)/($G$10-$E$10),$E$10+SQRT(T442*($G$10-$E$10)*($F$10-$E$10)),$G$10-SQRT((1-T442)*($G$10-$E$10)*($G$10-$F$10))))</f>
        <v>1.0195739128487</v>
      </c>
      <c r="G442" s="38" t="n">
        <f aca="false">IF($G$11=$E$11,$F$11,IF(U442&lt;($F$11-$E$11)/($G$11-$E$11),$E$11+SQRT(U442*($G$11-$E$11)*($F$11-$E$11)),$G$11-SQRT((1-U442)*($G$11-$E$11)*($G$11-$F$11))))</f>
        <v>0.0997849806459693</v>
      </c>
      <c r="H442" s="39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-2039147825.6974</v>
      </c>
      <c r="I442" s="39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-25920831.8646354</v>
      </c>
      <c r="J442" s="39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249804454.293917</v>
      </c>
      <c r="K442" s="39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576508436.094904</v>
      </c>
      <c r="L442" s="39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704786840.293962</v>
      </c>
      <c r="M442" s="39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904821705.431434</v>
      </c>
      <c r="N442" s="39" t="n">
        <f aca="false">IF(COUNT('Business Case'!B11:G11)=0,"",H442+NPV(G442,I442:M442))</f>
        <v>-378664728.661711</v>
      </c>
      <c r="P442" s="40" t="n">
        <f aca="true">RAND()</f>
        <v>0.258222724961687</v>
      </c>
      <c r="Q442" s="40" t="n">
        <f aca="true">RAND()</f>
        <v>0.952997024181286</v>
      </c>
      <c r="R442" s="40" t="n">
        <f aca="true">RAND()</f>
        <v>0.813437888818276</v>
      </c>
      <c r="S442" s="40" t="n">
        <f aca="true">RAND()</f>
        <v>0.55369936275035</v>
      </c>
      <c r="T442" s="40" t="n">
        <f aca="true">RAND()</f>
        <v>0.292050911468542</v>
      </c>
      <c r="U442" s="40" t="n">
        <f aca="true">RAND()</f>
        <v>0.39144545916138</v>
      </c>
    </row>
    <row r="443" customFormat="false" ht="15" hidden="false" customHeight="false" outlineLevel="0" collapsed="false">
      <c r="A443" s="36" t="n">
        <v>363</v>
      </c>
      <c r="B443" s="37" t="n">
        <f aca="false">1+IF($G$6=$E$6,$F$6,IF(P443&lt;($F$6-$E$6)/($G$6-$E$6),$E$6+SQRT(P443*($G$6-$E$6)*($F$6-$E$6)),$G$6-SQRT((1-P443)*($G$6-$E$6)*($G$6-$F$6))))</f>
        <v>1.03411452005064</v>
      </c>
      <c r="C443" s="37" t="n">
        <f aca="false">1+IF($G$7=$E$7,$F$7,IF(Q443&lt;($F$7-$E$7)/($G$7-$E$7),$E$7+SQRT(Q443*($G$7-$E$7)*($F$7-$E$7)),$G$7-SQRT((1-Q443)*($G$7-$E$7)*($G$7-$F$7))))</f>
        <v>0.779616847362217</v>
      </c>
      <c r="D443" s="37" t="n">
        <f aca="false">1+IF($G$8=$E$8,$F$8,IF(R443&lt;($F$8-$E$8)/($G$8-$E$8),$E$8+SQRT(R443*($G$8-$E$8)*($F$8-$E$8)),$G$8-SQRT((1-R443)*($G$8-$E$8)*($G$8-$F$8))))</f>
        <v>1.02861229539267</v>
      </c>
      <c r="E443" s="37" t="n">
        <f aca="false">1+IF($G$9=$E$9,$F$9,IF(S443&lt;($F$9-$E$9)/($G$9-$E$9),$E$9+SQRT(S443*($G$9-$E$9)*($F$9-$E$9)),$G$9-SQRT((1-S443)*($G$9-$E$9)*($G$9-$F$9))))</f>
        <v>1.10071859226687</v>
      </c>
      <c r="F443" s="37" t="n">
        <f aca="false">1+IF($G$10=$E$10,$F$10,IF(T443&lt;($F$10-$E$10)/($G$10-$E$10),$E$10+SQRT(T443*($G$10-$E$10)*($F$10-$E$10)),$G$10-SQRT((1-T443)*($G$10-$E$10)*($G$10-$F$10))))</f>
        <v>1.13932915318064</v>
      </c>
      <c r="G443" s="38" t="n">
        <f aca="false">IF($G$11=$E$11,$F$11,IF(U443&lt;($F$11-$E$11)/($G$11-$E$11),$E$11+SQRT(U443*($G$11-$E$11)*($F$11-$E$11)),$G$11-SQRT((1-U443)*($G$11-$E$11)*($G$11-$F$11))))</f>
        <v>0.0969084747291285</v>
      </c>
      <c r="H443" s="39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-2278658306.36127</v>
      </c>
      <c r="I443" s="39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-62423273.7826014</v>
      </c>
      <c r="J443" s="39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187402638.777435</v>
      </c>
      <c r="K443" s="39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494195008.996504</v>
      </c>
      <c r="L443" s="39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605333037.986</v>
      </c>
      <c r="M443" s="39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758578024.401496</v>
      </c>
      <c r="N443" s="39" t="n">
        <f aca="false">IF(COUNT('Business Case'!B11:G11)=0,"",H443+NPV(G443,I443:M443))</f>
        <v>-909546164.558179</v>
      </c>
      <c r="P443" s="40" t="n">
        <f aca="true">RAND()</f>
        <v>0.966353536903813</v>
      </c>
      <c r="Q443" s="40" t="n">
        <f aca="true">RAND()</f>
        <v>0.0469543880288787</v>
      </c>
      <c r="R443" s="40" t="n">
        <f aca="true">RAND()</f>
        <v>0.660253042059772</v>
      </c>
      <c r="S443" s="40" t="n">
        <f aca="true">RAND()</f>
        <v>0.935235809382419</v>
      </c>
      <c r="T443" s="40" t="n">
        <f aca="true">RAND()</f>
        <v>0.836692848857131</v>
      </c>
      <c r="U443" s="40" t="n">
        <f aca="true">RAND()</f>
        <v>0.285896517665576</v>
      </c>
    </row>
    <row r="444" customFormat="false" ht="15" hidden="false" customHeight="false" outlineLevel="0" collapsed="false">
      <c r="A444" s="36" t="n">
        <v>364</v>
      </c>
      <c r="B444" s="37" t="n">
        <f aca="false">1+IF($G$6=$E$6,$F$6,IF(P444&lt;($F$6-$E$6)/($G$6-$E$6),$E$6+SQRT(P444*($G$6-$E$6)*($F$6-$E$6)),$G$6-SQRT((1-P444)*($G$6-$E$6)*($G$6-$F$6))))</f>
        <v>0.995634587880246</v>
      </c>
      <c r="C444" s="37" t="n">
        <f aca="false">1+IF($G$7=$E$7,$F$7,IF(Q444&lt;($F$7-$E$7)/($G$7-$E$7),$E$7+SQRT(Q444*($G$7-$E$7)*($F$7-$E$7)),$G$7-SQRT((1-Q444)*($G$7-$E$7)*($G$7-$F$7))))</f>
        <v>0.898402953376791</v>
      </c>
      <c r="D444" s="37" t="n">
        <f aca="false">1+IF($G$8=$E$8,$F$8,IF(R444&lt;($F$8-$E$8)/($G$8-$E$8),$E$8+SQRT(R444*($G$8-$E$8)*($F$8-$E$8)),$G$8-SQRT((1-R444)*($G$8-$E$8)*($G$8-$F$8))))</f>
        <v>0.990283903570795</v>
      </c>
      <c r="E444" s="37" t="n">
        <f aca="false">1+IF($G$9=$E$9,$F$9,IF(S444&lt;($F$9-$E$9)/($G$9-$E$9),$E$9+SQRT(S444*($G$9-$E$9)*($F$9-$E$9)),$G$9-SQRT((1-S444)*($G$9-$E$9)*($G$9-$F$9))))</f>
        <v>1.06030280722693</v>
      </c>
      <c r="F444" s="37" t="n">
        <f aca="false">1+IF($G$10=$E$10,$F$10,IF(T444&lt;($F$10-$E$10)/($G$10-$E$10),$E$10+SQRT(T444*($G$10-$E$10)*($F$10-$E$10)),$G$10-SQRT((1-T444)*($G$10-$E$10)*($G$10-$F$10))))</f>
        <v>0.999863772613227</v>
      </c>
      <c r="G444" s="38" t="n">
        <f aca="false">IF($G$11=$E$11,$F$11,IF(U444&lt;($F$11-$E$11)/($G$11-$E$11),$E$11+SQRT(U444*($G$11-$E$11)*($F$11-$E$11)),$G$11-SQRT((1-U444)*($G$11-$E$11)*($G$11-$F$11))))</f>
        <v>0.0905277876604862</v>
      </c>
      <c r="H444" s="39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-1999727545.22645</v>
      </c>
      <c r="I444" s="39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-19928853.9554814</v>
      </c>
      <c r="J444" s="39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257273626.389608</v>
      </c>
      <c r="K444" s="39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584469295.365359</v>
      </c>
      <c r="L444" s="39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707783387.38144</v>
      </c>
      <c r="M444" s="39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877806346.170562</v>
      </c>
      <c r="N444" s="39" t="n">
        <f aca="false">IF(COUNT('Business Case'!B11:G11)=0,"",H444+NPV(G444,I444:M444))</f>
        <v>-281430684.115341</v>
      </c>
      <c r="P444" s="40" t="n">
        <f aca="true">RAND()</f>
        <v>0.609731626601636</v>
      </c>
      <c r="Q444" s="40" t="n">
        <f aca="true">RAND()</f>
        <v>0.291583199323208</v>
      </c>
      <c r="R444" s="40" t="n">
        <f aca="true">RAND()</f>
        <v>0.216372384920145</v>
      </c>
      <c r="S444" s="40" t="n">
        <f aca="true">RAND()</f>
        <v>0.785451029563493</v>
      </c>
      <c r="T444" s="40" t="n">
        <f aca="true">RAND()</f>
        <v>0.165759721281572</v>
      </c>
      <c r="U444" s="40" t="n">
        <f aca="true">RAND()</f>
        <v>0.110834313024286</v>
      </c>
    </row>
    <row r="445" customFormat="false" ht="15" hidden="false" customHeight="false" outlineLevel="0" collapsed="false">
      <c r="A445" s="36" t="n">
        <v>365</v>
      </c>
      <c r="B445" s="37" t="n">
        <f aca="false">1+IF($G$6=$E$6,$F$6,IF(P445&lt;($F$6-$E$6)/($G$6-$E$6),$E$6+SQRT(P445*($G$6-$E$6)*($F$6-$E$6)),$G$6-SQRT((1-P445)*($G$6-$E$6)*($G$6-$F$6))))</f>
        <v>0.990699463945964</v>
      </c>
      <c r="C445" s="37" t="n">
        <f aca="false">1+IF($G$7=$E$7,$F$7,IF(Q445&lt;($F$7-$E$7)/($G$7-$E$7),$E$7+SQRT(Q445*($G$7-$E$7)*($F$7-$E$7)),$G$7-SQRT((1-Q445)*($G$7-$E$7)*($G$7-$F$7))))</f>
        <v>1.12660914300006</v>
      </c>
      <c r="D445" s="37" t="n">
        <f aca="false">1+IF($G$8=$E$8,$F$8,IF(R445&lt;($F$8-$E$8)/($G$8-$E$8),$E$8+SQRT(R445*($G$8-$E$8)*($F$8-$E$8)),$G$8-SQRT((1-R445)*($G$8-$E$8)*($G$8-$F$8))))</f>
        <v>1.06454505742089</v>
      </c>
      <c r="E445" s="37" t="n">
        <f aca="false">1+IF($G$9=$E$9,$F$9,IF(S445&lt;($F$9-$E$9)/($G$9-$E$9),$E$9+SQRT(S445*($G$9-$E$9)*($F$9-$E$9)),$G$9-SQRT((1-S445)*($G$9-$E$9)*($G$9-$F$9))))</f>
        <v>0.966651097672794</v>
      </c>
      <c r="F445" s="37" t="n">
        <f aca="false">1+IF($G$10=$E$10,$F$10,IF(T445&lt;($F$10-$E$10)/($G$10-$E$10),$E$10+SQRT(T445*($G$10-$E$10)*($F$10-$E$10)),$G$10-SQRT((1-T445)*($G$10-$E$10)*($G$10-$F$10))))</f>
        <v>1.18699375726912</v>
      </c>
      <c r="G445" s="38" t="n">
        <f aca="false">IF($G$11=$E$11,$F$11,IF(U445&lt;($F$11-$E$11)/($G$11-$E$11),$E$11+SQRT(U445*($G$11-$E$11)*($F$11-$E$11)),$G$11-SQRT((1-U445)*($G$11-$E$11)*($G$11-$F$11))))</f>
        <v>0.122581423734743</v>
      </c>
      <c r="H445" s="39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-2373987514.53823</v>
      </c>
      <c r="I445" s="39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-13784751.2681966</v>
      </c>
      <c r="J445" s="39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286447894.158175</v>
      </c>
      <c r="K445" s="39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646030227.448003</v>
      </c>
      <c r="L445" s="39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784681265.842516</v>
      </c>
      <c r="M445" s="39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996835460.397328</v>
      </c>
      <c r="N445" s="39" t="n">
        <f aca="false">IF(COUNT('Business Case'!B11:G11)=0,"",H445+NPV(G445,I445:M445))</f>
        <v>-649029315.522797</v>
      </c>
      <c r="P445" s="40" t="n">
        <f aca="true">RAND()</f>
        <v>0.548426184005682</v>
      </c>
      <c r="Q445" s="40" t="n">
        <f aca="true">RAND()</f>
        <v>0.991894337908272</v>
      </c>
      <c r="R445" s="40" t="n">
        <f aca="true">RAND()</f>
        <v>0.9161964697808</v>
      </c>
      <c r="S445" s="40" t="n">
        <f aca="true">RAND()</f>
        <v>0.177694752839531</v>
      </c>
      <c r="T445" s="40" t="n">
        <f aca="true">RAND()</f>
        <v>0.947069511692493</v>
      </c>
      <c r="U445" s="40" t="n">
        <f aca="true">RAND()</f>
        <v>0.963309817464381</v>
      </c>
    </row>
    <row r="446" customFormat="false" ht="15" hidden="false" customHeight="false" outlineLevel="0" collapsed="false">
      <c r="A446" s="36" t="n">
        <v>366</v>
      </c>
      <c r="B446" s="37" t="n">
        <f aca="false">1+IF($G$6=$E$6,$F$6,IF(P446&lt;($F$6-$E$6)/($G$6-$E$6),$E$6+SQRT(P446*($G$6-$E$6)*($F$6-$E$6)),$G$6-SQRT((1-P446)*($G$6-$E$6)*($G$6-$F$6))))</f>
        <v>0.999656892696788</v>
      </c>
      <c r="C446" s="37" t="n">
        <f aca="false">1+IF($G$7=$E$7,$F$7,IF(Q446&lt;($F$7-$E$7)/($G$7-$E$7),$E$7+SQRT(Q446*($G$7-$E$7)*($F$7-$E$7)),$G$7-SQRT((1-Q446)*($G$7-$E$7)*($G$7-$F$7))))</f>
        <v>0.747212887543658</v>
      </c>
      <c r="D446" s="37" t="n">
        <f aca="false">1+IF($G$8=$E$8,$F$8,IF(R446&lt;($F$8-$E$8)/($G$8-$E$8),$E$8+SQRT(R446*($G$8-$E$8)*($F$8-$E$8)),$G$8-SQRT((1-R446)*($G$8-$E$8)*($G$8-$F$8))))</f>
        <v>1.02478489524404</v>
      </c>
      <c r="E446" s="37" t="n">
        <f aca="false">1+IF($G$9=$E$9,$F$9,IF(S446&lt;($F$9-$E$9)/($G$9-$E$9),$E$9+SQRT(S446*($G$9-$E$9)*($F$9-$E$9)),$G$9-SQRT((1-S446)*($G$9-$E$9)*($G$9-$F$9))))</f>
        <v>1.01359853854896</v>
      </c>
      <c r="F446" s="37" t="n">
        <f aca="false">1+IF($G$10=$E$10,$F$10,IF(T446&lt;($F$10-$E$10)/($G$10-$E$10),$E$10+SQRT(T446*($G$10-$E$10)*($F$10-$E$10)),$G$10-SQRT((1-T446)*($G$10-$E$10)*($G$10-$F$10))))</f>
        <v>1.01636041945912</v>
      </c>
      <c r="G446" s="38" t="n">
        <f aca="false">IF($G$11=$E$11,$F$11,IF(U446&lt;($F$11-$E$11)/($G$11-$E$11),$E$11+SQRT(U446*($G$11-$E$11)*($F$11-$E$11)),$G$11-SQRT((1-U446)*($G$11-$E$11)*($G$11-$F$11))))</f>
        <v>0.105819432424573</v>
      </c>
      <c r="H446" s="39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-2032720838.91824</v>
      </c>
      <c r="I446" s="39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-64674585.9939421</v>
      </c>
      <c r="J446" s="39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155142807.791488</v>
      </c>
      <c r="K446" s="39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425778222.549874</v>
      </c>
      <c r="L446" s="39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524865504.246217</v>
      </c>
      <c r="M446" s="39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666846998.302813</v>
      </c>
      <c r="N446" s="39" t="n">
        <f aca="false">IF(COUNT('Business Case'!B11:G11)=0,"",H446+NPV(G446,I446:M446))</f>
        <v>-895183803.926503</v>
      </c>
      <c r="P446" s="40" t="n">
        <f aca="true">RAND()</f>
        <v>0.66209975079861</v>
      </c>
      <c r="Q446" s="40" t="n">
        <f aca="true">RAND()</f>
        <v>0.0165115314830379</v>
      </c>
      <c r="R446" s="40" t="n">
        <f aca="true">RAND()</f>
        <v>0.622845867769983</v>
      </c>
      <c r="S446" s="40" t="n">
        <f aca="true">RAND()</f>
        <v>0.503857101707184</v>
      </c>
      <c r="T446" s="40" t="n">
        <f aca="true">RAND()</f>
        <v>0.272167285395743</v>
      </c>
      <c r="U446" s="40" t="n">
        <f aca="true">RAND()</f>
        <v>0.610200101153478</v>
      </c>
    </row>
    <row r="447" customFormat="false" ht="15" hidden="false" customHeight="false" outlineLevel="0" collapsed="false">
      <c r="A447" s="36" t="n">
        <v>367</v>
      </c>
      <c r="B447" s="37" t="n">
        <f aca="false">1+IF($G$6=$E$6,$F$6,IF(P447&lt;($F$6-$E$6)/($G$6-$E$6),$E$6+SQRT(P447*($G$6-$E$6)*($F$6-$E$6)),$G$6-SQRT((1-P447)*($G$6-$E$6)*($G$6-$F$6))))</f>
        <v>0.974294638772744</v>
      </c>
      <c r="C447" s="37" t="n">
        <f aca="false">1+IF($G$7=$E$7,$F$7,IF(Q447&lt;($F$7-$E$7)/($G$7-$E$7),$E$7+SQRT(Q447*($G$7-$E$7)*($F$7-$E$7)),$G$7-SQRT((1-Q447)*($G$7-$E$7)*($G$7-$F$7))))</f>
        <v>0.834293717903871</v>
      </c>
      <c r="D447" s="37" t="n">
        <f aca="false">1+IF($G$8=$E$8,$F$8,IF(R447&lt;($F$8-$E$8)/($G$8-$E$8),$E$8+SQRT(R447*($G$8-$E$8)*($F$8-$E$8)),$G$8-SQRT((1-R447)*($G$8-$E$8)*($G$8-$F$8))))</f>
        <v>0.983277513216816</v>
      </c>
      <c r="E447" s="37" t="n">
        <f aca="false">1+IF($G$9=$E$9,$F$9,IF(S447&lt;($F$9-$E$9)/($G$9-$E$9),$E$9+SQRT(S447*($G$9-$E$9)*($F$9-$E$9)),$G$9-SQRT((1-S447)*($G$9-$E$9)*($G$9-$F$9))))</f>
        <v>1.02759962248138</v>
      </c>
      <c r="F447" s="37" t="n">
        <f aca="false">1+IF($G$10=$E$10,$F$10,IF(T447&lt;($F$10-$E$10)/($G$10-$E$10),$E$10+SQRT(T447*($G$10-$E$10)*($F$10-$E$10)),$G$10-SQRT((1-T447)*($G$10-$E$10)*($G$10-$F$10))))</f>
        <v>1.02933867391809</v>
      </c>
      <c r="G447" s="38" t="n">
        <f aca="false">IF($G$11=$E$11,$F$11,IF(U447&lt;($F$11-$E$11)/($G$11-$E$11),$E$11+SQRT(U447*($G$11-$E$11)*($F$11-$E$11)),$G$11-SQRT((1-U447)*($G$11-$E$11)*($G$11-$F$11))))</f>
        <v>0.0991667767735157</v>
      </c>
      <c r="H447" s="39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-2058677347.83618</v>
      </c>
      <c r="I447" s="39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-45365222.1323465</v>
      </c>
      <c r="J447" s="39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200466124.399333</v>
      </c>
      <c r="K447" s="39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497764404.626917</v>
      </c>
      <c r="L447" s="39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607800210.10772</v>
      </c>
      <c r="M447" s="39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762306338.27739</v>
      </c>
      <c r="N447" s="39" t="n">
        <f aca="false">IF(COUNT('Business Case'!B11:G11)=0,"",H447+NPV(G447,I447:M447))</f>
        <v>-667670116.189949</v>
      </c>
      <c r="P447" s="40" t="n">
        <f aca="true">RAND()</f>
        <v>0.367979556691498</v>
      </c>
      <c r="Q447" s="40" t="n">
        <f aca="true">RAND()</f>
        <v>0.133591130877366</v>
      </c>
      <c r="R447" s="40" t="n">
        <f aca="true">RAND()</f>
        <v>0.147652384786048</v>
      </c>
      <c r="S447" s="40" t="n">
        <f aca="true">RAND()</f>
        <v>0.600483935554667</v>
      </c>
      <c r="T447" s="40" t="n">
        <f aca="true">RAND()</f>
        <v>0.350781055623626</v>
      </c>
      <c r="U447" s="40" t="n">
        <f aca="true">RAND()</f>
        <v>0.36736533188578</v>
      </c>
    </row>
    <row r="448" customFormat="false" ht="15" hidden="false" customHeight="false" outlineLevel="0" collapsed="false">
      <c r="A448" s="36" t="n">
        <v>368</v>
      </c>
      <c r="B448" s="37" t="n">
        <f aca="false">1+IF($G$6=$E$6,$F$6,IF(P448&lt;($F$6-$E$6)/($G$6-$E$6),$E$6+SQRT(P448*($G$6-$E$6)*($F$6-$E$6)),$G$6-SQRT((1-P448)*($G$6-$E$6)*($G$6-$F$6))))</f>
        <v>0.946209585377205</v>
      </c>
      <c r="C448" s="37" t="n">
        <f aca="false">1+IF($G$7=$E$7,$F$7,IF(Q448&lt;($F$7-$E$7)/($G$7-$E$7),$E$7+SQRT(Q448*($G$7-$E$7)*($F$7-$E$7)),$G$7-SQRT((1-Q448)*($G$7-$E$7)*($G$7-$F$7))))</f>
        <v>1.00745256077044</v>
      </c>
      <c r="D448" s="37" t="n">
        <f aca="false">1+IF($G$8=$E$8,$F$8,IF(R448&lt;($F$8-$E$8)/($G$8-$E$8),$E$8+SQRT(R448*($G$8-$E$8)*($F$8-$E$8)),$G$8-SQRT((1-R448)*($G$8-$E$8)*($G$8-$F$8))))</f>
        <v>0.979031586773558</v>
      </c>
      <c r="E448" s="37" t="n">
        <f aca="false">1+IF($G$9=$E$9,$F$9,IF(S448&lt;($F$9-$E$9)/($G$9-$E$9),$E$9+SQRT(S448*($G$9-$E$9)*($F$9-$E$9)),$G$9-SQRT((1-S448)*($G$9-$E$9)*($G$9-$F$9))))</f>
        <v>0.996299067811584</v>
      </c>
      <c r="F448" s="37" t="n">
        <f aca="false">1+IF($G$10=$E$10,$F$10,IF(T448&lt;($F$10-$E$10)/($G$10-$E$10),$E$10+SQRT(T448*($G$10-$E$10)*($F$10-$E$10)),$G$10-SQRT((1-T448)*($G$10-$E$10)*($G$10-$F$10))))</f>
        <v>1.13834132665841</v>
      </c>
      <c r="G448" s="38" t="n">
        <f aca="false">IF($G$11=$E$11,$F$11,IF(U448&lt;($F$11-$E$11)/($G$11-$E$11),$E$11+SQRT(U448*($G$11-$E$11)*($F$11-$E$11)),$G$11-SQRT((1-U448)*($G$11-$E$11)*($G$11-$F$11))))</f>
        <v>0.0999915425010912</v>
      </c>
      <c r="H448" s="39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-2276682653.31683</v>
      </c>
      <c r="I448" s="39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-29056277.4516592</v>
      </c>
      <c r="J448" s="39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246812369.432478</v>
      </c>
      <c r="K448" s="39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579598082.649535</v>
      </c>
      <c r="L448" s="39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704499007.762346</v>
      </c>
      <c r="M448" s="39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885694909.928553</v>
      </c>
      <c r="N448" s="39" t="n">
        <f aca="false">IF(COUNT('Business Case'!B11:G11)=0,"",H448+NPV(G448,I448:M448))</f>
        <v>-632481592.199997</v>
      </c>
      <c r="P448" s="40" t="n">
        <f aca="true">RAND()</f>
        <v>0.142355052048879</v>
      </c>
      <c r="Q448" s="40" t="n">
        <f aca="true">RAND()</f>
        <v>0.69896633435695</v>
      </c>
      <c r="R448" s="40" t="n">
        <f aca="true">RAND()</f>
        <v>0.112377737412082</v>
      </c>
      <c r="S448" s="40" t="n">
        <f aca="true">RAND()</f>
        <v>0.370940418455203</v>
      </c>
      <c r="T448" s="40" t="n">
        <f aca="true">RAND()</f>
        <v>0.833764542234629</v>
      </c>
      <c r="U448" s="40" t="n">
        <f aca="true">RAND()</f>
        <v>0.399661771572934</v>
      </c>
    </row>
    <row r="449" customFormat="false" ht="15" hidden="false" customHeight="false" outlineLevel="0" collapsed="false">
      <c r="A449" s="36" t="n">
        <v>369</v>
      </c>
      <c r="B449" s="37" t="n">
        <f aca="false">1+IF($G$6=$E$6,$F$6,IF(P449&lt;($F$6-$E$6)/($G$6-$E$6),$E$6+SQRT(P449*($G$6-$E$6)*($F$6-$E$6)),$G$6-SQRT((1-P449)*($G$6-$E$6)*($G$6-$F$6))))</f>
        <v>1.01454521900633</v>
      </c>
      <c r="C449" s="37" t="n">
        <f aca="false">1+IF($G$7=$E$7,$F$7,IF(Q449&lt;($F$7-$E$7)/($G$7-$E$7),$E$7+SQRT(Q449*($G$7-$E$7)*($F$7-$E$7)),$G$7-SQRT((1-Q449)*($G$7-$E$7)*($G$7-$F$7))))</f>
        <v>1.10415928589636</v>
      </c>
      <c r="D449" s="37" t="n">
        <f aca="false">1+IF($G$8=$E$8,$F$8,IF(R449&lt;($F$8-$E$8)/($G$8-$E$8),$E$8+SQRT(R449*($G$8-$E$8)*($F$8-$E$8)),$G$8-SQRT((1-R449)*($G$8-$E$8)*($G$8-$F$8))))</f>
        <v>0.98241073324963</v>
      </c>
      <c r="E449" s="37" t="n">
        <f aca="false">1+IF($G$9=$E$9,$F$9,IF(S449&lt;($F$9-$E$9)/($G$9-$E$9),$E$9+SQRT(S449*($G$9-$E$9)*($F$9-$E$9)),$G$9-SQRT((1-S449)*($G$9-$E$9)*($G$9-$F$9))))</f>
        <v>1.07009528565049</v>
      </c>
      <c r="F449" s="37" t="n">
        <f aca="false">1+IF($G$10=$E$10,$F$10,IF(T449&lt;($F$10-$E$10)/($G$10-$E$10),$E$10+SQRT(T449*($G$10-$E$10)*($F$10-$E$10)),$G$10-SQRT((1-T449)*($G$10-$E$10)*($G$10-$F$10))))</f>
        <v>0.995866481389397</v>
      </c>
      <c r="G449" s="38" t="n">
        <f aca="false">IF($G$11=$E$11,$F$11,IF(U449&lt;($F$11-$E$11)/($G$11-$E$11),$E$11+SQRT(U449*($G$11-$E$11)*($F$11-$E$11)),$G$11-SQRT((1-U449)*($G$11-$E$11)*($G$11-$F$11))))</f>
        <v>0.103135555787341</v>
      </c>
      <c r="H449" s="39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-1991732962.77879</v>
      </c>
      <c r="I449" s="39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52415025.4735123</v>
      </c>
      <c r="J449" s="39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414656428.856974</v>
      </c>
      <c r="K449" s="39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826691156.309906</v>
      </c>
      <c r="L449" s="39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986153077.538733</v>
      </c>
      <c r="M449" s="39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1199084404.76094</v>
      </c>
      <c r="N449" s="39" t="n">
        <f aca="false">IF(COUNT('Business Case'!B11:G11)=0,"",H449+NPV(G449,I449:M449))</f>
        <v>412297592.716953</v>
      </c>
      <c r="P449" s="40" t="n">
        <f aca="true">RAND()</f>
        <v>0.832394467292107</v>
      </c>
      <c r="Q449" s="40" t="n">
        <f aca="true">RAND()</f>
        <v>0.968868576747675</v>
      </c>
      <c r="R449" s="40" t="n">
        <f aca="true">RAND()</f>
        <v>0.140060750637154</v>
      </c>
      <c r="S449" s="40" t="n">
        <f aca="true">RAND()</f>
        <v>0.829739643325946</v>
      </c>
      <c r="T449" s="40" t="n">
        <f aca="true">RAND()</f>
        <v>0.140248941002927</v>
      </c>
      <c r="U449" s="40" t="n">
        <f aca="true">RAND()</f>
        <v>0.518867758096618</v>
      </c>
    </row>
    <row r="450" customFormat="false" ht="15" hidden="false" customHeight="false" outlineLevel="0" collapsed="false">
      <c r="A450" s="36" t="n">
        <v>370</v>
      </c>
      <c r="B450" s="37" t="n">
        <f aca="false">1+IF($G$6=$E$6,$F$6,IF(P450&lt;($F$6-$E$6)/($G$6-$E$6),$E$6+SQRT(P450*($G$6-$E$6)*($F$6-$E$6)),$G$6-SQRT((1-P450)*($G$6-$E$6)*($G$6-$F$6))))</f>
        <v>0.996250999043168</v>
      </c>
      <c r="C450" s="37" t="n">
        <f aca="false">1+IF($G$7=$E$7,$F$7,IF(Q450&lt;($F$7-$E$7)/($G$7-$E$7),$E$7+SQRT(Q450*($G$7-$E$7)*($F$7-$E$7)),$G$7-SQRT((1-Q450)*($G$7-$E$7)*($G$7-$F$7))))</f>
        <v>0.925459357634509</v>
      </c>
      <c r="D450" s="37" t="n">
        <f aca="false">1+IF($G$8=$E$8,$F$8,IF(R450&lt;($F$8-$E$8)/($G$8-$E$8),$E$8+SQRT(R450*($G$8-$E$8)*($F$8-$E$8)),$G$8-SQRT((1-R450)*($G$8-$E$8)*($G$8-$F$8))))</f>
        <v>1.0761888833369</v>
      </c>
      <c r="E450" s="37" t="n">
        <f aca="false">1+IF($G$9=$E$9,$F$9,IF(S450&lt;($F$9-$E$9)/($G$9-$E$9),$E$9+SQRT(S450*($G$9-$E$9)*($F$9-$E$9)),$G$9-SQRT((1-S450)*($G$9-$E$9)*($G$9-$F$9))))</f>
        <v>0.991027296826854</v>
      </c>
      <c r="F450" s="37" t="n">
        <f aca="false">1+IF($G$10=$E$10,$F$10,IF(T450&lt;($F$10-$E$10)/($G$10-$E$10),$E$10+SQRT(T450*($G$10-$E$10)*($F$10-$E$10)),$G$10-SQRT((1-T450)*($G$10-$E$10)*($G$10-$F$10))))</f>
        <v>1.17459397717862</v>
      </c>
      <c r="G450" s="38" t="n">
        <f aca="false">IF($G$11=$E$11,$F$11,IF(U450&lt;($F$11-$E$11)/($G$11-$E$11),$E$11+SQRT(U450*($G$11-$E$11)*($F$11-$E$11)),$G$11-SQRT((1-U450)*($G$11-$E$11)*($G$11-$F$11))))</f>
        <v>0.0848344505873338</v>
      </c>
      <c r="H450" s="39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-2349187954.35724</v>
      </c>
      <c r="I450" s="39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-60859881.3937628</v>
      </c>
      <c r="J450" s="39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184459668.269672</v>
      </c>
      <c r="K450" s="39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488508916.792038</v>
      </c>
      <c r="L450" s="39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602146067.833554</v>
      </c>
      <c r="M450" s="39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777397890.845597</v>
      </c>
      <c r="N450" s="39" t="n">
        <f aca="false">IF(COUNT('Business Case'!B11:G11)=0,"",H450+NPV(G450,I450:M450))</f>
        <v>-913759884.562234</v>
      </c>
      <c r="P450" s="40" t="n">
        <f aca="true">RAND()</f>
        <v>0.617616987787195</v>
      </c>
      <c r="Q450" s="40" t="n">
        <f aca="true">RAND()</f>
        <v>0.376532755147891</v>
      </c>
      <c r="R450" s="40" t="n">
        <f aca="true">RAND()</f>
        <v>0.962202048217088</v>
      </c>
      <c r="S450" s="40" t="n">
        <f aca="true">RAND()</f>
        <v>0.331438750704166</v>
      </c>
      <c r="T450" s="40" t="n">
        <f aca="true">RAND()</f>
        <v>0.924185756296816</v>
      </c>
      <c r="U450" s="40" t="n">
        <f aca="true">RAND()</f>
        <v>0.0233719124813724</v>
      </c>
    </row>
    <row r="451" customFormat="false" ht="15" hidden="false" customHeight="false" outlineLevel="0" collapsed="false">
      <c r="A451" s="36" t="n">
        <v>371</v>
      </c>
      <c r="B451" s="37" t="n">
        <f aca="false">1+IF($G$6=$E$6,$F$6,IF(P451&lt;($F$6-$E$6)/($G$6-$E$6),$E$6+SQRT(P451*($G$6-$E$6)*($F$6-$E$6)),$G$6-SQRT((1-P451)*($G$6-$E$6)*($G$6-$F$6))))</f>
        <v>1.00190890914957</v>
      </c>
      <c r="C451" s="37" t="n">
        <f aca="false">1+IF($G$7=$E$7,$F$7,IF(Q451&lt;($F$7-$E$7)/($G$7-$E$7),$E$7+SQRT(Q451*($G$7-$E$7)*($F$7-$E$7)),$G$7-SQRT((1-Q451)*($G$7-$E$7)*($G$7-$F$7))))</f>
        <v>0.909357551893386</v>
      </c>
      <c r="D451" s="37" t="n">
        <f aca="false">1+IF($G$8=$E$8,$F$8,IF(R451&lt;($F$8-$E$8)/($G$8-$E$8),$E$8+SQRT(R451*($G$8-$E$8)*($F$8-$E$8)),$G$8-SQRT((1-R451)*($G$8-$E$8)*($G$8-$F$8))))</f>
        <v>0.991776580454009</v>
      </c>
      <c r="E451" s="37" t="n">
        <f aca="false">1+IF($G$9=$E$9,$F$9,IF(S451&lt;($F$9-$E$9)/($G$9-$E$9),$E$9+SQRT(S451*($G$9-$E$9)*($F$9-$E$9)),$G$9-SQRT((1-S451)*($G$9-$E$9)*($G$9-$F$9))))</f>
        <v>1.01603344649222</v>
      </c>
      <c r="F451" s="37" t="n">
        <f aca="false">1+IF($G$10=$E$10,$F$10,IF(T451&lt;($F$10-$E$10)/($G$10-$E$10),$E$10+SQRT(T451*($G$10-$E$10)*($F$10-$E$10)),$G$10-SQRT((1-T451)*($G$10-$E$10)*($G$10-$F$10))))</f>
        <v>1.04651002508968</v>
      </c>
      <c r="G451" s="38" t="n">
        <f aca="false">IF($G$11=$E$11,$F$11,IF(U451&lt;($F$11-$E$11)/($G$11-$E$11),$E$11+SQRT(U451*($G$11-$E$11)*($F$11-$E$11)),$G$11-SQRT((1-U451)*($G$11-$E$11)*($G$11-$F$11))))</f>
        <v>0.126322228171893</v>
      </c>
      <c r="H451" s="39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-2093020050.17935</v>
      </c>
      <c r="I451" s="39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-11801087.462354</v>
      </c>
      <c r="J451" s="39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272759867.234108</v>
      </c>
      <c r="K451" s="39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609646323.185053</v>
      </c>
      <c r="L451" s="39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735987363.789644</v>
      </c>
      <c r="M451" s="39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909168003.504713</v>
      </c>
      <c r="N451" s="39" t="n">
        <f aca="false">IF(COUNT('Business Case'!B11:G11)=0,"",H451+NPV(G451,I451:M451))</f>
        <v>-502932672.845557</v>
      </c>
      <c r="P451" s="40" t="n">
        <f aca="true">RAND()</f>
        <v>0.691632930775462</v>
      </c>
      <c r="Q451" s="40" t="n">
        <f aca="true">RAND()</f>
        <v>0.324670996554013</v>
      </c>
      <c r="R451" s="40" t="n">
        <f aca="true">RAND()</f>
        <v>0.232704356590709</v>
      </c>
      <c r="S451" s="40" t="n">
        <f aca="true">RAND()</f>
        <v>0.521412334433221</v>
      </c>
      <c r="T451" s="40" t="n">
        <f aca="true">RAND()</f>
        <v>0.447891068146608</v>
      </c>
      <c r="U451" s="40" t="n">
        <f aca="true">RAND()</f>
        <v>0.990982662920257</v>
      </c>
    </row>
    <row r="452" customFormat="false" ht="15" hidden="false" customHeight="false" outlineLevel="0" collapsed="false">
      <c r="A452" s="36" t="n">
        <v>372</v>
      </c>
      <c r="B452" s="37" t="n">
        <f aca="false">1+IF($G$6=$E$6,$F$6,IF(P452&lt;($F$6-$E$6)/($G$6-$E$6),$E$6+SQRT(P452*($G$6-$E$6)*($F$6-$E$6)),$G$6-SQRT((1-P452)*($G$6-$E$6)*($G$6-$F$6))))</f>
        <v>0.946924231692666</v>
      </c>
      <c r="C452" s="37" t="n">
        <f aca="false">1+IF($G$7=$E$7,$F$7,IF(Q452&lt;($F$7-$E$7)/($G$7-$E$7),$E$7+SQRT(Q452*($G$7-$E$7)*($F$7-$E$7)),$G$7-SQRT((1-Q452)*($G$7-$E$7)*($G$7-$F$7))))</f>
        <v>0.935243931529862</v>
      </c>
      <c r="D452" s="37" t="n">
        <f aca="false">1+IF($G$8=$E$8,$F$8,IF(R452&lt;($F$8-$E$8)/($G$8-$E$8),$E$8+SQRT(R452*($G$8-$E$8)*($F$8-$E$8)),$G$8-SQRT((1-R452)*($G$8-$E$8)*($G$8-$F$8))))</f>
        <v>1.02375692008697</v>
      </c>
      <c r="E452" s="37" t="n">
        <f aca="false">1+IF($G$9=$E$9,$F$9,IF(S452&lt;($F$9-$E$9)/($G$9-$E$9),$E$9+SQRT(S452*($G$9-$E$9)*($F$9-$E$9)),$G$9-SQRT((1-S452)*($G$9-$E$9)*($G$9-$F$9))))</f>
        <v>0.92212326341365</v>
      </c>
      <c r="F452" s="37" t="n">
        <f aca="false">1+IF($G$10=$E$10,$F$10,IF(T452&lt;($F$10-$E$10)/($G$10-$E$10),$E$10+SQRT(T452*($G$10-$E$10)*($F$10-$E$10)),$G$10-SQRT((1-T452)*($G$10-$E$10)*($G$10-$F$10))))</f>
        <v>0.969285471474588</v>
      </c>
      <c r="G452" s="38" t="n">
        <f aca="false">IF($G$11=$E$11,$F$11,IF(U452&lt;($F$11-$E$11)/($G$11-$E$11),$E$11+SQRT(U452*($G$11-$E$11)*($F$11-$E$11)),$G$11-SQRT((1-U452)*($G$11-$E$11)*($G$11-$F$11))))</f>
        <v>0.0916738722669829</v>
      </c>
      <c r="H452" s="39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-1938570942.94918</v>
      </c>
      <c r="I452" s="39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-38734047.2312302</v>
      </c>
      <c r="J452" s="39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196496151.267885</v>
      </c>
      <c r="K452" s="39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480190623.34073</v>
      </c>
      <c r="L452" s="39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589207203.190746</v>
      </c>
      <c r="M452" s="39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757543028.450788</v>
      </c>
      <c r="N452" s="39" t="n">
        <f aca="false">IF(COUNT('Business Case'!B11:G11)=0,"",H452+NPV(G452,I452:M452))</f>
        <v>-536636966.775898</v>
      </c>
      <c r="P452" s="40" t="n">
        <f aca="true">RAND()</f>
        <v>0.146792234663135</v>
      </c>
      <c r="Q452" s="40" t="n">
        <f aca="true">RAND()</f>
        <v>0.409923757937972</v>
      </c>
      <c r="R452" s="40" t="n">
        <f aca="true">RAND()</f>
        <v>0.612466184358355</v>
      </c>
      <c r="S452" s="40" t="n">
        <f aca="true">RAND()</f>
        <v>0.0195775513627904</v>
      </c>
      <c r="T452" s="40" t="n">
        <f aca="true">RAND()</f>
        <v>0.0247952939998106</v>
      </c>
      <c r="U452" s="40" t="n">
        <f aca="true">RAND()</f>
        <v>0.136279293705833</v>
      </c>
    </row>
    <row r="453" customFormat="false" ht="15" hidden="false" customHeight="false" outlineLevel="0" collapsed="false">
      <c r="A453" s="36" t="n">
        <v>373</v>
      </c>
      <c r="B453" s="37" t="n">
        <f aca="false">1+IF($G$6=$E$6,$F$6,IF(P453&lt;($F$6-$E$6)/($G$6-$E$6),$E$6+SQRT(P453*($G$6-$E$6)*($F$6-$E$6)),$G$6-SQRT((1-P453)*($G$6-$E$6)*($G$6-$F$6))))</f>
        <v>0.963563206637685</v>
      </c>
      <c r="C453" s="37" t="n">
        <f aca="false">1+IF($G$7=$E$7,$F$7,IF(Q453&lt;($F$7-$E$7)/($G$7-$E$7),$E$7+SQRT(Q453*($G$7-$E$7)*($F$7-$E$7)),$G$7-SQRT((1-Q453)*($G$7-$E$7)*($G$7-$F$7))))</f>
        <v>0.98948134326955</v>
      </c>
      <c r="D453" s="37" t="n">
        <f aca="false">1+IF($G$8=$E$8,$F$8,IF(R453&lt;($F$8-$E$8)/($G$8-$E$8),$E$8+SQRT(R453*($G$8-$E$8)*($F$8-$E$8)),$G$8-SQRT((1-R453)*($G$8-$E$8)*($G$8-$F$8))))</f>
        <v>1.04548024988805</v>
      </c>
      <c r="E453" s="37" t="n">
        <f aca="false">1+IF($G$9=$E$9,$F$9,IF(S453&lt;($F$9-$E$9)/($G$9-$E$9),$E$9+SQRT(S453*($G$9-$E$9)*($F$9-$E$9)),$G$9-SQRT((1-S453)*($G$9-$E$9)*($G$9-$F$9))))</f>
        <v>0.942620574963345</v>
      </c>
      <c r="F453" s="37" t="n">
        <f aca="false">1+IF($G$10=$E$10,$F$10,IF(T453&lt;($F$10-$E$10)/($G$10-$E$10),$E$10+SQRT(T453*($G$10-$E$10)*($F$10-$E$10)),$G$10-SQRT((1-T453)*($G$10-$E$10)*($G$10-$F$10))))</f>
        <v>1.15236317018879</v>
      </c>
      <c r="G453" s="38" t="n">
        <f aca="false">IF($G$11=$E$11,$F$11,IF(U453&lt;($F$11-$E$11)/($G$11-$E$11),$E$11+SQRT(U453*($G$11-$E$11)*($F$11-$E$11)),$G$11-SQRT((1-U453)*($G$11-$E$11)*($G$11-$F$11))))</f>
        <v>0.0998274709337923</v>
      </c>
      <c r="H453" s="39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-2304726340.37758</v>
      </c>
      <c r="I453" s="39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-47349273.4097229</v>
      </c>
      <c r="J453" s="39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204004113.942163</v>
      </c>
      <c r="K453" s="39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512975659.803488</v>
      </c>
      <c r="L453" s="39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629710587.576078</v>
      </c>
      <c r="M453" s="39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810938146.846864</v>
      </c>
      <c r="N453" s="39" t="n">
        <f aca="false">IF(COUNT('Business Case'!B11:G11)=0,"",H453+NPV(G453,I453:M453))</f>
        <v>-859244338.385556</v>
      </c>
      <c r="P453" s="40" t="n">
        <f aca="true">RAND()</f>
        <v>0.26935208253767</v>
      </c>
      <c r="Q453" s="40" t="n">
        <f aca="true">RAND()</f>
        <v>0.620736652601057</v>
      </c>
      <c r="R453" s="40" t="n">
        <f aca="true">RAND()</f>
        <v>0.801839789848692</v>
      </c>
      <c r="S453" s="40" t="n">
        <f aca="true">RAND()</f>
        <v>0.0726605364082426</v>
      </c>
      <c r="T453" s="40" t="n">
        <f aca="true">RAND()</f>
        <v>0.872893992858896</v>
      </c>
      <c r="U453" s="40" t="n">
        <f aca="true">RAND()</f>
        <v>0.393128603630379</v>
      </c>
    </row>
    <row r="454" customFormat="false" ht="15" hidden="false" customHeight="false" outlineLevel="0" collapsed="false">
      <c r="A454" s="36" t="n">
        <v>374</v>
      </c>
      <c r="B454" s="37" t="n">
        <f aca="false">1+IF($G$6=$E$6,$F$6,IF(P454&lt;($F$6-$E$6)/($G$6-$E$6),$E$6+SQRT(P454*($G$6-$E$6)*($F$6-$E$6)),$G$6-SQRT((1-P454)*($G$6-$E$6)*($G$6-$F$6))))</f>
        <v>0.991634348516196</v>
      </c>
      <c r="C454" s="37" t="n">
        <f aca="false">1+IF($G$7=$E$7,$F$7,IF(Q454&lt;($F$7-$E$7)/($G$7-$E$7),$E$7+SQRT(Q454*($G$7-$E$7)*($F$7-$E$7)),$G$7-SQRT((1-Q454)*($G$7-$E$7)*($G$7-$F$7))))</f>
        <v>0.933339930075108</v>
      </c>
      <c r="D454" s="37" t="n">
        <f aca="false">1+IF($G$8=$E$8,$F$8,IF(R454&lt;($F$8-$E$8)/($G$8-$E$8),$E$8+SQRT(R454*($G$8-$E$8)*($F$8-$E$8)),$G$8-SQRT((1-R454)*($G$8-$E$8)*($G$8-$F$8))))</f>
        <v>1.03395620013822</v>
      </c>
      <c r="E454" s="37" t="n">
        <f aca="false">1+IF($G$9=$E$9,$F$9,IF(S454&lt;($F$9-$E$9)/($G$9-$E$9),$E$9+SQRT(S454*($G$9-$E$9)*($F$9-$E$9)),$G$9-SQRT((1-S454)*($G$9-$E$9)*($G$9-$F$9))))</f>
        <v>0.926763350032005</v>
      </c>
      <c r="F454" s="37" t="n">
        <f aca="false">1+IF($G$10=$E$10,$F$10,IF(T454&lt;($F$10-$E$10)/($G$10-$E$10),$E$10+SQRT(T454*($G$10-$E$10)*($F$10-$E$10)),$G$10-SQRT((1-T454)*($G$10-$E$10)*($G$10-$F$10))))</f>
        <v>1.09126177390698</v>
      </c>
      <c r="G454" s="38" t="n">
        <f aca="false">IF($G$11=$E$11,$F$11,IF(U454&lt;($F$11-$E$11)/($G$11-$E$11),$E$11+SQRT(U454*($G$11-$E$11)*($F$11-$E$11)),$G$11-SQRT((1-U454)*($G$11-$E$11)*($G$11-$F$11))))</f>
        <v>0.109782351194307</v>
      </c>
      <c r="H454" s="39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-2182523547.81397</v>
      </c>
      <c r="I454" s="39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-24833701.8096852</v>
      </c>
      <c r="J454" s="39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239224097.578736</v>
      </c>
      <c r="K454" s="39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557844985.662506</v>
      </c>
      <c r="L454" s="39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677850635.747218</v>
      </c>
      <c r="M454" s="39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853775745.667692</v>
      </c>
      <c r="N454" s="39" t="n">
        <f aca="false">IF(COUNT('Business Case'!B11:G11)=0,"",H454+NPV(G454,I454:M454))</f>
        <v>-648490370.925115</v>
      </c>
      <c r="P454" s="40" t="n">
        <f aca="true">RAND()</f>
        <v>0.559790255199171</v>
      </c>
      <c r="Q454" s="40" t="n">
        <f aca="true">RAND()</f>
        <v>0.403314984944121</v>
      </c>
      <c r="R454" s="40" t="n">
        <f aca="true">RAND()</f>
        <v>0.709214433321155</v>
      </c>
      <c r="S454" s="40" t="n">
        <f aca="true">RAND()</f>
        <v>0.0286510761974241</v>
      </c>
      <c r="T454" s="40" t="n">
        <f aca="true">RAND()</f>
        <v>0.664029007691234</v>
      </c>
      <c r="U454" s="40" t="n">
        <f aca="true">RAND()</f>
        <v>0.727497784513098</v>
      </c>
    </row>
    <row r="455" customFormat="false" ht="15" hidden="false" customHeight="false" outlineLevel="0" collapsed="false">
      <c r="A455" s="36" t="n">
        <v>375</v>
      </c>
      <c r="B455" s="37" t="n">
        <f aca="false">1+IF($G$6=$E$6,$F$6,IF(P455&lt;($F$6-$E$6)/($G$6-$E$6),$E$6+SQRT(P455*($G$6-$E$6)*($F$6-$E$6)),$G$6-SQRT((1-P455)*($G$6-$E$6)*($G$6-$F$6))))</f>
        <v>0.937659759976231</v>
      </c>
      <c r="C455" s="37" t="n">
        <f aca="false">1+IF($G$7=$E$7,$F$7,IF(Q455&lt;($F$7-$E$7)/($G$7-$E$7),$E$7+SQRT(Q455*($G$7-$E$7)*($F$7-$E$7)),$G$7-SQRT((1-Q455)*($G$7-$E$7)*($G$7-$F$7))))</f>
        <v>0.78957067181964</v>
      </c>
      <c r="D455" s="37" t="n">
        <f aca="false">1+IF($G$8=$E$8,$F$8,IF(R455&lt;($F$8-$E$8)/($G$8-$E$8),$E$8+SQRT(R455*($G$8-$E$8)*($F$8-$E$8)),$G$8-SQRT((1-R455)*($G$8-$E$8)*($G$8-$F$8))))</f>
        <v>0.978709068723124</v>
      </c>
      <c r="E455" s="37" t="n">
        <f aca="false">1+IF($G$9=$E$9,$F$9,IF(S455&lt;($F$9-$E$9)/($G$9-$E$9),$E$9+SQRT(S455*($G$9-$E$9)*($F$9-$E$9)),$G$9-SQRT((1-S455)*($G$9-$E$9)*($G$9-$F$9))))</f>
        <v>1.06503161962665</v>
      </c>
      <c r="F455" s="37" t="n">
        <f aca="false">1+IF($G$10=$E$10,$F$10,IF(T455&lt;($F$10-$E$10)/($G$10-$E$10),$E$10+SQRT(T455*($G$10-$E$10)*($F$10-$E$10)),$G$10-SQRT((1-T455)*($G$10-$E$10)*($G$10-$F$10))))</f>
        <v>1.01889113073604</v>
      </c>
      <c r="G455" s="38" t="n">
        <f aca="false">IF($G$11=$E$11,$F$11,IF(U455&lt;($F$11-$E$11)/($G$11-$E$11),$E$11+SQRT(U455*($G$11-$E$11)*($F$11-$E$11)),$G$11-SQRT((1-U455)*($G$11-$E$11)*($G$11-$F$11))))</f>
        <v>0.120329338680191</v>
      </c>
      <c r="H455" s="39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-2037782261.47208</v>
      </c>
      <c r="I455" s="39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-80908723.9174914</v>
      </c>
      <c r="J455" s="39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129898835.390451</v>
      </c>
      <c r="K455" s="39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391650951.235195</v>
      </c>
      <c r="L455" s="39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487506586.898456</v>
      </c>
      <c r="M455" s="39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628232057.648494</v>
      </c>
      <c r="N455" s="39" t="n">
        <f aca="false">IF(COUNT('Business Case'!B11:G11)=0,"",H455+NPV(G455,I455:M455))</f>
        <v>-1062576442.89676</v>
      </c>
      <c r="P455" s="40" t="n">
        <f aca="true">RAND()</f>
        <v>0.094550501431154</v>
      </c>
      <c r="Q455" s="40" t="n">
        <f aca="true">RAND()</f>
        <v>0.059428927779419</v>
      </c>
      <c r="R455" s="40" t="n">
        <f aca="true">RAND()</f>
        <v>0.10989475025987</v>
      </c>
      <c r="S455" s="40" t="n">
        <f aca="true">RAND()</f>
        <v>0.807476648979478</v>
      </c>
      <c r="T455" s="40" t="n">
        <f aca="true">RAND()</f>
        <v>0.287849207300458</v>
      </c>
      <c r="U455" s="40" t="n">
        <f aca="true">RAND()</f>
        <v>0.937652206425029</v>
      </c>
    </row>
    <row r="456" customFormat="false" ht="15" hidden="false" customHeight="false" outlineLevel="0" collapsed="false">
      <c r="A456" s="36" t="n">
        <v>376</v>
      </c>
      <c r="B456" s="37" t="n">
        <f aca="false">1+IF($G$6=$E$6,$F$6,IF(P456&lt;($F$6-$E$6)/($G$6-$E$6),$E$6+SQRT(P456*($G$6-$E$6)*($F$6-$E$6)),$G$6-SQRT((1-P456)*($G$6-$E$6)*($G$6-$F$6))))</f>
        <v>1.02609556632931</v>
      </c>
      <c r="C456" s="37" t="n">
        <f aca="false">1+IF($G$7=$E$7,$F$7,IF(Q456&lt;($F$7-$E$7)/($G$7-$E$7),$E$7+SQRT(Q456*($G$7-$E$7)*($F$7-$E$7)),$G$7-SQRT((1-Q456)*($G$7-$E$7)*($G$7-$F$7))))</f>
        <v>1.00180895487543</v>
      </c>
      <c r="D456" s="37" t="n">
        <f aca="false">1+IF($G$8=$E$8,$F$8,IF(R456&lt;($F$8-$E$8)/($G$8-$E$8),$E$8+SQRT(R456*($G$8-$E$8)*($F$8-$E$8)),$G$8-SQRT((1-R456)*($G$8-$E$8)*($G$8-$F$8))))</f>
        <v>1.05691997562707</v>
      </c>
      <c r="E456" s="37" t="n">
        <f aca="false">1+IF($G$9=$E$9,$F$9,IF(S456&lt;($F$9-$E$9)/($G$9-$E$9),$E$9+SQRT(S456*($G$9-$E$9)*($F$9-$E$9)),$G$9-SQRT((1-S456)*($G$9-$E$9)*($G$9-$F$9))))</f>
        <v>0.96083057144814</v>
      </c>
      <c r="F456" s="37" t="n">
        <f aca="false">1+IF($G$10=$E$10,$F$10,IF(T456&lt;($F$10-$E$10)/($G$10-$E$10),$E$10+SQRT(T456*($G$10-$E$10)*($F$10-$E$10)),$G$10-SQRT((1-T456)*($G$10-$E$10)*($G$10-$F$10))))</f>
        <v>1.11865180705589</v>
      </c>
      <c r="G456" s="38" t="n">
        <f aca="false">IF($G$11=$E$11,$F$11,IF(U456&lt;($F$11-$E$11)/($G$11-$E$11),$E$11+SQRT(U456*($G$11-$E$11)*($F$11-$E$11)),$G$11-SQRT((1-U456)*($G$11-$E$11)*($G$11-$F$11))))</f>
        <v>0.0874168620465532</v>
      </c>
      <c r="H456" s="39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-2237303614.11178</v>
      </c>
      <c r="I456" s="39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-1855052.9147564</v>
      </c>
      <c r="J456" s="39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298074199.658844</v>
      </c>
      <c r="K456" s="39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653936042.585238</v>
      </c>
      <c r="L456" s="39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789438471.791666</v>
      </c>
      <c r="M456" s="39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984831536.042086</v>
      </c>
      <c r="N456" s="39" t="n">
        <f aca="false">IF(COUNT('Business Case'!B11:G11)=0,"",H456+NPV(G456,I456:M456))</f>
        <v>-266064731.587648</v>
      </c>
      <c r="P456" s="40" t="n">
        <f aca="true">RAND()</f>
        <v>0.923810406784464</v>
      </c>
      <c r="Q456" s="40" t="n">
        <f aca="true">RAND()</f>
        <v>0.674657987331659</v>
      </c>
      <c r="R456" s="40" t="n">
        <f aca="true">RAND()</f>
        <v>0.876274100001842</v>
      </c>
      <c r="S456" s="40" t="n">
        <f aca="true">RAND()</f>
        <v>0.148014336908291</v>
      </c>
      <c r="T456" s="40" t="n">
        <f aca="true">RAND()</f>
        <v>0.769968696137553</v>
      </c>
      <c r="U456" s="40" t="n">
        <f aca="true">RAND()</f>
        <v>0.0550098426176011</v>
      </c>
    </row>
    <row r="457" customFormat="false" ht="15" hidden="false" customHeight="false" outlineLevel="0" collapsed="false">
      <c r="A457" s="36" t="n">
        <v>377</v>
      </c>
      <c r="B457" s="37" t="n">
        <f aca="false">1+IF($G$6=$E$6,$F$6,IF(P457&lt;($F$6-$E$6)/($G$6-$E$6),$E$6+SQRT(P457*($G$6-$E$6)*($F$6-$E$6)),$G$6-SQRT((1-P457)*($G$6-$E$6)*($G$6-$F$6))))</f>
        <v>0.934448550345148</v>
      </c>
      <c r="C457" s="37" t="n">
        <f aca="false">1+IF($G$7=$E$7,$F$7,IF(Q457&lt;($F$7-$E$7)/($G$7-$E$7),$E$7+SQRT(Q457*($G$7-$E$7)*($F$7-$E$7)),$G$7-SQRT((1-Q457)*($G$7-$E$7)*($G$7-$F$7))))</f>
        <v>0.782795866123414</v>
      </c>
      <c r="D457" s="37" t="n">
        <f aca="false">1+IF($G$8=$E$8,$F$8,IF(R457&lt;($F$8-$E$8)/($G$8-$E$8),$E$8+SQRT(R457*($G$8-$E$8)*($F$8-$E$8)),$G$8-SQRT((1-R457)*($G$8-$E$8)*($G$8-$F$8))))</f>
        <v>1.01993166334027</v>
      </c>
      <c r="E457" s="37" t="n">
        <f aca="false">1+IF($G$9=$E$9,$F$9,IF(S457&lt;($F$9-$E$9)/($G$9-$E$9),$E$9+SQRT(S457*($G$9-$E$9)*($F$9-$E$9)),$G$9-SQRT((1-S457)*($G$9-$E$9)*($G$9-$F$9))))</f>
        <v>0.994145672490641</v>
      </c>
      <c r="F457" s="37" t="n">
        <f aca="false">1+IF($G$10=$E$10,$F$10,IF(T457&lt;($F$10-$E$10)/($G$10-$E$10),$E$10+SQRT(T457*($G$10-$E$10)*($F$10-$E$10)),$G$10-SQRT((1-T457)*($G$10-$E$10)*($G$10-$F$10))))</f>
        <v>1.14387885119265</v>
      </c>
      <c r="G457" s="38" t="n">
        <f aca="false">IF($G$11=$E$11,$F$11,IF(U457&lt;($F$11-$E$11)/($G$11-$E$11),$E$11+SQRT(U457*($G$11-$E$11)*($F$11-$E$11)),$G$11-SQRT((1-U457)*($G$11-$E$11)*($G$11-$F$11))))</f>
        <v>0.103273968259249</v>
      </c>
      <c r="H457" s="39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-2287757702.3853</v>
      </c>
      <c r="I457" s="39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-103254699.730299</v>
      </c>
      <c r="J457" s="39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87166051.1332549</v>
      </c>
      <c r="K457" s="39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334780744.556442</v>
      </c>
      <c r="L457" s="39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423534362.07524</v>
      </c>
      <c r="M457" s="39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562574548.512113</v>
      </c>
      <c r="N457" s="39" t="n">
        <f aca="false">IF(COUNT('Business Case'!B11:G11)=0,"",H457+NPV(G457,I457:M457))</f>
        <v>-1430419340.19849</v>
      </c>
      <c r="P457" s="40" t="n">
        <f aca="true">RAND()</f>
        <v>0.079113508058812</v>
      </c>
      <c r="Q457" s="40" t="n">
        <f aca="true">RAND()</f>
        <v>0.0507789292379725</v>
      </c>
      <c r="R457" s="40" t="n">
        <f aca="true">RAND()</f>
        <v>0.572604097636249</v>
      </c>
      <c r="S457" s="40" t="n">
        <f aca="true">RAND()</f>
        <v>0.354536305948597</v>
      </c>
      <c r="T457" s="40" t="n">
        <f aca="true">RAND()</f>
        <v>0.84984402367744</v>
      </c>
      <c r="U457" s="40" t="n">
        <f aca="true">RAND()</f>
        <v>0.523812818261567</v>
      </c>
    </row>
    <row r="458" customFormat="false" ht="15" hidden="false" customHeight="false" outlineLevel="0" collapsed="false">
      <c r="A458" s="36" t="n">
        <v>378</v>
      </c>
      <c r="B458" s="37" t="n">
        <f aca="false">1+IF($G$6=$E$6,$F$6,IF(P458&lt;($F$6-$E$6)/($G$6-$E$6),$E$6+SQRT(P458*($G$6-$E$6)*($F$6-$E$6)),$G$6-SQRT((1-P458)*($G$6-$E$6)*($G$6-$F$6))))</f>
        <v>0.981163098686196</v>
      </c>
      <c r="C458" s="37" t="n">
        <f aca="false">1+IF($G$7=$E$7,$F$7,IF(Q458&lt;($F$7-$E$7)/($G$7-$E$7),$E$7+SQRT(Q458*($G$7-$E$7)*($F$7-$E$7)),$G$7-SQRT((1-Q458)*($G$7-$E$7)*($G$7-$F$7))))</f>
        <v>0.807111465214801</v>
      </c>
      <c r="D458" s="37" t="n">
        <f aca="false">1+IF($G$8=$E$8,$F$8,IF(R458&lt;($F$8-$E$8)/($G$8-$E$8),$E$8+SQRT(R458*($G$8-$E$8)*($F$8-$E$8)),$G$8-SQRT((1-R458)*($G$8-$E$8)*($G$8-$F$8))))</f>
        <v>1.05835537849527</v>
      </c>
      <c r="E458" s="37" t="n">
        <f aca="false">1+IF($G$9=$E$9,$F$9,IF(S458&lt;($F$9-$E$9)/($G$9-$E$9),$E$9+SQRT(S458*($G$9-$E$9)*($F$9-$E$9)),$G$9-SQRT((1-S458)*($G$9-$E$9)*($G$9-$F$9))))</f>
        <v>1.00146635962462</v>
      </c>
      <c r="F458" s="37" t="n">
        <f aca="false">1+IF($G$10=$E$10,$F$10,IF(T458&lt;($F$10-$E$10)/($G$10-$E$10),$E$10+SQRT(T458*($G$10-$E$10)*($F$10-$E$10)),$G$10-SQRT((1-T458)*($G$10-$E$10)*($G$10-$F$10))))</f>
        <v>1.14710355973471</v>
      </c>
      <c r="G458" s="38" t="n">
        <f aca="false">IF($G$11=$E$11,$F$11,IF(U458&lt;($F$11-$E$11)/($G$11-$E$11),$E$11+SQRT(U458*($G$11-$E$11)*($F$11-$E$11)),$G$11-SQRT((1-U458)*($G$11-$E$11)*($G$11-$F$11))))</f>
        <v>0.10638424467755</v>
      </c>
      <c r="H458" s="39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-2294207119.46942</v>
      </c>
      <c r="I458" s="39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-86829296.6373767</v>
      </c>
      <c r="J458" s="39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124512789.041704</v>
      </c>
      <c r="K458" s="39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393210052.70752</v>
      </c>
      <c r="L458" s="39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491025754.603456</v>
      </c>
      <c r="M458" s="39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641551624.619461</v>
      </c>
      <c r="N458" s="39" t="n">
        <f aca="false">IF(COUNT('Business Case'!B11:G11)=0,"",H458+NPV(G458,I458:M458))</f>
        <v>-1265933831.61739</v>
      </c>
      <c r="P458" s="40" t="n">
        <f aca="true">RAND()</f>
        <v>0.439163239223009</v>
      </c>
      <c r="Q458" s="40" t="n">
        <f aca="true">RAND()</f>
        <v>0.0849841924478628</v>
      </c>
      <c r="R458" s="40" t="n">
        <f aca="true">RAND()</f>
        <v>0.884381699981851</v>
      </c>
      <c r="S458" s="40" t="n">
        <f aca="true">RAND()</f>
        <v>0.411673538049011</v>
      </c>
      <c r="T458" s="40" t="n">
        <f aca="true">RAND()</f>
        <v>0.85883096774309</v>
      </c>
      <c r="U458" s="40" t="n">
        <f aca="true">RAND()</f>
        <v>0.62819740036678</v>
      </c>
    </row>
    <row r="459" customFormat="false" ht="15" hidden="false" customHeight="false" outlineLevel="0" collapsed="false">
      <c r="A459" s="36" t="n">
        <v>379</v>
      </c>
      <c r="B459" s="37" t="n">
        <f aca="false">1+IF($G$6=$E$6,$F$6,IF(P459&lt;($F$6-$E$6)/($G$6-$E$6),$E$6+SQRT(P459*($G$6-$E$6)*($F$6-$E$6)),$G$6-SQRT((1-P459)*($G$6-$E$6)*($G$6-$F$6))))</f>
        <v>0.985508026792358</v>
      </c>
      <c r="C459" s="37" t="n">
        <f aca="false">1+IF($G$7=$E$7,$F$7,IF(Q459&lt;($F$7-$E$7)/($G$7-$E$7),$E$7+SQRT(Q459*($G$7-$E$7)*($F$7-$E$7)),$G$7-SQRT((1-Q459)*($G$7-$E$7)*($G$7-$F$7))))</f>
        <v>1.00277625451132</v>
      </c>
      <c r="D459" s="37" t="n">
        <f aca="false">1+IF($G$8=$E$8,$F$8,IF(R459&lt;($F$8-$E$8)/($G$8-$E$8),$E$8+SQRT(R459*($G$8-$E$8)*($F$8-$E$8)),$G$8-SQRT((1-R459)*($G$8-$E$8)*($G$8-$F$8))))</f>
        <v>1.03084012124844</v>
      </c>
      <c r="E459" s="37" t="n">
        <f aca="false">1+IF($G$9=$E$9,$F$9,IF(S459&lt;($F$9-$E$9)/($G$9-$E$9),$E$9+SQRT(S459*($G$9-$E$9)*($F$9-$E$9)),$G$9-SQRT((1-S459)*($G$9-$E$9)*($G$9-$F$9))))</f>
        <v>0.994299220275079</v>
      </c>
      <c r="F459" s="37" t="n">
        <f aca="false">1+IF($G$10=$E$10,$F$10,IF(T459&lt;($F$10-$E$10)/($G$10-$E$10),$E$10+SQRT(T459*($G$10-$E$10)*($F$10-$E$10)),$G$10-SQRT((1-T459)*($G$10-$E$10)*($G$10-$F$10))))</f>
        <v>1.09685998872628</v>
      </c>
      <c r="G459" s="38" t="n">
        <f aca="false">IF($G$11=$E$11,$F$11,IF(U459&lt;($F$11-$E$11)/($G$11-$E$11),$E$11+SQRT(U459*($G$11-$E$11)*($F$11-$E$11)),$G$11-SQRT((1-U459)*($G$11-$E$11)*($G$11-$F$11))))</f>
        <v>0.0988547951168144</v>
      </c>
      <c r="H459" s="39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-2193719977.45256</v>
      </c>
      <c r="I459" s="39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-22035616.3216267</v>
      </c>
      <c r="J459" s="39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258234686.795507</v>
      </c>
      <c r="K459" s="39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593347989.348955</v>
      </c>
      <c r="L459" s="39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720925138.016677</v>
      </c>
      <c r="M459" s="39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908770566.641068</v>
      </c>
      <c r="N459" s="39" t="n">
        <f aca="false">IF(COUNT('Business Case'!B11:G11)=0,"",H459+NPV(G459,I459:M459))</f>
        <v>-491045697.701112</v>
      </c>
      <c r="P459" s="40" t="n">
        <f aca="true">RAND()</f>
        <v>0.48744150972817</v>
      </c>
      <c r="Q459" s="40" t="n">
        <f aca="true">RAND()</f>
        <v>0.678891389100514</v>
      </c>
      <c r="R459" s="40" t="n">
        <f aca="true">RAND()</f>
        <v>0.68112741140465</v>
      </c>
      <c r="S459" s="40" t="n">
        <f aca="true">RAND()</f>
        <v>0.355693717779518</v>
      </c>
      <c r="T459" s="40" t="n">
        <f aca="true">RAND()</f>
        <v>0.687308492627803</v>
      </c>
      <c r="U459" s="40" t="n">
        <f aca="true">RAND()</f>
        <v>0.355503298897047</v>
      </c>
    </row>
    <row r="460" customFormat="false" ht="15" hidden="false" customHeight="false" outlineLevel="0" collapsed="false">
      <c r="A460" s="36" t="n">
        <v>380</v>
      </c>
      <c r="B460" s="37" t="n">
        <f aca="false">1+IF($G$6=$E$6,$F$6,IF(P460&lt;($F$6-$E$6)/($G$6-$E$6),$E$6+SQRT(P460*($G$6-$E$6)*($F$6-$E$6)),$G$6-SQRT((1-P460)*($G$6-$E$6)*($G$6-$F$6))))</f>
        <v>0.999651267180594</v>
      </c>
      <c r="C460" s="37" t="n">
        <f aca="false">1+IF($G$7=$E$7,$F$7,IF(Q460&lt;($F$7-$E$7)/($G$7-$E$7),$E$7+SQRT(Q460*($G$7-$E$7)*($F$7-$E$7)),$G$7-SQRT((1-Q460)*($G$7-$E$7)*($G$7-$F$7))))</f>
        <v>0.979004146091964</v>
      </c>
      <c r="D460" s="37" t="n">
        <f aca="false">1+IF($G$8=$E$8,$F$8,IF(R460&lt;($F$8-$E$8)/($G$8-$E$8),$E$8+SQRT(R460*($G$8-$E$8)*($F$8-$E$8)),$G$8-SQRT((1-R460)*($G$8-$E$8)*($G$8-$F$8))))</f>
        <v>1.05755275666897</v>
      </c>
      <c r="E460" s="37" t="n">
        <f aca="false">1+IF($G$9=$E$9,$F$9,IF(S460&lt;($F$9-$E$9)/($G$9-$E$9),$E$9+SQRT(S460*($G$9-$E$9)*($F$9-$E$9)),$G$9-SQRT((1-S460)*($G$9-$E$9)*($G$9-$F$9))))</f>
        <v>0.984002079008623</v>
      </c>
      <c r="F460" s="37" t="n">
        <f aca="false">1+IF($G$10=$E$10,$F$10,IF(T460&lt;($F$10-$E$10)/($G$10-$E$10),$E$10+SQRT(T460*($G$10-$E$10)*($F$10-$E$10)),$G$10-SQRT((1-T460)*($G$10-$E$10)*($G$10-$F$10))))</f>
        <v>1.08477466114845</v>
      </c>
      <c r="G460" s="38" t="n">
        <f aca="false">IF($G$11=$E$11,$F$11,IF(U460&lt;($F$11-$E$11)/($G$11-$E$11),$E$11+SQRT(U460*($G$11-$E$11)*($F$11-$E$11)),$G$11-SQRT((1-U460)*($G$11-$E$11)*($G$11-$F$11))))</f>
        <v>0.103574602867518</v>
      </c>
      <c r="H460" s="39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-2169549322.29689</v>
      </c>
      <c r="I460" s="39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-27556815.3488676</v>
      </c>
      <c r="J460" s="39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244022807.245727</v>
      </c>
      <c r="K460" s="39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569841162.897744</v>
      </c>
      <c r="L460" s="39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694190287.89167</v>
      </c>
      <c r="M460" s="39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880214500.601506</v>
      </c>
      <c r="N460" s="39" t="n">
        <f aca="false">IF(COUNT('Business Case'!B11:G11)=0,"",H460+NPV(G460,I460:M460))</f>
        <v>-564391746.91163</v>
      </c>
      <c r="P460" s="40" t="n">
        <f aca="true">RAND()</f>
        <v>0.662025003379879</v>
      </c>
      <c r="Q460" s="40" t="n">
        <f aca="true">RAND()</f>
        <v>0.576617137307452</v>
      </c>
      <c r="R460" s="40" t="n">
        <f aca="true">RAND()</f>
        <v>0.879882102239747</v>
      </c>
      <c r="S460" s="40" t="n">
        <f aca="true">RAND()</f>
        <v>0.282253971110836</v>
      </c>
      <c r="T460" s="40" t="n">
        <f aca="true">RAND()</f>
        <v>0.636007832018519</v>
      </c>
      <c r="U460" s="40" t="n">
        <f aca="true">RAND()</f>
        <v>0.534465590927072</v>
      </c>
    </row>
    <row r="461" customFormat="false" ht="15" hidden="false" customHeight="false" outlineLevel="0" collapsed="false">
      <c r="A461" s="36" t="n">
        <v>381</v>
      </c>
      <c r="B461" s="37" t="n">
        <f aca="false">1+IF($G$6=$E$6,$F$6,IF(P461&lt;($F$6-$E$6)/($G$6-$E$6),$E$6+SQRT(P461*($G$6-$E$6)*($F$6-$E$6)),$G$6-SQRT((1-P461)*($G$6-$E$6)*($G$6-$F$6))))</f>
        <v>0.980721117324415</v>
      </c>
      <c r="C461" s="37" t="n">
        <f aca="false">1+IF($G$7=$E$7,$F$7,IF(Q461&lt;($F$7-$E$7)/($G$7-$E$7),$E$7+SQRT(Q461*($G$7-$E$7)*($F$7-$E$7)),$G$7-SQRT((1-Q461)*($G$7-$E$7)*($G$7-$F$7))))</f>
        <v>1.06481540506744</v>
      </c>
      <c r="D461" s="37" t="n">
        <f aca="false">1+IF($G$8=$E$8,$F$8,IF(R461&lt;($F$8-$E$8)/($G$8-$E$8),$E$8+SQRT(R461*($G$8-$E$8)*($F$8-$E$8)),$G$8-SQRT((1-R461)*($G$8-$E$8)*($G$8-$F$8))))</f>
        <v>0.995877382607354</v>
      </c>
      <c r="E461" s="37" t="n">
        <f aca="false">1+IF($G$9=$E$9,$F$9,IF(S461&lt;($F$9-$E$9)/($G$9-$E$9),$E$9+SQRT(S461*($G$9-$E$9)*($F$9-$E$9)),$G$9-SQRT((1-S461)*($G$9-$E$9)*($G$9-$F$9))))</f>
        <v>1.05479421636845</v>
      </c>
      <c r="F461" s="37" t="n">
        <f aca="false">1+IF($G$10=$E$10,$F$10,IF(T461&lt;($F$10-$E$10)/($G$10-$E$10),$E$10+SQRT(T461*($G$10-$E$10)*($F$10-$E$10)),$G$10-SQRT((1-T461)*($G$10-$E$10)*($G$10-$F$10))))</f>
        <v>1.00813600114398</v>
      </c>
      <c r="G461" s="38" t="n">
        <f aca="false">IF($G$11=$E$11,$F$11,IF(U461&lt;($F$11-$E$11)/($G$11-$E$11),$E$11+SQRT(U461*($G$11-$E$11)*($F$11-$E$11)),$G$11-SQRT((1-U461)*($G$11-$E$11)*($G$11-$F$11))))</f>
        <v>0.0980365724396264</v>
      </c>
      <c r="H461" s="39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-2016272002.28797</v>
      </c>
      <c r="I461" s="39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7551968.2817232</v>
      </c>
      <c r="J461" s="39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320045109.930533</v>
      </c>
      <c r="K461" s="39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682945051.636541</v>
      </c>
      <c r="L461" s="39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823199989.309541</v>
      </c>
      <c r="M461" s="39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1021698053.48822</v>
      </c>
      <c r="N461" s="39" t="n">
        <f aca="false">IF(COUNT('Business Case'!B11:G11)=0,"",H461+NPV(G461,I461:M461))</f>
        <v>-21707975.2326427</v>
      </c>
      <c r="P461" s="40" t="n">
        <f aca="true">RAND()</f>
        <v>0.43439325214013</v>
      </c>
      <c r="Q461" s="40" t="n">
        <f aca="true">RAND()</f>
        <v>0.892497552387789</v>
      </c>
      <c r="R461" s="40" t="n">
        <f aca="true">RAND()</f>
        <v>0.280631231320203</v>
      </c>
      <c r="S461" s="40" t="n">
        <f aca="true">RAND()</f>
        <v>0.75828956701604</v>
      </c>
      <c r="T461" s="40" t="n">
        <f aca="true">RAND()</f>
        <v>0.220024080765021</v>
      </c>
      <c r="U461" s="40" t="n">
        <f aca="true">RAND()</f>
        <v>0.325317945369891</v>
      </c>
    </row>
    <row r="462" customFormat="false" ht="15" hidden="false" customHeight="false" outlineLevel="0" collapsed="false">
      <c r="A462" s="36" t="n">
        <v>382</v>
      </c>
      <c r="B462" s="37" t="n">
        <f aca="false">1+IF($G$6=$E$6,$F$6,IF(P462&lt;($F$6-$E$6)/($G$6-$E$6),$E$6+SQRT(P462*($G$6-$E$6)*($F$6-$E$6)),$G$6-SQRT((1-P462)*($G$6-$E$6)*($G$6-$F$6))))</f>
        <v>0.984231558016166</v>
      </c>
      <c r="C462" s="37" t="n">
        <f aca="false">1+IF($G$7=$E$7,$F$7,IF(Q462&lt;($F$7-$E$7)/($G$7-$E$7),$E$7+SQRT(Q462*($G$7-$E$7)*($F$7-$E$7)),$G$7-SQRT((1-Q462)*($G$7-$E$7)*($G$7-$F$7))))</f>
        <v>1.00622099553091</v>
      </c>
      <c r="D462" s="37" t="n">
        <f aca="false">1+IF($G$8=$E$8,$F$8,IF(R462&lt;($F$8-$E$8)/($G$8-$E$8),$E$8+SQRT(R462*($G$8-$E$8)*($F$8-$E$8)),$G$8-SQRT((1-R462)*($G$8-$E$8)*($G$8-$F$8))))</f>
        <v>0.983593510859102</v>
      </c>
      <c r="E462" s="37" t="n">
        <f aca="false">1+IF($G$9=$E$9,$F$9,IF(S462&lt;($F$9-$E$9)/($G$9-$E$9),$E$9+SQRT(S462*($G$9-$E$9)*($F$9-$E$9)),$G$9-SQRT((1-S462)*($G$9-$E$9)*($G$9-$F$9))))</f>
        <v>1.05237132645042</v>
      </c>
      <c r="F462" s="37" t="n">
        <f aca="false">1+IF($G$10=$E$10,$F$10,IF(T462&lt;($F$10-$E$10)/($G$10-$E$10),$E$10+SQRT(T462*($G$10-$E$10)*($F$10-$E$10)),$G$10-SQRT((1-T462)*($G$10-$E$10)*($G$10-$F$10))))</f>
        <v>1.16091766786075</v>
      </c>
      <c r="G462" s="38" t="n">
        <f aca="false">IF($G$11=$E$11,$F$11,IF(U462&lt;($F$11-$E$11)/($G$11-$E$11),$E$11+SQRT(U462*($G$11-$E$11)*($F$11-$E$11)),$G$11-SQRT((1-U462)*($G$11-$E$11)*($G$11-$F$11))))</f>
        <v>0.0936399713286417</v>
      </c>
      <c r="H462" s="39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-2321835335.7215</v>
      </c>
      <c r="I462" s="39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-12560930.9318743</v>
      </c>
      <c r="J462" s="39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291957082.653552</v>
      </c>
      <c r="K462" s="39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654520979.632016</v>
      </c>
      <c r="L462" s="39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790253634.233808</v>
      </c>
      <c r="M462" s="39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978500209.637053</v>
      </c>
      <c r="N462" s="39" t="n">
        <f aca="false">IF(COUNT('Business Case'!B11:G11)=0,"",H462+NPV(G462,I462:M462))</f>
        <v>-410974399.26029</v>
      </c>
      <c r="P462" s="40" t="n">
        <f aca="true">RAND()</f>
        <v>0.472997024388717</v>
      </c>
      <c r="Q462" s="40" t="n">
        <f aca="true">RAND()</f>
        <v>0.693742190724114</v>
      </c>
      <c r="R462" s="40" t="n">
        <f aca="true">RAND()</f>
        <v>0.150469862912084</v>
      </c>
      <c r="S462" s="40" t="n">
        <f aca="true">RAND()</f>
        <v>0.745830456025328</v>
      </c>
      <c r="T462" s="40" t="n">
        <f aca="true">RAND()</f>
        <v>0.894191174675092</v>
      </c>
      <c r="U462" s="40" t="n">
        <f aca="true">RAND()</f>
        <v>0.186048817846167</v>
      </c>
    </row>
    <row r="463" customFormat="false" ht="15" hidden="false" customHeight="false" outlineLevel="0" collapsed="false">
      <c r="A463" s="36" t="n">
        <v>383</v>
      </c>
      <c r="B463" s="37" t="n">
        <f aca="false">1+IF($G$6=$E$6,$F$6,IF(P463&lt;($F$6-$E$6)/($G$6-$E$6),$E$6+SQRT(P463*($G$6-$E$6)*($F$6-$E$6)),$G$6-SQRT((1-P463)*($G$6-$E$6)*($G$6-$F$6))))</f>
        <v>0.996165170936911</v>
      </c>
      <c r="C463" s="37" t="n">
        <f aca="false">1+IF($G$7=$E$7,$F$7,IF(Q463&lt;($F$7-$E$7)/($G$7-$E$7),$E$7+SQRT(Q463*($G$7-$E$7)*($F$7-$E$7)),$G$7-SQRT((1-Q463)*($G$7-$E$7)*($G$7-$F$7))))</f>
        <v>0.971380474649379</v>
      </c>
      <c r="D463" s="37" t="n">
        <f aca="false">1+IF($G$8=$E$8,$F$8,IF(R463&lt;($F$8-$E$8)/($G$8-$E$8),$E$8+SQRT(R463*($G$8-$E$8)*($F$8-$E$8)),$G$8-SQRT((1-R463)*($G$8-$E$8)*($G$8-$F$8))))</f>
        <v>0.9900400646616</v>
      </c>
      <c r="E463" s="37" t="n">
        <f aca="false">1+IF($G$9=$E$9,$F$9,IF(S463&lt;($F$9-$E$9)/($G$9-$E$9),$E$9+SQRT(S463*($G$9-$E$9)*($F$9-$E$9)),$G$9-SQRT((1-S463)*($G$9-$E$9)*($G$9-$F$9))))</f>
        <v>1.01694479189042</v>
      </c>
      <c r="F463" s="37" t="n">
        <f aca="false">1+IF($G$10=$E$10,$F$10,IF(T463&lt;($F$10-$E$10)/($G$10-$E$10),$E$10+SQRT(T463*($G$10-$E$10)*($F$10-$E$10)),$G$10-SQRT((1-T463)*($G$10-$E$10)*($G$10-$F$10))))</f>
        <v>1.05490296114586</v>
      </c>
      <c r="G463" s="38" t="n">
        <f aca="false">IF($G$11=$E$11,$F$11,IF(U463&lt;($F$11-$E$11)/($G$11-$E$11),$E$11+SQRT(U463*($G$11-$E$11)*($F$11-$E$11)),$G$11-SQRT((1-U463)*($G$11-$E$11)*($G$11-$F$11))))</f>
        <v>0.101843185614482</v>
      </c>
      <c r="H463" s="39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-2109805922.29173</v>
      </c>
      <c r="I463" s="39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15.1281605809927</v>
      </c>
      <c r="J463" s="39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300263131.536115</v>
      </c>
      <c r="K463" s="39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653271396.001364</v>
      </c>
      <c r="L463" s="39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786801271.976275</v>
      </c>
      <c r="M463" s="39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970733209.757037</v>
      </c>
      <c r="N463" s="39" t="n">
        <f aca="false">IF(COUNT('Business Case'!B11:G11)=0,"",H463+NPV(G463,I463:M463))</f>
        <v>-242597291.356861</v>
      </c>
      <c r="P463" s="40" t="n">
        <f aca="true">RAND()</f>
        <v>0.616516006755026</v>
      </c>
      <c r="Q463" s="40" t="n">
        <f aca="true">RAND()</f>
        <v>0.545536014969793</v>
      </c>
      <c r="R463" s="40" t="n">
        <f aca="true">RAND()</f>
        <v>0.213760903747345</v>
      </c>
      <c r="S463" s="40" t="n">
        <f aca="true">RAND()</f>
        <v>0.527901642531125</v>
      </c>
      <c r="T463" s="40" t="n">
        <f aca="true">RAND()</f>
        <v>0.492495272404637</v>
      </c>
      <c r="U463" s="40" t="n">
        <f aca="true">RAND()</f>
        <v>0.471462535772983</v>
      </c>
    </row>
    <row r="464" customFormat="false" ht="15" hidden="false" customHeight="false" outlineLevel="0" collapsed="false">
      <c r="A464" s="36" t="n">
        <v>384</v>
      </c>
      <c r="B464" s="37" t="n">
        <f aca="false">1+IF($G$6=$E$6,$F$6,IF(P464&lt;($F$6-$E$6)/($G$6-$E$6),$E$6+SQRT(P464*($G$6-$E$6)*($F$6-$E$6)),$G$6-SQRT((1-P464)*($G$6-$E$6)*($G$6-$F$6))))</f>
        <v>1.02923290571071</v>
      </c>
      <c r="C464" s="37" t="n">
        <f aca="false">1+IF($G$7=$E$7,$F$7,IF(Q464&lt;($F$7-$E$7)/($G$7-$E$7),$E$7+SQRT(Q464*($G$7-$E$7)*($F$7-$E$7)),$G$7-SQRT((1-Q464)*($G$7-$E$7)*($G$7-$F$7))))</f>
        <v>1.02202687073205</v>
      </c>
      <c r="D464" s="37" t="n">
        <f aca="false">1+IF($G$8=$E$8,$F$8,IF(R464&lt;($F$8-$E$8)/($G$8-$E$8),$E$8+SQRT(R464*($G$8-$E$8)*($F$8-$E$8)),$G$8-SQRT((1-R464)*($G$8-$E$8)*($G$8-$F$8))))</f>
        <v>0.995580552820811</v>
      </c>
      <c r="E464" s="37" t="n">
        <f aca="false">1+IF($G$9=$E$9,$F$9,IF(S464&lt;($F$9-$E$9)/($G$9-$E$9),$E$9+SQRT(S464*($G$9-$E$9)*($F$9-$E$9)),$G$9-SQRT((1-S464)*($G$9-$E$9)*($G$9-$F$9))))</f>
        <v>0.914175518999983</v>
      </c>
      <c r="F464" s="37" t="n">
        <f aca="false">1+IF($G$10=$E$10,$F$10,IF(T464&lt;($F$10-$E$10)/($G$10-$E$10),$E$10+SQRT(T464*($G$10-$E$10)*($F$10-$E$10)),$G$10-SQRT((1-T464)*($G$10-$E$10)*($G$10-$F$10))))</f>
        <v>1.14885810172752</v>
      </c>
      <c r="G464" s="38" t="n">
        <f aca="false">IF($G$11=$E$11,$F$11,IF(U464&lt;($F$11-$E$11)/($G$11-$E$11),$E$11+SQRT(U464*($G$11-$E$11)*($F$11-$E$11)),$G$11-SQRT((1-U464)*($G$11-$E$11)*($G$11-$F$11))))</f>
        <v>0.0988744847387463</v>
      </c>
      <c r="H464" s="39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-2297716203.45505</v>
      </c>
      <c r="I464" s="39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41288841.1510317</v>
      </c>
      <c r="J464" s="39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381989938.352527</v>
      </c>
      <c r="K464" s="39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780133940.640399</v>
      </c>
      <c r="L464" s="39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930054764.424841</v>
      </c>
      <c r="M464" s="39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1130000617.03653</v>
      </c>
      <c r="N464" s="39" t="n">
        <f aca="false">IF(COUNT('Business Case'!B11:G11)=0,"",H464+NPV(G464,I464:M464))</f>
        <v>-12783640.4344201</v>
      </c>
      <c r="P464" s="40" t="n">
        <f aca="true">RAND()</f>
        <v>0.942497039303956</v>
      </c>
      <c r="Q464" s="40" t="n">
        <f aca="true">RAND()</f>
        <v>0.757375973116574</v>
      </c>
      <c r="R464" s="40" t="n">
        <f aca="true">RAND()</f>
        <v>0.27701157272676</v>
      </c>
      <c r="S464" s="40" t="n">
        <f aca="true">RAND()</f>
        <v>0.00803781355675491</v>
      </c>
      <c r="T464" s="40" t="n">
        <f aca="true">RAND()</f>
        <v>0.863604218851199</v>
      </c>
      <c r="U464" s="40" t="n">
        <f aca="true">RAND()</f>
        <v>0.356246174153166</v>
      </c>
    </row>
    <row r="465" customFormat="false" ht="15" hidden="false" customHeight="false" outlineLevel="0" collapsed="false">
      <c r="A465" s="36" t="n">
        <v>385</v>
      </c>
      <c r="B465" s="37" t="n">
        <f aca="false">1+IF($G$6=$E$6,$F$6,IF(P465&lt;($F$6-$E$6)/($G$6-$E$6),$E$6+SQRT(P465*($G$6-$E$6)*($F$6-$E$6)),$G$6-SQRT((1-P465)*($G$6-$E$6)*($G$6-$F$6))))</f>
        <v>0.948168966777426</v>
      </c>
      <c r="C465" s="37" t="n">
        <f aca="false">1+IF($G$7=$E$7,$F$7,IF(Q465&lt;($F$7-$E$7)/($G$7-$E$7),$E$7+SQRT(Q465*($G$7-$E$7)*($F$7-$E$7)),$G$7-SQRT((1-Q465)*($G$7-$E$7)*($G$7-$F$7))))</f>
        <v>1.00362894040969</v>
      </c>
      <c r="D465" s="37" t="n">
        <f aca="false">1+IF($G$8=$E$8,$F$8,IF(R465&lt;($F$8-$E$8)/($G$8-$E$8),$E$8+SQRT(R465*($G$8-$E$8)*($F$8-$E$8)),$G$8-SQRT((1-R465)*($G$8-$E$8)*($G$8-$F$8))))</f>
        <v>1.04137929297379</v>
      </c>
      <c r="E465" s="37" t="n">
        <f aca="false">1+IF($G$9=$E$9,$F$9,IF(S465&lt;($F$9-$E$9)/($G$9-$E$9),$E$9+SQRT(S465*($G$9-$E$9)*($F$9-$E$9)),$G$9-SQRT((1-S465)*($G$9-$E$9)*($G$9-$F$9))))</f>
        <v>1.0209092385761</v>
      </c>
      <c r="F465" s="37" t="n">
        <f aca="false">1+IF($G$10=$E$10,$F$10,IF(T465&lt;($F$10-$E$10)/($G$10-$E$10),$E$10+SQRT(T465*($G$10-$E$10)*($F$10-$E$10)),$G$10-SQRT((1-T465)*($G$10-$E$10)*($G$10-$F$10))))</f>
        <v>1.1799970176202</v>
      </c>
      <c r="G465" s="38" t="n">
        <f aca="false">IF($G$11=$E$11,$F$11,IF(U465&lt;($F$11-$E$11)/($G$11-$E$11),$E$11+SQRT(U465*($G$11-$E$11)*($F$11-$E$11)),$G$11-SQRT((1-U465)*($G$11-$E$11)*($G$11-$F$11))))</f>
        <v>0.114985625864296</v>
      </c>
      <c r="H465" s="39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-2359994035.24041</v>
      </c>
      <c r="I465" s="39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-68104979.8261591</v>
      </c>
      <c r="J465" s="39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176294488.668472</v>
      </c>
      <c r="K465" s="39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479693808.044112</v>
      </c>
      <c r="L465" s="39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594047932.764489</v>
      </c>
      <c r="M465" s="39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774929926.486399</v>
      </c>
      <c r="N465" s="39" t="n">
        <f aca="false">IF(COUNT('Business Case'!B11:G11)=0,"",H465+NPV(G465,I465:M465))</f>
        <v>-1099145314.27551</v>
      </c>
      <c r="P465" s="40" t="n">
        <f aca="true">RAND()</f>
        <v>0.154683290693648</v>
      </c>
      <c r="Q465" s="40" t="n">
        <f aca="true">RAND()</f>
        <v>0.682600191324588</v>
      </c>
      <c r="R465" s="40" t="n">
        <f aca="true">RAND()</f>
        <v>0.770907513849828</v>
      </c>
      <c r="S465" s="40" t="n">
        <f aca="true">RAND()</f>
        <v>0.555615341733248</v>
      </c>
      <c r="T465" s="40" t="n">
        <f aca="true">RAND()</f>
        <v>0.934661099439121</v>
      </c>
      <c r="U465" s="40" t="n">
        <f aca="true">RAND()</f>
        <v>0.849712379542074</v>
      </c>
    </row>
    <row r="466" customFormat="false" ht="15" hidden="false" customHeight="false" outlineLevel="0" collapsed="false">
      <c r="A466" s="36" t="n">
        <v>386</v>
      </c>
      <c r="B466" s="37" t="n">
        <f aca="false">1+IF($G$6=$E$6,$F$6,IF(P466&lt;($F$6-$E$6)/($G$6-$E$6),$E$6+SQRT(P466*($G$6-$E$6)*($F$6-$E$6)),$G$6-SQRT((1-P466)*($G$6-$E$6)*($G$6-$F$6))))</f>
        <v>0.997160270931034</v>
      </c>
      <c r="C466" s="37" t="n">
        <f aca="false">1+IF($G$7=$E$7,$F$7,IF(Q466&lt;($F$7-$E$7)/($G$7-$E$7),$E$7+SQRT(Q466*($G$7-$E$7)*($F$7-$E$7)),$G$7-SQRT((1-Q466)*($G$7-$E$7)*($G$7-$F$7))))</f>
        <v>0.789273912486712</v>
      </c>
      <c r="D466" s="37" t="n">
        <f aca="false">1+IF($G$8=$E$8,$F$8,IF(R466&lt;($F$8-$E$8)/($G$8-$E$8),$E$8+SQRT(R466*($G$8-$E$8)*($F$8-$E$8)),$G$8-SQRT((1-R466)*($G$8-$E$8)*($G$8-$F$8))))</f>
        <v>1.05841172901078</v>
      </c>
      <c r="E466" s="37" t="n">
        <f aca="false">1+IF($G$9=$E$9,$F$9,IF(S466&lt;($F$9-$E$9)/($G$9-$E$9),$E$9+SQRT(S466*($G$9-$E$9)*($F$9-$E$9)),$G$9-SQRT((1-S466)*($G$9-$E$9)*($G$9-$F$9))))</f>
        <v>1.00715701413521</v>
      </c>
      <c r="F466" s="37" t="n">
        <f aca="false">1+IF($G$10=$E$10,$F$10,IF(T466&lt;($F$10-$E$10)/($G$10-$E$10),$E$10+SQRT(T466*($G$10-$E$10)*($F$10-$E$10)),$G$10-SQRT((1-T466)*($G$10-$E$10)*($G$10-$F$10))))</f>
        <v>1.05791893894669</v>
      </c>
      <c r="G466" s="38" t="n">
        <f aca="false">IF($G$11=$E$11,$F$11,IF(U466&lt;($F$11-$E$11)/($G$11-$E$11),$E$11+SQRT(U466*($G$11-$E$11)*($F$11-$E$11)),$G$11-SQRT((1-U466)*($G$11-$E$11)*($G$11-$F$11))))</f>
        <v>0.0969041588847849</v>
      </c>
      <c r="H466" s="39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-2115837877.89337</v>
      </c>
      <c r="I466" s="39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-72819108.6749215</v>
      </c>
      <c r="J466" s="39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144171173.338237</v>
      </c>
      <c r="K466" s="39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414057402.29873</v>
      </c>
      <c r="L466" s="39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513587342.558705</v>
      </c>
      <c r="M466" s="39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663186496.964448</v>
      </c>
      <c r="N466" s="39" t="n">
        <f aca="false">IF(COUNT('Business Case'!B11:G11)=0,"",H466+NPV(G466,I466:M466))</f>
        <v>-976277199.566071</v>
      </c>
      <c r="P466" s="40" t="n">
        <f aca="true">RAND()</f>
        <v>0.629341216492791</v>
      </c>
      <c r="Q466" s="40" t="n">
        <f aca="true">RAND()</f>
        <v>0.0590357885235932</v>
      </c>
      <c r="R466" s="40" t="n">
        <f aca="true">RAND()</f>
        <v>0.884694381075172</v>
      </c>
      <c r="S466" s="40" t="n">
        <f aca="true">RAND()</f>
        <v>0.455890170379523</v>
      </c>
      <c r="T466" s="40" t="n">
        <f aca="true">RAND()</f>
        <v>0.508064879795106</v>
      </c>
      <c r="U466" s="40" t="n">
        <f aca="true">RAND()</f>
        <v>0.285750587602052</v>
      </c>
    </row>
    <row r="467" customFormat="false" ht="15" hidden="false" customHeight="false" outlineLevel="0" collapsed="false">
      <c r="A467" s="36" t="n">
        <v>387</v>
      </c>
      <c r="B467" s="37" t="n">
        <f aca="false">1+IF($G$6=$E$6,$F$6,IF(P467&lt;($F$6-$E$6)/($G$6-$E$6),$E$6+SQRT(P467*($G$6-$E$6)*($F$6-$E$6)),$G$6-SQRT((1-P467)*($G$6-$E$6)*($G$6-$F$6))))</f>
        <v>1.01731634460684</v>
      </c>
      <c r="C467" s="37" t="n">
        <f aca="false">1+IF($G$7=$E$7,$F$7,IF(Q467&lt;($F$7-$E$7)/($G$7-$E$7),$E$7+SQRT(Q467*($G$7-$E$7)*($F$7-$E$7)),$G$7-SQRT((1-Q467)*($G$7-$E$7)*($G$7-$F$7))))</f>
        <v>0.845077940355344</v>
      </c>
      <c r="D467" s="37" t="n">
        <f aca="false">1+IF($G$8=$E$8,$F$8,IF(R467&lt;($F$8-$E$8)/($G$8-$E$8),$E$8+SQRT(R467*($G$8-$E$8)*($F$8-$E$8)),$G$8-SQRT((1-R467)*($G$8-$E$8)*($G$8-$F$8))))</f>
        <v>0.983973877141755</v>
      </c>
      <c r="E467" s="37" t="n">
        <f aca="false">1+IF($G$9=$E$9,$F$9,IF(S467&lt;($F$9-$E$9)/($G$9-$E$9),$E$9+SQRT(S467*($G$9-$E$9)*($F$9-$E$9)),$G$9-SQRT((1-S467)*($G$9-$E$9)*($G$9-$F$9))))</f>
        <v>0.997258311510854</v>
      </c>
      <c r="F467" s="37" t="n">
        <f aca="false">1+IF($G$10=$E$10,$F$10,IF(T467&lt;($F$10-$E$10)/($G$10-$E$10),$E$10+SQRT(T467*($G$10-$E$10)*($F$10-$E$10)),$G$10-SQRT((1-T467)*($G$10-$E$10)*($G$10-$F$10))))</f>
        <v>1.10694782322372</v>
      </c>
      <c r="G467" s="38" t="n">
        <f aca="false">IF($G$11=$E$11,$F$11,IF(U467&lt;($F$11-$E$11)/($G$11-$E$11),$E$11+SQRT(U467*($G$11-$E$11)*($F$11-$E$11)),$G$11-SQRT((1-U467)*($G$11-$E$11)*($G$11-$F$11))))</f>
        <v>0.0970423739723891</v>
      </c>
      <c r="H467" s="39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-2213895646.44743</v>
      </c>
      <c r="I467" s="39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-18585864.3841871</v>
      </c>
      <c r="J467" s="39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259900634.856539</v>
      </c>
      <c r="K467" s="39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593734525.258452</v>
      </c>
      <c r="L467" s="39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716274991.275827</v>
      </c>
      <c r="M467" s="39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879688972.430056</v>
      </c>
      <c r="N467" s="39" t="n">
        <f aca="false">IF(COUNT('Business Case'!B11:G11)=0,"",H467+NPV(G467,I467:M467))</f>
        <v>-517041516.628878</v>
      </c>
      <c r="P467" s="40" t="n">
        <f aca="true">RAND()</f>
        <v>0.857570489352153</v>
      </c>
      <c r="Q467" s="40" t="n">
        <f aca="true">RAND()</f>
        <v>0.155908213168509</v>
      </c>
      <c r="R467" s="40" t="n">
        <f aca="true">RAND()</f>
        <v>0.153896577072413</v>
      </c>
      <c r="S467" s="40" t="n">
        <f aca="true">RAND()</f>
        <v>0.378367166317694</v>
      </c>
      <c r="T467" s="40" t="n">
        <f aca="true">RAND()</f>
        <v>0.727147662927555</v>
      </c>
      <c r="U467" s="40" t="n">
        <f aca="true">RAND()</f>
        <v>0.290442510614764</v>
      </c>
    </row>
    <row r="468" customFormat="false" ht="15" hidden="false" customHeight="false" outlineLevel="0" collapsed="false">
      <c r="A468" s="36" t="n">
        <v>388</v>
      </c>
      <c r="B468" s="37" t="n">
        <f aca="false">1+IF($G$6=$E$6,$F$6,IF(P468&lt;($F$6-$E$6)/($G$6-$E$6),$E$6+SQRT(P468*($G$6-$E$6)*($F$6-$E$6)),$G$6-SQRT((1-P468)*($G$6-$E$6)*($G$6-$F$6))))</f>
        <v>0.975668012910819</v>
      </c>
      <c r="C468" s="37" t="n">
        <f aca="false">1+IF($G$7=$E$7,$F$7,IF(Q468&lt;($F$7-$E$7)/($G$7-$E$7),$E$7+SQRT(Q468*($G$7-$E$7)*($F$7-$E$7)),$G$7-SQRT((1-Q468)*($G$7-$E$7)*($G$7-$F$7))))</f>
        <v>1.0397156016788</v>
      </c>
      <c r="D468" s="37" t="n">
        <f aca="false">1+IF($G$8=$E$8,$F$8,IF(R468&lt;($F$8-$E$8)/($G$8-$E$8),$E$8+SQRT(R468*($G$8-$E$8)*($F$8-$E$8)),$G$8-SQRT((1-R468)*($G$8-$E$8)*($G$8-$F$8))))</f>
        <v>1.04635110029308</v>
      </c>
      <c r="E468" s="37" t="n">
        <f aca="false">1+IF($G$9=$E$9,$F$9,IF(S468&lt;($F$9-$E$9)/($G$9-$E$9),$E$9+SQRT(S468*($G$9-$E$9)*($F$9-$E$9)),$G$9-SQRT((1-S468)*($G$9-$E$9)*($G$9-$F$9))))</f>
        <v>1.05613812534025</v>
      </c>
      <c r="F468" s="37" t="n">
        <f aca="false">1+IF($G$10=$E$10,$F$10,IF(T468&lt;($F$10-$E$10)/($G$10-$E$10),$E$10+SQRT(T468*($G$10-$E$10)*($F$10-$E$10)),$G$10-SQRT((1-T468)*($G$10-$E$10)*($G$10-$F$10))))</f>
        <v>0.996107852858757</v>
      </c>
      <c r="G468" s="38" t="n">
        <f aca="false">IF($G$11=$E$11,$F$11,IF(U468&lt;($F$11-$E$11)/($G$11-$E$11),$E$11+SQRT(U468*($G$11-$E$11)*($F$11-$E$11)),$G$11-SQRT((1-U468)*($G$11-$E$11)*($G$11-$F$11))))</f>
        <v>0.102168669271764</v>
      </c>
      <c r="H468" s="39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-1992215705.71751</v>
      </c>
      <c r="I468" s="39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-28421887.3227747</v>
      </c>
      <c r="J468" s="39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245537242.567179</v>
      </c>
      <c r="K468" s="39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569301765.10007</v>
      </c>
      <c r="L468" s="39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695679735.399033</v>
      </c>
      <c r="M468" s="39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888500167.245082</v>
      </c>
      <c r="N468" s="39" t="n">
        <f aca="false">IF(COUNT('Business Case'!B11:G11)=0,"",H468+NPV(G468,I468:M468))</f>
        <v>-372960114.771499</v>
      </c>
      <c r="P468" s="40" t="n">
        <f aca="true">RAND()</f>
        <v>0.38170987852479</v>
      </c>
      <c r="Q468" s="40" t="n">
        <f aca="true">RAND()</f>
        <v>0.819812614621198</v>
      </c>
      <c r="R468" s="40" t="n">
        <f aca="true">RAND()</f>
        <v>0.808119704015759</v>
      </c>
      <c r="S468" s="40" t="n">
        <f aca="true">RAND()</f>
        <v>0.765065292942888</v>
      </c>
      <c r="T468" s="40" t="n">
        <f aca="true">RAND()</f>
        <v>0.141728939682987</v>
      </c>
      <c r="U468" s="40" t="n">
        <f aca="true">RAND()</f>
        <v>0.48361135326369</v>
      </c>
    </row>
    <row r="469" customFormat="false" ht="15" hidden="false" customHeight="false" outlineLevel="0" collapsed="false">
      <c r="A469" s="36" t="n">
        <v>389</v>
      </c>
      <c r="B469" s="37" t="n">
        <f aca="false">1+IF($G$6=$E$6,$F$6,IF(P469&lt;($F$6-$E$6)/($G$6-$E$6),$E$6+SQRT(P469*($G$6-$E$6)*($F$6-$E$6)),$G$6-SQRT((1-P469)*($G$6-$E$6)*($G$6-$F$6))))</f>
        <v>1.00428741492775</v>
      </c>
      <c r="C469" s="37" t="n">
        <f aca="false">1+IF($G$7=$E$7,$F$7,IF(Q469&lt;($F$7-$E$7)/($G$7-$E$7),$E$7+SQRT(Q469*($G$7-$E$7)*($F$7-$E$7)),$G$7-SQRT((1-Q469)*($G$7-$E$7)*($G$7-$F$7))))</f>
        <v>1.04259422175904</v>
      </c>
      <c r="D469" s="37" t="n">
        <f aca="false">1+IF($G$8=$E$8,$F$8,IF(R469&lt;($F$8-$E$8)/($G$8-$E$8),$E$8+SQRT(R469*($G$8-$E$8)*($F$8-$E$8)),$G$8-SQRT((1-R469)*($G$8-$E$8)*($G$8-$F$8))))</f>
        <v>0.977427134960181</v>
      </c>
      <c r="E469" s="37" t="n">
        <f aca="false">1+IF($G$9=$E$9,$F$9,IF(S469&lt;($F$9-$E$9)/($G$9-$E$9),$E$9+SQRT(S469*($G$9-$E$9)*($F$9-$E$9)),$G$9-SQRT((1-S469)*($G$9-$E$9)*($G$9-$F$9))))</f>
        <v>1.0246016384007</v>
      </c>
      <c r="F469" s="37" t="n">
        <f aca="false">1+IF($G$10=$E$10,$F$10,IF(T469&lt;($F$10-$E$10)/($G$10-$E$10),$E$10+SQRT(T469*($G$10-$E$10)*($F$10-$E$10)),$G$10-SQRT((1-T469)*($G$10-$E$10)*($G$10-$F$10))))</f>
        <v>1.13562989699487</v>
      </c>
      <c r="G469" s="38" t="n">
        <f aca="false">IF($G$11=$E$11,$F$11,IF(U469&lt;($F$11-$E$11)/($G$11-$E$11),$E$11+SQRT(U469*($G$11-$E$11)*($F$11-$E$11)),$G$11-SQRT((1-U469)*($G$11-$E$11)*($G$11-$F$11))))</f>
        <v>0.111272131424473</v>
      </c>
      <c r="H469" s="39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-2271259793.98975</v>
      </c>
      <c r="I469" s="39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22402725.060893</v>
      </c>
      <c r="J469" s="39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358346603.821954</v>
      </c>
      <c r="K469" s="39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751071977.432758</v>
      </c>
      <c r="L469" s="39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899239811.03318</v>
      </c>
      <c r="M469" s="39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1098265784.77355</v>
      </c>
      <c r="N469" s="39" t="n">
        <f aca="false">IF(COUNT('Business Case'!B11:G11)=0,"",H469+NPV(G469,I469:M469))</f>
        <v>-175935504.227191</v>
      </c>
      <c r="P469" s="40" t="n">
        <f aca="true">RAND()</f>
        <v>0.721381275468286</v>
      </c>
      <c r="Q469" s="40" t="n">
        <f aca="true">RAND()</f>
        <v>0.829096278525228</v>
      </c>
      <c r="R469" s="40" t="n">
        <f aca="true">RAND()</f>
        <v>0.10029969761653</v>
      </c>
      <c r="S469" s="40" t="n">
        <f aca="true">RAND()</f>
        <v>0.580673357552285</v>
      </c>
      <c r="T469" s="40" t="n">
        <f aca="true">RAND()</f>
        <v>0.825593060514627</v>
      </c>
      <c r="U469" s="40" t="n">
        <f aca="true">RAND()</f>
        <v>0.766177959078523</v>
      </c>
    </row>
    <row r="470" customFormat="false" ht="15" hidden="false" customHeight="false" outlineLevel="0" collapsed="false">
      <c r="A470" s="36" t="n">
        <v>390</v>
      </c>
      <c r="B470" s="37" t="n">
        <f aca="false">1+IF($G$6=$E$6,$F$6,IF(P470&lt;($F$6-$E$6)/($G$6-$E$6),$E$6+SQRT(P470*($G$6-$E$6)*($F$6-$E$6)),$G$6-SQRT((1-P470)*($G$6-$E$6)*($G$6-$F$6))))</f>
        <v>1.01901182969571</v>
      </c>
      <c r="C470" s="37" t="n">
        <f aca="false">1+IF($G$7=$E$7,$F$7,IF(Q470&lt;($F$7-$E$7)/($G$7-$E$7),$E$7+SQRT(Q470*($G$7-$E$7)*($F$7-$E$7)),$G$7-SQRT((1-Q470)*($G$7-$E$7)*($G$7-$F$7))))</f>
        <v>1.00391436878119</v>
      </c>
      <c r="D470" s="37" t="n">
        <f aca="false">1+IF($G$8=$E$8,$F$8,IF(R470&lt;($F$8-$E$8)/($G$8-$E$8),$E$8+SQRT(R470*($G$8-$E$8)*($F$8-$E$8)),$G$8-SQRT((1-R470)*($G$8-$E$8)*($G$8-$F$8))))</f>
        <v>1.0144947797772</v>
      </c>
      <c r="E470" s="37" t="n">
        <f aca="false">1+IF($G$9=$E$9,$F$9,IF(S470&lt;($F$9-$E$9)/($G$9-$E$9),$E$9+SQRT(S470*($G$9-$E$9)*($F$9-$E$9)),$G$9-SQRT((1-S470)*($G$9-$E$9)*($G$9-$F$9))))</f>
        <v>0.983604412696052</v>
      </c>
      <c r="F470" s="37" t="n">
        <f aca="false">1+IF($G$10=$E$10,$F$10,IF(T470&lt;($F$10-$E$10)/($G$10-$E$10),$E$10+SQRT(T470*($G$10-$E$10)*($F$10-$E$10)),$G$10-SQRT((1-T470)*($G$10-$E$10)*($G$10-$F$10))))</f>
        <v>1.11006953436341</v>
      </c>
      <c r="G470" s="38" t="n">
        <f aca="false">IF($G$11=$E$11,$F$11,IF(U470&lt;($F$11-$E$11)/($G$11-$E$11),$E$11+SQRT(U470*($G$11-$E$11)*($F$11-$E$11)),$G$11-SQRT((1-U470)*($G$11-$E$11)*($G$11-$F$11))))</f>
        <v>0.102045346900494</v>
      </c>
      <c r="H470" s="39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-2220139068.72683</v>
      </c>
      <c r="I470" s="39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12630252.4635134</v>
      </c>
      <c r="J470" s="39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329168357.874956</v>
      </c>
      <c r="K470" s="39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701209940.004569</v>
      </c>
      <c r="L470" s="39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842077543.159189</v>
      </c>
      <c r="M470" s="39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1036529500.58862</v>
      </c>
      <c r="N470" s="39" t="n">
        <f aca="false">IF(COUNT('Business Case'!B11:G11)=0,"",H470+NPV(G470,I470:M470))</f>
        <v>-205200430.918558</v>
      </c>
      <c r="P470" s="40" t="n">
        <f aca="true">RAND()</f>
        <v>0.871964440158937</v>
      </c>
      <c r="Q470" s="40" t="n">
        <f aca="true">RAND()</f>
        <v>0.683836864465207</v>
      </c>
      <c r="R470" s="40" t="n">
        <f aca="true">RAND()</f>
        <v>0.51259048764333</v>
      </c>
      <c r="S470" s="40" t="n">
        <f aca="true">RAND()</f>
        <v>0.27958791289007</v>
      </c>
      <c r="T470" s="40" t="n">
        <f aca="true">RAND()</f>
        <v>0.738926197156374</v>
      </c>
      <c r="U470" s="40" t="n">
        <f aca="true">RAND()</f>
        <v>0.479024913390856</v>
      </c>
    </row>
    <row r="471" customFormat="false" ht="15" hidden="false" customHeight="false" outlineLevel="0" collapsed="false">
      <c r="A471" s="36" t="n">
        <v>391</v>
      </c>
      <c r="B471" s="37" t="n">
        <f aca="false">1+IF($G$6=$E$6,$F$6,IF(P471&lt;($F$6-$E$6)/($G$6-$E$6),$E$6+SQRT(P471*($G$6-$E$6)*($F$6-$E$6)),$G$6-SQRT((1-P471)*($G$6-$E$6)*($G$6-$F$6))))</f>
        <v>0.97799921633711</v>
      </c>
      <c r="C471" s="37" t="n">
        <f aca="false">1+IF($G$7=$E$7,$F$7,IF(Q471&lt;($F$7-$E$7)/($G$7-$E$7),$E$7+SQRT(Q471*($G$7-$E$7)*($F$7-$E$7)),$G$7-SQRT((1-Q471)*($G$7-$E$7)*($G$7-$F$7))))</f>
        <v>1.03911282203305</v>
      </c>
      <c r="D471" s="37" t="n">
        <f aca="false">1+IF($G$8=$E$8,$F$8,IF(R471&lt;($F$8-$E$8)/($G$8-$E$8),$E$8+SQRT(R471*($G$8-$E$8)*($F$8-$E$8)),$G$8-SQRT((1-R471)*($G$8-$E$8)*($G$8-$F$8))))</f>
        <v>1.00833935140727</v>
      </c>
      <c r="E471" s="37" t="n">
        <f aca="false">1+IF($G$9=$E$9,$F$9,IF(S471&lt;($F$9-$E$9)/($G$9-$E$9),$E$9+SQRT(S471*($G$9-$E$9)*($F$9-$E$9)),$G$9-SQRT((1-S471)*($G$9-$E$9)*($G$9-$F$9))))</f>
        <v>1.02642747239853</v>
      </c>
      <c r="F471" s="37" t="n">
        <f aca="false">1+IF($G$10=$E$10,$F$10,IF(T471&lt;($F$10-$E$10)/($G$10-$E$10),$E$10+SQRT(T471*($G$10-$E$10)*($F$10-$E$10)),$G$10-SQRT((1-T471)*($G$10-$E$10)*($G$10-$F$10))))</f>
        <v>1.20974347320422</v>
      </c>
      <c r="G471" s="38" t="n">
        <f aca="false">IF($G$11=$E$11,$F$11,IF(U471&lt;($F$11-$E$11)/($G$11-$E$11),$E$11+SQRT(U471*($G$11-$E$11)*($F$11-$E$11)),$G$11-SQRT((1-U471)*($G$11-$E$11)*($G$11-$F$11))))</f>
        <v>0.0935411263208293</v>
      </c>
      <c r="H471" s="39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-2419486946.40844</v>
      </c>
      <c r="I471" s="39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-23610335.8042046</v>
      </c>
      <c r="J471" s="39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272394141.375958</v>
      </c>
      <c r="K471" s="39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628885792.216332</v>
      </c>
      <c r="L471" s="39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762675604.002304</v>
      </c>
      <c r="M471" s="39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955844693.994846</v>
      </c>
      <c r="N471" s="39" t="n">
        <f aca="false">IF(COUNT('Business Case'!B11:G11)=0,"",H471+NPV(G471,I471:M471))</f>
        <v>-587804439.360579</v>
      </c>
      <c r="P471" s="40" t="n">
        <f aca="true">RAND()</f>
        <v>0.405591849946884</v>
      </c>
      <c r="Q471" s="40" t="n">
        <f aca="true">RAND()</f>
        <v>0.817837537222613</v>
      </c>
      <c r="R471" s="40" t="n">
        <f aca="true">RAND()</f>
        <v>0.439888366637344</v>
      </c>
      <c r="S471" s="40" t="n">
        <f aca="true">RAND()</f>
        <v>0.592795477924879</v>
      </c>
      <c r="T471" s="40" t="n">
        <f aca="true">RAND()</f>
        <v>0.978392160671207</v>
      </c>
      <c r="U471" s="40" t="n">
        <f aca="true">RAND()</f>
        <v>0.183362102036655</v>
      </c>
    </row>
    <row r="472" customFormat="false" ht="15" hidden="false" customHeight="false" outlineLevel="0" collapsed="false">
      <c r="A472" s="36" t="n">
        <v>392</v>
      </c>
      <c r="B472" s="37" t="n">
        <f aca="false">1+IF($G$6=$E$6,$F$6,IF(P472&lt;($F$6-$E$6)/($G$6-$E$6),$E$6+SQRT(P472*($G$6-$E$6)*($F$6-$E$6)),$G$6-SQRT((1-P472)*($G$6-$E$6)*($G$6-$F$6))))</f>
        <v>1.02409369906334</v>
      </c>
      <c r="C472" s="37" t="n">
        <f aca="false">1+IF($G$7=$E$7,$F$7,IF(Q472&lt;($F$7-$E$7)/($G$7-$E$7),$E$7+SQRT(Q472*($G$7-$E$7)*($F$7-$E$7)),$G$7-SQRT((1-Q472)*($G$7-$E$7)*($G$7-$F$7))))</f>
        <v>0.953088788882693</v>
      </c>
      <c r="D472" s="37" t="n">
        <f aca="false">1+IF($G$8=$E$8,$F$8,IF(R472&lt;($F$8-$E$8)/($G$8-$E$8),$E$8+SQRT(R472*($G$8-$E$8)*($F$8-$E$8)),$G$8-SQRT((1-R472)*($G$8-$E$8)*($G$8-$F$8))))</f>
        <v>1.0652147493578</v>
      </c>
      <c r="E472" s="37" t="n">
        <f aca="false">1+IF($G$9=$E$9,$F$9,IF(S472&lt;($F$9-$E$9)/($G$9-$E$9),$E$9+SQRT(S472*($G$9-$E$9)*($F$9-$E$9)),$G$9-SQRT((1-S472)*($G$9-$E$9)*($G$9-$F$9))))</f>
        <v>1.07570683978036</v>
      </c>
      <c r="F472" s="37" t="n">
        <f aca="false">1+IF($G$10=$E$10,$F$10,IF(T472&lt;($F$10-$E$10)/($G$10-$E$10),$E$10+SQRT(T472*($G$10-$E$10)*($F$10-$E$10)),$G$10-SQRT((1-T472)*($G$10-$E$10)*($G$10-$F$10))))</f>
        <v>1.13351837946922</v>
      </c>
      <c r="G472" s="38" t="n">
        <f aca="false">IF($G$11=$E$11,$F$11,IF(U472&lt;($F$11-$E$11)/($G$11-$E$11),$E$11+SQRT(U472*($G$11-$E$11)*($F$11-$E$11)),$G$11-SQRT((1-U472)*($G$11-$E$11)*($G$11-$F$11))))</f>
        <v>0.0961435272301671</v>
      </c>
      <c r="H472" s="39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-2267036758.93845</v>
      </c>
      <c r="I472" s="39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-37182680.1123007</v>
      </c>
      <c r="J472" s="39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242550537.597173</v>
      </c>
      <c r="K472" s="39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578959674.280108</v>
      </c>
      <c r="L472" s="39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705936445.021989</v>
      </c>
      <c r="M472" s="39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891464451.634966</v>
      </c>
      <c r="N472" s="39" t="n">
        <f aca="false">IF(COUNT('Business Case'!B11:G11)=0,"",H472+NPV(G472,I472:M472))</f>
        <v>-607181293.551931</v>
      </c>
      <c r="P472" s="40" t="n">
        <f aca="true">RAND()</f>
        <v>0.910515142903924</v>
      </c>
      <c r="Q472" s="40" t="n">
        <f aca="true">RAND()</f>
        <v>0.474473593023025</v>
      </c>
      <c r="R472" s="40" t="n">
        <f aca="true">RAND()</f>
        <v>0.91933242251731</v>
      </c>
      <c r="S472" s="40" t="n">
        <f aca="true">RAND()</f>
        <v>0.852814035855455</v>
      </c>
      <c r="T472" s="40" t="n">
        <f aca="true">RAND()</f>
        <v>0.819093761046988</v>
      </c>
      <c r="U472" s="40" t="n">
        <f aca="true">RAND()</f>
        <v>0.260613471431146</v>
      </c>
    </row>
    <row r="473" customFormat="false" ht="15" hidden="false" customHeight="false" outlineLevel="0" collapsed="false">
      <c r="A473" s="36" t="n">
        <v>393</v>
      </c>
      <c r="B473" s="37" t="n">
        <f aca="false">1+IF($G$6=$E$6,$F$6,IF(P473&lt;($F$6-$E$6)/($G$6-$E$6),$E$6+SQRT(P473*($G$6-$E$6)*($F$6-$E$6)),$G$6-SQRT((1-P473)*($G$6-$E$6)*($G$6-$F$6))))</f>
        <v>0.982631420112925</v>
      </c>
      <c r="C473" s="37" t="n">
        <f aca="false">1+IF($G$7=$E$7,$F$7,IF(Q473&lt;($F$7-$E$7)/($G$7-$E$7),$E$7+SQRT(Q473*($G$7-$E$7)*($F$7-$E$7)),$G$7-SQRT((1-Q473)*($G$7-$E$7)*($G$7-$F$7))))</f>
        <v>1.00349615647166</v>
      </c>
      <c r="D473" s="37" t="n">
        <f aca="false">1+IF($G$8=$E$8,$F$8,IF(R473&lt;($F$8-$E$8)/($G$8-$E$8),$E$8+SQRT(R473*($G$8-$E$8)*($F$8-$E$8)),$G$8-SQRT((1-R473)*($G$8-$E$8)*($G$8-$F$8))))</f>
        <v>1.04597591270813</v>
      </c>
      <c r="E473" s="37" t="n">
        <f aca="false">1+IF($G$9=$E$9,$F$9,IF(S473&lt;($F$9-$E$9)/($G$9-$E$9),$E$9+SQRT(S473*($G$9-$E$9)*($F$9-$E$9)),$G$9-SQRT((1-S473)*($G$9-$E$9)*($G$9-$F$9))))</f>
        <v>1.08023507608547</v>
      </c>
      <c r="F473" s="37" t="n">
        <f aca="false">1+IF($G$10=$E$10,$F$10,IF(T473&lt;($F$10-$E$10)/($G$10-$E$10),$E$10+SQRT(T473*($G$10-$E$10)*($F$10-$E$10)),$G$10-SQRT((1-T473)*($G$10-$E$10)*($G$10-$F$10))))</f>
        <v>1.01959694915123</v>
      </c>
      <c r="G473" s="38" t="n">
        <f aca="false">IF($G$11=$E$11,$F$11,IF(U473&lt;($F$11-$E$11)/($G$11-$E$11),$E$11+SQRT(U473*($G$11-$E$11)*($F$11-$E$11)),$G$11-SQRT((1-U473)*($G$11-$E$11)*($G$11-$F$11))))</f>
        <v>0.116476652858178</v>
      </c>
      <c r="H473" s="39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-2039193898.30245</v>
      </c>
      <c r="I473" s="39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-36355105.8900962</v>
      </c>
      <c r="J473" s="39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233976616.629959</v>
      </c>
      <c r="K473" s="39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555288186.607575</v>
      </c>
      <c r="L473" s="39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679477231.231376</v>
      </c>
      <c r="M473" s="39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866908818.708847</v>
      </c>
      <c r="N473" s="39" t="n">
        <f aca="false">IF(COUNT('Business Case'!B11:G11)=0,"",H473+NPV(G473,I473:M473))</f>
        <v>-548040474.655843</v>
      </c>
      <c r="P473" s="40" t="n">
        <f aca="true">RAND()</f>
        <v>0.455196772658576</v>
      </c>
      <c r="Q473" s="40" t="n">
        <f aca="true">RAND()</f>
        <v>0.682024056761848</v>
      </c>
      <c r="R473" s="40" t="n">
        <f aca="true">RAND()</f>
        <v>0.80542653281867</v>
      </c>
      <c r="S473" s="40" t="n">
        <f aca="true">RAND()</f>
        <v>0.870209477098679</v>
      </c>
      <c r="T473" s="40" t="n">
        <f aca="true">RAND()</f>
        <v>0.292192455461038</v>
      </c>
      <c r="U473" s="40" t="n">
        <f aca="true">RAND()</f>
        <v>0.878079388054508</v>
      </c>
    </row>
    <row r="474" customFormat="false" ht="15" hidden="false" customHeight="false" outlineLevel="0" collapsed="false">
      <c r="A474" s="36" t="n">
        <v>394</v>
      </c>
      <c r="B474" s="37" t="n">
        <f aca="false">1+IF($G$6=$E$6,$F$6,IF(P474&lt;($F$6-$E$6)/($G$6-$E$6),$E$6+SQRT(P474*($G$6-$E$6)*($F$6-$E$6)),$G$6-SQRT((1-P474)*($G$6-$E$6)*($G$6-$F$6))))</f>
        <v>0.967890583861151</v>
      </c>
      <c r="C474" s="37" t="n">
        <f aca="false">1+IF($G$7=$E$7,$F$7,IF(Q474&lt;($F$7-$E$7)/($G$7-$E$7),$E$7+SQRT(Q474*($G$7-$E$7)*($F$7-$E$7)),$G$7-SQRT((1-Q474)*($G$7-$E$7)*($G$7-$F$7))))</f>
        <v>0.985488405000667</v>
      </c>
      <c r="D474" s="37" t="n">
        <f aca="false">1+IF($G$8=$E$8,$F$8,IF(R474&lt;($F$8-$E$8)/($G$8-$E$8),$E$8+SQRT(R474*($G$8-$E$8)*($F$8-$E$8)),$G$8-SQRT((1-R474)*($G$8-$E$8)*($G$8-$F$8))))</f>
        <v>1.0060796235077</v>
      </c>
      <c r="E474" s="37" t="n">
        <f aca="false">1+IF($G$9=$E$9,$F$9,IF(S474&lt;($F$9-$E$9)/($G$9-$E$9),$E$9+SQRT(S474*($G$9-$E$9)*($F$9-$E$9)),$G$9-SQRT((1-S474)*($G$9-$E$9)*($G$9-$F$9))))</f>
        <v>1.04096149240839</v>
      </c>
      <c r="F474" s="37" t="n">
        <f aca="false">1+IF($G$10=$E$10,$F$10,IF(T474&lt;($F$10-$E$10)/($G$10-$E$10),$E$10+SQRT(T474*($G$10-$E$10)*($F$10-$E$10)),$G$10-SQRT((1-T474)*($G$10-$E$10)*($G$10-$F$10))))</f>
        <v>1.07922274643764</v>
      </c>
      <c r="G474" s="38" t="n">
        <f aca="false">IF($G$11=$E$11,$F$11,IF(U474&lt;($F$11-$E$11)/($G$11-$E$11),$E$11+SQRT(U474*($G$11-$E$11)*($F$11-$E$11)),$G$11-SQRT((1-U474)*($G$11-$E$11)*($G$11-$F$11))))</f>
        <v>0.10299972776739</v>
      </c>
      <c r="H474" s="39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-2158445492.87528</v>
      </c>
      <c r="I474" s="39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-31684972.941577</v>
      </c>
      <c r="J474" s="39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242024375.070083</v>
      </c>
      <c r="K474" s="39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569694860.403625</v>
      </c>
      <c r="L474" s="39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693896191.133513</v>
      </c>
      <c r="M474" s="39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875203038.793182</v>
      </c>
      <c r="N474" s="39" t="n">
        <f aca="false">IF(COUNT('Business Case'!B11:G11)=0,"",H474+NPV(G474,I474:M474))</f>
        <v>-558812081.68841</v>
      </c>
      <c r="P474" s="40" t="n">
        <f aca="true">RAND()</f>
        <v>0.307275425133861</v>
      </c>
      <c r="Q474" s="40" t="n">
        <f aca="true">RAND()</f>
        <v>0.603730588072778</v>
      </c>
      <c r="R474" s="40" t="n">
        <f aca="true">RAND()</f>
        <v>0.411930858636322</v>
      </c>
      <c r="S474" s="40" t="n">
        <f aca="true">RAND()</f>
        <v>0.682949436325178</v>
      </c>
      <c r="T474" s="40" t="n">
        <f aca="true">RAND()</f>
        <v>0.61113506220929</v>
      </c>
      <c r="U474" s="40" t="n">
        <f aca="true">RAND()</f>
        <v>0.513990199576634</v>
      </c>
    </row>
    <row r="475" customFormat="false" ht="15" hidden="false" customHeight="false" outlineLevel="0" collapsed="false">
      <c r="A475" s="36" t="n">
        <v>395</v>
      </c>
      <c r="B475" s="37" t="n">
        <f aca="false">1+IF($G$6=$E$6,$F$6,IF(P475&lt;($F$6-$E$6)/($G$6-$E$6),$E$6+SQRT(P475*($G$6-$E$6)*($F$6-$E$6)),$G$6-SQRT((1-P475)*($G$6-$E$6)*($G$6-$F$6))))</f>
        <v>0.996503349049724</v>
      </c>
      <c r="C475" s="37" t="n">
        <f aca="false">1+IF($G$7=$E$7,$F$7,IF(Q475&lt;($F$7-$E$7)/($G$7-$E$7),$E$7+SQRT(Q475*($G$7-$E$7)*($F$7-$E$7)),$G$7-SQRT((1-Q475)*($G$7-$E$7)*($G$7-$F$7))))</f>
        <v>0.899160226529711</v>
      </c>
      <c r="D475" s="37" t="n">
        <f aca="false">1+IF($G$8=$E$8,$F$8,IF(R475&lt;($F$8-$E$8)/($G$8-$E$8),$E$8+SQRT(R475*($G$8-$E$8)*($F$8-$E$8)),$G$8-SQRT((1-R475)*($G$8-$E$8)*($G$8-$F$8))))</f>
        <v>0.97787982587035</v>
      </c>
      <c r="E475" s="37" t="n">
        <f aca="false">1+IF($G$9=$E$9,$F$9,IF(S475&lt;($F$9-$E$9)/($G$9-$E$9),$E$9+SQRT(S475*($G$9-$E$9)*($F$9-$E$9)),$G$9-SQRT((1-S475)*($G$9-$E$9)*($G$9-$F$9))))</f>
        <v>0.945132329618817</v>
      </c>
      <c r="F475" s="37" t="n">
        <f aca="false">1+IF($G$10=$E$10,$F$10,IF(T475&lt;($F$10-$E$10)/($G$10-$E$10),$E$10+SQRT(T475*($G$10-$E$10)*($F$10-$E$10)),$G$10-SQRT((1-T475)*($G$10-$E$10)*($G$10-$F$10))))</f>
        <v>0.975874882434648</v>
      </c>
      <c r="G475" s="38" t="n">
        <f aca="false">IF($G$11=$E$11,$F$11,IF(U475&lt;($F$11-$E$11)/($G$11-$E$11),$E$11+SQRT(U475*($G$11-$E$11)*($F$11-$E$11)),$G$11-SQRT((1-U475)*($G$11-$E$11)*($G$11-$F$11))))</f>
        <v>0.0998153363908675</v>
      </c>
      <c r="H475" s="39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-1951749764.8693</v>
      </c>
      <c r="I475" s="39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5350749.07833894</v>
      </c>
      <c r="J475" s="39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289136282.291204</v>
      </c>
      <c r="K475" s="39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621715559.625801</v>
      </c>
      <c r="L475" s="39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747277056.442933</v>
      </c>
      <c r="M475" s="39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917591811.38024</v>
      </c>
      <c r="N475" s="39" t="n">
        <f aca="false">IF(COUNT('Business Case'!B11:G11)=0,"",H475+NPV(G475,I475:M475))</f>
        <v>-159535382.528892</v>
      </c>
      <c r="P475" s="40" t="n">
        <f aca="true">RAND()</f>
        <v>0.620859758520853</v>
      </c>
      <c r="Q475" s="40" t="n">
        <f aca="true">RAND()</f>
        <v>0.29381330245456</v>
      </c>
      <c r="R475" s="40" t="n">
        <f aca="true">RAND()</f>
        <v>0.103637958741469</v>
      </c>
      <c r="S475" s="40" t="n">
        <f aca="true">RAND()</f>
        <v>0.0814770870728617</v>
      </c>
      <c r="T475" s="40" t="n">
        <f aca="true">RAND()</f>
        <v>0.0446339694004551</v>
      </c>
      <c r="U475" s="40" t="n">
        <f aca="true">RAND()</f>
        <v>0.392647556283238</v>
      </c>
    </row>
    <row r="476" customFormat="false" ht="15" hidden="false" customHeight="false" outlineLevel="0" collapsed="false">
      <c r="A476" s="36" t="n">
        <v>396</v>
      </c>
      <c r="B476" s="37" t="n">
        <f aca="false">1+IF($G$6=$E$6,$F$6,IF(P476&lt;($F$6-$E$6)/($G$6-$E$6),$E$6+SQRT(P476*($G$6-$E$6)*($F$6-$E$6)),$G$6-SQRT((1-P476)*($G$6-$E$6)*($G$6-$F$6))))</f>
        <v>1.00693336967326</v>
      </c>
      <c r="C476" s="37" t="n">
        <f aca="false">1+IF($G$7=$E$7,$F$7,IF(Q476&lt;($F$7-$E$7)/($G$7-$E$7),$E$7+SQRT(Q476*($G$7-$E$7)*($F$7-$E$7)),$G$7-SQRT((1-Q476)*($G$7-$E$7)*($G$7-$F$7))))</f>
        <v>0.850744807704199</v>
      </c>
      <c r="D476" s="37" t="n">
        <f aca="false">1+IF($G$8=$E$8,$F$8,IF(R476&lt;($F$8-$E$8)/($G$8-$E$8),$E$8+SQRT(R476*($G$8-$E$8)*($F$8-$E$8)),$G$8-SQRT((1-R476)*($G$8-$E$8)*($G$8-$F$8))))</f>
        <v>1.01694535397237</v>
      </c>
      <c r="E476" s="37" t="n">
        <f aca="false">1+IF($G$9=$E$9,$F$9,IF(S476&lt;($F$9-$E$9)/($G$9-$E$9),$E$9+SQRT(S476*($G$9-$E$9)*($F$9-$E$9)),$G$9-SQRT((1-S476)*($G$9-$E$9)*($G$9-$F$9))))</f>
        <v>0.960252326777828</v>
      </c>
      <c r="F476" s="37" t="n">
        <f aca="false">1+IF($G$10=$E$10,$F$10,IF(T476&lt;($F$10-$E$10)/($G$10-$E$10),$E$10+SQRT(T476*($G$10-$E$10)*($F$10-$E$10)),$G$10-SQRT((1-T476)*($G$10-$E$10)*($G$10-$F$10))))</f>
        <v>1.07662650382969</v>
      </c>
      <c r="G476" s="38" t="n">
        <f aca="false">IF($G$11=$E$11,$F$11,IF(U476&lt;($F$11-$E$11)/($G$11-$E$11),$E$11+SQRT(U476*($G$11-$E$11)*($F$11-$E$11)),$G$11-SQRT((1-U476)*($G$11-$E$11)*($G$11-$F$11))))</f>
        <v>0.0968003776192969</v>
      </c>
      <c r="H476" s="39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-2153253007.65937</v>
      </c>
      <c r="I476" s="39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-29859560.0028186</v>
      </c>
      <c r="J476" s="39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228899801.780974</v>
      </c>
      <c r="K476" s="39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541490488.756252</v>
      </c>
      <c r="L476" s="39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657349203.041407</v>
      </c>
      <c r="M476" s="39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820179968.339471</v>
      </c>
      <c r="N476" s="39" t="n">
        <f aca="false">IF(COUNT('Business Case'!B11:G11)=0,"",H476+NPV(G476,I476:M476))</f>
        <v>-608818484.827557</v>
      </c>
      <c r="P476" s="40" t="n">
        <f aca="true">RAND()</f>
        <v>0.75270204697336</v>
      </c>
      <c r="Q476" s="40" t="n">
        <f aca="true">RAND()</f>
        <v>0.168325904072413</v>
      </c>
      <c r="R476" s="40" t="n">
        <f aca="true">RAND()</f>
        <v>0.540128384881632</v>
      </c>
      <c r="S476" s="40" t="n">
        <f aca="true">RAND()</f>
        <v>0.145213715285687</v>
      </c>
      <c r="T476" s="40" t="n">
        <f aca="true">RAND()</f>
        <v>0.599221744342432</v>
      </c>
      <c r="U476" s="40" t="n">
        <f aca="true">RAND()</f>
        <v>0.282252688150974</v>
      </c>
    </row>
    <row r="477" customFormat="false" ht="15" hidden="false" customHeight="false" outlineLevel="0" collapsed="false">
      <c r="A477" s="36" t="n">
        <v>397</v>
      </c>
      <c r="B477" s="37" t="n">
        <f aca="false">1+IF($G$6=$E$6,$F$6,IF(P477&lt;($F$6-$E$6)/($G$6-$E$6),$E$6+SQRT(P477*($G$6-$E$6)*($F$6-$E$6)),$G$6-SQRT((1-P477)*($G$6-$E$6)*($G$6-$F$6))))</f>
        <v>0.974370865764553</v>
      </c>
      <c r="C477" s="37" t="n">
        <f aca="false">1+IF($G$7=$E$7,$F$7,IF(Q477&lt;($F$7-$E$7)/($G$7-$E$7),$E$7+SQRT(Q477*($G$7-$E$7)*($F$7-$E$7)),$G$7-SQRT((1-Q477)*($G$7-$E$7)*($G$7-$F$7))))</f>
        <v>0.927109924750875</v>
      </c>
      <c r="D477" s="37" t="n">
        <f aca="false">1+IF($G$8=$E$8,$F$8,IF(R477&lt;($F$8-$E$8)/($G$8-$E$8),$E$8+SQRT(R477*($G$8-$E$8)*($F$8-$E$8)),$G$8-SQRT((1-R477)*($G$8-$E$8)*($G$8-$F$8))))</f>
        <v>1.02029323852958</v>
      </c>
      <c r="E477" s="37" t="n">
        <f aca="false">1+IF($G$9=$E$9,$F$9,IF(S477&lt;($F$9-$E$9)/($G$9-$E$9),$E$9+SQRT(S477*($G$9-$E$9)*($F$9-$E$9)),$G$9-SQRT((1-S477)*($G$9-$E$9)*($G$9-$F$9))))</f>
        <v>1.05096208027431</v>
      </c>
      <c r="F477" s="37" t="n">
        <f aca="false">1+IF($G$10=$E$10,$F$10,IF(T477&lt;($F$10-$E$10)/($G$10-$E$10),$E$10+SQRT(T477*($G$10-$E$10)*($F$10-$E$10)),$G$10-SQRT((1-T477)*($G$10-$E$10)*($G$10-$F$10))))</f>
        <v>0.998461346224531</v>
      </c>
      <c r="G477" s="38" t="n">
        <f aca="false">IF($G$11=$E$11,$F$11,IF(U477&lt;($F$11-$E$11)/($G$11-$E$11),$E$11+SQRT(U477*($G$11-$E$11)*($F$11-$E$11)),$G$11-SQRT((1-U477)*($G$11-$E$11)*($G$11-$F$11))))</f>
        <v>0.10096798103826</v>
      </c>
      <c r="H477" s="39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-1996922692.44906</v>
      </c>
      <c r="I477" s="39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-40452166.8938347</v>
      </c>
      <c r="J477" s="39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215218215.627783</v>
      </c>
      <c r="K477" s="39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520811665.460627</v>
      </c>
      <c r="L477" s="39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637254864.286494</v>
      </c>
      <c r="M477" s="39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808963423.205797</v>
      </c>
      <c r="N477" s="39" t="n">
        <f aca="false">IF(COUNT('Business Case'!B11:G11)=0,"",H477+NPV(G477,I477:M477))</f>
        <v>-532025733.607222</v>
      </c>
      <c r="P477" s="40" t="n">
        <f aca="true">RAND()</f>
        <v>0.368735044971277</v>
      </c>
      <c r="Q477" s="40" t="n">
        <f aca="true">RAND()</f>
        <v>0.382066058669245</v>
      </c>
      <c r="R477" s="40" t="n">
        <f aca="true">RAND()</f>
        <v>0.576455478393218</v>
      </c>
      <c r="S477" s="40" t="n">
        <f aca="true">RAND()</f>
        <v>0.738439745504226</v>
      </c>
      <c r="T477" s="40" t="n">
        <f aca="true">RAND()</f>
        <v>0.156566805192927</v>
      </c>
      <c r="U477" s="40" t="n">
        <f aca="true">RAND()</f>
        <v>0.438094583336781</v>
      </c>
    </row>
    <row r="478" customFormat="false" ht="15" hidden="false" customHeight="false" outlineLevel="0" collapsed="false">
      <c r="A478" s="36" t="n">
        <v>398</v>
      </c>
      <c r="B478" s="37" t="n">
        <f aca="false">1+IF($G$6=$E$6,$F$6,IF(P478&lt;($F$6-$E$6)/($G$6-$E$6),$E$6+SQRT(P478*($G$6-$E$6)*($F$6-$E$6)),$G$6-SQRT((1-P478)*($G$6-$E$6)*($G$6-$F$6))))</f>
        <v>0.996319292047238</v>
      </c>
      <c r="C478" s="37" t="n">
        <f aca="false">1+IF($G$7=$E$7,$F$7,IF(Q478&lt;($F$7-$E$7)/($G$7-$E$7),$E$7+SQRT(Q478*($G$7-$E$7)*($F$7-$E$7)),$G$7-SQRT((1-Q478)*($G$7-$E$7)*($G$7-$F$7))))</f>
        <v>1.09134349389613</v>
      </c>
      <c r="D478" s="37" t="n">
        <f aca="false">1+IF($G$8=$E$8,$F$8,IF(R478&lt;($F$8-$E$8)/($G$8-$E$8),$E$8+SQRT(R478*($G$8-$E$8)*($F$8-$E$8)),$G$8-SQRT((1-R478)*($G$8-$E$8)*($G$8-$F$8))))</f>
        <v>1.01653804705312</v>
      </c>
      <c r="E478" s="37" t="n">
        <f aca="false">1+IF($G$9=$E$9,$F$9,IF(S478&lt;($F$9-$E$9)/($G$9-$E$9),$E$9+SQRT(S478*($G$9-$E$9)*($F$9-$E$9)),$G$9-SQRT((1-S478)*($G$9-$E$9)*($G$9-$F$9))))</f>
        <v>1.09849065748456</v>
      </c>
      <c r="F478" s="37" t="n">
        <f aca="false">1+IF($G$10=$E$10,$F$10,IF(T478&lt;($F$10-$E$10)/($G$10-$E$10),$E$10+SQRT(T478*($G$10-$E$10)*($F$10-$E$10)),$G$10-SQRT((1-T478)*($G$10-$E$10)*($G$10-$F$10))))</f>
        <v>1.05022323036202</v>
      </c>
      <c r="G478" s="38" t="n">
        <f aca="false">IF($G$11=$E$11,$F$11,IF(U478&lt;($F$11-$E$11)/($G$11-$E$11),$E$11+SQRT(U478*($G$11-$E$11)*($F$11-$E$11)),$G$11-SQRT((1-U478)*($G$11-$E$11)*($G$11-$F$11))))</f>
        <v>0.114112579033213</v>
      </c>
      <c r="H478" s="39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-2100446460.72404</v>
      </c>
      <c r="I478" s="39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5084003.15501873</v>
      </c>
      <c r="J478" s="39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327762710.603574</v>
      </c>
      <c r="K478" s="39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702952579.570231</v>
      </c>
      <c r="L478" s="39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848090155.228436</v>
      </c>
      <c r="M478" s="39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1054769191.02621</v>
      </c>
      <c r="N478" s="39" t="n">
        <f aca="false">IF(COUNT('Business Case'!B11:G11)=0,"",H478+NPV(G478,I478:M478))</f>
        <v>-158556055.066655</v>
      </c>
      <c r="P478" s="40" t="n">
        <f aca="true">RAND()</f>
        <v>0.618493734698741</v>
      </c>
      <c r="Q478" s="40" t="n">
        <f aca="true">RAND()</f>
        <v>0.949028359876836</v>
      </c>
      <c r="R478" s="40" t="n">
        <f aca="true">RAND()</f>
        <v>0.535606827352832</v>
      </c>
      <c r="S478" s="40" t="n">
        <f aca="true">RAND()</f>
        <v>0.929247670230057</v>
      </c>
      <c r="T478" s="40" t="n">
        <f aca="true">RAND()</f>
        <v>0.467856564173508</v>
      </c>
      <c r="U478" s="40" t="n">
        <f aca="true">RAND()</f>
        <v>0.831726570016062</v>
      </c>
    </row>
    <row r="479" customFormat="false" ht="15" hidden="false" customHeight="false" outlineLevel="0" collapsed="false">
      <c r="A479" s="36" t="n">
        <v>399</v>
      </c>
      <c r="B479" s="37" t="n">
        <f aca="false">1+IF($G$6=$E$6,$F$6,IF(P479&lt;($F$6-$E$6)/($G$6-$E$6),$E$6+SQRT(P479*($G$6-$E$6)*($F$6-$E$6)),$G$6-SQRT((1-P479)*($G$6-$E$6)*($G$6-$F$6))))</f>
        <v>0.988699736581942</v>
      </c>
      <c r="C479" s="37" t="n">
        <f aca="false">1+IF($G$7=$E$7,$F$7,IF(Q479&lt;($F$7-$E$7)/($G$7-$E$7),$E$7+SQRT(Q479*($G$7-$E$7)*($F$7-$E$7)),$G$7-SQRT((1-Q479)*($G$7-$E$7)*($G$7-$F$7))))</f>
        <v>1.00482898253559</v>
      </c>
      <c r="D479" s="37" t="n">
        <f aca="false">1+IF($G$8=$E$8,$F$8,IF(R479&lt;($F$8-$E$8)/($G$8-$E$8),$E$8+SQRT(R479*($G$8-$E$8)*($F$8-$E$8)),$G$8-SQRT((1-R479)*($G$8-$E$8)*($G$8-$F$8))))</f>
        <v>1.03930903992885</v>
      </c>
      <c r="E479" s="37" t="n">
        <f aca="false">1+IF($G$9=$E$9,$F$9,IF(S479&lt;($F$9-$E$9)/($G$9-$E$9),$E$9+SQRT(S479*($G$9-$E$9)*($F$9-$E$9)),$G$9-SQRT((1-S479)*($G$9-$E$9)*($G$9-$F$9))))</f>
        <v>1.01472686436035</v>
      </c>
      <c r="F479" s="37" t="n">
        <f aca="false">1+IF($G$10=$E$10,$F$10,IF(T479&lt;($F$10-$E$10)/($G$10-$E$10),$E$10+SQRT(T479*($G$10-$E$10)*($F$10-$E$10)),$G$10-SQRT((1-T479)*($G$10-$E$10)*($G$10-$F$10))))</f>
        <v>1.18320510098172</v>
      </c>
      <c r="G479" s="38" t="n">
        <f aca="false">IF($G$11=$E$11,$F$11,IF(U479&lt;($F$11-$E$11)/($G$11-$E$11),$E$11+SQRT(U479*($G$11-$E$11)*($F$11-$E$11)),$G$11-SQRT((1-U479)*($G$11-$E$11)*($G$11-$F$11))))</f>
        <v>0.0892691275242211</v>
      </c>
      <c r="H479" s="39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-2366410201.96343</v>
      </c>
      <c r="I479" s="39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-35001821.37422</v>
      </c>
      <c r="J479" s="39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244112727.415545</v>
      </c>
      <c r="K479" s="39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582387531.254397</v>
      </c>
      <c r="L479" s="39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709760180.820167</v>
      </c>
      <c r="M479" s="39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898599747.317333</v>
      </c>
      <c r="N479" s="39" t="n">
        <f aca="false">IF(COUNT('Business Case'!B11:G11)=0,"",H479+NPV(G479,I479:M479))</f>
        <v>-652034010.642195</v>
      </c>
      <c r="P479" s="40" t="n">
        <f aca="true">RAND()</f>
        <v>0.524509551313729</v>
      </c>
      <c r="Q479" s="40" t="n">
        <f aca="true">RAND()</f>
        <v>0.687783343531068</v>
      </c>
      <c r="R479" s="40" t="n">
        <f aca="true">RAND()</f>
        <v>0.754440491042797</v>
      </c>
      <c r="S479" s="40" t="n">
        <f aca="true">RAND()</f>
        <v>0.512031433979085</v>
      </c>
      <c r="T479" s="40" t="n">
        <f aca="true">RAND()</f>
        <v>0.940512552868498</v>
      </c>
      <c r="U479" s="40" t="n">
        <f aca="true">RAND()</f>
        <v>0.0859167250602724</v>
      </c>
    </row>
    <row r="480" customFormat="false" ht="15" hidden="false" customHeight="false" outlineLevel="0" collapsed="false">
      <c r="A480" s="36" t="n">
        <v>400</v>
      </c>
      <c r="B480" s="37" t="n">
        <f aca="false">1+IF($G$6=$E$6,$F$6,IF(P480&lt;($F$6-$E$6)/($G$6-$E$6),$E$6+SQRT(P480*($G$6-$E$6)*($F$6-$E$6)),$G$6-SQRT((1-P480)*($G$6-$E$6)*($G$6-$F$6))))</f>
        <v>1.03075978175812</v>
      </c>
      <c r="C480" s="37" t="n">
        <f aca="false">1+IF($G$7=$E$7,$F$7,IF(Q480&lt;($F$7-$E$7)/($G$7-$E$7),$E$7+SQRT(Q480*($G$7-$E$7)*($F$7-$E$7)),$G$7-SQRT((1-Q480)*($G$7-$E$7)*($G$7-$F$7))))</f>
        <v>0.958338382080124</v>
      </c>
      <c r="D480" s="37" t="n">
        <f aca="false">1+IF($G$8=$E$8,$F$8,IF(R480&lt;($F$8-$E$8)/($G$8-$E$8),$E$8+SQRT(R480*($G$8-$E$8)*($F$8-$E$8)),$G$8-SQRT((1-R480)*($G$8-$E$8)*($G$8-$F$8))))</f>
        <v>1.00129547700649</v>
      </c>
      <c r="E480" s="37" t="n">
        <f aca="false">1+IF($G$9=$E$9,$F$9,IF(S480&lt;($F$9-$E$9)/($G$9-$E$9),$E$9+SQRT(S480*($G$9-$E$9)*($F$9-$E$9)),$G$9-SQRT((1-S480)*($G$9-$E$9)*($G$9-$F$9))))</f>
        <v>1.00031831484498</v>
      </c>
      <c r="F480" s="37" t="n">
        <f aca="false">1+IF($G$10=$E$10,$F$10,IF(T480&lt;($F$10-$E$10)/($G$10-$E$10),$E$10+SQRT(T480*($G$10-$E$10)*($F$10-$E$10)),$G$10-SQRT((1-T480)*($G$10-$E$10)*($G$10-$F$10))))</f>
        <v>1.15210689271929</v>
      </c>
      <c r="G480" s="38" t="n">
        <f aca="false">IF($G$11=$E$11,$F$11,IF(U480&lt;($F$11-$E$11)/($G$11-$E$11),$E$11+SQRT(U480*($G$11-$E$11)*($F$11-$E$11)),$G$11-SQRT((1-U480)*($G$11-$E$11)*($G$11-$F$11))))</f>
        <v>0.0924232902945927</v>
      </c>
      <c r="H480" s="39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-2304213785.43859</v>
      </c>
      <c r="I480" s="39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9200463.27437806</v>
      </c>
      <c r="J480" s="39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327065295.927085</v>
      </c>
      <c r="K480" s="39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702535473.215757</v>
      </c>
      <c r="L480" s="39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842629361.256955</v>
      </c>
      <c r="M480" s="39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1030393552.28691</v>
      </c>
      <c r="N480" s="39" t="n">
        <f aca="false">IF(COUNT('Business Case'!B11:G11)=0,"",H480+NPV(G480,I480:M480))</f>
        <v>-228892150.110886</v>
      </c>
      <c r="P480" s="40" t="n">
        <f aca="true">RAND()</f>
        <v>0.950641866933977</v>
      </c>
      <c r="Q480" s="40" t="n">
        <f aca="true">RAND()</f>
        <v>0.494360886339082</v>
      </c>
      <c r="R480" s="40" t="n">
        <f aca="true">RAND()</f>
        <v>0.350494476041515</v>
      </c>
      <c r="S480" s="40" t="n">
        <f aca="true">RAND()</f>
        <v>0.402543816777438</v>
      </c>
      <c r="T480" s="40" t="n">
        <f aca="true">RAND()</f>
        <v>0.872225860625705</v>
      </c>
      <c r="U480" s="40" t="n">
        <f aca="true">RAND()</f>
        <v>0.15433814174372</v>
      </c>
    </row>
    <row r="481" customFormat="false" ht="15" hidden="false" customHeight="false" outlineLevel="0" collapsed="false">
      <c r="A481" s="36" t="n">
        <v>401</v>
      </c>
      <c r="B481" s="37" t="n">
        <f aca="false">1+IF($G$6=$E$6,$F$6,IF(P481&lt;($F$6-$E$6)/($G$6-$E$6),$E$6+SQRT(P481*($G$6-$E$6)*($F$6-$E$6)),$G$6-SQRT((1-P481)*($G$6-$E$6)*($G$6-$F$6))))</f>
        <v>0.990365885423443</v>
      </c>
      <c r="C481" s="37" t="n">
        <f aca="false">1+IF($G$7=$E$7,$F$7,IF(Q481&lt;($F$7-$E$7)/($G$7-$E$7),$E$7+SQRT(Q481*($G$7-$E$7)*($F$7-$E$7)),$G$7-SQRT((1-Q481)*($G$7-$E$7)*($G$7-$F$7))))</f>
        <v>1.04458387574622</v>
      </c>
      <c r="D481" s="37" t="n">
        <f aca="false">1+IF($G$8=$E$8,$F$8,IF(R481&lt;($F$8-$E$8)/($G$8-$E$8),$E$8+SQRT(R481*($G$8-$E$8)*($F$8-$E$8)),$G$8-SQRT((1-R481)*($G$8-$E$8)*($G$8-$F$8))))</f>
        <v>0.957467899868818</v>
      </c>
      <c r="E481" s="37" t="n">
        <f aca="false">1+IF($G$9=$E$9,$F$9,IF(S481&lt;($F$9-$E$9)/($G$9-$E$9),$E$9+SQRT(S481*($G$9-$E$9)*($F$9-$E$9)),$G$9-SQRT((1-S481)*($G$9-$E$9)*($G$9-$F$9))))</f>
        <v>0.99136167311994</v>
      </c>
      <c r="F481" s="37" t="n">
        <f aca="false">1+IF($G$10=$E$10,$F$10,IF(T481&lt;($F$10-$E$10)/($G$10-$E$10),$E$10+SQRT(T481*($G$10-$E$10)*($F$10-$E$10)),$G$10-SQRT((1-T481)*($G$10-$E$10)*($G$10-$F$10))))</f>
        <v>1.05586239168185</v>
      </c>
      <c r="G481" s="38" t="n">
        <f aca="false">IF($G$11=$E$11,$F$11,IF(U481&lt;($F$11-$E$11)/($G$11-$E$11),$E$11+SQRT(U481*($G$11-$E$11)*($F$11-$E$11)),$G$11-SQRT((1-U481)*($G$11-$E$11)*($G$11-$F$11))))</f>
        <v>0.0995813473830347</v>
      </c>
      <c r="H481" s="39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-2111724783.3637</v>
      </c>
      <c r="I481" s="39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35159541.0671913</v>
      </c>
      <c r="J481" s="39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370506480.202751</v>
      </c>
      <c r="K481" s="39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758646538.922402</v>
      </c>
      <c r="L481" s="39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906181871.289273</v>
      </c>
      <c r="M481" s="39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1102823477.55854</v>
      </c>
      <c r="N481" s="39" t="n">
        <f aca="false">IF(COUNT('Business Case'!B11:G11)=0,"",H481+NPV(G481,I481:M481))</f>
        <v>103269930.041925</v>
      </c>
      <c r="P481" s="40" t="n">
        <f aca="true">RAND()</f>
        <v>0.544399549890852</v>
      </c>
      <c r="Q481" s="40" t="n">
        <f aca="true">RAND()</f>
        <v>0.835369492552763</v>
      </c>
      <c r="R481" s="40" t="n">
        <f aca="true">RAND()</f>
        <v>0.00743593712675909</v>
      </c>
      <c r="S481" s="40" t="n">
        <f aca="true">RAND()</f>
        <v>0.333878212610994</v>
      </c>
      <c r="T481" s="40" t="n">
        <f aca="true">RAND()</f>
        <v>0.497474520486785</v>
      </c>
      <c r="U481" s="40" t="n">
        <f aca="true">RAND()</f>
        <v>0.383429165335081</v>
      </c>
    </row>
    <row r="482" customFormat="false" ht="15" hidden="false" customHeight="false" outlineLevel="0" collapsed="false">
      <c r="A482" s="36" t="n">
        <v>402</v>
      </c>
      <c r="B482" s="37" t="n">
        <f aca="false">1+IF($G$6=$E$6,$F$6,IF(P482&lt;($F$6-$E$6)/($G$6-$E$6),$E$6+SQRT(P482*($G$6-$E$6)*($F$6-$E$6)),$G$6-SQRT((1-P482)*($G$6-$E$6)*($G$6-$F$6))))</f>
        <v>0.968150661663267</v>
      </c>
      <c r="C482" s="37" t="n">
        <f aca="false">1+IF($G$7=$E$7,$F$7,IF(Q482&lt;($F$7-$E$7)/($G$7-$E$7),$E$7+SQRT(Q482*($G$7-$E$7)*($F$7-$E$7)),$G$7-SQRT((1-Q482)*($G$7-$E$7)*($G$7-$F$7))))</f>
        <v>1.12333278815375</v>
      </c>
      <c r="D482" s="37" t="n">
        <f aca="false">1+IF($G$8=$E$8,$F$8,IF(R482&lt;($F$8-$E$8)/($G$8-$E$8),$E$8+SQRT(R482*($G$8-$E$8)*($F$8-$E$8)),$G$8-SQRT((1-R482)*($G$8-$E$8)*($G$8-$F$8))))</f>
        <v>0.988180768465686</v>
      </c>
      <c r="E482" s="37" t="n">
        <f aca="false">1+IF($G$9=$E$9,$F$9,IF(S482&lt;($F$9-$E$9)/($G$9-$E$9),$E$9+SQRT(S482*($G$9-$E$9)*($F$9-$E$9)),$G$9-SQRT((1-S482)*($G$9-$E$9)*($G$9-$F$9))))</f>
        <v>0.990870680977566</v>
      </c>
      <c r="F482" s="37" t="n">
        <f aca="false">1+IF($G$10=$E$10,$F$10,IF(T482&lt;($F$10-$E$10)/($G$10-$E$10),$E$10+SQRT(T482*($G$10-$E$10)*($F$10-$E$10)),$G$10-SQRT((1-T482)*($G$10-$E$10)*($G$10-$F$10))))</f>
        <v>0.99404992242733</v>
      </c>
      <c r="G482" s="38" t="n">
        <f aca="false">IF($G$11=$E$11,$F$11,IF(U482&lt;($F$11-$E$11)/($G$11-$E$11),$E$11+SQRT(U482*($G$11-$E$11)*($F$11-$E$11)),$G$11-SQRT((1-U482)*($G$11-$E$11)*($G$11-$F$11))))</f>
        <v>0.116465862021833</v>
      </c>
      <c r="H482" s="39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-1988099844.85466</v>
      </c>
      <c r="I482" s="39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25840693.1105588</v>
      </c>
      <c r="J482" s="39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348367060.307914</v>
      </c>
      <c r="K482" s="39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720595923.626635</v>
      </c>
      <c r="L482" s="39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865690626.698456</v>
      </c>
      <c r="M482" s="39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1072413153.73165</v>
      </c>
      <c r="N482" s="39" t="n">
        <f aca="false">IF(COUNT('Business Case'!B11:G11)=0,"",H482+NPV(G482,I482:M482))</f>
        <v>7684110.79794431</v>
      </c>
      <c r="P482" s="40" t="n">
        <f aca="true">RAND()</f>
        <v>0.309634179009405</v>
      </c>
      <c r="Q482" s="40" t="n">
        <f aca="true">RAND()</f>
        <v>0.989464589812548</v>
      </c>
      <c r="R482" s="40" t="n">
        <f aca="true">RAND()</f>
        <v>0.194369477417371</v>
      </c>
      <c r="S482" s="40" t="n">
        <f aca="true">RAND()</f>
        <v>0.330299226453059</v>
      </c>
      <c r="T482" s="40" t="n">
        <f aca="true">RAND()</f>
        <v>0.12935971105692</v>
      </c>
      <c r="U482" s="40" t="n">
        <f aca="true">RAND()</f>
        <v>0.877884739458628</v>
      </c>
    </row>
    <row r="483" customFormat="false" ht="15" hidden="false" customHeight="false" outlineLevel="0" collapsed="false">
      <c r="A483" s="36" t="n">
        <v>403</v>
      </c>
      <c r="B483" s="37" t="n">
        <f aca="false">1+IF($G$6=$E$6,$F$6,IF(P483&lt;($F$6-$E$6)/($G$6-$E$6),$E$6+SQRT(P483*($G$6-$E$6)*($F$6-$E$6)),$G$6-SQRT((1-P483)*($G$6-$E$6)*($G$6-$F$6))))</f>
        <v>0.98871208295926</v>
      </c>
      <c r="C483" s="37" t="n">
        <f aca="false">1+IF($G$7=$E$7,$F$7,IF(Q483&lt;($F$7-$E$7)/($G$7-$E$7),$E$7+SQRT(Q483*($G$7-$E$7)*($F$7-$E$7)),$G$7-SQRT((1-Q483)*($G$7-$E$7)*($G$7-$F$7))))</f>
        <v>0.927002061092873</v>
      </c>
      <c r="D483" s="37" t="n">
        <f aca="false">1+IF($G$8=$E$8,$F$8,IF(R483&lt;($F$8-$E$8)/($G$8-$E$8),$E$8+SQRT(R483*($G$8-$E$8)*($F$8-$E$8)),$G$8-SQRT((1-R483)*($G$8-$E$8)*($G$8-$F$8))))</f>
        <v>1.0804896074897</v>
      </c>
      <c r="E483" s="37" t="n">
        <f aca="false">1+IF($G$9=$E$9,$F$9,IF(S483&lt;($F$9-$E$9)/($G$9-$E$9),$E$9+SQRT(S483*($G$9-$E$9)*($F$9-$E$9)),$G$9-SQRT((1-S483)*($G$9-$E$9)*($G$9-$F$9))))</f>
        <v>1.05803281161042</v>
      </c>
      <c r="F483" s="37" t="n">
        <f aca="false">1+IF($G$10=$E$10,$F$10,IF(T483&lt;($F$10-$E$10)/($G$10-$E$10),$E$10+SQRT(T483*($G$10-$E$10)*($F$10-$E$10)),$G$10-SQRT((1-T483)*($G$10-$E$10)*($G$10-$F$10))))</f>
        <v>1.01291252727318</v>
      </c>
      <c r="G483" s="38" t="n">
        <f aca="false">IF($G$11=$E$11,$F$11,IF(U483&lt;($F$11-$E$11)/($G$11-$E$11),$E$11+SQRT(U483*($G$11-$E$11)*($F$11-$E$11)),$G$11-SQRT((1-U483)*($G$11-$E$11)*($G$11-$F$11))))</f>
        <v>0.126349459402256</v>
      </c>
      <c r="H483" s="39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-2025825054.54635</v>
      </c>
      <c r="I483" s="39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-61293439.6800465</v>
      </c>
      <c r="J483" s="39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176669976.290024</v>
      </c>
      <c r="K483" s="39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465279018.623752</v>
      </c>
      <c r="L483" s="39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576275715.354974</v>
      </c>
      <c r="M483" s="39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750491284.764898</v>
      </c>
      <c r="N483" s="39" t="n">
        <f aca="false">IF(COUNT('Business Case'!B11:G11)=0,"",H483+NPV(G483,I483:M483))</f>
        <v>-843353259.556923</v>
      </c>
      <c r="P483" s="40" t="n">
        <f aca="true">RAND()</f>
        <v>0.524655577531378</v>
      </c>
      <c r="Q483" s="40" t="n">
        <f aca="true">RAND()</f>
        <v>0.381703227706759</v>
      </c>
      <c r="R483" s="40" t="n">
        <f aca="true">RAND()</f>
        <v>0.974622972272947</v>
      </c>
      <c r="S483" s="40" t="n">
        <f aca="true">RAND()</f>
        <v>0.774454300259065</v>
      </c>
      <c r="T483" s="40" t="n">
        <f aca="true">RAND()</f>
        <v>0.250527070346769</v>
      </c>
      <c r="U483" s="40" t="n">
        <f aca="true">RAND()</f>
        <v>0.991115702229484</v>
      </c>
    </row>
    <row r="484" customFormat="false" ht="15" hidden="false" customHeight="false" outlineLevel="0" collapsed="false">
      <c r="A484" s="36" t="n">
        <v>404</v>
      </c>
      <c r="B484" s="37" t="n">
        <f aca="false">1+IF($G$6=$E$6,$F$6,IF(P484&lt;($F$6-$E$6)/($G$6-$E$6),$E$6+SQRT(P484*($G$6-$E$6)*($F$6-$E$6)),$G$6-SQRT((1-P484)*($G$6-$E$6)*($G$6-$F$6))))</f>
        <v>1.0063468103674</v>
      </c>
      <c r="C484" s="37" t="n">
        <f aca="false">1+IF($G$7=$E$7,$F$7,IF(Q484&lt;($F$7-$E$7)/($G$7-$E$7),$E$7+SQRT(Q484*($G$7-$E$7)*($F$7-$E$7)),$G$7-SQRT((1-Q484)*($G$7-$E$7)*($G$7-$F$7))))</f>
        <v>0.894933453886751</v>
      </c>
      <c r="D484" s="37" t="n">
        <f aca="false">1+IF($G$8=$E$8,$F$8,IF(R484&lt;($F$8-$E$8)/($G$8-$E$8),$E$8+SQRT(R484*($G$8-$E$8)*($F$8-$E$8)),$G$8-SQRT((1-R484)*($G$8-$E$8)*($G$8-$F$8))))</f>
        <v>1.01875935998499</v>
      </c>
      <c r="E484" s="37" t="n">
        <f aca="false">1+IF($G$9=$E$9,$F$9,IF(S484&lt;($F$9-$E$9)/($G$9-$E$9),$E$9+SQRT(S484*($G$9-$E$9)*($F$9-$E$9)),$G$9-SQRT((1-S484)*($G$9-$E$9)*($G$9-$F$9))))</f>
        <v>1.02826169536202</v>
      </c>
      <c r="F484" s="37" t="n">
        <f aca="false">1+IF($G$10=$E$10,$F$10,IF(T484&lt;($F$10-$E$10)/($G$10-$E$10),$E$10+SQRT(T484*($G$10-$E$10)*($F$10-$E$10)),$G$10-SQRT((1-T484)*($G$10-$E$10)*($G$10-$F$10))))</f>
        <v>0.997231316042876</v>
      </c>
      <c r="G484" s="38" t="n">
        <f aca="false">IF($G$11=$E$11,$F$11,IF(U484&lt;($F$11-$E$11)/($G$11-$E$11),$E$11+SQRT(U484*($G$11-$E$11)*($F$11-$E$11)),$G$11-SQRT((1-U484)*($G$11-$E$11)*($G$11-$F$11))))</f>
        <v>0.115690552046467</v>
      </c>
      <c r="H484" s="39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-1994462632.08575</v>
      </c>
      <c r="I484" s="39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-21691144.6077912</v>
      </c>
      <c r="J484" s="39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249247455.515016</v>
      </c>
      <c r="K484" s="39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570047621.439967</v>
      </c>
      <c r="L484" s="39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691485688.178124</v>
      </c>
      <c r="M484" s="39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862674288.346171</v>
      </c>
      <c r="N484" s="39" t="n">
        <f aca="false">IF(COUNT('Business Case'!B11:G11)=0,"",H484+NPV(G484,I484:M484))</f>
        <v>-457887102.256597</v>
      </c>
      <c r="P484" s="40" t="n">
        <f aca="true">RAND()</f>
        <v>0.745919871320054</v>
      </c>
      <c r="Q484" s="40" t="n">
        <f aca="true">RAND()</f>
        <v>0.281474455142356</v>
      </c>
      <c r="R484" s="40" t="n">
        <f aca="true">RAND()</f>
        <v>0.559997227330102</v>
      </c>
      <c r="S484" s="40" t="n">
        <f aca="true">RAND()</f>
        <v>0.604794271569899</v>
      </c>
      <c r="T484" s="40" t="n">
        <f aca="true">RAND()</f>
        <v>0.148719814342804</v>
      </c>
      <c r="U484" s="40" t="n">
        <f aca="true">RAND()</f>
        <v>0.863493132843429</v>
      </c>
    </row>
    <row r="485" customFormat="false" ht="15" hidden="false" customHeight="false" outlineLevel="0" collapsed="false">
      <c r="A485" s="36" t="n">
        <v>405</v>
      </c>
      <c r="B485" s="37" t="n">
        <f aca="false">1+IF($G$6=$E$6,$F$6,IF(P485&lt;($F$6-$E$6)/($G$6-$E$6),$E$6+SQRT(P485*($G$6-$E$6)*($F$6-$E$6)),$G$6-SQRT((1-P485)*($G$6-$E$6)*($G$6-$F$6))))</f>
        <v>0.985456429491659</v>
      </c>
      <c r="C485" s="37" t="n">
        <f aca="false">1+IF($G$7=$E$7,$F$7,IF(Q485&lt;($F$7-$E$7)/($G$7-$E$7),$E$7+SQRT(Q485*($G$7-$E$7)*($F$7-$E$7)),$G$7-SQRT((1-Q485)*($G$7-$E$7)*($G$7-$F$7))))</f>
        <v>0.965420068098867</v>
      </c>
      <c r="D485" s="37" t="n">
        <f aca="false">1+IF($G$8=$E$8,$F$8,IF(R485&lt;($F$8-$E$8)/($G$8-$E$8),$E$8+SQRT(R485*($G$8-$E$8)*($F$8-$E$8)),$G$8-SQRT((1-R485)*($G$8-$E$8)*($G$8-$F$8))))</f>
        <v>1.0128916684154</v>
      </c>
      <c r="E485" s="37" t="n">
        <f aca="false">1+IF($G$9=$E$9,$F$9,IF(S485&lt;($F$9-$E$9)/($G$9-$E$9),$E$9+SQRT(S485*($G$9-$E$9)*($F$9-$E$9)),$G$9-SQRT((1-S485)*($G$9-$E$9)*($G$9-$F$9))))</f>
        <v>1.06405555204109</v>
      </c>
      <c r="F485" s="37" t="n">
        <f aca="false">1+IF($G$10=$E$10,$F$10,IF(T485&lt;($F$10-$E$10)/($G$10-$E$10),$E$10+SQRT(T485*($G$10-$E$10)*($F$10-$E$10)),$G$10-SQRT((1-T485)*($G$10-$E$10)*($G$10-$F$10))))</f>
        <v>1.13399122769238</v>
      </c>
      <c r="G485" s="38" t="n">
        <f aca="false">IF($G$11=$E$11,$F$11,IF(U485&lt;($F$11-$E$11)/($G$11-$E$11),$E$11+SQRT(U485*($G$11-$E$11)*($F$11-$E$11)),$G$11-SQRT((1-U485)*($G$11-$E$11)*($G$11-$F$11))))</f>
        <v>0.109025431734089</v>
      </c>
      <c r="H485" s="39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-2267982455.38475</v>
      </c>
      <c r="I485" s="39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-35368226.0644991</v>
      </c>
      <c r="J485" s="39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243290878.924312</v>
      </c>
      <c r="K485" s="39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578649545.297742</v>
      </c>
      <c r="L485" s="39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704415586.149898</v>
      </c>
      <c r="M485" s="39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885253785.023937</v>
      </c>
      <c r="N485" s="39" t="n">
        <f aca="false">IF(COUNT('Business Case'!B11:G11)=0,"",H485+NPV(G485,I485:M485))</f>
        <v>-684525261.539459</v>
      </c>
      <c r="P485" s="40" t="n">
        <f aca="true">RAND()</f>
        <v>0.486853422764188</v>
      </c>
      <c r="Q485" s="40" t="n">
        <f aca="true">RAND()</f>
        <v>0.52183564851561</v>
      </c>
      <c r="R485" s="40" t="n">
        <f aca="true">RAND()</f>
        <v>0.494142571236475</v>
      </c>
      <c r="S485" s="40" t="n">
        <f aca="true">RAND()</f>
        <v>0.80302804973436</v>
      </c>
      <c r="T485" s="40" t="n">
        <f aca="true">RAND()</f>
        <v>0.820559529969038</v>
      </c>
      <c r="U485" s="40" t="n">
        <f aca="true">RAND()</f>
        <v>0.706711657372439</v>
      </c>
    </row>
    <row r="486" customFormat="false" ht="15" hidden="false" customHeight="false" outlineLevel="0" collapsed="false">
      <c r="A486" s="36" t="n">
        <v>406</v>
      </c>
      <c r="B486" s="37" t="n">
        <f aca="false">1+IF($G$6=$E$6,$F$6,IF(P486&lt;($F$6-$E$6)/($G$6-$E$6),$E$6+SQRT(P486*($G$6-$E$6)*($F$6-$E$6)),$G$6-SQRT((1-P486)*($G$6-$E$6)*($G$6-$F$6))))</f>
        <v>0.953848713823372</v>
      </c>
      <c r="C486" s="37" t="n">
        <f aca="false">1+IF($G$7=$E$7,$F$7,IF(Q486&lt;($F$7-$E$7)/($G$7-$E$7),$E$7+SQRT(Q486*($G$7-$E$7)*($F$7-$E$7)),$G$7-SQRT((1-Q486)*($G$7-$E$7)*($G$7-$F$7))))</f>
        <v>1.02723329840888</v>
      </c>
      <c r="D486" s="37" t="n">
        <f aca="false">1+IF($G$8=$E$8,$F$8,IF(R486&lt;($F$8-$E$8)/($G$8-$E$8),$E$8+SQRT(R486*($G$8-$E$8)*($F$8-$E$8)),$G$8-SQRT((1-R486)*($G$8-$E$8)*($G$8-$F$8))))</f>
        <v>1.0322308704718</v>
      </c>
      <c r="E486" s="37" t="n">
        <f aca="false">1+IF($G$9=$E$9,$F$9,IF(S486&lt;($F$9-$E$9)/($G$9-$E$9),$E$9+SQRT(S486*($G$9-$E$9)*($F$9-$E$9)),$G$9-SQRT((1-S486)*($G$9-$E$9)*($G$9-$F$9))))</f>
        <v>0.974976049195696</v>
      </c>
      <c r="F486" s="37" t="n">
        <f aca="false">1+IF($G$10=$E$10,$F$10,IF(T486&lt;($F$10-$E$10)/($G$10-$E$10),$E$10+SQRT(T486*($G$10-$E$10)*($F$10-$E$10)),$G$10-SQRT((1-T486)*($G$10-$E$10)*($G$10-$F$10))))</f>
        <v>1.02671145528989</v>
      </c>
      <c r="G486" s="38" t="n">
        <f aca="false">IF($G$11=$E$11,$F$11,IF(U486&lt;($F$11-$E$11)/($G$11-$E$11),$E$11+SQRT(U486*($G$11-$E$11)*($F$11-$E$11)),$G$11-SQRT((1-U486)*($G$11-$E$11)*($G$11-$F$11))))</f>
        <v>0.108346350469562</v>
      </c>
      <c r="H486" s="39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-2053422910.57979</v>
      </c>
      <c r="I486" s="39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-32369758.8011685</v>
      </c>
      <c r="J486" s="39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227367358.441763</v>
      </c>
      <c r="K486" s="39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538440048.449189</v>
      </c>
      <c r="L486" s="39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658881845.076488</v>
      </c>
      <c r="M486" s="39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845127011.581258</v>
      </c>
      <c r="N486" s="39" t="n">
        <f aca="false">IF(COUNT('Business Case'!B11:G11)=0,"",H486+NPV(G486,I486:M486))</f>
        <v>-560156919.939843</v>
      </c>
      <c r="P486" s="40" t="n">
        <f aca="true">RAND()</f>
        <v>0.193312265362093</v>
      </c>
      <c r="Q486" s="40" t="n">
        <f aca="true">RAND()</f>
        <v>0.776716103413868</v>
      </c>
      <c r="R486" s="40" t="n">
        <f aca="true">RAND()</f>
        <v>0.693823005532676</v>
      </c>
      <c r="S486" s="40" t="n">
        <f aca="true">RAND()</f>
        <v>0.224856318119817</v>
      </c>
      <c r="T486" s="40" t="n">
        <f aca="true">RAND()</f>
        <v>0.335229677349909</v>
      </c>
      <c r="U486" s="40" t="n">
        <f aca="true">RAND()</f>
        <v>0.687412974675322</v>
      </c>
    </row>
    <row r="487" customFormat="false" ht="15" hidden="false" customHeight="false" outlineLevel="0" collapsed="false">
      <c r="A487" s="36" t="n">
        <v>407</v>
      </c>
      <c r="B487" s="37" t="n">
        <f aca="false">1+IF($G$6=$E$6,$F$6,IF(P487&lt;($F$6-$E$6)/($G$6-$E$6),$E$6+SQRT(P487*($G$6-$E$6)*($F$6-$E$6)),$G$6-SQRT((1-P487)*($G$6-$E$6)*($G$6-$F$6))))</f>
        <v>0.964084793185179</v>
      </c>
      <c r="C487" s="37" t="n">
        <f aca="false">1+IF($G$7=$E$7,$F$7,IF(Q487&lt;($F$7-$E$7)/($G$7-$E$7),$E$7+SQRT(Q487*($G$7-$E$7)*($F$7-$E$7)),$G$7-SQRT((1-Q487)*($G$7-$E$7)*($G$7-$F$7))))</f>
        <v>0.96635786398531</v>
      </c>
      <c r="D487" s="37" t="n">
        <f aca="false">1+IF($G$8=$E$8,$F$8,IF(R487&lt;($F$8-$E$8)/($G$8-$E$8),$E$8+SQRT(R487*($G$8-$E$8)*($F$8-$E$8)),$G$8-SQRT((1-R487)*($G$8-$E$8)*($G$8-$F$8))))</f>
        <v>1.00089720132008</v>
      </c>
      <c r="E487" s="37" t="n">
        <f aca="false">1+IF($G$9=$E$9,$F$9,IF(S487&lt;($F$9-$E$9)/($G$9-$E$9),$E$9+SQRT(S487*($G$9-$E$9)*($F$9-$E$9)),$G$9-SQRT((1-S487)*($G$9-$E$9)*($G$9-$F$9))))</f>
        <v>0.932026261786747</v>
      </c>
      <c r="F487" s="37" t="n">
        <f aca="false">1+IF($G$10=$E$10,$F$10,IF(T487&lt;($F$10-$E$10)/($G$10-$E$10),$E$10+SQRT(T487*($G$10-$E$10)*($F$10-$E$10)),$G$10-SQRT((1-T487)*($G$10-$E$10)*($G$10-$F$10))))</f>
        <v>0.996521528539319</v>
      </c>
      <c r="G487" s="38" t="n">
        <f aca="false">IF($G$11=$E$11,$F$11,IF(U487&lt;($F$11-$E$11)/($G$11-$E$11),$E$11+SQRT(U487*($G$11-$E$11)*($F$11-$E$11)),$G$11-SQRT((1-U487)*($G$11-$E$11)*($G$11-$F$11))))</f>
        <v>0.0911059182913083</v>
      </c>
      <c r="H487" s="39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-1993043057.07864</v>
      </c>
      <c r="I487" s="39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-12535648.8755286</v>
      </c>
      <c r="J487" s="39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255411773.296563</v>
      </c>
      <c r="K487" s="39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573185271.895621</v>
      </c>
      <c r="L487" s="39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694698935.131393</v>
      </c>
      <c r="M487" s="39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871787142.279306</v>
      </c>
      <c r="N487" s="39" t="n">
        <f aca="false">IF(COUNT('Business Case'!B11:G11)=0,"",H487+NPV(G487,I487:M487))</f>
        <v>-294846708.702451</v>
      </c>
      <c r="P487" s="40" t="n">
        <f aca="true">RAND()</f>
        <v>0.273790714505808</v>
      </c>
      <c r="Q487" s="40" t="n">
        <f aca="true">RAND()</f>
        <v>0.525529716346793</v>
      </c>
      <c r="R487" s="40" t="n">
        <f aca="true">RAND()</f>
        <v>0.345242352920532</v>
      </c>
      <c r="S487" s="40" t="n">
        <f aca="true">RAND()</f>
        <v>0.0410272577613293</v>
      </c>
      <c r="T487" s="40" t="n">
        <f aca="true">RAND()</f>
        <v>0.144283507842312</v>
      </c>
      <c r="U487" s="40" t="n">
        <f aca="true">RAND()</f>
        <v>0.123341421093216</v>
      </c>
    </row>
    <row r="488" customFormat="false" ht="15" hidden="false" customHeight="false" outlineLevel="0" collapsed="false">
      <c r="A488" s="36" t="n">
        <v>408</v>
      </c>
      <c r="B488" s="37" t="n">
        <f aca="false">1+IF($G$6=$E$6,$F$6,IF(P488&lt;($F$6-$E$6)/($G$6-$E$6),$E$6+SQRT(P488*($G$6-$E$6)*($F$6-$E$6)),$G$6-SQRT((1-P488)*($G$6-$E$6)*($G$6-$F$6))))</f>
        <v>1.04736556220687</v>
      </c>
      <c r="C488" s="37" t="n">
        <f aca="false">1+IF($G$7=$E$7,$F$7,IF(Q488&lt;($F$7-$E$7)/($G$7-$E$7),$E$7+SQRT(Q488*($G$7-$E$7)*($F$7-$E$7)),$G$7-SQRT((1-Q488)*($G$7-$E$7)*($G$7-$F$7))))</f>
        <v>0.988998381880455</v>
      </c>
      <c r="D488" s="37" t="n">
        <f aca="false">1+IF($G$8=$E$8,$F$8,IF(R488&lt;($F$8-$E$8)/($G$8-$E$8),$E$8+SQRT(R488*($G$8-$E$8)*($F$8-$E$8)),$G$8-SQRT((1-R488)*($G$8-$E$8)*($G$8-$F$8))))</f>
        <v>1.02531022967379</v>
      </c>
      <c r="E488" s="37" t="n">
        <f aca="false">1+IF($G$9=$E$9,$F$9,IF(S488&lt;($F$9-$E$9)/($G$9-$E$9),$E$9+SQRT(S488*($G$9-$E$9)*($F$9-$E$9)),$G$9-SQRT((1-S488)*($G$9-$E$9)*($G$9-$F$9))))</f>
        <v>1.01973763963137</v>
      </c>
      <c r="F488" s="37" t="n">
        <f aca="false">1+IF($G$10=$E$10,$F$10,IF(T488&lt;($F$10-$E$10)/($G$10-$E$10),$E$10+SQRT(T488*($G$10-$E$10)*($F$10-$E$10)),$G$10-SQRT((1-T488)*($G$10-$E$10)*($G$10-$F$10))))</f>
        <v>1.00764338320728</v>
      </c>
      <c r="G488" s="38" t="n">
        <f aca="false">IF($G$11=$E$11,$F$11,IF(U488&lt;($F$11-$E$11)/($G$11-$E$11),$E$11+SQRT(U488*($G$11-$E$11)*($F$11-$E$11)),$G$11-SQRT((1-U488)*($G$11-$E$11)*($G$11-$F$11))))</f>
        <v>0.108206049081354</v>
      </c>
      <c r="H488" s="39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-2015286766.41457</v>
      </c>
      <c r="I488" s="39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29858429.4247113</v>
      </c>
      <c r="J488" s="39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359185982.675845</v>
      </c>
      <c r="K488" s="39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738895705.087344</v>
      </c>
      <c r="L488" s="39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884470284.937797</v>
      </c>
      <c r="M488" s="39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1081363293.15488</v>
      </c>
      <c r="N488" s="39" t="n">
        <f aca="false">IF(COUNT('Business Case'!B11:G11)=0,"",H488+NPV(G488,I488:M488))</f>
        <v>80383699.5680165</v>
      </c>
      <c r="P488" s="40" t="n">
        <f aca="true">RAND()</f>
        <v>0.999074631668548</v>
      </c>
      <c r="Q488" s="40" t="n">
        <f aca="true">RAND()</f>
        <v>0.6186671461446</v>
      </c>
      <c r="R488" s="40" t="n">
        <f aca="true">RAND()</f>
        <v>0.628095880574572</v>
      </c>
      <c r="S488" s="40" t="n">
        <f aca="true">RAND()</f>
        <v>0.547512465898491</v>
      </c>
      <c r="T488" s="40" t="n">
        <f aca="true">RAND()</f>
        <v>0.216843603957173</v>
      </c>
      <c r="U488" s="40" t="n">
        <f aca="true">RAND()</f>
        <v>0.683349135570434</v>
      </c>
    </row>
    <row r="489" customFormat="false" ht="15" hidden="false" customHeight="false" outlineLevel="0" collapsed="false">
      <c r="A489" s="36" t="n">
        <v>409</v>
      </c>
      <c r="B489" s="37" t="n">
        <f aca="false">1+IF($G$6=$E$6,$F$6,IF(P489&lt;($F$6-$E$6)/($G$6-$E$6),$E$6+SQRT(P489*($G$6-$E$6)*($F$6-$E$6)),$G$6-SQRT((1-P489)*($G$6-$E$6)*($G$6-$F$6))))</f>
        <v>1.01744503474335</v>
      </c>
      <c r="C489" s="37" t="n">
        <f aca="false">1+IF($G$7=$E$7,$F$7,IF(Q489&lt;($F$7-$E$7)/($G$7-$E$7),$E$7+SQRT(Q489*($G$7-$E$7)*($F$7-$E$7)),$G$7-SQRT((1-Q489)*($G$7-$E$7)*($G$7-$F$7))))</f>
        <v>0.978211234835907</v>
      </c>
      <c r="D489" s="37" t="n">
        <f aca="false">1+IF($G$8=$E$8,$F$8,IF(R489&lt;($F$8-$E$8)/($G$8-$E$8),$E$8+SQRT(R489*($G$8-$E$8)*($F$8-$E$8)),$G$8-SQRT((1-R489)*($G$8-$E$8)*($G$8-$F$8))))</f>
        <v>1.01158294721467</v>
      </c>
      <c r="E489" s="37" t="n">
        <f aca="false">1+IF($G$9=$E$9,$F$9,IF(S489&lt;($F$9-$E$9)/($G$9-$E$9),$E$9+SQRT(S489*($G$9-$E$9)*($F$9-$E$9)),$G$9-SQRT((1-S489)*($G$9-$E$9)*($G$9-$F$9))))</f>
        <v>1.08871314561911</v>
      </c>
      <c r="F489" s="37" t="n">
        <f aca="false">1+IF($G$10=$E$10,$F$10,IF(T489&lt;($F$10-$E$10)/($G$10-$E$10),$E$10+SQRT(T489*($G$10-$E$10)*($F$10-$E$10)),$G$10-SQRT((1-T489)*($G$10-$E$10)*($G$10-$F$10))))</f>
        <v>0.981528040243232</v>
      </c>
      <c r="G489" s="38" t="n">
        <f aca="false">IF($G$11=$E$11,$F$11,IF(U489&lt;($F$11-$E$11)/($G$11-$E$11),$E$11+SQRT(U489*($G$11-$E$11)*($F$11-$E$11)),$G$11-SQRT((1-U489)*($G$11-$E$11)*($G$11-$F$11))))</f>
        <v>0.0971085552357176</v>
      </c>
      <c r="H489" s="39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-1963056080.48646</v>
      </c>
      <c r="I489" s="39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4073668.1141528</v>
      </c>
      <c r="J489" s="39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312710265.891782</v>
      </c>
      <c r="K489" s="39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670423265.681573</v>
      </c>
      <c r="L489" s="39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807698875.82886</v>
      </c>
      <c r="M489" s="39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996880969.046618</v>
      </c>
      <c r="N489" s="39" t="n">
        <f aca="false">IF(COUNT('Business Case'!B11:G11)=0,"",H489+NPV(G489,I489:M489))</f>
        <v>-7156345.37420034</v>
      </c>
      <c r="P489" s="40" t="n">
        <f aca="true">RAND()</f>
        <v>0.858689898285137</v>
      </c>
      <c r="Q489" s="40" t="n">
        <f aca="true">RAND()</f>
        <v>0.573344379177187</v>
      </c>
      <c r="R489" s="40" t="n">
        <f aca="true">RAND()</f>
        <v>0.478828318450442</v>
      </c>
      <c r="S489" s="40" t="n">
        <f aca="true">RAND()</f>
        <v>0.899837906135896</v>
      </c>
      <c r="T489" s="40" t="n">
        <f aca="true">RAND()</f>
        <v>0.0662678214385897</v>
      </c>
      <c r="U489" s="40" t="n">
        <f aca="true">RAND()</f>
        <v>0.292702662253599</v>
      </c>
    </row>
    <row r="490" customFormat="false" ht="15" hidden="false" customHeight="false" outlineLevel="0" collapsed="false">
      <c r="A490" s="36" t="n">
        <v>410</v>
      </c>
      <c r="B490" s="37" t="n">
        <f aca="false">1+IF($G$6=$E$6,$F$6,IF(P490&lt;($F$6-$E$6)/($G$6-$E$6),$E$6+SQRT(P490*($G$6-$E$6)*($F$6-$E$6)),$G$6-SQRT((1-P490)*($G$6-$E$6)*($G$6-$F$6))))</f>
        <v>0.944790265139178</v>
      </c>
      <c r="C490" s="37" t="n">
        <f aca="false">1+IF($G$7=$E$7,$F$7,IF(Q490&lt;($F$7-$E$7)/($G$7-$E$7),$E$7+SQRT(Q490*($G$7-$E$7)*($F$7-$E$7)),$G$7-SQRT((1-Q490)*($G$7-$E$7)*($G$7-$F$7))))</f>
        <v>0.944337499290972</v>
      </c>
      <c r="D490" s="37" t="n">
        <f aca="false">1+IF($G$8=$E$8,$F$8,IF(R490&lt;($F$8-$E$8)/($G$8-$E$8),$E$8+SQRT(R490*($G$8-$E$8)*($F$8-$E$8)),$G$8-SQRT((1-R490)*($G$8-$E$8)*($G$8-$F$8))))</f>
        <v>0.983484586479891</v>
      </c>
      <c r="E490" s="37" t="n">
        <f aca="false">1+IF($G$9=$E$9,$F$9,IF(S490&lt;($F$9-$E$9)/($G$9-$E$9),$E$9+SQRT(S490*($G$9-$E$9)*($F$9-$E$9)),$G$9-SQRT((1-S490)*($G$9-$E$9)*($G$9-$F$9))))</f>
        <v>1.03837266216401</v>
      </c>
      <c r="F490" s="37" t="n">
        <f aca="false">1+IF($G$10=$E$10,$F$10,IF(T490&lt;($F$10-$E$10)/($G$10-$E$10),$E$10+SQRT(T490*($G$10-$E$10)*($F$10-$E$10)),$G$10-SQRT((1-T490)*($G$10-$E$10)*($G$10-$F$10))))</f>
        <v>0.983374794731537</v>
      </c>
      <c r="G490" s="38" t="n">
        <f aca="false">IF($G$11=$E$11,$F$11,IF(U490&lt;($F$11-$E$11)/($G$11-$E$11),$E$11+SQRT(U490*($G$11-$E$11)*($F$11-$E$11)),$G$11-SQRT((1-U490)*($G$11-$E$11)*($G$11-$F$11))))</f>
        <v>0.114994644886111</v>
      </c>
      <c r="H490" s="39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-1966749589.46307</v>
      </c>
      <c r="I490" s="39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-36910293.9635356</v>
      </c>
      <c r="J490" s="39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218425177.535062</v>
      </c>
      <c r="K490" s="39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522929388.770237</v>
      </c>
      <c r="L490" s="39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638875674.889275</v>
      </c>
      <c r="M490" s="39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808465217.46322</v>
      </c>
      <c r="N490" s="39" t="n">
        <f aca="false">IF(COUNT('Business Case'!B11:G11)=0,"",H490+NPV(G490,I490:M490))</f>
        <v>-564421516.615623</v>
      </c>
      <c r="P490" s="40" t="n">
        <f aca="true">RAND()</f>
        <v>0.13374452341586</v>
      </c>
      <c r="Q490" s="40" t="n">
        <f aca="true">RAND()</f>
        <v>0.442228248590856</v>
      </c>
      <c r="R490" s="40" t="n">
        <f aca="true">RAND()</f>
        <v>0.14949567089724</v>
      </c>
      <c r="S490" s="40" t="n">
        <f aca="true">RAND()</f>
        <v>0.667715665270673</v>
      </c>
      <c r="T490" s="40" t="n">
        <f aca="true">RAND()</f>
        <v>0.0742584615581466</v>
      </c>
      <c r="U490" s="40" t="n">
        <f aca="true">RAND()</f>
        <v>0.849892878604065</v>
      </c>
    </row>
    <row r="491" customFormat="false" ht="15" hidden="false" customHeight="false" outlineLevel="0" collapsed="false">
      <c r="A491" s="36" t="n">
        <v>411</v>
      </c>
      <c r="B491" s="37" t="n">
        <f aca="false">1+IF($G$6=$E$6,$F$6,IF(P491&lt;($F$6-$E$6)/($G$6-$E$6),$E$6+SQRT(P491*($G$6-$E$6)*($F$6-$E$6)),$G$6-SQRT((1-P491)*($G$6-$E$6)*($G$6-$F$6))))</f>
        <v>1.00471967714363</v>
      </c>
      <c r="C491" s="37" t="n">
        <f aca="false">1+IF($G$7=$E$7,$F$7,IF(Q491&lt;($F$7-$E$7)/($G$7-$E$7),$E$7+SQRT(Q491*($G$7-$E$7)*($F$7-$E$7)),$G$7-SQRT((1-Q491)*($G$7-$E$7)*($G$7-$F$7))))</f>
        <v>0.942180430846047</v>
      </c>
      <c r="D491" s="37" t="n">
        <f aca="false">1+IF($G$8=$E$8,$F$8,IF(R491&lt;($F$8-$E$8)/($G$8-$E$8),$E$8+SQRT(R491*($G$8-$E$8)*($F$8-$E$8)),$G$8-SQRT((1-R491)*($G$8-$E$8)*($G$8-$F$8))))</f>
        <v>1.02130046748602</v>
      </c>
      <c r="E491" s="37" t="n">
        <f aca="false">1+IF($G$9=$E$9,$F$9,IF(S491&lt;($F$9-$E$9)/($G$9-$E$9),$E$9+SQRT(S491*($G$9-$E$9)*($F$9-$E$9)),$G$9-SQRT((1-S491)*($G$9-$E$9)*($G$9-$F$9))))</f>
        <v>1.0123736281468</v>
      </c>
      <c r="F491" s="37" t="n">
        <f aca="false">1+IF($G$10=$E$10,$F$10,IF(T491&lt;($F$10-$E$10)/($G$10-$E$10),$E$10+SQRT(T491*($G$10-$E$10)*($F$10-$E$10)),$G$10-SQRT((1-T491)*($G$10-$E$10)*($G$10-$F$10))))</f>
        <v>1.18810766631532</v>
      </c>
      <c r="G491" s="38" t="n">
        <f aca="false">IF($G$11=$E$11,$F$11,IF(U491&lt;($F$11-$E$11)/($G$11-$E$11),$E$11+SQRT(U491*($G$11-$E$11)*($F$11-$E$11)),$G$11-SQRT((1-U491)*($G$11-$E$11)*($G$11-$F$11))))</f>
        <v>0.0988765227823357</v>
      </c>
      <c r="H491" s="39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-2376215332.63065</v>
      </c>
      <c r="I491" s="39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-29082271.6786246</v>
      </c>
      <c r="J491" s="39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253678908.192947</v>
      </c>
      <c r="K491" s="39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595845471.380285</v>
      </c>
      <c r="L491" s="39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722814634.668268</v>
      </c>
      <c r="M491" s="39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902749536.320962</v>
      </c>
      <c r="N491" s="39" t="n">
        <f aca="false">IF(COUNT('Business Case'!B11:G11)=0,"",H491+NPV(G491,I491:M491))</f>
        <v>-684435971.524716</v>
      </c>
      <c r="P491" s="40" t="n">
        <f aca="true">RAND()</f>
        <v>0.726625648269696</v>
      </c>
      <c r="Q491" s="40" t="n">
        <f aca="true">RAND()</f>
        <v>0.434454526553904</v>
      </c>
      <c r="R491" s="40" t="n">
        <f aca="true">RAND()</f>
        <v>0.587092238805391</v>
      </c>
      <c r="S491" s="40" t="n">
        <f aca="true">RAND()</f>
        <v>0.49490618054732</v>
      </c>
      <c r="T491" s="40" t="n">
        <f aca="true">RAND()</f>
        <v>0.948924520414197</v>
      </c>
      <c r="U491" s="40" t="n">
        <f aca="true">RAND()</f>
        <v>0.356323112352038</v>
      </c>
    </row>
    <row r="492" customFormat="false" ht="15" hidden="false" customHeight="false" outlineLevel="0" collapsed="false">
      <c r="A492" s="36" t="n">
        <v>412</v>
      </c>
      <c r="B492" s="37" t="n">
        <f aca="false">1+IF($G$6=$E$6,$F$6,IF(P492&lt;($F$6-$E$6)/($G$6-$E$6),$E$6+SQRT(P492*($G$6-$E$6)*($F$6-$E$6)),$G$6-SQRT((1-P492)*($G$6-$E$6)*($G$6-$F$6))))</f>
        <v>1.0261305667038</v>
      </c>
      <c r="C492" s="37" t="n">
        <f aca="false">1+IF($G$7=$E$7,$F$7,IF(Q492&lt;($F$7-$E$7)/($G$7-$E$7),$E$7+SQRT(Q492*($G$7-$E$7)*($F$7-$E$7)),$G$7-SQRT((1-Q492)*($G$7-$E$7)*($G$7-$F$7))))</f>
        <v>0.942223951997096</v>
      </c>
      <c r="D492" s="37" t="n">
        <f aca="false">1+IF($G$8=$E$8,$F$8,IF(R492&lt;($F$8-$E$8)/($G$8-$E$8),$E$8+SQRT(R492*($G$8-$E$8)*($F$8-$E$8)),$G$8-SQRT((1-R492)*($G$8-$E$8)*($G$8-$F$8))))</f>
        <v>1.04484230446192</v>
      </c>
      <c r="E492" s="37" t="n">
        <f aca="false">1+IF($G$9=$E$9,$F$9,IF(S492&lt;($F$9-$E$9)/($G$9-$E$9),$E$9+SQRT(S492*($G$9-$E$9)*($F$9-$E$9)),$G$9-SQRT((1-S492)*($G$9-$E$9)*($G$9-$F$9))))</f>
        <v>1.01831307408553</v>
      </c>
      <c r="F492" s="37" t="n">
        <f aca="false">1+IF($G$10=$E$10,$F$10,IF(T492&lt;($F$10-$E$10)/($G$10-$E$10),$E$10+SQRT(T492*($G$10-$E$10)*($F$10-$E$10)),$G$10-SQRT((1-T492)*($G$10-$E$10)*($G$10-$F$10))))</f>
        <v>1.02167895358795</v>
      </c>
      <c r="G492" s="38" t="n">
        <f aca="false">IF($G$11=$E$11,$F$11,IF(U492&lt;($F$11-$E$11)/($G$11-$E$11),$E$11+SQRT(U492*($G$11-$E$11)*($F$11-$E$11)),$G$11-SQRT((1-U492)*($G$11-$E$11)*($G$11-$F$11))))</f>
        <v>0.102149872097579</v>
      </c>
      <c r="H492" s="39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-2043357907.17591</v>
      </c>
      <c r="I492" s="39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-9150416.53933159</v>
      </c>
      <c r="J492" s="39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278792415.734325</v>
      </c>
      <c r="K492" s="39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617819195.68738</v>
      </c>
      <c r="L492" s="39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747214295.991419</v>
      </c>
      <c r="M492" s="39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930992155.161933</v>
      </c>
      <c r="N492" s="39" t="n">
        <f aca="false">IF(COUNT('Business Case'!B11:G11)=0,"",H492+NPV(G492,I492:M492))</f>
        <v>-281841725.900269</v>
      </c>
      <c r="P492" s="40" t="n">
        <f aca="true">RAND()</f>
        <v>0.924033353882427</v>
      </c>
      <c r="Q492" s="40" t="n">
        <f aca="true">RAND()</f>
        <v>0.43461068830438</v>
      </c>
      <c r="R492" s="40" t="n">
        <f aca="true">RAND()</f>
        <v>0.797175241528589</v>
      </c>
      <c r="S492" s="40" t="n">
        <f aca="true">RAND()</f>
        <v>0.537561427818573</v>
      </c>
      <c r="T492" s="40" t="n">
        <f aca="true">RAND()</f>
        <v>0.30492666353744</v>
      </c>
      <c r="U492" s="40" t="n">
        <f aca="true">RAND()</f>
        <v>0.482913583879206</v>
      </c>
    </row>
    <row r="493" customFormat="false" ht="15" hidden="false" customHeight="false" outlineLevel="0" collapsed="false">
      <c r="A493" s="36" t="n">
        <v>413</v>
      </c>
      <c r="B493" s="37" t="n">
        <f aca="false">1+IF($G$6=$E$6,$F$6,IF(P493&lt;($F$6-$E$6)/($G$6-$E$6),$E$6+SQRT(P493*($G$6-$E$6)*($F$6-$E$6)),$G$6-SQRT((1-P493)*($G$6-$E$6)*($G$6-$F$6))))</f>
        <v>0.912740122268205</v>
      </c>
      <c r="C493" s="37" t="n">
        <f aca="false">1+IF($G$7=$E$7,$F$7,IF(Q493&lt;($F$7-$E$7)/($G$7-$E$7),$E$7+SQRT(Q493*($G$7-$E$7)*($F$7-$E$7)),$G$7-SQRT((1-Q493)*($G$7-$E$7)*($G$7-$F$7))))</f>
        <v>1.00580331625833</v>
      </c>
      <c r="D493" s="37" t="n">
        <f aca="false">1+IF($G$8=$E$8,$F$8,IF(R493&lt;($F$8-$E$8)/($G$8-$E$8),$E$8+SQRT(R493*($G$8-$E$8)*($F$8-$E$8)),$G$8-SQRT((1-R493)*($G$8-$E$8)*($G$8-$F$8))))</f>
        <v>1.07977571396884</v>
      </c>
      <c r="E493" s="37" t="n">
        <f aca="false">1+IF($G$9=$E$9,$F$9,IF(S493&lt;($F$9-$E$9)/($G$9-$E$9),$E$9+SQRT(S493*($G$9-$E$9)*($F$9-$E$9)),$G$9-SQRT((1-S493)*($G$9-$E$9)*($G$9-$F$9))))</f>
        <v>1.00226500085248</v>
      </c>
      <c r="F493" s="37" t="n">
        <f aca="false">1+IF($G$10=$E$10,$F$10,IF(T493&lt;($F$10-$E$10)/($G$10-$E$10),$E$10+SQRT(T493*($G$10-$E$10)*($F$10-$E$10)),$G$10-SQRT((1-T493)*($G$10-$E$10)*($G$10-$F$10))))</f>
        <v>1.07904620583274</v>
      </c>
      <c r="G493" s="38" t="n">
        <f aca="false">IF($G$11=$E$11,$F$11,IF(U493&lt;($F$11-$E$11)/($G$11-$E$11),$E$11+SQRT(U493*($G$11-$E$11)*($F$11-$E$11)),$G$11-SQRT((1-U493)*($G$11-$E$11)*($G$11-$F$11))))</f>
        <v>0.0994039065568098</v>
      </c>
      <c r="H493" s="39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-2158092411.66549</v>
      </c>
      <c r="I493" s="39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-102045925.53475</v>
      </c>
      <c r="J493" s="39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93925892.8849886</v>
      </c>
      <c r="K493" s="39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343850021.596364</v>
      </c>
      <c r="L493" s="39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440901321.236271</v>
      </c>
      <c r="M493" s="39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615401802.152905</v>
      </c>
      <c r="N493" s="39" t="n">
        <f aca="false">IF(COUNT('Business Case'!B11:G11)=0,"",H493+NPV(G493,I493:M493))</f>
        <v>-1229494464.86682</v>
      </c>
      <c r="P493" s="40" t="n">
        <f aca="true">RAND()</f>
        <v>0.0108207143605876</v>
      </c>
      <c r="Q493" s="40" t="n">
        <f aca="true">RAND()</f>
        <v>0.691960242931931</v>
      </c>
      <c r="R493" s="40" t="n">
        <f aca="true">RAND()</f>
        <v>0.972731883635323</v>
      </c>
      <c r="S493" s="40" t="n">
        <f aca="true">RAND()</f>
        <v>0.417983200716864</v>
      </c>
      <c r="T493" s="40" t="n">
        <f aca="true">RAND()</f>
        <v>0.610330670130929</v>
      </c>
      <c r="U493" s="40" t="n">
        <f aca="true">RAND()</f>
        <v>0.376511589665406</v>
      </c>
    </row>
    <row r="494" customFormat="false" ht="15" hidden="false" customHeight="false" outlineLevel="0" collapsed="false">
      <c r="A494" s="36" t="n">
        <v>414</v>
      </c>
      <c r="B494" s="37" t="n">
        <f aca="false">1+IF($G$6=$E$6,$F$6,IF(P494&lt;($F$6-$E$6)/($G$6-$E$6),$E$6+SQRT(P494*($G$6-$E$6)*($F$6-$E$6)),$G$6-SQRT((1-P494)*($G$6-$E$6)*($G$6-$F$6))))</f>
        <v>0.977370140274698</v>
      </c>
      <c r="C494" s="37" t="n">
        <f aca="false">1+IF($G$7=$E$7,$F$7,IF(Q494&lt;($F$7-$E$7)/($G$7-$E$7),$E$7+SQRT(Q494*($G$7-$E$7)*($F$7-$E$7)),$G$7-SQRT((1-Q494)*($G$7-$E$7)*($G$7-$F$7))))</f>
        <v>0.865590194290672</v>
      </c>
      <c r="D494" s="37" t="n">
        <f aca="false">1+IF($G$8=$E$8,$F$8,IF(R494&lt;($F$8-$E$8)/($G$8-$E$8),$E$8+SQRT(R494*($G$8-$E$8)*($F$8-$E$8)),$G$8-SQRT((1-R494)*($G$8-$E$8)*($G$8-$F$8))))</f>
        <v>1.04357350178259</v>
      </c>
      <c r="E494" s="37" t="n">
        <f aca="false">1+IF($G$9=$E$9,$F$9,IF(S494&lt;($F$9-$E$9)/($G$9-$E$9),$E$9+SQRT(S494*($G$9-$E$9)*($F$9-$E$9)),$G$9-SQRT((1-S494)*($G$9-$E$9)*($G$9-$F$9))))</f>
        <v>1.01203905781536</v>
      </c>
      <c r="F494" s="37" t="n">
        <f aca="false">1+IF($G$10=$E$10,$F$10,IF(T494&lt;($F$10-$E$10)/($G$10-$E$10),$E$10+SQRT(T494*($G$10-$E$10)*($F$10-$E$10)),$G$10-SQRT((1-T494)*($G$10-$E$10)*($G$10-$F$10))))</f>
        <v>1.06939833140067</v>
      </c>
      <c r="G494" s="38" t="n">
        <f aca="false">IF($G$11=$E$11,$F$11,IF(U494&lt;($F$11-$E$11)/($G$11-$E$11),$E$11+SQRT(U494*($G$11-$E$11)*($F$11-$E$11)),$G$11-SQRT((1-U494)*($G$11-$E$11)*($G$11-$F$11))))</f>
        <v>0.0860982116204667</v>
      </c>
      <c r="H494" s="39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-2138796662.80135</v>
      </c>
      <c r="I494" s="39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-64192887.7260851</v>
      </c>
      <c r="J494" s="39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166322755.887646</v>
      </c>
      <c r="K494" s="39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450308316.07141</v>
      </c>
      <c r="L494" s="39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556384693.394923</v>
      </c>
      <c r="M494" s="39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717192755.382404</v>
      </c>
      <c r="N494" s="39" t="n">
        <f aca="false">IF(COUNT('Business Case'!B11:G11)=0,"",H494+NPV(G494,I494:M494))</f>
        <v>-831010208.806489</v>
      </c>
      <c r="P494" s="40" t="n">
        <f aca="true">RAND()</f>
        <v>0.399075907075096</v>
      </c>
      <c r="Q494" s="40" t="n">
        <f aca="true">RAND()</f>
        <v>0.203111944038684</v>
      </c>
      <c r="R494" s="40" t="n">
        <f aca="true">RAND()</f>
        <v>0.787736686594676</v>
      </c>
      <c r="S494" s="40" t="n">
        <f aca="true">RAND()</f>
        <v>0.492447424840699</v>
      </c>
      <c r="T494" s="40" t="n">
        <f aca="true">RAND()</f>
        <v>0.565107163988521</v>
      </c>
      <c r="U494" s="40" t="n">
        <f aca="true">RAND()</f>
        <v>0.0371881849679946</v>
      </c>
    </row>
    <row r="495" customFormat="false" ht="15" hidden="false" customHeight="false" outlineLevel="0" collapsed="false">
      <c r="A495" s="36" t="n">
        <v>415</v>
      </c>
      <c r="B495" s="37" t="n">
        <f aca="false">1+IF($G$6=$E$6,$F$6,IF(P495&lt;($F$6-$E$6)/($G$6-$E$6),$E$6+SQRT(P495*($G$6-$E$6)*($F$6-$E$6)),$G$6-SQRT((1-P495)*($G$6-$E$6)*($G$6-$F$6))))</f>
        <v>0.976947871774153</v>
      </c>
      <c r="C495" s="37" t="n">
        <f aca="false">1+IF($G$7=$E$7,$F$7,IF(Q495&lt;($F$7-$E$7)/($G$7-$E$7),$E$7+SQRT(Q495*($G$7-$E$7)*($F$7-$E$7)),$G$7-SQRT((1-Q495)*($G$7-$E$7)*($G$7-$F$7))))</f>
        <v>1.05933319917358</v>
      </c>
      <c r="D495" s="37" t="n">
        <f aca="false">1+IF($G$8=$E$8,$F$8,IF(R495&lt;($F$8-$E$8)/($G$8-$E$8),$E$8+SQRT(R495*($G$8-$E$8)*($F$8-$E$8)),$G$8-SQRT((1-R495)*($G$8-$E$8)*($G$8-$F$8))))</f>
        <v>1.03172755656853</v>
      </c>
      <c r="E495" s="37" t="n">
        <f aca="false">1+IF($G$9=$E$9,$F$9,IF(S495&lt;($F$9-$E$9)/($G$9-$E$9),$E$9+SQRT(S495*($G$9-$E$9)*($F$9-$E$9)),$G$9-SQRT((1-S495)*($G$9-$E$9)*($G$9-$F$9))))</f>
        <v>1.01224921122709</v>
      </c>
      <c r="F495" s="37" t="n">
        <f aca="false">1+IF($G$10=$E$10,$F$10,IF(T495&lt;($F$10-$E$10)/($G$10-$E$10),$E$10+SQRT(T495*($G$10-$E$10)*($F$10-$E$10)),$G$10-SQRT((1-T495)*($G$10-$E$10)*($G$10-$F$10))))</f>
        <v>1.15234656275485</v>
      </c>
      <c r="G495" s="38" t="n">
        <f aca="false">IF($G$11=$E$11,$F$11,IF(U495&lt;($F$11-$E$11)/($G$11-$E$11),$E$11+SQRT(U495*($G$11-$E$11)*($F$11-$E$11)),$G$11-SQRT((1-U495)*($G$11-$E$11)*($G$11-$F$11))))</f>
        <v>0.1026208206312</v>
      </c>
      <c r="H495" s="39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-2304693125.5097</v>
      </c>
      <c r="I495" s="39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-24657392.2189153</v>
      </c>
      <c r="J495" s="39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263511615.894319</v>
      </c>
      <c r="K495" s="39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609297952.145296</v>
      </c>
      <c r="L495" s="39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741120892.329822</v>
      </c>
      <c r="M495" s="39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937837215.137121</v>
      </c>
      <c r="N495" s="39" t="n">
        <f aca="false">IF(COUNT('Business Case'!B11:G11)=0,"",H495+NPV(G495,I495:M495))</f>
        <v>-578958148.290036</v>
      </c>
      <c r="P495" s="40" t="n">
        <f aca="true">RAND()</f>
        <v>0.394731664704766</v>
      </c>
      <c r="Q495" s="40" t="n">
        <f aca="true">RAND()</f>
        <v>0.878215277450416</v>
      </c>
      <c r="R495" s="40" t="n">
        <f aca="true">RAND()</f>
        <v>0.68925823119307</v>
      </c>
      <c r="S495" s="40" t="n">
        <f aca="true">RAND()</f>
        <v>0.493992538465105</v>
      </c>
      <c r="T495" s="40" t="n">
        <f aca="true">RAND()</f>
        <v>0.872850749256094</v>
      </c>
      <c r="U495" s="40" t="n">
        <f aca="true">RAND()</f>
        <v>0.50025369139404</v>
      </c>
    </row>
    <row r="496" customFormat="false" ht="15" hidden="false" customHeight="false" outlineLevel="0" collapsed="false">
      <c r="A496" s="36" t="n">
        <v>416</v>
      </c>
      <c r="B496" s="37" t="n">
        <f aca="false">1+IF($G$6=$E$6,$F$6,IF(P496&lt;($F$6-$E$6)/($G$6-$E$6),$E$6+SQRT(P496*($G$6-$E$6)*($F$6-$E$6)),$G$6-SQRT((1-P496)*($G$6-$E$6)*($G$6-$F$6))))</f>
        <v>0.938546767724684</v>
      </c>
      <c r="C496" s="37" t="n">
        <f aca="false">1+IF($G$7=$E$7,$F$7,IF(Q496&lt;($F$7-$E$7)/($G$7-$E$7),$E$7+SQRT(Q496*($G$7-$E$7)*($F$7-$E$7)),$G$7-SQRT((1-Q496)*($G$7-$E$7)*($G$7-$F$7))))</f>
        <v>0.788639069426361</v>
      </c>
      <c r="D496" s="37" t="n">
        <f aca="false">1+IF($G$8=$E$8,$F$8,IF(R496&lt;($F$8-$E$8)/($G$8-$E$8),$E$8+SQRT(R496*($G$8-$E$8)*($F$8-$E$8)),$G$8-SQRT((1-R496)*($G$8-$E$8)*($G$8-$F$8))))</f>
        <v>1.06113958255763</v>
      </c>
      <c r="E496" s="37" t="n">
        <f aca="false">1+IF($G$9=$E$9,$F$9,IF(S496&lt;($F$9-$E$9)/($G$9-$E$9),$E$9+SQRT(S496*($G$9-$E$9)*($F$9-$E$9)),$G$9-SQRT((1-S496)*($G$9-$E$9)*($G$9-$F$9))))</f>
        <v>0.923100240019547</v>
      </c>
      <c r="F496" s="37" t="n">
        <f aca="false">1+IF($G$10=$E$10,$F$10,IF(T496&lt;($F$10-$E$10)/($G$10-$E$10),$E$10+SQRT(T496*($G$10-$E$10)*($F$10-$E$10)),$G$10-SQRT((1-T496)*($G$10-$E$10)*($G$10-$F$10))))</f>
        <v>0.954301570982464</v>
      </c>
      <c r="G496" s="38" t="n">
        <f aca="false">IF($G$11=$E$11,$F$11,IF(U496&lt;($F$11-$E$11)/($G$11-$E$11),$E$11+SQRT(U496*($G$11-$E$11)*($F$11-$E$11)),$G$11-SQRT((1-U496)*($G$11-$E$11)*($G$11-$F$11))))</f>
        <v>0.110431097733315</v>
      </c>
      <c r="H496" s="39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-1908603141.96493</v>
      </c>
      <c r="I496" s="39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-87212726.099274</v>
      </c>
      <c r="J496" s="39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90640212.8611549</v>
      </c>
      <c r="K496" s="39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316208230.370707</v>
      </c>
      <c r="L496" s="39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401072979.244634</v>
      </c>
      <c r="M496" s="39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541765376.623783</v>
      </c>
      <c r="N496" s="39" t="n">
        <f aca="false">IF(COUNT('Business Case'!B11:G11)=0,"",H496+NPV(G496,I496:M496))</f>
        <v>-1098017658.02449</v>
      </c>
      <c r="P496" s="40" t="n">
        <f aca="true">RAND()</f>
        <v>0.0990568868013848</v>
      </c>
      <c r="Q496" s="40" t="n">
        <f aca="true">RAND()</f>
        <v>0.058199145398305</v>
      </c>
      <c r="R496" s="40" t="n">
        <f aca="true">RAND()</f>
        <v>0.899324530413645</v>
      </c>
      <c r="S496" s="40" t="n">
        <f aca="true">RAND()</f>
        <v>0.0213448435584266</v>
      </c>
      <c r="T496" s="40" t="n">
        <f aca="true">RAND()</f>
        <v>0.00123356752781148</v>
      </c>
      <c r="U496" s="40" t="n">
        <f aca="true">RAND()</f>
        <v>0.744705376051298</v>
      </c>
    </row>
    <row r="497" customFormat="false" ht="15" hidden="false" customHeight="false" outlineLevel="0" collapsed="false">
      <c r="A497" s="36" t="n">
        <v>417</v>
      </c>
      <c r="B497" s="37" t="n">
        <f aca="false">1+IF($G$6=$E$6,$F$6,IF(P497&lt;($F$6-$E$6)/($G$6-$E$6),$E$6+SQRT(P497*($G$6-$E$6)*($F$6-$E$6)),$G$6-SQRT((1-P497)*($G$6-$E$6)*($G$6-$F$6))))</f>
        <v>0.959989802946194</v>
      </c>
      <c r="C497" s="37" t="n">
        <f aca="false">1+IF($G$7=$E$7,$F$7,IF(Q497&lt;($F$7-$E$7)/($G$7-$E$7),$E$7+SQRT(Q497*($G$7-$E$7)*($F$7-$E$7)),$G$7-SQRT((1-Q497)*($G$7-$E$7)*($G$7-$F$7))))</f>
        <v>0.950774002309533</v>
      </c>
      <c r="D497" s="37" t="n">
        <f aca="false">1+IF($G$8=$E$8,$F$8,IF(R497&lt;($F$8-$E$8)/($G$8-$E$8),$E$8+SQRT(R497*($G$8-$E$8)*($F$8-$E$8)),$G$8-SQRT((1-R497)*($G$8-$E$8)*($G$8-$F$8))))</f>
        <v>1.06398465460462</v>
      </c>
      <c r="E497" s="37" t="n">
        <f aca="false">1+IF($G$9=$E$9,$F$9,IF(S497&lt;($F$9-$E$9)/($G$9-$E$9),$E$9+SQRT(S497*($G$9-$E$9)*($F$9-$E$9)),$G$9-SQRT((1-S497)*($G$9-$E$9)*($G$9-$F$9))))</f>
        <v>1.02157332528621</v>
      </c>
      <c r="F497" s="37" t="n">
        <f aca="false">1+IF($G$10=$E$10,$F$10,IF(T497&lt;($F$10-$E$10)/($G$10-$E$10),$E$10+SQRT(T497*($G$10-$E$10)*($F$10-$E$10)),$G$10-SQRT((1-T497)*($G$10-$E$10)*($G$10-$F$10))))</f>
        <v>1.03250314441275</v>
      </c>
      <c r="G497" s="38" t="n">
        <f aca="false">IF($G$11=$E$11,$F$11,IF(U497&lt;($F$11-$E$11)/($G$11-$E$11),$E$11+SQRT(U497*($G$11-$E$11)*($F$11-$E$11)),$G$11-SQRT((1-U497)*($G$11-$E$11)*($G$11-$F$11))))</f>
        <v>0.0869033600251918</v>
      </c>
      <c r="H497" s="39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-2065006288.82551</v>
      </c>
      <c r="I497" s="39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-66102662.809481</v>
      </c>
      <c r="J497" s="39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163628812.392895</v>
      </c>
      <c r="K497" s="39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444985444.815908</v>
      </c>
      <c r="L497" s="39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553106667.693288</v>
      </c>
      <c r="M497" s="39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726599022.314521</v>
      </c>
      <c r="N497" s="39" t="n">
        <f aca="false">IF(COUNT('Business Case'!B11:G11)=0,"",H497+NPV(G497,I497:M497))</f>
        <v>-765434697.788262</v>
      </c>
      <c r="P497" s="40" t="n">
        <f aca="true">RAND()</f>
        <v>0.239918430501546</v>
      </c>
      <c r="Q497" s="40" t="n">
        <f aca="true">RAND()</f>
        <v>0.465834075809937</v>
      </c>
      <c r="R497" s="40" t="n">
        <f aca="true">RAND()</f>
        <v>0.913526326403445</v>
      </c>
      <c r="S497" s="40" t="n">
        <f aca="true">RAND()</f>
        <v>0.560175712585579</v>
      </c>
      <c r="T497" s="40" t="n">
        <f aca="true">RAND()</f>
        <v>0.369268237462139</v>
      </c>
      <c r="U497" s="40" t="n">
        <f aca="true">RAND()</f>
        <v>0.0476563796374165</v>
      </c>
    </row>
    <row r="498" customFormat="false" ht="15" hidden="false" customHeight="false" outlineLevel="0" collapsed="false">
      <c r="A498" s="36" t="n">
        <v>418</v>
      </c>
      <c r="B498" s="37" t="n">
        <f aca="false">1+IF($G$6=$E$6,$F$6,IF(P498&lt;($F$6-$E$6)/($G$6-$E$6),$E$6+SQRT(P498*($G$6-$E$6)*($F$6-$E$6)),$G$6-SQRT((1-P498)*($G$6-$E$6)*($G$6-$F$6))))</f>
        <v>0.996488018062214</v>
      </c>
      <c r="C498" s="37" t="n">
        <f aca="false">1+IF($G$7=$E$7,$F$7,IF(Q498&lt;($F$7-$E$7)/($G$7-$E$7),$E$7+SQRT(Q498*($G$7-$E$7)*($F$7-$E$7)),$G$7-SQRT((1-Q498)*($G$7-$E$7)*($G$7-$F$7))))</f>
        <v>0.907333429429461</v>
      </c>
      <c r="D498" s="37" t="n">
        <f aca="false">1+IF($G$8=$E$8,$F$8,IF(R498&lt;($F$8-$E$8)/($G$8-$E$8),$E$8+SQRT(R498*($G$8-$E$8)*($F$8-$E$8)),$G$8-SQRT((1-R498)*($G$8-$E$8)*($G$8-$F$8))))</f>
        <v>0.9925227335784</v>
      </c>
      <c r="E498" s="37" t="n">
        <f aca="false">1+IF($G$9=$E$9,$F$9,IF(S498&lt;($F$9-$E$9)/($G$9-$E$9),$E$9+SQRT(S498*($G$9-$E$9)*($F$9-$E$9)),$G$9-SQRT((1-S498)*($G$9-$E$9)*($G$9-$F$9))))</f>
        <v>0.942247035088397</v>
      </c>
      <c r="F498" s="37" t="n">
        <f aca="false">1+IF($G$10=$E$10,$F$10,IF(T498&lt;($F$10-$E$10)/($G$10-$E$10),$E$10+SQRT(T498*($G$10-$E$10)*($F$10-$E$10)),$G$10-SQRT((1-T498)*($G$10-$E$10)*($G$10-$F$10))))</f>
        <v>1.13312683367135</v>
      </c>
      <c r="G498" s="38" t="n">
        <f aca="false">IF($G$11=$E$11,$F$11,IF(U498&lt;($F$11-$E$11)/($G$11-$E$11),$E$11+SQRT(U498*($G$11-$E$11)*($F$11-$E$11)),$G$11-SQRT((1-U498)*($G$11-$E$11)*($G$11-$F$11))))</f>
        <v>0.116088084463418</v>
      </c>
      <c r="H498" s="39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-2266253667.34269</v>
      </c>
      <c r="I498" s="39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-14618856.9893635</v>
      </c>
      <c r="J498" s="39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264933472.597763</v>
      </c>
      <c r="K498" s="39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601142143.868456</v>
      </c>
      <c r="L498" s="39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725573570.277355</v>
      </c>
      <c r="M498" s="39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897433811.283234</v>
      </c>
      <c r="N498" s="39" t="n">
        <f aca="false">IF(COUNT('Business Case'!B11:G11)=0,"",H498+NPV(G498,I498:M498))</f>
        <v>-648440216.234785</v>
      </c>
      <c r="P498" s="40" t="n">
        <f aca="true">RAND()</f>
        <v>0.620662508638276</v>
      </c>
      <c r="Q498" s="40" t="n">
        <f aca="true">RAND()</f>
        <v>0.318423340436897</v>
      </c>
      <c r="R498" s="40" t="n">
        <f aca="true">RAND()</f>
        <v>0.241091049463949</v>
      </c>
      <c r="S498" s="40" t="n">
        <f aca="true">RAND()</f>
        <v>0.0713924789504085</v>
      </c>
      <c r="T498" s="40" t="n">
        <f aca="true">RAND()</f>
        <v>0.817875506564197</v>
      </c>
      <c r="U498" s="40" t="n">
        <f aca="true">RAND()</f>
        <v>0.87097240406868</v>
      </c>
    </row>
    <row r="499" customFormat="false" ht="15" hidden="false" customHeight="false" outlineLevel="0" collapsed="false">
      <c r="A499" s="36" t="n">
        <v>419</v>
      </c>
      <c r="B499" s="37" t="n">
        <f aca="false">1+IF($G$6=$E$6,$F$6,IF(P499&lt;($F$6-$E$6)/($G$6-$E$6),$E$6+SQRT(P499*($G$6-$E$6)*($F$6-$E$6)),$G$6-SQRT((1-P499)*($G$6-$E$6)*($G$6-$F$6))))</f>
        <v>0.995971013293579</v>
      </c>
      <c r="C499" s="37" t="n">
        <f aca="false">1+IF($G$7=$E$7,$F$7,IF(Q499&lt;($F$7-$E$7)/($G$7-$E$7),$E$7+SQRT(Q499*($G$7-$E$7)*($F$7-$E$7)),$G$7-SQRT((1-Q499)*($G$7-$E$7)*($G$7-$F$7))))</f>
        <v>0.99849208875854</v>
      </c>
      <c r="D499" s="37" t="n">
        <f aca="false">1+IF($G$8=$E$8,$F$8,IF(R499&lt;($F$8-$E$8)/($G$8-$E$8),$E$8+SQRT(R499*($G$8-$E$8)*($F$8-$E$8)),$G$8-SQRT((1-R499)*($G$8-$E$8)*($G$8-$F$8))))</f>
        <v>1.01058470285719</v>
      </c>
      <c r="E499" s="37" t="n">
        <f aca="false">1+IF($G$9=$E$9,$F$9,IF(S499&lt;($F$9-$E$9)/($G$9-$E$9),$E$9+SQRT(S499*($G$9-$E$9)*($F$9-$E$9)),$G$9-SQRT((1-S499)*($G$9-$E$9)*($G$9-$F$9))))</f>
        <v>1.02730309531525</v>
      </c>
      <c r="F499" s="37" t="n">
        <f aca="false">1+IF($G$10=$E$10,$F$10,IF(T499&lt;($F$10-$E$10)/($G$10-$E$10),$E$10+SQRT(T499*($G$10-$E$10)*($F$10-$E$10)),$G$10-SQRT((1-T499)*($G$10-$E$10)*($G$10-$F$10))))</f>
        <v>0.997320014223897</v>
      </c>
      <c r="G499" s="38" t="n">
        <f aca="false">IF($G$11=$E$11,$F$11,IF(U499&lt;($F$11-$E$11)/($G$11-$E$11),$E$11+SQRT(U499*($G$11-$E$11)*($F$11-$E$11)),$G$11-SQRT((1-U499)*($G$11-$E$11)*($G$11-$F$11))))</f>
        <v>0.107043615076688</v>
      </c>
      <c r="H499" s="39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-1994640028.44779</v>
      </c>
      <c r="I499" s="39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615653.828633264</v>
      </c>
      <c r="J499" s="39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298599091.390236</v>
      </c>
      <c r="K499" s="39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646448529.663033</v>
      </c>
      <c r="L499" s="39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780145196.954734</v>
      </c>
      <c r="M499" s="39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969173898.196155</v>
      </c>
      <c r="N499" s="39" t="n">
        <f aca="false">IF(COUNT('Business Case'!B11:G11)=0,"",H499+NPV(G499,I499:M499))</f>
        <v>-171667506.133843</v>
      </c>
      <c r="P499" s="40" t="n">
        <f aca="true">RAND()</f>
        <v>0.614029026173089</v>
      </c>
      <c r="Q499" s="40" t="n">
        <f aca="true">RAND()</f>
        <v>0.659981681862489</v>
      </c>
      <c r="R499" s="40" t="n">
        <f aca="true">RAND()</f>
        <v>0.466993642457537</v>
      </c>
      <c r="S499" s="40" t="n">
        <f aca="true">RAND()</f>
        <v>0.598545855487489</v>
      </c>
      <c r="T499" s="40" t="n">
        <f aca="true">RAND()</f>
        <v>0.149278916409986</v>
      </c>
      <c r="U499" s="40" t="n">
        <f aca="true">RAND()</f>
        <v>0.648669594168498</v>
      </c>
    </row>
    <row r="500" customFormat="false" ht="15" hidden="false" customHeight="false" outlineLevel="0" collapsed="false">
      <c r="A500" s="36" t="n">
        <v>420</v>
      </c>
      <c r="B500" s="37" t="n">
        <f aca="false">1+IF($G$6=$E$6,$F$6,IF(P500&lt;($F$6-$E$6)/($G$6-$E$6),$E$6+SQRT(P500*($G$6-$E$6)*($F$6-$E$6)),$G$6-SQRT((1-P500)*($G$6-$E$6)*($G$6-$F$6))))</f>
        <v>0.984551200201156</v>
      </c>
      <c r="C500" s="37" t="n">
        <f aca="false">1+IF($G$7=$E$7,$F$7,IF(Q500&lt;($F$7-$E$7)/($G$7-$E$7),$E$7+SQRT(Q500*($G$7-$E$7)*($F$7-$E$7)),$G$7-SQRT((1-Q500)*($G$7-$E$7)*($G$7-$F$7))))</f>
        <v>0.991823313146574</v>
      </c>
      <c r="D500" s="37" t="n">
        <f aca="false">1+IF($G$8=$E$8,$F$8,IF(R500&lt;($F$8-$E$8)/($G$8-$E$8),$E$8+SQRT(R500*($G$8-$E$8)*($F$8-$E$8)),$G$8-SQRT((1-R500)*($G$8-$E$8)*($G$8-$F$8))))</f>
        <v>0.990519978843847</v>
      </c>
      <c r="E500" s="37" t="n">
        <f aca="false">1+IF($G$9=$E$9,$F$9,IF(S500&lt;($F$9-$E$9)/($G$9-$E$9),$E$9+SQRT(S500*($G$9-$E$9)*($F$9-$E$9)),$G$9-SQRT((1-S500)*($G$9-$E$9)*($G$9-$F$9))))</f>
        <v>0.993466745215337</v>
      </c>
      <c r="F500" s="37" t="n">
        <f aca="false">1+IF($G$10=$E$10,$F$10,IF(T500&lt;($F$10-$E$10)/($G$10-$E$10),$E$10+SQRT(T500*($G$10-$E$10)*($F$10-$E$10)),$G$10-SQRT((1-T500)*($G$10-$E$10)*($G$10-$F$10))))</f>
        <v>1.02526117928306</v>
      </c>
      <c r="G500" s="38" t="n">
        <f aca="false">IF($G$11=$E$11,$F$11,IF(U500&lt;($F$11-$E$11)/($G$11-$E$11),$E$11+SQRT(U500*($G$11-$E$11)*($F$11-$E$11)),$G$11-SQRT((1-U500)*($G$11-$E$11)*($G$11-$F$11))))</f>
        <v>0.10307831485771</v>
      </c>
      <c r="H500" s="39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-2050522358.56612</v>
      </c>
      <c r="I500" s="39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2484738.67307609</v>
      </c>
      <c r="J500" s="39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299388369.644733</v>
      </c>
      <c r="K500" s="39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647555059.580542</v>
      </c>
      <c r="L500" s="39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780270805.37153</v>
      </c>
      <c r="M500" s="39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965884083.773928</v>
      </c>
      <c r="N500" s="39" t="n">
        <f aca="false">IF(COUNT('Business Case'!B11:G11)=0,"",H500+NPV(G500,I500:M500))</f>
        <v>-201336880.43214</v>
      </c>
      <c r="P500" s="40" t="n">
        <f aca="true">RAND()</f>
        <v>0.476593697030395</v>
      </c>
      <c r="Q500" s="40" t="n">
        <f aca="true">RAND()</f>
        <v>0.630821082191434</v>
      </c>
      <c r="R500" s="40" t="n">
        <f aca="true">RAND()</f>
        <v>0.218915824734105</v>
      </c>
      <c r="S500" s="40" t="n">
        <f aca="true">RAND()</f>
        <v>0.34944129844595</v>
      </c>
      <c r="T500" s="40" t="n">
        <f aca="true">RAND()</f>
        <v>0.32656616617011</v>
      </c>
      <c r="U500" s="40" t="n">
        <f aca="true">RAND()</f>
        <v>0.51681524606626</v>
      </c>
    </row>
    <row r="501" customFormat="false" ht="15" hidden="false" customHeight="false" outlineLevel="0" collapsed="false">
      <c r="A501" s="36" t="n">
        <v>421</v>
      </c>
      <c r="B501" s="37" t="n">
        <f aca="false">1+IF($G$6=$E$6,$F$6,IF(P501&lt;($F$6-$E$6)/($G$6-$E$6),$E$6+SQRT(P501*($G$6-$E$6)*($F$6-$E$6)),$G$6-SQRT((1-P501)*($G$6-$E$6)*($G$6-$F$6))))</f>
        <v>0.96797398512091</v>
      </c>
      <c r="C501" s="37" t="n">
        <f aca="false">1+IF($G$7=$E$7,$F$7,IF(Q501&lt;($F$7-$E$7)/($G$7-$E$7),$E$7+SQRT(Q501*($G$7-$E$7)*($F$7-$E$7)),$G$7-SQRT((1-Q501)*($G$7-$E$7)*($G$7-$F$7))))</f>
        <v>0.930518468166736</v>
      </c>
      <c r="D501" s="37" t="n">
        <f aca="false">1+IF($G$8=$E$8,$F$8,IF(R501&lt;($F$8-$E$8)/($G$8-$E$8),$E$8+SQRT(R501*($G$8-$E$8)*($F$8-$E$8)),$G$8-SQRT((1-R501)*($G$8-$E$8)*($G$8-$F$8))))</f>
        <v>1.001428175852</v>
      </c>
      <c r="E501" s="37" t="n">
        <f aca="false">1+IF($G$9=$E$9,$F$9,IF(S501&lt;($F$9-$E$9)/($G$9-$E$9),$E$9+SQRT(S501*($G$9-$E$9)*($F$9-$E$9)),$G$9-SQRT((1-S501)*($G$9-$E$9)*($G$9-$F$9))))</f>
        <v>1.04331760642483</v>
      </c>
      <c r="F501" s="37" t="n">
        <f aca="false">1+IF($G$10=$E$10,$F$10,IF(T501&lt;($F$10-$E$10)/($G$10-$E$10),$E$10+SQRT(T501*($G$10-$E$10)*($F$10-$E$10)),$G$10-SQRT((1-T501)*($G$10-$E$10)*($G$10-$F$10))))</f>
        <v>1.03143471260951</v>
      </c>
      <c r="G501" s="38" t="n">
        <f aca="false">IF($G$11=$E$11,$F$11,IF(U501&lt;($F$11-$E$11)/($G$11-$E$11),$E$11+SQRT(U501*($G$11-$E$11)*($F$11-$E$11)),$G$11-SQRT((1-U501)*($G$11-$E$11)*($G$11-$F$11))))</f>
        <v>0.100095400174001</v>
      </c>
      <c r="H501" s="39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-2062869425.21902</v>
      </c>
      <c r="I501" s="39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-37475142.8520699</v>
      </c>
      <c r="J501" s="39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223246153.195963</v>
      </c>
      <c r="K501" s="39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535539184.874471</v>
      </c>
      <c r="L501" s="39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653575086.227509</v>
      </c>
      <c r="M501" s="39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824783500.91449</v>
      </c>
      <c r="N501" s="39" t="n">
        <f aca="false">IF(COUNT('Business Case'!B11:G11)=0,"",H501+NPV(G501,I501:M501))</f>
        <v>-552062585.685012</v>
      </c>
      <c r="P501" s="40" t="n">
        <f aca="true">RAND()</f>
        <v>0.308030843547843</v>
      </c>
      <c r="Q501" s="40" t="n">
        <f aca="true">RAND()</f>
        <v>0.393620475303248</v>
      </c>
      <c r="R501" s="40" t="n">
        <f aca="true">RAND()</f>
        <v>0.352239698942338</v>
      </c>
      <c r="S501" s="40" t="n">
        <f aca="true">RAND()</f>
        <v>0.696503117361959</v>
      </c>
      <c r="T501" s="40" t="n">
        <f aca="true">RAND()</f>
        <v>0.363056201972166</v>
      </c>
      <c r="U501" s="40" t="n">
        <f aca="true">RAND()</f>
        <v>0.403809939497898</v>
      </c>
    </row>
    <row r="502" customFormat="false" ht="15" hidden="false" customHeight="false" outlineLevel="0" collapsed="false">
      <c r="A502" s="36" t="n">
        <v>422</v>
      </c>
      <c r="B502" s="37" t="n">
        <f aca="false">1+IF($G$6=$E$6,$F$6,IF(P502&lt;($F$6-$E$6)/($G$6-$E$6),$E$6+SQRT(P502*($G$6-$E$6)*($F$6-$E$6)),$G$6-SQRT((1-P502)*($G$6-$E$6)*($G$6-$F$6))))</f>
        <v>0.971602654982767</v>
      </c>
      <c r="C502" s="37" t="n">
        <f aca="false">1+IF($G$7=$E$7,$F$7,IF(Q502&lt;($F$7-$E$7)/($G$7-$E$7),$E$7+SQRT(Q502*($G$7-$E$7)*($F$7-$E$7)),$G$7-SQRT((1-Q502)*($G$7-$E$7)*($G$7-$F$7))))</f>
        <v>0.744260856066597</v>
      </c>
      <c r="D502" s="37" t="n">
        <f aca="false">1+IF($G$8=$E$8,$F$8,IF(R502&lt;($F$8-$E$8)/($G$8-$E$8),$E$8+SQRT(R502*($G$8-$E$8)*($F$8-$E$8)),$G$8-SQRT((1-R502)*($G$8-$E$8)*($G$8-$F$8))))</f>
        <v>1.01969230544889</v>
      </c>
      <c r="E502" s="37" t="n">
        <f aca="false">1+IF($G$9=$E$9,$F$9,IF(S502&lt;($F$9-$E$9)/($G$9-$E$9),$E$9+SQRT(S502*($G$9-$E$9)*($F$9-$E$9)),$G$9-SQRT((1-S502)*($G$9-$E$9)*($G$9-$F$9))))</f>
        <v>0.980827744923893</v>
      </c>
      <c r="F502" s="37" t="n">
        <f aca="false">1+IF($G$10=$E$10,$F$10,IF(T502&lt;($F$10-$E$10)/($G$10-$E$10),$E$10+SQRT(T502*($G$10-$E$10)*($F$10-$E$10)),$G$10-SQRT((1-T502)*($G$10-$E$10)*($G$10-$F$10))))</f>
        <v>1.02584949651095</v>
      </c>
      <c r="G502" s="38" t="n">
        <f aca="false">IF($G$11=$E$11,$F$11,IF(U502&lt;($F$11-$E$11)/($G$11-$E$11),$E$11+SQRT(U502*($G$11-$E$11)*($F$11-$E$11)),$G$11-SQRT((1-U502)*($G$11-$E$11)*($G$11-$F$11))))</f>
        <v>0.100964820065396</v>
      </c>
      <c r="H502" s="39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-2051698993.02189</v>
      </c>
      <c r="I502" s="39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-75758208.5104404</v>
      </c>
      <c r="J502" s="39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128029080.661801</v>
      </c>
      <c r="K502" s="39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383108844.659591</v>
      </c>
      <c r="L502" s="39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476029169.519278</v>
      </c>
      <c r="M502" s="39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613480926.098448</v>
      </c>
      <c r="N502" s="39" t="n">
        <f aca="false">IF(COUNT('Business Case'!B11:G11)=0,"",H502+NPV(G502,I502:M502))</f>
        <v>-1024553335.16143</v>
      </c>
      <c r="P502" s="40" t="n">
        <f aca="true">RAND()</f>
        <v>0.341796013372075</v>
      </c>
      <c r="Q502" s="40" t="n">
        <f aca="true">RAND()</f>
        <v>0.0145112842944297</v>
      </c>
      <c r="R502" s="40" t="n">
        <f aca="true">RAND()</f>
        <v>0.570044946392384</v>
      </c>
      <c r="S502" s="40" t="n">
        <f aca="true">RAND()</f>
        <v>0.261324973979275</v>
      </c>
      <c r="T502" s="40" t="n">
        <f aca="true">RAND()</f>
        <v>0.330087357141383</v>
      </c>
      <c r="U502" s="40" t="n">
        <f aca="true">RAND()</f>
        <v>0.437972217443447</v>
      </c>
    </row>
    <row r="503" customFormat="false" ht="15" hidden="false" customHeight="false" outlineLevel="0" collapsed="false">
      <c r="A503" s="36" t="n">
        <v>423</v>
      </c>
      <c r="B503" s="37" t="n">
        <f aca="false">1+IF($G$6=$E$6,$F$6,IF(P503&lt;($F$6-$E$6)/($G$6-$E$6),$E$6+SQRT(P503*($G$6-$E$6)*($F$6-$E$6)),$G$6-SQRT((1-P503)*($G$6-$E$6)*($G$6-$F$6))))</f>
        <v>0.944288596997169</v>
      </c>
      <c r="C503" s="37" t="n">
        <f aca="false">1+IF($G$7=$E$7,$F$7,IF(Q503&lt;($F$7-$E$7)/($G$7-$E$7),$E$7+SQRT(Q503*($G$7-$E$7)*($F$7-$E$7)),$G$7-SQRT((1-Q503)*($G$7-$E$7)*($G$7-$F$7))))</f>
        <v>1.05238097990531</v>
      </c>
      <c r="D503" s="37" t="n">
        <f aca="false">1+IF($G$8=$E$8,$F$8,IF(R503&lt;($F$8-$E$8)/($G$8-$E$8),$E$8+SQRT(R503*($G$8-$E$8)*($F$8-$E$8)),$G$8-SQRT((1-R503)*($G$8-$E$8)*($G$8-$F$8))))</f>
        <v>1.02393922760568</v>
      </c>
      <c r="E503" s="37" t="n">
        <f aca="false">1+IF($G$9=$E$9,$F$9,IF(S503&lt;($F$9-$E$9)/($G$9-$E$9),$E$9+SQRT(S503*($G$9-$E$9)*($F$9-$E$9)),$G$9-SQRT((1-S503)*($G$9-$E$9)*($G$9-$F$9))))</f>
        <v>0.929036585077768</v>
      </c>
      <c r="F503" s="37" t="n">
        <f aca="false">1+IF($G$10=$E$10,$F$10,IF(T503&lt;($F$10-$E$10)/($G$10-$E$10),$E$10+SQRT(T503*($G$10-$E$10)*($F$10-$E$10)),$G$10-SQRT((1-T503)*($G$10-$E$10)*($G$10-$F$10))))</f>
        <v>1.05484258093845</v>
      </c>
      <c r="G503" s="38" t="n">
        <f aca="false">IF($G$11=$E$11,$F$11,IF(U503&lt;($F$11-$E$11)/($G$11-$E$11),$E$11+SQRT(U503*($G$11-$E$11)*($F$11-$E$11)),$G$11-SQRT((1-U503)*($G$11-$E$11)*($G$11-$F$11))))</f>
        <v>0.106305954992852</v>
      </c>
      <c r="H503" s="39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-2109685161.87689</v>
      </c>
      <c r="I503" s="39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-26787185.7419712</v>
      </c>
      <c r="J503" s="39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235534959.459625</v>
      </c>
      <c r="K503" s="39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550599233.708142</v>
      </c>
      <c r="L503" s="39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672383995.743117</v>
      </c>
      <c r="M503" s="39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861276254.065884</v>
      </c>
      <c r="N503" s="39" t="n">
        <f aca="false">IF(COUNT('Business Case'!B11:G11)=0,"",H503+NPV(G503,I503:M503))</f>
        <v>-566232541.102801</v>
      </c>
      <c r="P503" s="40" t="n">
        <f aca="true">RAND()</f>
        <v>0.130765321598511</v>
      </c>
      <c r="Q503" s="40" t="n">
        <f aca="true">RAND()</f>
        <v>0.858822620974108</v>
      </c>
      <c r="R503" s="40" t="n">
        <f aca="true">RAND()</f>
        <v>0.614317260185266</v>
      </c>
      <c r="S503" s="40" t="n">
        <f aca="true">RAND()</f>
        <v>0.033724930919139</v>
      </c>
      <c r="T503" s="40" t="n">
        <f aca="true">RAND()</f>
        <v>0.492181090469768</v>
      </c>
      <c r="U503" s="40" t="n">
        <f aca="true">RAND()</f>
        <v>0.62572815413283</v>
      </c>
    </row>
    <row r="504" customFormat="false" ht="15" hidden="false" customHeight="false" outlineLevel="0" collapsed="false">
      <c r="A504" s="36" t="n">
        <v>424</v>
      </c>
      <c r="B504" s="37" t="n">
        <f aca="false">1+IF($G$6=$E$6,$F$6,IF(P504&lt;($F$6-$E$6)/($G$6-$E$6),$E$6+SQRT(P504*($G$6-$E$6)*($F$6-$E$6)),$G$6-SQRT((1-P504)*($G$6-$E$6)*($G$6-$F$6))))</f>
        <v>1.01716054882501</v>
      </c>
      <c r="C504" s="37" t="n">
        <f aca="false">1+IF($G$7=$E$7,$F$7,IF(Q504&lt;($F$7-$E$7)/($G$7-$E$7),$E$7+SQRT(Q504*($G$7-$E$7)*($F$7-$E$7)),$G$7-SQRT((1-Q504)*($G$7-$E$7)*($G$7-$F$7))))</f>
        <v>0.766581156514359</v>
      </c>
      <c r="D504" s="37" t="n">
        <f aca="false">1+IF($G$8=$E$8,$F$8,IF(R504&lt;($F$8-$E$8)/($G$8-$E$8),$E$8+SQRT(R504*($G$8-$E$8)*($F$8-$E$8)),$G$8-SQRT((1-R504)*($G$8-$E$8)*($G$8-$F$8))))</f>
        <v>1.03397052294528</v>
      </c>
      <c r="E504" s="37" t="n">
        <f aca="false">1+IF($G$9=$E$9,$F$9,IF(S504&lt;($F$9-$E$9)/($G$9-$E$9),$E$9+SQRT(S504*($G$9-$E$9)*($F$9-$E$9)),$G$9-SQRT((1-S504)*($G$9-$E$9)*($G$9-$F$9))))</f>
        <v>0.922329053979222</v>
      </c>
      <c r="F504" s="37" t="n">
        <f aca="false">1+IF($G$10=$E$10,$F$10,IF(T504&lt;($F$10-$E$10)/($G$10-$E$10),$E$10+SQRT(T504*($G$10-$E$10)*($F$10-$E$10)),$G$10-SQRT((1-T504)*($G$10-$E$10)*($G$10-$F$10))))</f>
        <v>1.07896388454541</v>
      </c>
      <c r="G504" s="38" t="n">
        <f aca="false">IF($G$11=$E$11,$F$11,IF(U504&lt;($F$11-$E$11)/($G$11-$E$11),$E$11+SQRT(U504*($G$11-$E$11)*($F$11-$E$11)),$G$11-SQRT((1-U504)*($G$11-$E$11)*($G$11-$F$11))))</f>
        <v>0.120154801028735</v>
      </c>
      <c r="H504" s="39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-2157927769.09082</v>
      </c>
      <c r="I504" s="39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-46572302.5620647</v>
      </c>
      <c r="J504" s="39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186328494.742387</v>
      </c>
      <c r="K504" s="39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473177486.274109</v>
      </c>
      <c r="L504" s="39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577758765.333013</v>
      </c>
      <c r="M504" s="39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725971005.098824</v>
      </c>
      <c r="N504" s="39" t="n">
        <f aca="false">IF(COUNT('Business Case'!B11:G11)=0,"",H504+NPV(G504,I504:M504))</f>
        <v>-935722680.516326</v>
      </c>
      <c r="P504" s="40" t="n">
        <f aca="true">RAND()</f>
        <v>0.856209392870035</v>
      </c>
      <c r="Q504" s="40" t="n">
        <f aca="true">RAND()</f>
        <v>0.032837410391034</v>
      </c>
      <c r="R504" s="40" t="n">
        <f aca="true">RAND()</f>
        <v>0.709340543991988</v>
      </c>
      <c r="S504" s="40" t="n">
        <f aca="true">RAND()</f>
        <v>0.0199434660642794</v>
      </c>
      <c r="T504" s="40" t="n">
        <f aca="true">RAND()</f>
        <v>0.609955296136053</v>
      </c>
      <c r="U504" s="40" t="n">
        <f aca="true">RAND()</f>
        <v>0.93538137147747</v>
      </c>
    </row>
    <row r="505" customFormat="false" ht="15" hidden="false" customHeight="false" outlineLevel="0" collapsed="false">
      <c r="A505" s="36" t="n">
        <v>425</v>
      </c>
      <c r="B505" s="37" t="n">
        <f aca="false">1+IF($G$6=$E$6,$F$6,IF(P505&lt;($F$6-$E$6)/($G$6-$E$6),$E$6+SQRT(P505*($G$6-$E$6)*($F$6-$E$6)),$G$6-SQRT((1-P505)*($G$6-$E$6)*($G$6-$F$6))))</f>
        <v>1.00998865478492</v>
      </c>
      <c r="C505" s="37" t="n">
        <f aca="false">1+IF($G$7=$E$7,$F$7,IF(Q505&lt;($F$7-$E$7)/($G$7-$E$7),$E$7+SQRT(Q505*($G$7-$E$7)*($F$7-$E$7)),$G$7-SQRT((1-Q505)*($G$7-$E$7)*($G$7-$F$7))))</f>
        <v>0.968658753247434</v>
      </c>
      <c r="D505" s="37" t="n">
        <f aca="false">1+IF($G$8=$E$8,$F$8,IF(R505&lt;($F$8-$E$8)/($G$8-$E$8),$E$8+SQRT(R505*($G$8-$E$8)*($F$8-$E$8)),$G$8-SQRT((1-R505)*($G$8-$E$8)*($G$8-$F$8))))</f>
        <v>1.0371339649099</v>
      </c>
      <c r="E505" s="37" t="n">
        <f aca="false">1+IF($G$9=$E$9,$F$9,IF(S505&lt;($F$9-$E$9)/($G$9-$E$9),$E$9+SQRT(S505*($G$9-$E$9)*($F$9-$E$9)),$G$9-SQRT((1-S505)*($G$9-$E$9)*($G$9-$F$9))))</f>
        <v>0.93371153354989</v>
      </c>
      <c r="F505" s="37" t="n">
        <f aca="false">1+IF($G$10=$E$10,$F$10,IF(T505&lt;($F$10-$E$10)/($G$10-$E$10),$E$10+SQRT(T505*($G$10-$E$10)*($F$10-$E$10)),$G$10-SQRT((1-T505)*($G$10-$E$10)*($G$10-$F$10))))</f>
        <v>1.1600118365224</v>
      </c>
      <c r="G505" s="38" t="n">
        <f aca="false">IF($G$11=$E$11,$F$11,IF(U505&lt;($F$11-$E$11)/($G$11-$E$11),$E$11+SQRT(U505*($G$11-$E$11)*($F$11-$E$11)),$G$11-SQRT((1-U505)*($G$11-$E$11)*($G$11-$F$11))))</f>
        <v>0.119820303574611</v>
      </c>
      <c r="H505" s="39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-2320023673.0448</v>
      </c>
      <c r="I505" s="39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-12455165.9401407</v>
      </c>
      <c r="J505" s="39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274581484.605748</v>
      </c>
      <c r="K505" s="39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619618726.977756</v>
      </c>
      <c r="L505" s="39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749108845.668382</v>
      </c>
      <c r="M505" s="39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935070639.132696</v>
      </c>
      <c r="N505" s="39" t="n">
        <f aca="false">IF(COUNT('Business Case'!B11:G11)=0,"",H505+NPV(G505,I505:M505))</f>
        <v>-663548576.830874</v>
      </c>
      <c r="P505" s="40" t="n">
        <f aca="true">RAND()</f>
        <v>0.786545633877318</v>
      </c>
      <c r="Q505" s="40" t="n">
        <f aca="true">RAND()</f>
        <v>0.534648338492337</v>
      </c>
      <c r="R505" s="40" t="n">
        <f aca="true">RAND()</f>
        <v>0.736524108803395</v>
      </c>
      <c r="S505" s="40" t="n">
        <f aca="true">RAND()</f>
        <v>0.0454586997714139</v>
      </c>
      <c r="T505" s="40" t="n">
        <f aca="true">RAND()</f>
        <v>0.892028405785719</v>
      </c>
      <c r="U505" s="40" t="n">
        <f aca="true">RAND()</f>
        <v>0.930915853791287</v>
      </c>
    </row>
    <row r="506" customFormat="false" ht="15" hidden="false" customHeight="false" outlineLevel="0" collapsed="false">
      <c r="A506" s="36" t="n">
        <v>426</v>
      </c>
      <c r="B506" s="37" t="n">
        <f aca="false">1+IF($G$6=$E$6,$F$6,IF(P506&lt;($F$6-$E$6)/($G$6-$E$6),$E$6+SQRT(P506*($G$6-$E$6)*($F$6-$E$6)),$G$6-SQRT((1-P506)*($G$6-$E$6)*($G$6-$F$6))))</f>
        <v>1.01411937283441</v>
      </c>
      <c r="C506" s="37" t="n">
        <f aca="false">1+IF($G$7=$E$7,$F$7,IF(Q506&lt;($F$7-$E$7)/($G$7-$E$7),$E$7+SQRT(Q506*($G$7-$E$7)*($F$7-$E$7)),$G$7-SQRT((1-Q506)*($G$7-$E$7)*($G$7-$F$7))))</f>
        <v>1.04446559026132</v>
      </c>
      <c r="D506" s="37" t="n">
        <f aca="false">1+IF($G$8=$E$8,$F$8,IF(R506&lt;($F$8-$E$8)/($G$8-$E$8),$E$8+SQRT(R506*($G$8-$E$8)*($F$8-$E$8)),$G$8-SQRT((1-R506)*($G$8-$E$8)*($G$8-$F$8))))</f>
        <v>0.984224109420588</v>
      </c>
      <c r="E506" s="37" t="n">
        <f aca="false">1+IF($G$9=$E$9,$F$9,IF(S506&lt;($F$9-$E$9)/($G$9-$E$9),$E$9+SQRT(S506*($G$9-$E$9)*($F$9-$E$9)),$G$9-SQRT((1-S506)*($G$9-$E$9)*($G$9-$F$9))))</f>
        <v>0.997561135386374</v>
      </c>
      <c r="F506" s="37" t="n">
        <f aca="false">1+IF($G$10=$E$10,$F$10,IF(T506&lt;($F$10-$E$10)/($G$10-$E$10),$E$10+SQRT(T506*($G$10-$E$10)*($F$10-$E$10)),$G$10-SQRT((1-T506)*($G$10-$E$10)*($G$10-$F$10))))</f>
        <v>1.03875921947246</v>
      </c>
      <c r="G506" s="38" t="n">
        <f aca="false">IF($G$11=$E$11,$F$11,IF(U506&lt;($F$11-$E$11)/($G$11-$E$11),$E$11+SQRT(U506*($G$11-$E$11)*($F$11-$E$11)),$G$11-SQRT((1-U506)*($G$11-$E$11)*($G$11-$F$11))))</f>
        <v>0.103401471984662</v>
      </c>
      <c r="H506" s="39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-2077518438.94491</v>
      </c>
      <c r="I506" s="39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40685104.1687563</v>
      </c>
      <c r="J506" s="39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382008914.736238</v>
      </c>
      <c r="K506" s="39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775270686.277343</v>
      </c>
      <c r="L506" s="39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925651683.799529</v>
      </c>
      <c r="M506" s="39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1126986850.79783</v>
      </c>
      <c r="N506" s="39" t="n">
        <f aca="false">IF(COUNT('Business Case'!B11:G11)=0,"",H506+NPV(G506,I506:M506))</f>
        <v>163745565.418743</v>
      </c>
      <c r="P506" s="40" t="n">
        <f aca="true">RAND()</f>
        <v>0.828344079227174</v>
      </c>
      <c r="Q506" s="40" t="n">
        <f aca="true">RAND()</f>
        <v>0.834999827571983</v>
      </c>
      <c r="R506" s="40" t="n">
        <f aca="true">RAND()</f>
        <v>0.156171955417648</v>
      </c>
      <c r="S506" s="40" t="n">
        <f aca="true">RAND()</f>
        <v>0.380727005515134</v>
      </c>
      <c r="T506" s="40" t="n">
        <f aca="true">RAND()</f>
        <v>0.405031101894857</v>
      </c>
      <c r="U506" s="40" t="n">
        <f aca="true">RAND()</f>
        <v>0.528345538278195</v>
      </c>
    </row>
    <row r="507" customFormat="false" ht="15" hidden="false" customHeight="false" outlineLevel="0" collapsed="false">
      <c r="A507" s="36" t="n">
        <v>427</v>
      </c>
      <c r="B507" s="37" t="n">
        <f aca="false">1+IF($G$6=$E$6,$F$6,IF(P507&lt;($F$6-$E$6)/($G$6-$E$6),$E$6+SQRT(P507*($G$6-$E$6)*($F$6-$E$6)),$G$6-SQRT((1-P507)*($G$6-$E$6)*($G$6-$F$6))))</f>
        <v>1.0033223323017</v>
      </c>
      <c r="C507" s="37" t="n">
        <f aca="false">1+IF($G$7=$E$7,$F$7,IF(Q507&lt;($F$7-$E$7)/($G$7-$E$7),$E$7+SQRT(Q507*($G$7-$E$7)*($F$7-$E$7)),$G$7-SQRT((1-Q507)*($G$7-$E$7)*($G$7-$F$7))))</f>
        <v>0.892518878776613</v>
      </c>
      <c r="D507" s="37" t="n">
        <f aca="false">1+IF($G$8=$E$8,$F$8,IF(R507&lt;($F$8-$E$8)/($G$8-$E$8),$E$8+SQRT(R507*($G$8-$E$8)*($F$8-$E$8)),$G$8-SQRT((1-R507)*($G$8-$E$8)*($G$8-$F$8))))</f>
        <v>1.05861244915427</v>
      </c>
      <c r="E507" s="37" t="n">
        <f aca="false">1+IF($G$9=$E$9,$F$9,IF(S507&lt;($F$9-$E$9)/($G$9-$E$9),$E$9+SQRT(S507*($G$9-$E$9)*($F$9-$E$9)),$G$9-SQRT((1-S507)*($G$9-$E$9)*($G$9-$F$9))))</f>
        <v>0.914158723340834</v>
      </c>
      <c r="F507" s="37" t="n">
        <f aca="false">1+IF($G$10=$E$10,$F$10,IF(T507&lt;($F$10-$E$10)/($G$10-$E$10),$E$10+SQRT(T507*($G$10-$E$10)*($F$10-$E$10)),$G$10-SQRT((1-T507)*($G$10-$E$10)*($G$10-$F$10))))</f>
        <v>0.994301839439848</v>
      </c>
      <c r="G507" s="38" t="n">
        <f aca="false">IF($G$11=$E$11,$F$11,IF(U507&lt;($F$11-$E$11)/($G$11-$E$11),$E$11+SQRT(U507*($G$11-$E$11)*($F$11-$E$11)),$G$11-SQRT((1-U507)*($G$11-$E$11)*($G$11-$F$11))))</f>
        <v>0.106876053832366</v>
      </c>
      <c r="H507" s="39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-1988603678.8797</v>
      </c>
      <c r="I507" s="39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-26057670.4016044</v>
      </c>
      <c r="J507" s="39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223730110.540178</v>
      </c>
      <c r="K507" s="39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523232983.453952</v>
      </c>
      <c r="L507" s="39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637443508.39477</v>
      </c>
      <c r="M507" s="39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807657130.509331</v>
      </c>
      <c r="N507" s="39" t="n">
        <f aca="false">IF(COUNT('Business Case'!B11:G11)=0,"",H507+NPV(G507,I507:M507))</f>
        <v>-532931107.891709</v>
      </c>
      <c r="P507" s="40" t="n">
        <f aca="true">RAND()</f>
        <v>0.709492711766244</v>
      </c>
      <c r="Q507" s="40" t="n">
        <f aca="true">RAND()</f>
        <v>0.274544582854847</v>
      </c>
      <c r="R507" s="40" t="n">
        <f aca="true">RAND()</f>
        <v>0.885804708999461</v>
      </c>
      <c r="S507" s="40" t="n">
        <f aca="true">RAND()</f>
        <v>0.008018777865691</v>
      </c>
      <c r="T507" s="40" t="n">
        <f aca="true">RAND()</f>
        <v>0.130843531850273</v>
      </c>
      <c r="U507" s="40" t="n">
        <f aca="true">RAND()</f>
        <v>0.643522075757573</v>
      </c>
    </row>
    <row r="508" customFormat="false" ht="15" hidden="false" customHeight="false" outlineLevel="0" collapsed="false">
      <c r="A508" s="36" t="n">
        <v>428</v>
      </c>
      <c r="B508" s="37" t="n">
        <f aca="false">1+IF($G$6=$E$6,$F$6,IF(P508&lt;($F$6-$E$6)/($G$6-$E$6),$E$6+SQRT(P508*($G$6-$E$6)*($F$6-$E$6)),$G$6-SQRT((1-P508)*($G$6-$E$6)*($G$6-$F$6))))</f>
        <v>0.927737300681627</v>
      </c>
      <c r="C508" s="37" t="n">
        <f aca="false">1+IF($G$7=$E$7,$F$7,IF(Q508&lt;($F$7-$E$7)/($G$7-$E$7),$E$7+SQRT(Q508*($G$7-$E$7)*($F$7-$E$7)),$G$7-SQRT((1-Q508)*($G$7-$E$7)*($G$7-$F$7))))</f>
        <v>1.05457369887133</v>
      </c>
      <c r="D508" s="37" t="n">
        <f aca="false">1+IF($G$8=$E$8,$F$8,IF(R508&lt;($F$8-$E$8)/($G$8-$E$8),$E$8+SQRT(R508*($G$8-$E$8)*($F$8-$E$8)),$G$8-SQRT((1-R508)*($G$8-$E$8)*($G$8-$F$8))))</f>
        <v>0.992639016004264</v>
      </c>
      <c r="E508" s="37" t="n">
        <f aca="false">1+IF($G$9=$E$9,$F$9,IF(S508&lt;($F$9-$E$9)/($G$9-$E$9),$E$9+SQRT(S508*($G$9-$E$9)*($F$9-$E$9)),$G$9-SQRT((1-S508)*($G$9-$E$9)*($G$9-$F$9))))</f>
        <v>1.04931741579701</v>
      </c>
      <c r="F508" s="37" t="n">
        <f aca="false">1+IF($G$10=$E$10,$F$10,IF(T508&lt;($F$10-$E$10)/($G$10-$E$10),$E$10+SQRT(T508*($G$10-$E$10)*($F$10-$E$10)),$G$10-SQRT((1-T508)*($G$10-$E$10)*($G$10-$F$10))))</f>
        <v>1.12001592758055</v>
      </c>
      <c r="G508" s="38" t="n">
        <f aca="false">IF($G$11=$E$11,$F$11,IF(U508&lt;($F$11-$E$11)/($G$11-$E$11),$E$11+SQRT(U508*($G$11-$E$11)*($F$11-$E$11)),$G$11-SQRT((1-U508)*($G$11-$E$11)*($G$11-$F$11))))</f>
        <v>0.122491576132752</v>
      </c>
      <c r="H508" s="39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-2240031855.16109</v>
      </c>
      <c r="I508" s="39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-46463271.9030697</v>
      </c>
      <c r="J508" s="39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219006549.252726</v>
      </c>
      <c r="K508" s="39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540477166.787548</v>
      </c>
      <c r="L508" s="39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662779483.022464</v>
      </c>
      <c r="M508" s="39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848747550.195543</v>
      </c>
      <c r="N508" s="39" t="n">
        <f aca="false">IF(COUNT('Business Case'!B11:G11)=0,"",H508+NPV(G508,I508:M508))</f>
        <v>-831701669.486008</v>
      </c>
      <c r="P508" s="40" t="n">
        <f aca="true">RAND()</f>
        <v>0.0512905232735332</v>
      </c>
      <c r="Q508" s="40" t="n">
        <f aca="true">RAND()</f>
        <v>0.865093645228152</v>
      </c>
      <c r="R508" s="40" t="n">
        <f aca="true">RAND()</f>
        <v>0.242411424774923</v>
      </c>
      <c r="S508" s="40" t="n">
        <f aca="true">RAND()</f>
        <v>0.729680459685524</v>
      </c>
      <c r="T508" s="40" t="n">
        <f aca="true">RAND()</f>
        <v>0.774721878896726</v>
      </c>
      <c r="U508" s="40" t="n">
        <f aca="true">RAND()</f>
        <v>0.962415714019831</v>
      </c>
    </row>
    <row r="509" customFormat="false" ht="15" hidden="false" customHeight="false" outlineLevel="0" collapsed="false">
      <c r="A509" s="36" t="n">
        <v>429</v>
      </c>
      <c r="B509" s="37" t="n">
        <f aca="false">1+IF($G$6=$E$6,$F$6,IF(P509&lt;($F$6-$E$6)/($G$6-$E$6),$E$6+SQRT(P509*($G$6-$E$6)*($F$6-$E$6)),$G$6-SQRT((1-P509)*($G$6-$E$6)*($G$6-$F$6))))</f>
        <v>1.01172644446169</v>
      </c>
      <c r="C509" s="37" t="n">
        <f aca="false">1+IF($G$7=$E$7,$F$7,IF(Q509&lt;($F$7-$E$7)/($G$7-$E$7),$E$7+SQRT(Q509*($G$7-$E$7)*($F$7-$E$7)),$G$7-SQRT((1-Q509)*($G$7-$E$7)*($G$7-$F$7))))</f>
        <v>0.969883436477436</v>
      </c>
      <c r="D509" s="37" t="n">
        <f aca="false">1+IF($G$8=$E$8,$F$8,IF(R509&lt;($F$8-$E$8)/($G$8-$E$8),$E$8+SQRT(R509*($G$8-$E$8)*($F$8-$E$8)),$G$8-SQRT((1-R509)*($G$8-$E$8)*($G$8-$F$8))))</f>
        <v>0.98421064891756</v>
      </c>
      <c r="E509" s="37" t="n">
        <f aca="false">1+IF($G$9=$E$9,$F$9,IF(S509&lt;($F$9-$E$9)/($G$9-$E$9),$E$9+SQRT(S509*($G$9-$E$9)*($F$9-$E$9)),$G$9-SQRT((1-S509)*($G$9-$E$9)*($G$9-$F$9))))</f>
        <v>1.05611337522504</v>
      </c>
      <c r="F509" s="37" t="n">
        <f aca="false">1+IF($G$10=$E$10,$F$10,IF(T509&lt;($F$10-$E$10)/($G$10-$E$10),$E$10+SQRT(T509*($G$10-$E$10)*($F$10-$E$10)),$G$10-SQRT((1-T509)*($G$10-$E$10)*($G$10-$F$10))))</f>
        <v>1.06566890650224</v>
      </c>
      <c r="G509" s="38" t="n">
        <f aca="false">IF($G$11=$E$11,$F$11,IF(U509&lt;($F$11-$E$11)/($G$11-$E$11),$E$11+SQRT(U509*($G$11-$E$11)*($F$11-$E$11)),$G$11-SQRT((1-U509)*($G$11-$E$11)*($G$11-$F$11))))</f>
        <v>0.125262331811088</v>
      </c>
      <c r="H509" s="39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-2131337813.00447</v>
      </c>
      <c r="I509" s="39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7442070.84849937</v>
      </c>
      <c r="J509" s="39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322498702.706846</v>
      </c>
      <c r="K509" s="39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690838779.890304</v>
      </c>
      <c r="L509" s="39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829769889.444835</v>
      </c>
      <c r="M509" s="39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1016287166.92112</v>
      </c>
      <c r="N509" s="39" t="n">
        <f aca="false">IF(COUNT('Business Case'!B11:G11)=0,"",H509+NPV(G509,I509:M509))</f>
        <v>-304321834.842412</v>
      </c>
      <c r="P509" s="40" t="n">
        <f aca="true">RAND()</f>
        <v>0.804684659527484</v>
      </c>
      <c r="Q509" s="40" t="n">
        <f aca="true">RAND()</f>
        <v>0.539533846554594</v>
      </c>
      <c r="R509" s="40" t="n">
        <f aca="true">RAND()</f>
        <v>0.156049133248074</v>
      </c>
      <c r="S509" s="40" t="n">
        <f aca="true">RAND()</f>
        <v>0.76494137835643</v>
      </c>
      <c r="T509" s="40" t="n">
        <f aca="true">RAND()</f>
        <v>0.546960639598914</v>
      </c>
      <c r="U509" s="40" t="n">
        <f aca="true">RAND()</f>
        <v>0.985036333421179</v>
      </c>
    </row>
    <row r="510" customFormat="false" ht="15" hidden="false" customHeight="false" outlineLevel="0" collapsed="false">
      <c r="A510" s="36" t="n">
        <v>430</v>
      </c>
      <c r="B510" s="37" t="n">
        <f aca="false">1+IF($G$6=$E$6,$F$6,IF(P510&lt;($F$6-$E$6)/($G$6-$E$6),$E$6+SQRT(P510*($G$6-$E$6)*($F$6-$E$6)),$G$6-SQRT((1-P510)*($G$6-$E$6)*($G$6-$F$6))))</f>
        <v>0.922887405852325</v>
      </c>
      <c r="C510" s="37" t="n">
        <f aca="false">1+IF($G$7=$E$7,$F$7,IF(Q510&lt;($F$7-$E$7)/($G$7-$E$7),$E$7+SQRT(Q510*($G$7-$E$7)*($F$7-$E$7)),$G$7-SQRT((1-Q510)*($G$7-$E$7)*($G$7-$F$7))))</f>
        <v>0.838985888495435</v>
      </c>
      <c r="D510" s="37" t="n">
        <f aca="false">1+IF($G$8=$E$8,$F$8,IF(R510&lt;($F$8-$E$8)/($G$8-$E$8),$E$8+SQRT(R510*($G$8-$E$8)*($F$8-$E$8)),$G$8-SQRT((1-R510)*($G$8-$E$8)*($G$8-$F$8))))</f>
        <v>0.989260606147833</v>
      </c>
      <c r="E510" s="37" t="n">
        <f aca="false">1+IF($G$9=$E$9,$F$9,IF(S510&lt;($F$9-$E$9)/($G$9-$E$9),$E$9+SQRT(S510*($G$9-$E$9)*($F$9-$E$9)),$G$9-SQRT((1-S510)*($G$9-$E$9)*($G$9-$F$9))))</f>
        <v>1.01784589000359</v>
      </c>
      <c r="F510" s="37" t="n">
        <f aca="false">1+IF($G$10=$E$10,$F$10,IF(T510&lt;($F$10-$E$10)/($G$10-$E$10),$E$10+SQRT(T510*($G$10-$E$10)*($F$10-$E$10)),$G$10-SQRT((1-T510)*($G$10-$E$10)*($G$10-$F$10))))</f>
        <v>0.985707194440083</v>
      </c>
      <c r="G510" s="38" t="n">
        <f aca="false">IF($G$11=$E$11,$F$11,IF(U510&lt;($F$11-$E$11)/($G$11-$E$11),$E$11+SQRT(U510*($G$11-$E$11)*($F$11-$E$11)),$G$11-SQRT((1-U510)*($G$11-$E$11)*($G$11-$F$11))))</f>
        <v>0.102586277890774</v>
      </c>
      <c r="H510" s="39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-1971414388.88017</v>
      </c>
      <c r="I510" s="39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-74129870.0372754</v>
      </c>
      <c r="J510" s="39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135187833.135713</v>
      </c>
      <c r="K510" s="39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393790896.030706</v>
      </c>
      <c r="L510" s="39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490322909.226865</v>
      </c>
      <c r="M510" s="39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637499859.321929</v>
      </c>
      <c r="N510" s="39" t="n">
        <f aca="false">IF(COUNT('Business Case'!B11:G11)=0,"",H510+NPV(G510,I510:M510))</f>
        <v>-910678798.661775</v>
      </c>
      <c r="P510" s="40" t="n">
        <f aca="true">RAND()</f>
        <v>0.0349222231099375</v>
      </c>
      <c r="Q510" s="40" t="n">
        <f aca="true">RAND()</f>
        <v>0.143089460747152</v>
      </c>
      <c r="R510" s="40" t="n">
        <f aca="true">RAND()</f>
        <v>0.205519359346033</v>
      </c>
      <c r="S510" s="40" t="n">
        <f aca="true">RAND()</f>
        <v>0.534274432294871</v>
      </c>
      <c r="T510" s="40" t="n">
        <f aca="true">RAND()</f>
        <v>0.0850002489854592</v>
      </c>
      <c r="U510" s="40" t="n">
        <f aca="true">RAND()</f>
        <v>0.498991893412078</v>
      </c>
    </row>
    <row r="511" customFormat="false" ht="15" hidden="false" customHeight="false" outlineLevel="0" collapsed="false">
      <c r="A511" s="36" t="n">
        <v>431</v>
      </c>
      <c r="B511" s="37" t="n">
        <f aca="false">1+IF($G$6=$E$6,$F$6,IF(P511&lt;($F$6-$E$6)/($G$6-$E$6),$E$6+SQRT(P511*($G$6-$E$6)*($F$6-$E$6)),$G$6-SQRT((1-P511)*($G$6-$E$6)*($G$6-$F$6))))</f>
        <v>0.923531445131386</v>
      </c>
      <c r="C511" s="37" t="n">
        <f aca="false">1+IF($G$7=$E$7,$F$7,IF(Q511&lt;($F$7-$E$7)/($G$7-$E$7),$E$7+SQRT(Q511*($G$7-$E$7)*($F$7-$E$7)),$G$7-SQRT((1-Q511)*($G$7-$E$7)*($G$7-$F$7))))</f>
        <v>0.837431624666368</v>
      </c>
      <c r="D511" s="37" t="n">
        <f aca="false">1+IF($G$8=$E$8,$F$8,IF(R511&lt;($F$8-$E$8)/($G$8-$E$8),$E$8+SQRT(R511*($G$8-$E$8)*($F$8-$E$8)),$G$8-SQRT((1-R511)*($G$8-$E$8)*($G$8-$F$8))))</f>
        <v>1.06503572315571</v>
      </c>
      <c r="E511" s="37" t="n">
        <f aca="false">1+IF($G$9=$E$9,$F$9,IF(S511&lt;($F$9-$E$9)/($G$9-$E$9),$E$9+SQRT(S511*($G$9-$E$9)*($F$9-$E$9)),$G$9-SQRT((1-S511)*($G$9-$E$9)*($G$9-$F$9))))</f>
        <v>0.95482746208446</v>
      </c>
      <c r="F511" s="37" t="n">
        <f aca="false">1+IF($G$10=$E$10,$F$10,IF(T511&lt;($F$10-$E$10)/($G$10-$E$10),$E$10+SQRT(T511*($G$10-$E$10)*($F$10-$E$10)),$G$10-SQRT((1-T511)*($G$10-$E$10)*($G$10-$F$10))))</f>
        <v>1.05015829844227</v>
      </c>
      <c r="G511" s="38" t="n">
        <f aca="false">IF($G$11=$E$11,$F$11,IF(U511&lt;($F$11-$E$11)/($G$11-$E$11),$E$11+SQRT(U511*($G$11-$E$11)*($F$11-$E$11)),$G$11-SQRT((1-U511)*($G$11-$E$11)*($G$11-$F$11))))</f>
        <v>0.10684857013916</v>
      </c>
      <c r="H511" s="39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-2100316596.88453</v>
      </c>
      <c r="I511" s="39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-103998014.661765</v>
      </c>
      <c r="J511" s="39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72889033.3223393</v>
      </c>
      <c r="K511" s="39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302283996.228557</v>
      </c>
      <c r="L511" s="39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387974857.35208</v>
      </c>
      <c r="M511" s="39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534981672.227264</v>
      </c>
      <c r="N511" s="39" t="n">
        <f aca="false">IF(COUNT('Business Case'!B11:G11)=0,"",H511+NPV(G511,I511:M511))</f>
        <v>-1331333465.89832</v>
      </c>
      <c r="P511" s="40" t="n">
        <f aca="true">RAND()</f>
        <v>0.0369152606647631</v>
      </c>
      <c r="Q511" s="40" t="n">
        <f aca="true">RAND()</f>
        <v>0.139907047840278</v>
      </c>
      <c r="R511" s="40" t="n">
        <f aca="true">RAND()</f>
        <v>0.918499956317043</v>
      </c>
      <c r="S511" s="40" t="n">
        <f aca="true">RAND()</f>
        <v>0.120242023944917</v>
      </c>
      <c r="T511" s="40" t="n">
        <f aca="true">RAND()</f>
        <v>0.467510590913458</v>
      </c>
      <c r="U511" s="40" t="n">
        <f aca="true">RAND()</f>
        <v>0.642674196932403</v>
      </c>
    </row>
    <row r="512" customFormat="false" ht="15" hidden="false" customHeight="false" outlineLevel="0" collapsed="false">
      <c r="A512" s="36" t="n">
        <v>432</v>
      </c>
      <c r="B512" s="37" t="n">
        <f aca="false">1+IF($G$6=$E$6,$F$6,IF(P512&lt;($F$6-$E$6)/($G$6-$E$6),$E$6+SQRT(P512*($G$6-$E$6)*($F$6-$E$6)),$G$6-SQRT((1-P512)*($G$6-$E$6)*($G$6-$F$6))))</f>
        <v>0.991639646091535</v>
      </c>
      <c r="C512" s="37" t="n">
        <f aca="false">1+IF($G$7=$E$7,$F$7,IF(Q512&lt;($F$7-$E$7)/($G$7-$E$7),$E$7+SQRT(Q512*($G$7-$E$7)*($F$7-$E$7)),$G$7-SQRT((1-Q512)*($G$7-$E$7)*($G$7-$F$7))))</f>
        <v>1.0752497941933</v>
      </c>
      <c r="D512" s="37" t="n">
        <f aca="false">1+IF($G$8=$E$8,$F$8,IF(R512&lt;($F$8-$E$8)/($G$8-$E$8),$E$8+SQRT(R512*($G$8-$E$8)*($F$8-$E$8)),$G$8-SQRT((1-R512)*($G$8-$E$8)*($G$8-$F$8))))</f>
        <v>1.04462574339951</v>
      </c>
      <c r="E512" s="37" t="n">
        <f aca="false">1+IF($G$9=$E$9,$F$9,IF(S512&lt;($F$9-$E$9)/($G$9-$E$9),$E$9+SQRT(S512*($G$9-$E$9)*($F$9-$E$9)),$G$9-SQRT((1-S512)*($G$9-$E$9)*($G$9-$F$9))))</f>
        <v>0.97688926110479</v>
      </c>
      <c r="F512" s="37" t="n">
        <f aca="false">1+IF($G$10=$E$10,$F$10,IF(T512&lt;($F$10-$E$10)/($G$10-$E$10),$E$10+SQRT(T512*($G$10-$E$10)*($F$10-$E$10)),$G$10-SQRT((1-T512)*($G$10-$E$10)*($G$10-$F$10))))</f>
        <v>1.03432272435755</v>
      </c>
      <c r="G512" s="38" t="n">
        <f aca="false">IF($G$11=$E$11,$F$11,IF(U512&lt;($F$11-$E$11)/($G$11-$E$11),$E$11+SQRT(U512*($G$11-$E$11)*($F$11-$E$11)),$G$11-SQRT((1-U512)*($G$11-$E$11)*($G$11-$F$11))))</f>
        <v>0.103319836995827</v>
      </c>
      <c r="H512" s="39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-2068645448.7151</v>
      </c>
      <c r="I512" s="39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717364.094746709</v>
      </c>
      <c r="J512" s="39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299055588.821729</v>
      </c>
      <c r="K512" s="39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649109949.766589</v>
      </c>
      <c r="L512" s="39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785405981.520503</v>
      </c>
      <c r="M512" s="39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988080744.167562</v>
      </c>
      <c r="N512" s="39" t="n">
        <f aca="false">IF(COUNT('Business Case'!B11:G11)=0,"",H512+NPV(G512,I512:M512))</f>
        <v>-204669190.335079</v>
      </c>
      <c r="P512" s="40" t="n">
        <f aca="true">RAND()</f>
        <v>0.559854982385456</v>
      </c>
      <c r="Q512" s="40" t="n">
        <f aca="true">RAND()</f>
        <v>0.917220840471931</v>
      </c>
      <c r="R512" s="40" t="n">
        <f aca="true">RAND()</f>
        <v>0.795579447062886</v>
      </c>
      <c r="S512" s="40" t="n">
        <f aca="true">RAND()</f>
        <v>0.236478338929621</v>
      </c>
      <c r="T512" s="40" t="n">
        <f aca="true">RAND()</f>
        <v>0.379777503619343</v>
      </c>
      <c r="U512" s="40" t="n">
        <f aca="true">RAND()</f>
        <v>0.525445934713823</v>
      </c>
    </row>
    <row r="513" customFormat="false" ht="15" hidden="false" customHeight="false" outlineLevel="0" collapsed="false">
      <c r="A513" s="36" t="n">
        <v>433</v>
      </c>
      <c r="B513" s="37" t="n">
        <f aca="false">1+IF($G$6=$E$6,$F$6,IF(P513&lt;($F$6-$E$6)/($G$6-$E$6),$E$6+SQRT(P513*($G$6-$E$6)*($F$6-$E$6)),$G$6-SQRT((1-P513)*($G$6-$E$6)*($G$6-$F$6))))</f>
        <v>0.966066450943922</v>
      </c>
      <c r="C513" s="37" t="n">
        <f aca="false">1+IF($G$7=$E$7,$F$7,IF(Q513&lt;($F$7-$E$7)/($G$7-$E$7),$E$7+SQRT(Q513*($G$7-$E$7)*($F$7-$E$7)),$G$7-SQRT((1-Q513)*($G$7-$E$7)*($G$7-$F$7))))</f>
        <v>0.861596479811332</v>
      </c>
      <c r="D513" s="37" t="n">
        <f aca="false">1+IF($G$8=$E$8,$F$8,IF(R513&lt;($F$8-$E$8)/($G$8-$E$8),$E$8+SQRT(R513*($G$8-$E$8)*($F$8-$E$8)),$G$8-SQRT((1-R513)*($G$8-$E$8)*($G$8-$F$8))))</f>
        <v>1.02730291501051</v>
      </c>
      <c r="E513" s="37" t="n">
        <f aca="false">1+IF($G$9=$E$9,$F$9,IF(S513&lt;($F$9-$E$9)/($G$9-$E$9),$E$9+SQRT(S513*($G$9-$E$9)*($F$9-$E$9)),$G$9-SQRT((1-S513)*($G$9-$E$9)*($G$9-$F$9))))</f>
        <v>0.959051702725257</v>
      </c>
      <c r="F513" s="37" t="n">
        <f aca="false">1+IF($G$10=$E$10,$F$10,IF(T513&lt;($F$10-$E$10)/($G$10-$E$10),$E$10+SQRT(T513*($G$10-$E$10)*($F$10-$E$10)),$G$10-SQRT((1-T513)*($G$10-$E$10)*($G$10-$F$10))))</f>
        <v>1.13162768998982</v>
      </c>
      <c r="G513" s="38" t="n">
        <f aca="false">IF($G$11=$E$11,$F$11,IF(U513&lt;($F$11-$E$11)/($G$11-$E$11),$E$11+SQRT(U513*($G$11-$E$11)*($F$11-$E$11)),$G$11-SQRT((1-U513)*($G$11-$E$11)*($G$11-$F$11))))</f>
        <v>0.0852907332309662</v>
      </c>
      <c r="H513" s="39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-2263255379.97965</v>
      </c>
      <c r="I513" s="39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-64038037.8714844</v>
      </c>
      <c r="J513" s="39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164613359.447651</v>
      </c>
      <c r="K513" s="39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449846141.266278</v>
      </c>
      <c r="L513" s="39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554829616.415395</v>
      </c>
      <c r="M513" s="39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713044501.317117</v>
      </c>
      <c r="N513" s="39" t="n">
        <f aca="false">IF(COUNT('Business Case'!B11:G11)=0,"",H513+NPV(G513,I513:M513))</f>
        <v>-957104675.245126</v>
      </c>
      <c r="P513" s="40" t="n">
        <f aca="true">RAND()</f>
        <v>0.290985062688375</v>
      </c>
      <c r="Q513" s="40" t="n">
        <f aca="true">RAND()</f>
        <v>0.193432757684551</v>
      </c>
      <c r="R513" s="40" t="n">
        <f aca="true">RAND()</f>
        <v>0.647675588935399</v>
      </c>
      <c r="S513" s="40" t="n">
        <f aca="true">RAND()</f>
        <v>0.139484143790085</v>
      </c>
      <c r="T513" s="40" t="n">
        <f aca="true">RAND()</f>
        <v>0.813173282971399</v>
      </c>
      <c r="U513" s="40" t="n">
        <f aca="true">RAND()</f>
        <v>0.0279918581212503</v>
      </c>
    </row>
    <row r="514" customFormat="false" ht="15" hidden="false" customHeight="false" outlineLevel="0" collapsed="false">
      <c r="A514" s="36" t="n">
        <v>434</v>
      </c>
      <c r="B514" s="37" t="n">
        <f aca="false">1+IF($G$6=$E$6,$F$6,IF(P514&lt;($F$6-$E$6)/($G$6-$E$6),$E$6+SQRT(P514*($G$6-$E$6)*($F$6-$E$6)),$G$6-SQRT((1-P514)*($G$6-$E$6)*($G$6-$F$6))))</f>
        <v>0.96612151762473</v>
      </c>
      <c r="C514" s="37" t="n">
        <f aca="false">1+IF($G$7=$E$7,$F$7,IF(Q514&lt;($F$7-$E$7)/($G$7-$E$7),$E$7+SQRT(Q514*($G$7-$E$7)*($F$7-$E$7)),$G$7-SQRT((1-Q514)*($G$7-$E$7)*($G$7-$F$7))))</f>
        <v>1.09492115588552</v>
      </c>
      <c r="D514" s="37" t="n">
        <f aca="false">1+IF($G$8=$E$8,$F$8,IF(R514&lt;($F$8-$E$8)/($G$8-$E$8),$E$8+SQRT(R514*($G$8-$E$8)*($F$8-$E$8)),$G$8-SQRT((1-R514)*($G$8-$E$8)*($G$8-$F$8))))</f>
        <v>1.02036377481336</v>
      </c>
      <c r="E514" s="37" t="n">
        <f aca="false">1+IF($G$9=$E$9,$F$9,IF(S514&lt;($F$9-$E$9)/($G$9-$E$9),$E$9+SQRT(S514*($G$9-$E$9)*($F$9-$E$9)),$G$9-SQRT((1-S514)*($G$9-$E$9)*($G$9-$F$9))))</f>
        <v>0.932475227261704</v>
      </c>
      <c r="F514" s="37" t="n">
        <f aca="false">1+IF($G$10=$E$10,$F$10,IF(T514&lt;($F$10-$E$10)/($G$10-$E$10),$E$10+SQRT(T514*($G$10-$E$10)*($F$10-$E$10)),$G$10-SQRT((1-T514)*($G$10-$E$10)*($G$10-$F$10))))</f>
        <v>1.02160301429045</v>
      </c>
      <c r="G514" s="38" t="n">
        <f aca="false">IF($G$11=$E$11,$F$11,IF(U514&lt;($F$11-$E$11)/($G$11-$E$11),$E$11+SQRT(U514*($G$11-$E$11)*($F$11-$E$11)),$G$11-SQRT((1-U514)*($G$11-$E$11)*($G$11-$F$11))))</f>
        <v>0.104924960792703</v>
      </c>
      <c r="H514" s="39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-2043206028.58091</v>
      </c>
      <c r="I514" s="39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4914181.75947486</v>
      </c>
      <c r="J514" s="39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299424388.180185</v>
      </c>
      <c r="K514" s="39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645014745.315418</v>
      </c>
      <c r="L514" s="39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779743311.399372</v>
      </c>
      <c r="M514" s="39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980815046.423149</v>
      </c>
      <c r="N514" s="39" t="n">
        <f aca="false">IF(COUNT('Business Case'!B11:G11)=0,"",H514+NPV(G514,I514:M514))</f>
        <v>-196643613.124868</v>
      </c>
      <c r="P514" s="40" t="n">
        <f aca="true">RAND()</f>
        <v>0.291470339533168</v>
      </c>
      <c r="Q514" s="40" t="n">
        <f aca="true">RAND()</f>
        <v>0.955056606385374</v>
      </c>
      <c r="R514" s="40" t="n">
        <f aca="true">RAND()</f>
        <v>0.577204775868134</v>
      </c>
      <c r="S514" s="40" t="n">
        <f aca="true">RAND()</f>
        <v>0.0421856154279737</v>
      </c>
      <c r="T514" s="40" t="n">
        <f aca="true">RAND()</f>
        <v>0.304464225583913</v>
      </c>
      <c r="U514" s="40" t="n">
        <f aca="true">RAND()</f>
        <v>0.580828272501683</v>
      </c>
    </row>
    <row r="515" customFormat="false" ht="15" hidden="false" customHeight="false" outlineLevel="0" collapsed="false">
      <c r="A515" s="36" t="n">
        <v>435</v>
      </c>
      <c r="B515" s="37" t="n">
        <f aca="false">1+IF($G$6=$E$6,$F$6,IF(P515&lt;($F$6-$E$6)/($G$6-$E$6),$E$6+SQRT(P515*($G$6-$E$6)*($F$6-$E$6)),$G$6-SQRT((1-P515)*($G$6-$E$6)*($G$6-$F$6))))</f>
        <v>1.01122586500199</v>
      </c>
      <c r="C515" s="37" t="n">
        <f aca="false">1+IF($G$7=$E$7,$F$7,IF(Q515&lt;($F$7-$E$7)/($G$7-$E$7),$E$7+SQRT(Q515*($G$7-$E$7)*($F$7-$E$7)),$G$7-SQRT((1-Q515)*($G$7-$E$7)*($G$7-$F$7))))</f>
        <v>0.99479177148935</v>
      </c>
      <c r="D515" s="37" t="n">
        <f aca="false">1+IF($G$8=$E$8,$F$8,IF(R515&lt;($F$8-$E$8)/($G$8-$E$8),$E$8+SQRT(R515*($G$8-$E$8)*($F$8-$E$8)),$G$8-SQRT((1-R515)*($G$8-$E$8)*($G$8-$F$8))))</f>
        <v>1.06357143789937</v>
      </c>
      <c r="E515" s="37" t="n">
        <f aca="false">1+IF($G$9=$E$9,$F$9,IF(S515&lt;($F$9-$E$9)/($G$9-$E$9),$E$9+SQRT(S515*($G$9-$E$9)*($F$9-$E$9)),$G$9-SQRT((1-S515)*($G$9-$E$9)*($G$9-$F$9))))</f>
        <v>1.09817270416648</v>
      </c>
      <c r="F515" s="37" t="n">
        <f aca="false">1+IF($G$10=$E$10,$F$10,IF(T515&lt;($F$10-$E$10)/($G$10-$E$10),$E$10+SQRT(T515*($G$10-$E$10)*($F$10-$E$10)),$G$10-SQRT((1-T515)*($G$10-$E$10)*($G$10-$F$10))))</f>
        <v>1.14318089955134</v>
      </c>
      <c r="G515" s="38" t="n">
        <f aca="false">IF($G$11=$E$11,$F$11,IF(U515&lt;($F$11-$E$11)/($G$11-$E$11),$E$11+SQRT(U515*($G$11-$E$11)*($F$11-$E$11)),$G$11-SQRT((1-U515)*($G$11-$E$11)*($G$11-$F$11))))</f>
        <v>0.111758214165311</v>
      </c>
      <c r="H515" s="39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-2286361799.10267</v>
      </c>
      <c r="I515" s="39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-40301983.0760804</v>
      </c>
      <c r="J515" s="39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242023205.688608</v>
      </c>
      <c r="K515" s="39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581507439.430864</v>
      </c>
      <c r="L515" s="39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710381784.587867</v>
      </c>
      <c r="M515" s="39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901594503.549461</v>
      </c>
      <c r="N515" s="39" t="n">
        <f aca="false">IF(COUNT('Business Case'!B11:G11)=0,"",H515+NPV(G515,I515:M515))</f>
        <v>-707790432.998867</v>
      </c>
      <c r="P515" s="40" t="n">
        <f aca="true">RAND()</f>
        <v>0.799542194020829</v>
      </c>
      <c r="Q515" s="40" t="n">
        <f aca="true">RAND()</f>
        <v>0.643719915095033</v>
      </c>
      <c r="R515" s="40" t="n">
        <f aca="true">RAND()</f>
        <v>0.911530657552053</v>
      </c>
      <c r="S515" s="40" t="n">
        <f aca="true">RAND()</f>
        <v>0.92837150417559</v>
      </c>
      <c r="T515" s="40" t="n">
        <f aca="true">RAND()</f>
        <v>0.847862397057844</v>
      </c>
      <c r="U515" s="40" t="n">
        <f aca="true">RAND()</f>
        <v>0.778158166374227</v>
      </c>
    </row>
    <row r="516" customFormat="false" ht="15" hidden="false" customHeight="false" outlineLevel="0" collapsed="false">
      <c r="A516" s="36" t="n">
        <v>436</v>
      </c>
      <c r="B516" s="37" t="n">
        <f aca="false">1+IF($G$6=$E$6,$F$6,IF(P516&lt;($F$6-$E$6)/($G$6-$E$6),$E$6+SQRT(P516*($G$6-$E$6)*($F$6-$E$6)),$G$6-SQRT((1-P516)*($G$6-$E$6)*($G$6-$F$6))))</f>
        <v>0.911646241777108</v>
      </c>
      <c r="C516" s="37" t="n">
        <f aca="false">1+IF($G$7=$E$7,$F$7,IF(Q516&lt;($F$7-$E$7)/($G$7-$E$7),$E$7+SQRT(Q516*($G$7-$E$7)*($F$7-$E$7)),$G$7-SQRT((1-Q516)*($G$7-$E$7)*($G$7-$F$7))))</f>
        <v>1.03298596974313</v>
      </c>
      <c r="D516" s="37" t="n">
        <f aca="false">1+IF($G$8=$E$8,$F$8,IF(R516&lt;($F$8-$E$8)/($G$8-$E$8),$E$8+SQRT(R516*($G$8-$E$8)*($F$8-$E$8)),$G$8-SQRT((1-R516)*($G$8-$E$8)*($G$8-$F$8))))</f>
        <v>1.00625583349567</v>
      </c>
      <c r="E516" s="37" t="n">
        <f aca="false">1+IF($G$9=$E$9,$F$9,IF(S516&lt;($F$9-$E$9)/($G$9-$E$9),$E$9+SQRT(S516*($G$9-$E$9)*($F$9-$E$9)),$G$9-SQRT((1-S516)*($G$9-$E$9)*($G$9-$F$9))))</f>
        <v>1.02600667459754</v>
      </c>
      <c r="F516" s="37" t="n">
        <f aca="false">1+IF($G$10=$E$10,$F$10,IF(T516&lt;($F$10-$E$10)/($G$10-$E$10),$E$10+SQRT(T516*($G$10-$E$10)*($F$10-$E$10)),$G$10-SQRT((1-T516)*($G$10-$E$10)*($G$10-$F$10))))</f>
        <v>0.994083851184898</v>
      </c>
      <c r="G516" s="38" t="n">
        <f aca="false">IF($G$11=$E$11,$F$11,IF(U516&lt;($F$11-$E$11)/($G$11-$E$11),$E$11+SQRT(U516*($G$11-$E$11)*($F$11-$E$11)),$G$11-SQRT((1-U516)*($G$11-$E$11)*($G$11-$F$11))))</f>
        <v>0.09985612906123</v>
      </c>
      <c r="H516" s="39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-1988167702.3698</v>
      </c>
      <c r="I516" s="39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-54904821.6968859</v>
      </c>
      <c r="J516" s="39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184315540.418639</v>
      </c>
      <c r="K516" s="39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473240095.093409</v>
      </c>
      <c r="L516" s="39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585525982.176017</v>
      </c>
      <c r="M516" s="39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764527697.2519</v>
      </c>
      <c r="N516" s="39" t="n">
        <f aca="false">IF(COUNT('Business Case'!B11:G11)=0,"",H516+NPV(G516,I516:M516))</f>
        <v>-654875592.834671</v>
      </c>
      <c r="P516" s="40" t="n">
        <f aca="true">RAND()</f>
        <v>0.00904232983539065</v>
      </c>
      <c r="Q516" s="40" t="n">
        <f aca="true">RAND()</f>
        <v>0.797151358859919</v>
      </c>
      <c r="R516" s="40" t="n">
        <f aca="true">RAND()</f>
        <v>0.414135416427252</v>
      </c>
      <c r="S516" s="40" t="n">
        <f aca="true">RAND()</f>
        <v>0.590017473483749</v>
      </c>
      <c r="T516" s="40" t="n">
        <f aca="true">RAND()</f>
        <v>0.129559062352814</v>
      </c>
      <c r="U516" s="40" t="n">
        <f aca="true">RAND()</f>
        <v>0.394265861296224</v>
      </c>
    </row>
    <row r="517" customFormat="false" ht="15" hidden="false" customHeight="false" outlineLevel="0" collapsed="false">
      <c r="A517" s="36" t="n">
        <v>437</v>
      </c>
      <c r="B517" s="37" t="n">
        <f aca="false">1+IF($G$6=$E$6,$F$6,IF(P517&lt;($F$6-$E$6)/($G$6-$E$6),$E$6+SQRT(P517*($G$6-$E$6)*($F$6-$E$6)),$G$6-SQRT((1-P517)*($G$6-$E$6)*($G$6-$F$6))))</f>
        <v>0.962661805076549</v>
      </c>
      <c r="C517" s="37" t="n">
        <f aca="false">1+IF($G$7=$E$7,$F$7,IF(Q517&lt;($F$7-$E$7)/($G$7-$E$7),$E$7+SQRT(Q517*($G$7-$E$7)*($F$7-$E$7)),$G$7-SQRT((1-Q517)*($G$7-$E$7)*($G$7-$F$7))))</f>
        <v>0.973394899755955</v>
      </c>
      <c r="D517" s="37" t="n">
        <f aca="false">1+IF($G$8=$E$8,$F$8,IF(R517&lt;($F$8-$E$8)/($G$8-$E$8),$E$8+SQRT(R517*($G$8-$E$8)*($F$8-$E$8)),$G$8-SQRT((1-R517)*($G$8-$E$8)*($G$8-$F$8))))</f>
        <v>1.00091746758115</v>
      </c>
      <c r="E517" s="37" t="n">
        <f aca="false">1+IF($G$9=$E$9,$F$9,IF(S517&lt;($F$9-$E$9)/($G$9-$E$9),$E$9+SQRT(S517*($G$9-$E$9)*($F$9-$E$9)),$G$9-SQRT((1-S517)*($G$9-$E$9)*($G$9-$F$9))))</f>
        <v>1.01468647037497</v>
      </c>
      <c r="F517" s="37" t="n">
        <f aca="false">1+IF($G$10=$E$10,$F$10,IF(T517&lt;($F$10-$E$10)/($G$10-$E$10),$E$10+SQRT(T517*($G$10-$E$10)*($F$10-$E$10)),$G$10-SQRT((1-T517)*($G$10-$E$10)*($G$10-$F$10))))</f>
        <v>1.12665265500843</v>
      </c>
      <c r="G517" s="38" t="n">
        <f aca="false">IF($G$11=$E$11,$F$11,IF(U517&lt;($F$11-$E$11)/($G$11-$E$11),$E$11+SQRT(U517*($G$11-$E$11)*($F$11-$E$11)),$G$11-SQRT((1-U517)*($G$11-$E$11)*($G$11-$F$11))))</f>
        <v>0.0858531921237175</v>
      </c>
      <c r="H517" s="39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-2253305310.01687</v>
      </c>
      <c r="I517" s="39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-36776357.4468593</v>
      </c>
      <c r="J517" s="39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231977643.424916</v>
      </c>
      <c r="K517" s="39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557064277.047113</v>
      </c>
      <c r="L517" s="39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679033395.158019</v>
      </c>
      <c r="M517" s="39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857147876.50308</v>
      </c>
      <c r="N517" s="39" t="n">
        <f aca="false">IF(COUNT('Business Case'!B11:G11)=0,"",H517+NPV(G517,I517:M517))</f>
        <v>-599084775.781035</v>
      </c>
      <c r="P517" s="40" t="n">
        <f aca="true">RAND()</f>
        <v>0.261766787696762</v>
      </c>
      <c r="Q517" s="40" t="n">
        <f aca="true">RAND()</f>
        <v>0.553664971944953</v>
      </c>
      <c r="R517" s="40" t="n">
        <f aca="true">RAND()</f>
        <v>0.345510117964529</v>
      </c>
      <c r="S517" s="40" t="n">
        <f aca="true">RAND()</f>
        <v>0.51173996534441</v>
      </c>
      <c r="T517" s="40" t="n">
        <f aca="true">RAND()</f>
        <v>0.797139099780419</v>
      </c>
      <c r="U517" s="40" t="n">
        <f aca="true">RAND()</f>
        <v>0.0342598580371479</v>
      </c>
    </row>
    <row r="518" customFormat="false" ht="15" hidden="false" customHeight="false" outlineLevel="0" collapsed="false">
      <c r="A518" s="36" t="n">
        <v>438</v>
      </c>
      <c r="B518" s="37" t="n">
        <f aca="false">1+IF($G$6=$E$6,$F$6,IF(P518&lt;($F$6-$E$6)/($G$6-$E$6),$E$6+SQRT(P518*($G$6-$E$6)*($F$6-$E$6)),$G$6-SQRT((1-P518)*($G$6-$E$6)*($G$6-$F$6))))</f>
        <v>0.997127558295223</v>
      </c>
      <c r="C518" s="37" t="n">
        <f aca="false">1+IF($G$7=$E$7,$F$7,IF(Q518&lt;($F$7-$E$7)/($G$7-$E$7),$E$7+SQRT(Q518*($G$7-$E$7)*($F$7-$E$7)),$G$7-SQRT((1-Q518)*($G$7-$E$7)*($G$7-$F$7))))</f>
        <v>0.907542922181419</v>
      </c>
      <c r="D518" s="37" t="n">
        <f aca="false">1+IF($G$8=$E$8,$F$8,IF(R518&lt;($F$8-$E$8)/($G$8-$E$8),$E$8+SQRT(R518*($G$8-$E$8)*($F$8-$E$8)),$G$8-SQRT((1-R518)*($G$8-$E$8)*($G$8-$F$8))))</f>
        <v>1.02119690657268</v>
      </c>
      <c r="E518" s="37" t="n">
        <f aca="false">1+IF($G$9=$E$9,$F$9,IF(S518&lt;($F$9-$E$9)/($G$9-$E$9),$E$9+SQRT(S518*($G$9-$E$9)*($F$9-$E$9)),$G$9-SQRT((1-S518)*($G$9-$E$9)*($G$9-$F$9))))</f>
        <v>0.978883540080987</v>
      </c>
      <c r="F518" s="37" t="n">
        <f aca="false">1+IF($G$10=$E$10,$F$10,IF(T518&lt;($F$10-$E$10)/($G$10-$E$10),$E$10+SQRT(T518*($G$10-$E$10)*($F$10-$E$10)),$G$10-SQRT((1-T518)*($G$10-$E$10)*($G$10-$F$10))))</f>
        <v>1.04167037847203</v>
      </c>
      <c r="G518" s="38" t="n">
        <f aca="false">IF($G$11=$E$11,$F$11,IF(U518&lt;($F$11-$E$11)/($G$11-$E$11),$E$11+SQRT(U518*($G$11-$E$11)*($F$11-$E$11)),$G$11-SQRT((1-U518)*($G$11-$E$11)*($G$11-$F$11))))</f>
        <v>0.0981802457505618</v>
      </c>
      <c r="H518" s="39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-2083340756.94406</v>
      </c>
      <c r="I518" s="39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-23505605.8137541</v>
      </c>
      <c r="J518" s="39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243264950.868154</v>
      </c>
      <c r="K518" s="39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562119026.473663</v>
      </c>
      <c r="L518" s="39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682317135.533594</v>
      </c>
      <c r="M518" s="39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854327381.446383</v>
      </c>
      <c r="N518" s="39" t="n">
        <f aca="false">IF(COUNT('Business Case'!B11:G11)=0,"",H518+NPV(G518,I518:M518))</f>
        <v>-474593104.590375</v>
      </c>
      <c r="P518" s="40" t="n">
        <f aca="true">RAND()</f>
        <v>0.628917505359461</v>
      </c>
      <c r="Q518" s="40" t="n">
        <f aca="true">RAND()</f>
        <v>0.319067144797057</v>
      </c>
      <c r="R518" s="40" t="n">
        <f aca="true">RAND()</f>
        <v>0.586004831085624</v>
      </c>
      <c r="S518" s="40" t="n">
        <f aca="true">RAND()</f>
        <v>0.248904515828348</v>
      </c>
      <c r="T518" s="40" t="n">
        <f aca="true">RAND()</f>
        <v>0.421316917253514</v>
      </c>
      <c r="U518" s="40" t="n">
        <f aca="true">RAND()</f>
        <v>0.330521335550818</v>
      </c>
    </row>
    <row r="519" customFormat="false" ht="15" hidden="false" customHeight="false" outlineLevel="0" collapsed="false">
      <c r="A519" s="36" t="n">
        <v>439</v>
      </c>
      <c r="B519" s="37" t="n">
        <f aca="false">1+IF($G$6=$E$6,$F$6,IF(P519&lt;($F$6-$E$6)/($G$6-$E$6),$E$6+SQRT(P519*($G$6-$E$6)*($F$6-$E$6)),$G$6-SQRT((1-P519)*($G$6-$E$6)*($G$6-$F$6))))</f>
        <v>1.03930332341739</v>
      </c>
      <c r="C519" s="37" t="n">
        <f aca="false">1+IF($G$7=$E$7,$F$7,IF(Q519&lt;($F$7-$E$7)/($G$7-$E$7),$E$7+SQRT(Q519*($G$7-$E$7)*($F$7-$E$7)),$G$7-SQRT((1-Q519)*($G$7-$E$7)*($G$7-$F$7))))</f>
        <v>1.06625422421126</v>
      </c>
      <c r="D519" s="37" t="n">
        <f aca="false">1+IF($G$8=$E$8,$F$8,IF(R519&lt;($F$8-$E$8)/($G$8-$E$8),$E$8+SQRT(R519*($G$8-$E$8)*($F$8-$E$8)),$G$8-SQRT((1-R519)*($G$8-$E$8)*($G$8-$F$8))))</f>
        <v>1.06654397040388</v>
      </c>
      <c r="E519" s="37" t="n">
        <f aca="false">1+IF($G$9=$E$9,$F$9,IF(S519&lt;($F$9-$E$9)/($G$9-$E$9),$E$9+SQRT(S519*($G$9-$E$9)*($F$9-$E$9)),$G$9-SQRT((1-S519)*($G$9-$E$9)*($G$9-$F$9))))</f>
        <v>1.02363105532401</v>
      </c>
      <c r="F519" s="37" t="n">
        <f aca="false">1+IF($G$10=$E$10,$F$10,IF(T519&lt;($F$10-$E$10)/($G$10-$E$10),$E$10+SQRT(T519*($G$10-$E$10)*($F$10-$E$10)),$G$10-SQRT((1-T519)*($G$10-$E$10)*($G$10-$F$10))))</f>
        <v>1.04734584828043</v>
      </c>
      <c r="G519" s="38" t="n">
        <f aca="false">IF($G$11=$E$11,$F$11,IF(U519&lt;($F$11-$E$11)/($G$11-$E$11),$E$11+SQRT(U519*($G$11-$E$11)*($F$11-$E$11)),$G$11-SQRT((1-U519)*($G$11-$E$11)*($G$11-$F$11))))</f>
        <v>0.107225007742583</v>
      </c>
      <c r="H519" s="39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-2094691696.56086</v>
      </c>
      <c r="I519" s="39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17763073.730604</v>
      </c>
      <c r="J519" s="39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343268163.566104</v>
      </c>
      <c r="K519" s="39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721140545.815625</v>
      </c>
      <c r="L519" s="39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867940305.900644</v>
      </c>
      <c r="M519" s="39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1078579655.00316</v>
      </c>
      <c r="N519" s="39" t="n">
        <f aca="false">IF(COUNT('Business Case'!B11:G11)=0,"",H519+NPV(G519,I519:M519))</f>
        <v>-41741760.966547</v>
      </c>
      <c r="P519" s="40" t="n">
        <f aca="true">RAND()</f>
        <v>0.984744148011612</v>
      </c>
      <c r="Q519" s="40" t="n">
        <f aca="true">RAND()</f>
        <v>0.896098445000623</v>
      </c>
      <c r="R519" s="40" t="n">
        <f aca="true">RAND()</f>
        <v>0.925379605577557</v>
      </c>
      <c r="S519" s="40" t="n">
        <f aca="true">RAND()</f>
        <v>0.574157061906065</v>
      </c>
      <c r="T519" s="40" t="n">
        <f aca="true">RAND()</f>
        <v>0.45241726387761</v>
      </c>
      <c r="U519" s="40" t="n">
        <f aca="true">RAND()</f>
        <v>0.654199818449733</v>
      </c>
    </row>
    <row r="520" customFormat="false" ht="15" hidden="false" customHeight="false" outlineLevel="0" collapsed="false">
      <c r="A520" s="36" t="n">
        <v>440</v>
      </c>
      <c r="B520" s="37" t="n">
        <f aca="false">1+IF($G$6=$E$6,$F$6,IF(P520&lt;($F$6-$E$6)/($G$6-$E$6),$E$6+SQRT(P520*($G$6-$E$6)*($F$6-$E$6)),$G$6-SQRT((1-P520)*($G$6-$E$6)*($G$6-$F$6))))</f>
        <v>1.0101316397829</v>
      </c>
      <c r="C520" s="37" t="n">
        <f aca="false">1+IF($G$7=$E$7,$F$7,IF(Q520&lt;($F$7-$E$7)/($G$7-$E$7),$E$7+SQRT(Q520*($G$7-$E$7)*($F$7-$E$7)),$G$7-SQRT((1-Q520)*($G$7-$E$7)*($G$7-$F$7))))</f>
        <v>0.988168810757486</v>
      </c>
      <c r="D520" s="37" t="n">
        <f aca="false">1+IF($G$8=$E$8,$F$8,IF(R520&lt;($F$8-$E$8)/($G$8-$E$8),$E$8+SQRT(R520*($G$8-$E$8)*($F$8-$E$8)),$G$8-SQRT((1-R520)*($G$8-$E$8)*($G$8-$F$8))))</f>
        <v>1.03975799779965</v>
      </c>
      <c r="E520" s="37" t="n">
        <f aca="false">1+IF($G$9=$E$9,$F$9,IF(S520&lt;($F$9-$E$9)/($G$9-$E$9),$E$9+SQRT(S520*($G$9-$E$9)*($F$9-$E$9)),$G$9-SQRT((1-S520)*($G$9-$E$9)*($G$9-$F$9))))</f>
        <v>1.06951771289264</v>
      </c>
      <c r="F520" s="37" t="n">
        <f aca="false">1+IF($G$10=$E$10,$F$10,IF(T520&lt;($F$10-$E$10)/($G$10-$E$10),$E$10+SQRT(T520*($G$10-$E$10)*($F$10-$E$10)),$G$10-SQRT((1-T520)*($G$10-$E$10)*($G$10-$F$10))))</f>
        <v>1.04388183401389</v>
      </c>
      <c r="G520" s="38" t="n">
        <f aca="false">IF($G$11=$E$11,$F$11,IF(U520&lt;($F$11-$E$11)/($G$11-$E$11),$E$11+SQRT(U520*($G$11-$E$11)*($F$11-$E$11)),$G$11-SQRT((1-U520)*($G$11-$E$11)*($G$11-$F$11))))</f>
        <v>0.0935227895562861</v>
      </c>
      <c r="H520" s="39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-2087763668.02777</v>
      </c>
      <c r="I520" s="39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-16613011.1616583</v>
      </c>
      <c r="J520" s="39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274993261.180439</v>
      </c>
      <c r="K520" s="39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618793625.223231</v>
      </c>
      <c r="L520" s="39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750492836.889953</v>
      </c>
      <c r="M520" s="39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940227001.763076</v>
      </c>
      <c r="N520" s="39" t="n">
        <f aca="false">IF(COUNT('Business Case'!B11:G11)=0,"",H520+NPV(G520,I520:M520))</f>
        <v>-273616042.286976</v>
      </c>
      <c r="P520" s="40" t="n">
        <f aca="true">RAND()</f>
        <v>0.788068513813299</v>
      </c>
      <c r="Q520" s="40" t="n">
        <f aca="true">RAND()</f>
        <v>0.615120470321363</v>
      </c>
      <c r="R520" s="40" t="n">
        <f aca="true">RAND()</f>
        <v>0.758060078059541</v>
      </c>
      <c r="S520" s="40" t="n">
        <f aca="true">RAND()</f>
        <v>0.827269372319164</v>
      </c>
      <c r="T520" s="40" t="n">
        <f aca="true">RAND()</f>
        <v>0.433537355340275</v>
      </c>
      <c r="U520" s="40" t="n">
        <f aca="true">RAND()</f>
        <v>0.1828658373836</v>
      </c>
    </row>
    <row r="521" customFormat="false" ht="15" hidden="false" customHeight="false" outlineLevel="0" collapsed="false">
      <c r="A521" s="36" t="n">
        <v>441</v>
      </c>
      <c r="B521" s="37" t="n">
        <f aca="false">1+IF($G$6=$E$6,$F$6,IF(P521&lt;($F$6-$E$6)/($G$6-$E$6),$E$6+SQRT(P521*($G$6-$E$6)*($F$6-$E$6)),$G$6-SQRT((1-P521)*($G$6-$E$6)*($G$6-$F$6))))</f>
        <v>1.00747894095168</v>
      </c>
      <c r="C521" s="37" t="n">
        <f aca="false">1+IF($G$7=$E$7,$F$7,IF(Q521&lt;($F$7-$E$7)/($G$7-$E$7),$E$7+SQRT(Q521*($G$7-$E$7)*($F$7-$E$7)),$G$7-SQRT((1-Q521)*($G$7-$E$7)*($G$7-$F$7))))</f>
        <v>0.94491957777104</v>
      </c>
      <c r="D521" s="37" t="n">
        <f aca="false">1+IF($G$8=$E$8,$F$8,IF(R521&lt;($F$8-$E$8)/($G$8-$E$8),$E$8+SQRT(R521*($G$8-$E$8)*($F$8-$E$8)),$G$8-SQRT((1-R521)*($G$8-$E$8)*($G$8-$F$8))))</f>
        <v>1.02716128301707</v>
      </c>
      <c r="E521" s="37" t="n">
        <f aca="false">1+IF($G$9=$E$9,$F$9,IF(S521&lt;($F$9-$E$9)/($G$9-$E$9),$E$9+SQRT(S521*($G$9-$E$9)*($F$9-$E$9)),$G$9-SQRT((1-S521)*($G$9-$E$9)*($G$9-$F$9))))</f>
        <v>1.05781571662114</v>
      </c>
      <c r="F521" s="37" t="n">
        <f aca="false">1+IF($G$10=$E$10,$F$10,IF(T521&lt;($F$10-$E$10)/($G$10-$E$10),$E$10+SQRT(T521*($G$10-$E$10)*($F$10-$E$10)),$G$10-SQRT((1-T521)*($G$10-$E$10)*($G$10-$F$10))))</f>
        <v>0.989790979134187</v>
      </c>
      <c r="G521" s="38" t="n">
        <f aca="false">IF($G$11=$E$11,$F$11,IF(U521&lt;($F$11-$E$11)/($G$11-$E$11),$E$11+SQRT(U521*($G$11-$E$11)*($F$11-$E$11)),$G$11-SQRT((1-U521)*($G$11-$E$11)*($G$11-$F$11))))</f>
        <v>0.11136475102784</v>
      </c>
      <c r="H521" s="39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-1979581958.26837</v>
      </c>
      <c r="I521" s="39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-15867702.3363874</v>
      </c>
      <c r="J521" s="39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267016072.217949</v>
      </c>
      <c r="K521" s="39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599389395.728995</v>
      </c>
      <c r="L521" s="39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726584643.296293</v>
      </c>
      <c r="M521" s="39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907538251.566816</v>
      </c>
      <c r="N521" s="39" t="n">
        <f aca="false">IF(COUNT('Business Case'!B11:G11)=0,"",H521+NPV(G521,I521:M521))</f>
        <v>-329461386.592633</v>
      </c>
      <c r="P521" s="40" t="n">
        <f aca="true">RAND()</f>
        <v>0.758927938321291</v>
      </c>
      <c r="Q521" s="40" t="n">
        <f aca="true">RAND()</f>
        <v>0.444337774633663</v>
      </c>
      <c r="R521" s="40" t="n">
        <f aca="true">RAND()</f>
        <v>0.646301420552051</v>
      </c>
      <c r="S521" s="40" t="n">
        <f aca="true">RAND()</f>
        <v>0.773388210611364</v>
      </c>
      <c r="T521" s="40" t="n">
        <f aca="true">RAND()</f>
        <v>0.105554801363818</v>
      </c>
      <c r="U521" s="40" t="n">
        <f aca="true">RAND()</f>
        <v>0.76848499716374</v>
      </c>
    </row>
    <row r="522" customFormat="false" ht="15" hidden="false" customHeight="false" outlineLevel="0" collapsed="false">
      <c r="A522" s="36" t="n">
        <v>442</v>
      </c>
      <c r="B522" s="37" t="n">
        <f aca="false">1+IF($G$6=$E$6,$F$6,IF(P522&lt;($F$6-$E$6)/($G$6-$E$6),$E$6+SQRT(P522*($G$6-$E$6)*($F$6-$E$6)),$G$6-SQRT((1-P522)*($G$6-$E$6)*($G$6-$F$6))))</f>
        <v>0.999564509735155</v>
      </c>
      <c r="C522" s="37" t="n">
        <f aca="false">1+IF($G$7=$E$7,$F$7,IF(Q522&lt;($F$7-$E$7)/($G$7-$E$7),$E$7+SQRT(Q522*($G$7-$E$7)*($F$7-$E$7)),$G$7-SQRT((1-Q522)*($G$7-$E$7)*($G$7-$F$7))))</f>
        <v>0.923878442629244</v>
      </c>
      <c r="D522" s="37" t="n">
        <f aca="false">1+IF($G$8=$E$8,$F$8,IF(R522&lt;($F$8-$E$8)/($G$8-$E$8),$E$8+SQRT(R522*($G$8-$E$8)*($F$8-$E$8)),$G$8-SQRT((1-R522)*($G$8-$E$8)*($G$8-$F$8))))</f>
        <v>1.02541398211409</v>
      </c>
      <c r="E522" s="37" t="n">
        <f aca="false">1+IF($G$9=$E$9,$F$9,IF(S522&lt;($F$9-$E$9)/($G$9-$E$9),$E$9+SQRT(S522*($G$9-$E$9)*($F$9-$E$9)),$G$9-SQRT((1-S522)*($G$9-$E$9)*($G$9-$F$9))))</f>
        <v>0.928419869408565</v>
      </c>
      <c r="F522" s="37" t="n">
        <f aca="false">1+IF($G$10=$E$10,$F$10,IF(T522&lt;($F$10-$E$10)/($G$10-$E$10),$E$10+SQRT(T522*($G$10-$E$10)*($F$10-$E$10)),$G$10-SQRT((1-T522)*($G$10-$E$10)*($G$10-$F$10))))</f>
        <v>1.04727687759003</v>
      </c>
      <c r="G522" s="38" t="n">
        <f aca="false">IF($G$11=$E$11,$F$11,IF(U522&lt;($F$11-$E$11)/($G$11-$E$11),$E$11+SQRT(U522*($G$11-$E$11)*($F$11-$E$11)),$G$11-SQRT((1-U522)*($G$11-$E$11)*($G$11-$F$11))))</f>
        <v>0.109920434171726</v>
      </c>
      <c r="H522" s="39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-2094553755.18006</v>
      </c>
      <c r="I522" s="39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-13200018.3356049</v>
      </c>
      <c r="J522" s="39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258221957.674484</v>
      </c>
      <c r="K522" s="39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582007777.564074</v>
      </c>
      <c r="L522" s="39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704397103.671965</v>
      </c>
      <c r="M522" s="39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879931441.24687</v>
      </c>
      <c r="N522" s="39" t="n">
        <f aca="false">IF(COUNT('Business Case'!B11:G11)=0,"",H522+NPV(G522,I522:M522))</f>
        <v>-484662199.732662</v>
      </c>
      <c r="P522" s="40" t="n">
        <f aca="true">RAND()</f>
        <v>0.660872773253455</v>
      </c>
      <c r="Q522" s="40" t="n">
        <f aca="true">RAND()</f>
        <v>0.37127079314145</v>
      </c>
      <c r="R522" s="40" t="n">
        <f aca="true">RAND()</f>
        <v>0.629128395728149</v>
      </c>
      <c r="S522" s="40" t="n">
        <f aca="true">RAND()</f>
        <v>0.0323075590879962</v>
      </c>
      <c r="T522" s="40" t="n">
        <f aca="true">RAND()</f>
        <v>0.45204447520471</v>
      </c>
      <c r="U522" s="40" t="n">
        <f aca="true">RAND()</f>
        <v>0.731207357432014</v>
      </c>
    </row>
    <row r="523" customFormat="false" ht="15" hidden="false" customHeight="false" outlineLevel="0" collapsed="false">
      <c r="A523" s="36" t="n">
        <v>443</v>
      </c>
      <c r="B523" s="37" t="n">
        <f aca="false">1+IF($G$6=$E$6,$F$6,IF(P523&lt;($F$6-$E$6)/($G$6-$E$6),$E$6+SQRT(P523*($G$6-$E$6)*($F$6-$E$6)),$G$6-SQRT((1-P523)*($G$6-$E$6)*($G$6-$F$6))))</f>
        <v>1.01460679939704</v>
      </c>
      <c r="C523" s="37" t="n">
        <f aca="false">1+IF($G$7=$E$7,$F$7,IF(Q523&lt;($F$7-$E$7)/($G$7-$E$7),$E$7+SQRT(Q523*($G$7-$E$7)*($F$7-$E$7)),$G$7-SQRT((1-Q523)*($G$7-$E$7)*($G$7-$F$7))))</f>
        <v>0.882327517310747</v>
      </c>
      <c r="D523" s="37" t="n">
        <f aca="false">1+IF($G$8=$E$8,$F$8,IF(R523&lt;($F$8-$E$8)/($G$8-$E$8),$E$8+SQRT(R523*($G$8-$E$8)*($F$8-$E$8)),$G$8-SQRT((1-R523)*($G$8-$E$8)*($G$8-$F$8))))</f>
        <v>1.01211276561822</v>
      </c>
      <c r="E523" s="37" t="n">
        <f aca="false">1+IF($G$9=$E$9,$F$9,IF(S523&lt;($F$9-$E$9)/($G$9-$E$9),$E$9+SQRT(S523*($G$9-$E$9)*($F$9-$E$9)),$G$9-SQRT((1-S523)*($G$9-$E$9)*($G$9-$F$9))))</f>
        <v>0.945841195325416</v>
      </c>
      <c r="F523" s="37" t="n">
        <f aca="false">1+IF($G$10=$E$10,$F$10,IF(T523&lt;($F$10-$E$10)/($G$10-$E$10),$E$10+SQRT(T523*($G$10-$E$10)*($F$10-$E$10)),$G$10-SQRT((1-T523)*($G$10-$E$10)*($G$10-$F$10))))</f>
        <v>1.07780190034326</v>
      </c>
      <c r="G523" s="38" t="n">
        <f aca="false">IF($G$11=$E$11,$F$11,IF(U523&lt;($F$11-$E$11)/($G$11-$E$11),$E$11+SQRT(U523*($G$11-$E$11)*($F$11-$E$11)),$G$11-SQRT((1-U523)*($G$11-$E$11)*($G$11-$F$11))))</f>
        <v>0.126908413462107</v>
      </c>
      <c r="H523" s="39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-2155603800.68653</v>
      </c>
      <c r="I523" s="39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-12593040.7653736</v>
      </c>
      <c r="J523" s="39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263500697.913763</v>
      </c>
      <c r="K523" s="39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593484531.610063</v>
      </c>
      <c r="L523" s="39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716454425.459715</v>
      </c>
      <c r="M523" s="39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886616987.387717</v>
      </c>
      <c r="N523" s="39" t="n">
        <f aca="false">IF(COUNT('Business Case'!B11:G11)=0,"",H523+NPV(G523,I523:M523))</f>
        <v>-612461817.114405</v>
      </c>
      <c r="P523" s="40" t="n">
        <f aca="true">RAND()</f>
        <v>0.832976180143862</v>
      </c>
      <c r="Q523" s="40" t="n">
        <f aca="true">RAND()</f>
        <v>0.246246841249635</v>
      </c>
      <c r="R523" s="40" t="n">
        <f aca="true">RAND()</f>
        <v>0.485055602181428</v>
      </c>
      <c r="S523" s="40" t="n">
        <f aca="true">RAND()</f>
        <v>0.0840566075545188</v>
      </c>
      <c r="T523" s="40" t="n">
        <f aca="true">RAND()</f>
        <v>0.604637526328117</v>
      </c>
      <c r="U523" s="40" t="n">
        <f aca="true">RAND()</f>
        <v>0.993628061785812</v>
      </c>
    </row>
    <row r="524" customFormat="false" ht="15" hidden="false" customHeight="false" outlineLevel="0" collapsed="false">
      <c r="A524" s="36" t="n">
        <v>444</v>
      </c>
      <c r="B524" s="37" t="n">
        <f aca="false">1+IF($G$6=$E$6,$F$6,IF(P524&lt;($F$6-$E$6)/($G$6-$E$6),$E$6+SQRT(P524*($G$6-$E$6)*($F$6-$E$6)),$G$6-SQRT((1-P524)*($G$6-$E$6)*($G$6-$F$6))))</f>
        <v>0.924102837643249</v>
      </c>
      <c r="C524" s="37" t="n">
        <f aca="false">1+IF($G$7=$E$7,$F$7,IF(Q524&lt;($F$7-$E$7)/($G$7-$E$7),$E$7+SQRT(Q524*($G$7-$E$7)*($F$7-$E$7)),$G$7-SQRT((1-Q524)*($G$7-$E$7)*($G$7-$F$7))))</f>
        <v>0.966710478632708</v>
      </c>
      <c r="D524" s="37" t="n">
        <f aca="false">1+IF($G$8=$E$8,$F$8,IF(R524&lt;($F$8-$E$8)/($G$8-$E$8),$E$8+SQRT(R524*($G$8-$E$8)*($F$8-$E$8)),$G$8-SQRT((1-R524)*($G$8-$E$8)*($G$8-$F$8))))</f>
        <v>0.994983087359821</v>
      </c>
      <c r="E524" s="37" t="n">
        <f aca="false">1+IF($G$9=$E$9,$F$9,IF(S524&lt;($F$9-$E$9)/($G$9-$E$9),$E$9+SQRT(S524*($G$9-$E$9)*($F$9-$E$9)),$G$9-SQRT((1-S524)*($G$9-$E$9)*($G$9-$F$9))))</f>
        <v>1.08849292767691</v>
      </c>
      <c r="F524" s="37" t="n">
        <f aca="false">1+IF($G$10=$E$10,$F$10,IF(T524&lt;($F$10-$E$10)/($G$10-$E$10),$E$10+SQRT(T524*($G$10-$E$10)*($F$10-$E$10)),$G$10-SQRT((1-T524)*($G$10-$E$10)*($G$10-$F$10))))</f>
        <v>1.01239949923409</v>
      </c>
      <c r="G524" s="38" t="n">
        <f aca="false">IF($G$11=$E$11,$F$11,IF(U524&lt;($F$11-$E$11)/($G$11-$E$11),$E$11+SQRT(U524*($G$11-$E$11)*($F$11-$E$11)),$G$11-SQRT((1-U524)*($G$11-$E$11)*($G$11-$F$11))))</f>
        <v>0.107915133968492</v>
      </c>
      <c r="H524" s="39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-2024798998.46818</v>
      </c>
      <c r="I524" s="39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-63020355.1596523</v>
      </c>
      <c r="J524" s="39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176293674.15349</v>
      </c>
      <c r="K524" s="39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466227678.428336</v>
      </c>
      <c r="L524" s="39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576872848.355203</v>
      </c>
      <c r="M524" s="39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746678895.878872</v>
      </c>
      <c r="N524" s="39" t="n">
        <f aca="false">IF(COUNT('Business Case'!B11:G11)=0,"",H524+NPV(G524,I524:M524))</f>
        <v>-765053183.041351</v>
      </c>
      <c r="P524" s="40" t="n">
        <f aca="true">RAND()</f>
        <v>0.0387297854971209</v>
      </c>
      <c r="Q524" s="40" t="n">
        <f aca="true">RAND()</f>
        <v>0.526922069722133</v>
      </c>
      <c r="R524" s="40" t="n">
        <f aca="true">RAND()</f>
        <v>0.269797086456171</v>
      </c>
      <c r="S524" s="40" t="n">
        <f aca="true">RAND()</f>
        <v>0.899116801446472</v>
      </c>
      <c r="T524" s="40" t="n">
        <f aca="true">RAND()</f>
        <v>0.247280027143862</v>
      </c>
      <c r="U524" s="40" t="n">
        <f aca="true">RAND()</f>
        <v>0.674839128246909</v>
      </c>
    </row>
    <row r="525" customFormat="false" ht="15" hidden="false" customHeight="false" outlineLevel="0" collapsed="false">
      <c r="A525" s="36" t="n">
        <v>445</v>
      </c>
      <c r="B525" s="37" t="n">
        <f aca="false">1+IF($G$6=$E$6,$F$6,IF(P525&lt;($F$6-$E$6)/($G$6-$E$6),$E$6+SQRT(P525*($G$6-$E$6)*($F$6-$E$6)),$G$6-SQRT((1-P525)*($G$6-$E$6)*($G$6-$F$6))))</f>
        <v>0.98845999015997</v>
      </c>
      <c r="C525" s="37" t="n">
        <f aca="false">1+IF($G$7=$E$7,$F$7,IF(Q525&lt;($F$7-$E$7)/($G$7-$E$7),$E$7+SQRT(Q525*($G$7-$E$7)*($F$7-$E$7)),$G$7-SQRT((1-Q525)*($G$7-$E$7)*($G$7-$F$7))))</f>
        <v>0.897909141339884</v>
      </c>
      <c r="D525" s="37" t="n">
        <f aca="false">1+IF($G$8=$E$8,$F$8,IF(R525&lt;($F$8-$E$8)/($G$8-$E$8),$E$8+SQRT(R525*($G$8-$E$8)*($F$8-$E$8)),$G$8-SQRT((1-R525)*($G$8-$E$8)*($G$8-$F$8))))</f>
        <v>1.03066178255064</v>
      </c>
      <c r="E525" s="37" t="n">
        <f aca="false">1+IF($G$9=$E$9,$F$9,IF(S525&lt;($F$9-$E$9)/($G$9-$E$9),$E$9+SQRT(S525*($G$9-$E$9)*($F$9-$E$9)),$G$9-SQRT((1-S525)*($G$9-$E$9)*($G$9-$F$9))))</f>
        <v>0.965472433437645</v>
      </c>
      <c r="F525" s="37" t="n">
        <f aca="false">1+IF($G$10=$E$10,$F$10,IF(T525&lt;($F$10-$E$10)/($G$10-$E$10),$E$10+SQRT(T525*($G$10-$E$10)*($F$10-$E$10)),$G$10-SQRT((1-T525)*($G$10-$E$10)*($G$10-$F$10))))</f>
        <v>1.09520173446895</v>
      </c>
      <c r="G525" s="38" t="n">
        <f aca="false">IF($G$11=$E$11,$F$11,IF(U525&lt;($F$11-$E$11)/($G$11-$E$11),$E$11+SQRT(U525*($G$11-$E$11)*($F$11-$E$11)),$G$11-SQRT((1-U525)*($G$11-$E$11)*($G$11-$F$11))))</f>
        <v>0.107375593250357</v>
      </c>
      <c r="H525" s="39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-2190403468.9379</v>
      </c>
      <c r="I525" s="39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-39607263.7941464</v>
      </c>
      <c r="J525" s="39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213606275.904368</v>
      </c>
      <c r="K525" s="39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521579902.32633</v>
      </c>
      <c r="L525" s="39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636658048.89979</v>
      </c>
      <c r="M525" s="39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805363032.273211</v>
      </c>
      <c r="N525" s="39" t="n">
        <f aca="false">IF(COUNT('Business Case'!B11:G11)=0,"",H525+NPV(G525,I525:M525))</f>
        <v>-760876887.49758</v>
      </c>
      <c r="P525" s="40" t="n">
        <f aca="true">RAND()</f>
        <v>0.521677990606793</v>
      </c>
      <c r="Q525" s="40" t="n">
        <f aca="true">RAND()</f>
        <v>0.290133542414002</v>
      </c>
      <c r="R525" s="40" t="n">
        <f aca="true">RAND()</f>
        <v>0.679480773396343</v>
      </c>
      <c r="S525" s="40" t="n">
        <f aca="true">RAND()</f>
        <v>0.171465581609872</v>
      </c>
      <c r="T525" s="40" t="n">
        <f aca="true">RAND()</f>
        <v>0.680499959847703</v>
      </c>
      <c r="U525" s="40" t="n">
        <f aca="true">RAND()</f>
        <v>0.658757479484465</v>
      </c>
    </row>
    <row r="526" customFormat="false" ht="15" hidden="false" customHeight="false" outlineLevel="0" collapsed="false">
      <c r="A526" s="36" t="n">
        <v>446</v>
      </c>
      <c r="B526" s="37" t="n">
        <f aca="false">1+IF($G$6=$E$6,$F$6,IF(P526&lt;($F$6-$E$6)/($G$6-$E$6),$E$6+SQRT(P526*($G$6-$E$6)*($F$6-$E$6)),$G$6-SQRT((1-P526)*($G$6-$E$6)*($G$6-$F$6))))</f>
        <v>1.01409672924277</v>
      </c>
      <c r="C526" s="37" t="n">
        <f aca="false">1+IF($G$7=$E$7,$F$7,IF(Q526&lt;($F$7-$E$7)/($G$7-$E$7),$E$7+SQRT(Q526*($G$7-$E$7)*($F$7-$E$7)),$G$7-SQRT((1-Q526)*($G$7-$E$7)*($G$7-$F$7))))</f>
        <v>1.01787060199115</v>
      </c>
      <c r="D526" s="37" t="n">
        <f aca="false">1+IF($G$8=$E$8,$F$8,IF(R526&lt;($F$8-$E$8)/($G$8-$E$8),$E$8+SQRT(R526*($G$8-$E$8)*($F$8-$E$8)),$G$8-SQRT((1-R526)*($G$8-$E$8)*($G$8-$F$8))))</f>
        <v>0.970042085526833</v>
      </c>
      <c r="E526" s="37" t="n">
        <f aca="false">1+IF($G$9=$E$9,$F$9,IF(S526&lt;($F$9-$E$9)/($G$9-$E$9),$E$9+SQRT(S526*($G$9-$E$9)*($F$9-$E$9)),$G$9-SQRT((1-S526)*($G$9-$E$9)*($G$9-$F$9))))</f>
        <v>1.00363631497447</v>
      </c>
      <c r="F526" s="37" t="n">
        <f aca="false">1+IF($G$10=$E$10,$F$10,IF(T526&lt;($F$10-$E$10)/($G$10-$E$10),$E$10+SQRT(T526*($G$10-$E$10)*($F$10-$E$10)),$G$10-SQRT((1-T526)*($G$10-$E$10)*($G$10-$F$10))))</f>
        <v>1.1979567266122</v>
      </c>
      <c r="G526" s="38" t="n">
        <f aca="false">IF($G$11=$E$11,$F$11,IF(U526&lt;($F$11-$E$11)/($G$11-$E$11),$E$11+SQRT(U526*($G$11-$E$11)*($F$11-$E$11)),$G$11-SQRT((1-U526)*($G$11-$E$11)*($G$11-$F$11))))</f>
        <v>0.116994625721237</v>
      </c>
      <c r="H526" s="39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-2395913453.22441</v>
      </c>
      <c r="I526" s="39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23980683.1904475</v>
      </c>
      <c r="J526" s="39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363984368.861885</v>
      </c>
      <c r="K526" s="39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763885890.863932</v>
      </c>
      <c r="L526" s="39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912893949.974677</v>
      </c>
      <c r="M526" s="39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1109098184.68614</v>
      </c>
      <c r="N526" s="39" t="n">
        <f aca="false">IF(COUNT('Business Case'!B11:G11)=0,"",H526+NPV(G526,I526:M526))</f>
        <v>-310321491.589013</v>
      </c>
      <c r="P526" s="40" t="n">
        <f aca="true">RAND()</f>
        <v>0.828127353191064</v>
      </c>
      <c r="Q526" s="40" t="n">
        <f aca="true">RAND()</f>
        <v>0.741360328619532</v>
      </c>
      <c r="R526" s="40" t="n">
        <f aca="true">RAND()</f>
        <v>0.0535580256353186</v>
      </c>
      <c r="S526" s="40" t="n">
        <f aca="true">RAND()</f>
        <v>0.428737912153277</v>
      </c>
      <c r="T526" s="40" t="n">
        <f aca="true">RAND()</f>
        <v>0.963886635934442</v>
      </c>
      <c r="U526" s="40" t="n">
        <f aca="true">RAND()</f>
        <v>0.887240159912854</v>
      </c>
    </row>
    <row r="527" customFormat="false" ht="15" hidden="false" customHeight="false" outlineLevel="0" collapsed="false">
      <c r="A527" s="36" t="n">
        <v>447</v>
      </c>
      <c r="B527" s="37" t="n">
        <f aca="false">1+IF($G$6=$E$6,$F$6,IF(P527&lt;($F$6-$E$6)/($G$6-$E$6),$E$6+SQRT(P527*($G$6-$E$6)*($F$6-$E$6)),$G$6-SQRT((1-P527)*($G$6-$E$6)*($G$6-$F$6))))</f>
        <v>1.00155735823217</v>
      </c>
      <c r="C527" s="37" t="n">
        <f aca="false">1+IF($G$7=$E$7,$F$7,IF(Q527&lt;($F$7-$E$7)/($G$7-$E$7),$E$7+SQRT(Q527*($G$7-$E$7)*($F$7-$E$7)),$G$7-SQRT((1-Q527)*($G$7-$E$7)*($G$7-$F$7))))</f>
        <v>0.910648696623514</v>
      </c>
      <c r="D527" s="37" t="n">
        <f aca="false">1+IF($G$8=$E$8,$F$8,IF(R527&lt;($F$8-$E$8)/($G$8-$E$8),$E$8+SQRT(R527*($G$8-$E$8)*($F$8-$E$8)),$G$8-SQRT((1-R527)*($G$8-$E$8)*($G$8-$F$8))))</f>
        <v>0.981148529538693</v>
      </c>
      <c r="E527" s="37" t="n">
        <f aca="false">1+IF($G$9=$E$9,$F$9,IF(S527&lt;($F$9-$E$9)/($G$9-$E$9),$E$9+SQRT(S527*($G$9-$E$9)*($F$9-$E$9)),$G$9-SQRT((1-S527)*($G$9-$E$9)*($G$9-$F$9))))</f>
        <v>1.11480737327218</v>
      </c>
      <c r="F527" s="37" t="n">
        <f aca="false">1+IF($G$10=$E$10,$F$10,IF(T527&lt;($F$10-$E$10)/($G$10-$E$10),$E$10+SQRT(T527*($G$10-$E$10)*($F$10-$E$10)),$G$10-SQRT((1-T527)*($G$10-$E$10)*($G$10-$F$10))))</f>
        <v>1.02995843413009</v>
      </c>
      <c r="G527" s="38" t="n">
        <f aca="false">IF($G$11=$E$11,$F$11,IF(U527&lt;($F$11-$E$11)/($G$11-$E$11),$E$11+SQRT(U527*($G$11-$E$11)*($F$11-$E$11)),$G$11-SQRT((1-U527)*($G$11-$E$11)*($G$11-$F$11))))</f>
        <v>0.113869760023925</v>
      </c>
      <c r="H527" s="39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-2059916868.26017</v>
      </c>
      <c r="I527" s="39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-19145653.7055319</v>
      </c>
      <c r="J527" s="39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270511692.725916</v>
      </c>
      <c r="K527" s="39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611666960.863868</v>
      </c>
      <c r="L527" s="39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739740441.837462</v>
      </c>
      <c r="M527" s="39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913106118.734576</v>
      </c>
      <c r="N527" s="39" t="n">
        <f aca="false">IF(COUNT('Business Case'!B11:G11)=0,"",H527+NPV(G527,I527:M527))</f>
        <v>-403384699.757904</v>
      </c>
      <c r="P527" s="40" t="n">
        <f aca="true">RAND()</f>
        <v>0.687108061140434</v>
      </c>
      <c r="Q527" s="40" t="n">
        <f aca="true">RAND()</f>
        <v>0.328687951031002</v>
      </c>
      <c r="R527" s="40" t="n">
        <f aca="true">RAND()</f>
        <v>0.129364118989707</v>
      </c>
      <c r="S527" s="40" t="n">
        <f aca="true">RAND()</f>
        <v>0.966972773973233</v>
      </c>
      <c r="T527" s="40" t="n">
        <f aca="true">RAND()</f>
        <v>0.354422790526888</v>
      </c>
      <c r="U527" s="40" t="n">
        <f aca="true">RAND()</f>
        <v>0.826543572209491</v>
      </c>
    </row>
    <row r="528" customFormat="false" ht="15" hidden="false" customHeight="false" outlineLevel="0" collapsed="false">
      <c r="A528" s="36" t="n">
        <v>448</v>
      </c>
      <c r="B528" s="37" t="n">
        <f aca="false">1+IF($G$6=$E$6,$F$6,IF(P528&lt;($F$6-$E$6)/($G$6-$E$6),$E$6+SQRT(P528*($G$6-$E$6)*($F$6-$E$6)),$G$6-SQRT((1-P528)*($G$6-$E$6)*($G$6-$F$6))))</f>
        <v>0.998863728049262</v>
      </c>
      <c r="C528" s="37" t="n">
        <f aca="false">1+IF($G$7=$E$7,$F$7,IF(Q528&lt;($F$7-$E$7)/($G$7-$E$7),$E$7+SQRT(Q528*($G$7-$E$7)*($F$7-$E$7)),$G$7-SQRT((1-Q528)*($G$7-$E$7)*($G$7-$F$7))))</f>
        <v>1.01003397036481</v>
      </c>
      <c r="D528" s="37" t="n">
        <f aca="false">1+IF($G$8=$E$8,$F$8,IF(R528&lt;($F$8-$E$8)/($G$8-$E$8),$E$8+SQRT(R528*($G$8-$E$8)*($F$8-$E$8)),$G$8-SQRT((1-R528)*($G$8-$E$8)*($G$8-$F$8))))</f>
        <v>1.00238354831589</v>
      </c>
      <c r="E528" s="37" t="n">
        <f aca="false">1+IF($G$9=$E$9,$F$9,IF(S528&lt;($F$9-$E$9)/($G$9-$E$9),$E$9+SQRT(S528*($G$9-$E$9)*($F$9-$E$9)),$G$9-SQRT((1-S528)*($G$9-$E$9)*($G$9-$F$9))))</f>
        <v>0.989539369786504</v>
      </c>
      <c r="F528" s="37" t="n">
        <f aca="false">1+IF($G$10=$E$10,$F$10,IF(T528&lt;($F$10-$E$10)/($G$10-$E$10),$E$10+SQRT(T528*($G$10-$E$10)*($F$10-$E$10)),$G$10-SQRT((1-T528)*($G$10-$E$10)*($G$10-$F$10))))</f>
        <v>1.04470120562062</v>
      </c>
      <c r="G528" s="38" t="n">
        <f aca="false">IF($G$11=$E$11,$F$11,IF(U528&lt;($F$11-$E$11)/($G$11-$E$11),$E$11+SQRT(U528*($G$11-$E$11)*($F$11-$E$11)),$G$11-SQRT((1-U528)*($G$11-$E$11)*($G$11-$F$11))))</f>
        <v>0.102848658346581</v>
      </c>
      <c r="H528" s="39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-2089402411.24125</v>
      </c>
      <c r="I528" s="39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10578213.0733557</v>
      </c>
      <c r="J528" s="39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318639710.733819</v>
      </c>
      <c r="K528" s="39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678936268.675314</v>
      </c>
      <c r="L528" s="39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816490544.989738</v>
      </c>
      <c r="M528" s="39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1008259652.34155</v>
      </c>
      <c r="N528" s="39" t="n">
        <f aca="false">IF(COUNT('Business Case'!B11:G11)=0,"",H528+NPV(G528,I528:M528))</f>
        <v>-141737827.471839</v>
      </c>
      <c r="P528" s="40" t="n">
        <f aca="true">RAND()</f>
        <v>0.651602448253232</v>
      </c>
      <c r="Q528" s="40" t="n">
        <f aca="true">RAND()</f>
        <v>0.709770526639428</v>
      </c>
      <c r="R528" s="40" t="n">
        <f aca="true">RAND()</f>
        <v>0.364735224040213</v>
      </c>
      <c r="S528" s="40" t="n">
        <f aca="true">RAND()</f>
        <v>0.320691949670573</v>
      </c>
      <c r="T528" s="40" t="n">
        <f aca="true">RAND()</f>
        <v>0.438032067018325</v>
      </c>
      <c r="U528" s="40" t="n">
        <f aca="true">RAND()</f>
        <v>0.508536430946208</v>
      </c>
    </row>
    <row r="529" customFormat="false" ht="15" hidden="false" customHeight="false" outlineLevel="0" collapsed="false">
      <c r="A529" s="36" t="n">
        <v>449</v>
      </c>
      <c r="B529" s="37" t="n">
        <f aca="false">1+IF($G$6=$E$6,$F$6,IF(P529&lt;($F$6-$E$6)/($G$6-$E$6),$E$6+SQRT(P529*($G$6-$E$6)*($F$6-$E$6)),$G$6-SQRT((1-P529)*($G$6-$E$6)*($G$6-$F$6))))</f>
        <v>0.984029796244113</v>
      </c>
      <c r="C529" s="37" t="n">
        <f aca="false">1+IF($G$7=$E$7,$F$7,IF(Q529&lt;($F$7-$E$7)/($G$7-$E$7),$E$7+SQRT(Q529*($G$7-$E$7)*($F$7-$E$7)),$G$7-SQRT((1-Q529)*($G$7-$E$7)*($G$7-$F$7))))</f>
        <v>0.83286531341607</v>
      </c>
      <c r="D529" s="37" t="n">
        <f aca="false">1+IF($G$8=$E$8,$F$8,IF(R529&lt;($F$8-$E$8)/($G$8-$E$8),$E$8+SQRT(R529*($G$8-$E$8)*($F$8-$E$8)),$G$8-SQRT((1-R529)*($G$8-$E$8)*($G$8-$F$8))))</f>
        <v>1.07034765994363</v>
      </c>
      <c r="E529" s="37" t="n">
        <f aca="false">1+IF($G$9=$E$9,$F$9,IF(S529&lt;($F$9-$E$9)/($G$9-$E$9),$E$9+SQRT(S529*($G$9-$E$9)*($F$9-$E$9)),$G$9-SQRT((1-S529)*($G$9-$E$9)*($G$9-$F$9))))</f>
        <v>1.01087113560083</v>
      </c>
      <c r="F529" s="37" t="n">
        <f aca="false">1+IF($G$10=$E$10,$F$10,IF(T529&lt;($F$10-$E$10)/($G$10-$E$10),$E$10+SQRT(T529*($G$10-$E$10)*($F$10-$E$10)),$G$10-SQRT((1-T529)*($G$10-$E$10)*($G$10-$F$10))))</f>
        <v>0.977558751463674</v>
      </c>
      <c r="G529" s="38" t="n">
        <f aca="false">IF($G$11=$E$11,$F$11,IF(U529&lt;($F$11-$E$11)/($G$11-$E$11),$E$11+SQRT(U529*($G$11-$E$11)*($F$11-$E$11)),$G$11-SQRT((1-U529)*($G$11-$E$11)*($G$11-$F$11))))</f>
        <v>0.10605969484252</v>
      </c>
      <c r="H529" s="39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-1955117502.92735</v>
      </c>
      <c r="I529" s="39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-69059673.8484187</v>
      </c>
      <c r="J529" s="39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145868615.448722</v>
      </c>
      <c r="K529" s="39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409674842.319046</v>
      </c>
      <c r="L529" s="39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509641747.095929</v>
      </c>
      <c r="M529" s="39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665424526.324027</v>
      </c>
      <c r="N529" s="39" t="n">
        <f aca="false">IF(COUNT('Business Case'!B11:G11)=0,"",H529+NPV(G529,I529:M529))</f>
        <v>-853048481.795425</v>
      </c>
      <c r="P529" s="40" t="n">
        <f aca="true">RAND()</f>
        <v>0.470733777121803</v>
      </c>
      <c r="Q529" s="40" t="n">
        <f aca="true">RAND()</f>
        <v>0.130764381549262</v>
      </c>
      <c r="R529" s="40" t="n">
        <f aca="true">RAND()</f>
        <v>0.941382581945427</v>
      </c>
      <c r="S529" s="40" t="n">
        <f aca="true">RAND()</f>
        <v>0.483817575759939</v>
      </c>
      <c r="T529" s="40" t="n">
        <f aca="true">RAND()</f>
        <v>0.0506323188157692</v>
      </c>
      <c r="U529" s="40" t="n">
        <f aca="true">RAND()</f>
        <v>0.617907859311155</v>
      </c>
    </row>
    <row r="530" customFormat="false" ht="15" hidden="false" customHeight="false" outlineLevel="0" collapsed="false">
      <c r="A530" s="36" t="n">
        <v>450</v>
      </c>
      <c r="B530" s="37" t="n">
        <f aca="false">1+IF($G$6=$E$6,$F$6,IF(P530&lt;($F$6-$E$6)/($G$6-$E$6),$E$6+SQRT(P530*($G$6-$E$6)*($F$6-$E$6)),$G$6-SQRT((1-P530)*($G$6-$E$6)*($G$6-$F$6))))</f>
        <v>0.995783701512205</v>
      </c>
      <c r="C530" s="37" t="n">
        <f aca="false">1+IF($G$7=$E$7,$F$7,IF(Q530&lt;($F$7-$E$7)/($G$7-$E$7),$E$7+SQRT(Q530*($G$7-$E$7)*($F$7-$E$7)),$G$7-SQRT((1-Q530)*($G$7-$E$7)*($G$7-$F$7))))</f>
        <v>0.853357305144949</v>
      </c>
      <c r="D530" s="37" t="n">
        <f aca="false">1+IF($G$8=$E$8,$F$8,IF(R530&lt;($F$8-$E$8)/($G$8-$E$8),$E$8+SQRT(R530*($G$8-$E$8)*($F$8-$E$8)),$G$8-SQRT((1-R530)*($G$8-$E$8)*($G$8-$F$8))))</f>
        <v>1.00821177786446</v>
      </c>
      <c r="E530" s="37" t="n">
        <f aca="false">1+IF($G$9=$E$9,$F$9,IF(S530&lt;($F$9-$E$9)/($G$9-$E$9),$E$9+SQRT(S530*($G$9-$E$9)*($F$9-$E$9)),$G$9-SQRT((1-S530)*($G$9-$E$9)*($G$9-$F$9))))</f>
        <v>1.03379215381719</v>
      </c>
      <c r="F530" s="37" t="n">
        <f aca="false">1+IF($G$10=$E$10,$F$10,IF(T530&lt;($F$10-$E$10)/($G$10-$E$10),$E$10+SQRT(T530*($G$10-$E$10)*($F$10-$E$10)),$G$10-SQRT((1-T530)*($G$10-$E$10)*($G$10-$F$10))))</f>
        <v>1.09246208027335</v>
      </c>
      <c r="G530" s="38" t="n">
        <f aca="false">IF($G$11=$E$11,$F$11,IF(U530&lt;($F$11-$E$11)/($G$11-$E$11),$E$11+SQRT(U530*($G$11-$E$11)*($F$11-$E$11)),$G$11-SQRT((1-U530)*($G$11-$E$11)*($G$11-$F$11))))</f>
        <v>0.0922852182248032</v>
      </c>
      <c r="H530" s="39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-2184924160.5467</v>
      </c>
      <c r="I530" s="39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-44726920.4139982</v>
      </c>
      <c r="J530" s="39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210849133.378323</v>
      </c>
      <c r="K530" s="39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521048291.184312</v>
      </c>
      <c r="L530" s="39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635607990.385873</v>
      </c>
      <c r="M530" s="39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797130237.375202</v>
      </c>
      <c r="N530" s="39" t="n">
        <f aca="false">IF(COUNT('Business Case'!B11:G11)=0,"",H530+NPV(G530,I530:M530))</f>
        <v>-690114188.83323</v>
      </c>
      <c r="P530" s="40" t="n">
        <f aca="true">RAND()</f>
        <v>0.61163449835861</v>
      </c>
      <c r="Q530" s="40" t="n">
        <f aca="true">RAND()</f>
        <v>0.174210837343119</v>
      </c>
      <c r="R530" s="40" t="n">
        <f aca="true">RAND()</f>
        <v>0.438328151813135</v>
      </c>
      <c r="S530" s="40" t="n">
        <f aca="true">RAND()</f>
        <v>0.639886306281374</v>
      </c>
      <c r="T530" s="40" t="n">
        <f aca="true">RAND()</f>
        <v>0.669090717976</v>
      </c>
      <c r="U530" s="40" t="n">
        <f aca="true">RAND()</f>
        <v>0.150926586831035</v>
      </c>
    </row>
    <row r="531" customFormat="false" ht="15" hidden="false" customHeight="false" outlineLevel="0" collapsed="false">
      <c r="A531" s="36" t="n">
        <v>451</v>
      </c>
      <c r="B531" s="37" t="n">
        <f aca="false">1+IF($G$6=$E$6,$F$6,IF(P531&lt;($F$6-$E$6)/($G$6-$E$6),$E$6+SQRT(P531*($G$6-$E$6)*($F$6-$E$6)),$G$6-SQRT((1-P531)*($G$6-$E$6)*($G$6-$F$6))))</f>
        <v>1.01580275461318</v>
      </c>
      <c r="C531" s="37" t="n">
        <f aca="false">1+IF($G$7=$E$7,$F$7,IF(Q531&lt;($F$7-$E$7)/($G$7-$E$7),$E$7+SQRT(Q531*($G$7-$E$7)*($F$7-$E$7)),$G$7-SQRT((1-Q531)*($G$7-$E$7)*($G$7-$F$7))))</f>
        <v>1.00282053726486</v>
      </c>
      <c r="D531" s="37" t="n">
        <f aca="false">1+IF($G$8=$E$8,$F$8,IF(R531&lt;($F$8-$E$8)/($G$8-$E$8),$E$8+SQRT(R531*($G$8-$E$8)*($F$8-$E$8)),$G$8-SQRT((1-R531)*($G$8-$E$8)*($G$8-$F$8))))</f>
        <v>0.968038735268838</v>
      </c>
      <c r="E531" s="37" t="n">
        <f aca="false">1+IF($G$9=$E$9,$F$9,IF(S531&lt;($F$9-$E$9)/($G$9-$E$9),$E$9+SQRT(S531*($G$9-$E$9)*($F$9-$E$9)),$G$9-SQRT((1-S531)*($G$9-$E$9)*($G$9-$F$9))))</f>
        <v>1.05242702470382</v>
      </c>
      <c r="F531" s="37" t="n">
        <f aca="false">1+IF($G$10=$E$10,$F$10,IF(T531&lt;($F$10-$E$10)/($G$10-$E$10),$E$10+SQRT(T531*($G$10-$E$10)*($F$10-$E$10)),$G$10-SQRT((1-T531)*($G$10-$E$10)*($G$10-$F$10))))</f>
        <v>0.965536643553651</v>
      </c>
      <c r="G531" s="38" t="n">
        <f aca="false">IF($G$11=$E$11,$F$11,IF(U531&lt;($F$11-$E$11)/($G$11-$E$11),$E$11+SQRT(U531*($G$11-$E$11)*($F$11-$E$11)),$G$11-SQRT((1-U531)*($G$11-$E$11)*($G$11-$F$11))))</f>
        <v>0.118839542560591</v>
      </c>
      <c r="H531" s="39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-1931073287.1073</v>
      </c>
      <c r="I531" s="39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38389665.2058582</v>
      </c>
      <c r="J531" s="39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375795859.756791</v>
      </c>
      <c r="K531" s="39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761478886.485407</v>
      </c>
      <c r="L531" s="39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909152779.386936</v>
      </c>
      <c r="M531" s="39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1102781167.00197</v>
      </c>
      <c r="N531" s="39" t="n">
        <f aca="false">IF(COUNT('Business Case'!B11:G11)=0,"",H531+NPV(G531,I531:M531))</f>
        <v>156319931.900782</v>
      </c>
      <c r="P531" s="40" t="n">
        <f aca="true">RAND()</f>
        <v>0.844073121060472</v>
      </c>
      <c r="Q531" s="40" t="n">
        <f aca="true">RAND()</f>
        <v>0.67908452961474</v>
      </c>
      <c r="R531" s="40" t="n">
        <f aca="true">RAND()</f>
        <v>0.043386129346565</v>
      </c>
      <c r="S531" s="40" t="n">
        <f aca="true">RAND()</f>
        <v>0.746120386449368</v>
      </c>
      <c r="T531" s="40" t="n">
        <f aca="true">RAND()</f>
        <v>0.0160924861942129</v>
      </c>
      <c r="U531" s="40" t="n">
        <f aca="true">RAND()</f>
        <v>0.916962793162089</v>
      </c>
    </row>
    <row r="532" customFormat="false" ht="15" hidden="false" customHeight="false" outlineLevel="0" collapsed="false">
      <c r="A532" s="36" t="n">
        <v>452</v>
      </c>
      <c r="B532" s="37" t="n">
        <f aca="false">1+IF($G$6=$E$6,$F$6,IF(P532&lt;($F$6-$E$6)/($G$6-$E$6),$E$6+SQRT(P532*($G$6-$E$6)*($F$6-$E$6)),$G$6-SQRT((1-P532)*($G$6-$E$6)*($G$6-$F$6))))</f>
        <v>0.978354852302579</v>
      </c>
      <c r="C532" s="37" t="n">
        <f aca="false">1+IF($G$7=$E$7,$F$7,IF(Q532&lt;($F$7-$E$7)/($G$7-$E$7),$E$7+SQRT(Q532*($G$7-$E$7)*($F$7-$E$7)),$G$7-SQRT((1-Q532)*($G$7-$E$7)*($G$7-$F$7))))</f>
        <v>1.00817821997909</v>
      </c>
      <c r="D532" s="37" t="n">
        <f aca="false">1+IF($G$8=$E$8,$F$8,IF(R532&lt;($F$8-$E$8)/($G$8-$E$8),$E$8+SQRT(R532*($G$8-$E$8)*($F$8-$E$8)),$G$8-SQRT((1-R532)*($G$8-$E$8)*($G$8-$F$8))))</f>
        <v>0.978926345687344</v>
      </c>
      <c r="E532" s="37" t="n">
        <f aca="false">1+IF($G$9=$E$9,$F$9,IF(S532&lt;($F$9-$E$9)/($G$9-$E$9),$E$9+SQRT(S532*($G$9-$E$9)*($F$9-$E$9)),$G$9-SQRT((1-S532)*($G$9-$E$9)*($G$9-$F$9))))</f>
        <v>1.10383384106129</v>
      </c>
      <c r="F532" s="37" t="n">
        <f aca="false">1+IF($G$10=$E$10,$F$10,IF(T532&lt;($F$10-$E$10)/($G$10-$E$10),$E$10+SQRT(T532*($G$10-$E$10)*($F$10-$E$10)),$G$10-SQRT((1-T532)*($G$10-$E$10)*($G$10-$F$10))))</f>
        <v>1.10701888360423</v>
      </c>
      <c r="G532" s="38" t="n">
        <f aca="false">IF($G$11=$E$11,$F$11,IF(U532&lt;($F$11-$E$11)/($G$11-$E$11),$E$11+SQRT(U532*($G$11-$E$11)*($F$11-$E$11)),$G$11-SQRT((1-U532)*($G$11-$E$11)*($G$11-$F$11))))</f>
        <v>0.113232544746448</v>
      </c>
      <c r="H532" s="39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-2214037767.20846</v>
      </c>
      <c r="I532" s="39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-16133475.3320725</v>
      </c>
      <c r="J532" s="39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286532807.708753</v>
      </c>
      <c r="K532" s="39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644550034.929791</v>
      </c>
      <c r="L532" s="39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779527261.152439</v>
      </c>
      <c r="M532" s="39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967013819.802159</v>
      </c>
      <c r="N532" s="39" t="n">
        <f aca="false">IF(COUNT('Business Case'!B11:G11)=0,"",H532+NPV(G532,I532:M532))</f>
        <v>-456974216.588019</v>
      </c>
      <c r="P532" s="40" t="n">
        <f aca="true">RAND()</f>
        <v>0.409298858623926</v>
      </c>
      <c r="Q532" s="40" t="n">
        <f aca="true">RAND()</f>
        <v>0.70202344758073</v>
      </c>
      <c r="R532" s="40" t="n">
        <f aca="true">RAND()</f>
        <v>0.111564463309827</v>
      </c>
      <c r="S532" s="40" t="n">
        <f aca="true">RAND()</f>
        <v>0.943164953835885</v>
      </c>
      <c r="T532" s="40" t="n">
        <f aca="true">RAND()</f>
        <v>0.727418671389587</v>
      </c>
      <c r="U532" s="40" t="n">
        <f aca="true">RAND()</f>
        <v>0.81256829621342</v>
      </c>
    </row>
    <row r="533" customFormat="false" ht="15" hidden="false" customHeight="false" outlineLevel="0" collapsed="false">
      <c r="A533" s="36" t="n">
        <v>453</v>
      </c>
      <c r="B533" s="37" t="n">
        <f aca="false">1+IF($G$6=$E$6,$F$6,IF(P533&lt;($F$6-$E$6)/($G$6-$E$6),$E$6+SQRT(P533*($G$6-$E$6)*($F$6-$E$6)),$G$6-SQRT((1-P533)*($G$6-$E$6)*($G$6-$F$6))))</f>
        <v>0.984817355163699</v>
      </c>
      <c r="C533" s="37" t="n">
        <f aca="false">1+IF($G$7=$E$7,$F$7,IF(Q533&lt;($F$7-$E$7)/($G$7-$E$7),$E$7+SQRT(Q533*($G$7-$E$7)*($F$7-$E$7)),$G$7-SQRT((1-Q533)*($G$7-$E$7)*($G$7-$F$7))))</f>
        <v>0.876497922381295</v>
      </c>
      <c r="D533" s="37" t="n">
        <f aca="false">1+IF($G$8=$E$8,$F$8,IF(R533&lt;($F$8-$E$8)/($G$8-$E$8),$E$8+SQRT(R533*($G$8-$E$8)*($F$8-$E$8)),$G$8-SQRT((1-R533)*($G$8-$E$8)*($G$8-$F$8))))</f>
        <v>1.06638992477999</v>
      </c>
      <c r="E533" s="37" t="n">
        <f aca="false">1+IF($G$9=$E$9,$F$9,IF(S533&lt;($F$9-$E$9)/($G$9-$E$9),$E$9+SQRT(S533*($G$9-$E$9)*($F$9-$E$9)),$G$9-SQRT((1-S533)*($G$9-$E$9)*($G$9-$F$9))))</f>
        <v>1.08230994265678</v>
      </c>
      <c r="F533" s="37" t="n">
        <f aca="false">1+IF($G$10=$E$10,$F$10,IF(T533&lt;($F$10-$E$10)/($G$10-$E$10),$E$10+SQRT(T533*($G$10-$E$10)*($F$10-$E$10)),$G$10-SQRT((1-T533)*($G$10-$E$10)*($G$10-$F$10))))</f>
        <v>0.969123818667912</v>
      </c>
      <c r="G533" s="38" t="n">
        <f aca="false">IF($G$11=$E$11,$F$11,IF(U533&lt;($F$11-$E$11)/($G$11-$E$11),$E$11+SQRT(U533*($G$11-$E$11)*($F$11-$E$11)),$G$11-SQRT((1-U533)*($G$11-$E$11)*($G$11-$F$11))))</f>
        <v>0.0997814791525285</v>
      </c>
      <c r="H533" s="39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-1938247637.33582</v>
      </c>
      <c r="I533" s="39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-67035349.352813</v>
      </c>
      <c r="J533" s="39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161493945.566197</v>
      </c>
      <c r="K533" s="39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438479431.418602</v>
      </c>
      <c r="L533" s="39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544487722.097764</v>
      </c>
      <c r="M533" s="39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708562946.814966</v>
      </c>
      <c r="N533" s="39" t="n">
        <f aca="false">IF(COUNT('Business Case'!B11:G11)=0,"",H533+NPV(G533,I533:M533))</f>
        <v>-723462153.580257</v>
      </c>
      <c r="P533" s="40" t="n">
        <f aca="true">RAND()</f>
        <v>0.479598915797671</v>
      </c>
      <c r="Q533" s="40" t="n">
        <f aca="true">RAND()</f>
        <v>0.230751974851213</v>
      </c>
      <c r="R533" s="40" t="n">
        <f aca="true">RAND()</f>
        <v>0.924690856247</v>
      </c>
      <c r="S533" s="40" t="n">
        <f aca="true">RAND()</f>
        <v>0.877814830316582</v>
      </c>
      <c r="T533" s="40" t="n">
        <f aca="true">RAND()</f>
        <v>0.0243813626962129</v>
      </c>
      <c r="U533" s="40" t="n">
        <f aca="true">RAND()</f>
        <v>0.391306917461918</v>
      </c>
    </row>
    <row r="534" customFormat="false" ht="15" hidden="false" customHeight="false" outlineLevel="0" collapsed="false">
      <c r="A534" s="36" t="n">
        <v>454</v>
      </c>
      <c r="B534" s="37" t="n">
        <f aca="false">1+IF($G$6=$E$6,$F$6,IF(P534&lt;($F$6-$E$6)/($G$6-$E$6),$E$6+SQRT(P534*($G$6-$E$6)*($F$6-$E$6)),$G$6-SQRT((1-P534)*($G$6-$E$6)*($G$6-$F$6))))</f>
        <v>0.986553378786573</v>
      </c>
      <c r="C534" s="37" t="n">
        <f aca="false">1+IF($G$7=$E$7,$F$7,IF(Q534&lt;($F$7-$E$7)/($G$7-$E$7),$E$7+SQRT(Q534*($G$7-$E$7)*($F$7-$E$7)),$G$7-SQRT((1-Q534)*($G$7-$E$7)*($G$7-$F$7))))</f>
        <v>1.01424039194558</v>
      </c>
      <c r="D534" s="37" t="n">
        <f aca="false">1+IF($G$8=$E$8,$F$8,IF(R534&lt;($F$8-$E$8)/($G$8-$E$8),$E$8+SQRT(R534*($G$8-$E$8)*($F$8-$E$8)),$G$8-SQRT((1-R534)*($G$8-$E$8)*($G$8-$F$8))))</f>
        <v>1.02902204561306</v>
      </c>
      <c r="E534" s="37" t="n">
        <f aca="false">1+IF($G$9=$E$9,$F$9,IF(S534&lt;($F$9-$E$9)/($G$9-$E$9),$E$9+SQRT(S534*($G$9-$E$9)*($F$9-$E$9)),$G$9-SQRT((1-S534)*($G$9-$E$9)*($G$9-$F$9))))</f>
        <v>1.06180143546796</v>
      </c>
      <c r="F534" s="37" t="n">
        <f aca="false">1+IF($G$10=$E$10,$F$10,IF(T534&lt;($F$10-$E$10)/($G$10-$E$10),$E$10+SQRT(T534*($G$10-$E$10)*($F$10-$E$10)),$G$10-SQRT((1-T534)*($G$10-$E$10)*($G$10-$F$10))))</f>
        <v>0.990319584288376</v>
      </c>
      <c r="G534" s="38" t="n">
        <f aca="false">IF($G$11=$E$11,$F$11,IF(U534&lt;($F$11-$E$11)/($G$11-$E$11),$E$11+SQRT(U534*($G$11-$E$11)*($F$11-$E$11)),$G$11-SQRT((1-U534)*($G$11-$E$11)*($G$11-$F$11))))</f>
        <v>0.108835210195225</v>
      </c>
      <c r="H534" s="39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-1980639168.57675</v>
      </c>
      <c r="I534" s="39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-16604505.8336894</v>
      </c>
      <c r="J534" s="39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268682333.369249</v>
      </c>
      <c r="K534" s="39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603485151.786606</v>
      </c>
      <c r="L534" s="39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733161579.843749</v>
      </c>
      <c r="M534" s="39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923356062.285984</v>
      </c>
      <c r="N534" s="39" t="n">
        <f aca="false">IF(COUNT('Business Case'!B11:G11)=0,"",H534+NPV(G534,I534:M534))</f>
        <v>-298591928.040217</v>
      </c>
      <c r="P534" s="40" t="n">
        <f aca="true">RAND()</f>
        <v>0.499432491958133</v>
      </c>
      <c r="Q534" s="40" t="n">
        <f aca="true">RAND()</f>
        <v>0.726953019569038</v>
      </c>
      <c r="R534" s="40" t="n">
        <f aca="true">RAND()</f>
        <v>0.664141999403032</v>
      </c>
      <c r="S534" s="40" t="n">
        <f aca="true">RAND()</f>
        <v>0.792560352386348</v>
      </c>
      <c r="T534" s="40" t="n">
        <f aca="true">RAND()</f>
        <v>0.10837792514583</v>
      </c>
      <c r="U534" s="40" t="n">
        <f aca="true">RAND()</f>
        <v>0.701367781679797</v>
      </c>
    </row>
    <row r="535" customFormat="false" ht="15" hidden="false" customHeight="false" outlineLevel="0" collapsed="false">
      <c r="A535" s="36" t="n">
        <v>455</v>
      </c>
      <c r="B535" s="37" t="n">
        <f aca="false">1+IF($G$6=$E$6,$F$6,IF(P535&lt;($F$6-$E$6)/($G$6-$E$6),$E$6+SQRT(P535*($G$6-$E$6)*($F$6-$E$6)),$G$6-SQRT((1-P535)*($G$6-$E$6)*($G$6-$F$6))))</f>
        <v>1.0106294706684</v>
      </c>
      <c r="C535" s="37" t="n">
        <f aca="false">1+IF($G$7=$E$7,$F$7,IF(Q535&lt;($F$7-$E$7)/($G$7-$E$7),$E$7+SQRT(Q535*($G$7-$E$7)*($F$7-$E$7)),$G$7-SQRT((1-Q535)*($G$7-$E$7)*($G$7-$F$7))))</f>
        <v>1.05816330536717</v>
      </c>
      <c r="D535" s="37" t="n">
        <f aca="false">1+IF($G$8=$E$8,$F$8,IF(R535&lt;($F$8-$E$8)/($G$8-$E$8),$E$8+SQRT(R535*($G$8-$E$8)*($F$8-$E$8)),$G$8-SQRT((1-R535)*($G$8-$E$8)*($G$8-$F$8))))</f>
        <v>1.02159175786609</v>
      </c>
      <c r="E535" s="37" t="n">
        <f aca="false">1+IF($G$9=$E$9,$F$9,IF(S535&lt;($F$9-$E$9)/($G$9-$E$9),$E$9+SQRT(S535*($G$9-$E$9)*($F$9-$E$9)),$G$9-SQRT((1-S535)*($G$9-$E$9)*($G$9-$F$9))))</f>
        <v>1.05802463564383</v>
      </c>
      <c r="F535" s="37" t="n">
        <f aca="false">1+IF($G$10=$E$10,$F$10,IF(T535&lt;($F$10-$E$10)/($G$10-$E$10),$E$10+SQRT(T535*($G$10-$E$10)*($F$10-$E$10)),$G$10-SQRT((1-T535)*($G$10-$E$10)*($G$10-$F$10))))</f>
        <v>0.997608162080276</v>
      </c>
      <c r="G535" s="38" t="n">
        <f aca="false">IF($G$11=$E$11,$F$11,IF(U535&lt;($F$11-$E$11)/($G$11-$E$11),$E$11+SQRT(U535*($G$11-$E$11)*($F$11-$E$11)),$G$11-SQRT((1-U535)*($G$11-$E$11)*($G$11-$F$11))))</f>
        <v>0.0918948806556621</v>
      </c>
      <c r="H535" s="39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-1995216324.16055</v>
      </c>
      <c r="I535" s="39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16883331.5267262</v>
      </c>
      <c r="J535" s="39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339416849.788209</v>
      </c>
      <c r="K535" s="39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711830776.153706</v>
      </c>
      <c r="L535" s="39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856300793.79965</v>
      </c>
      <c r="M535" s="39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1059574440.70629</v>
      </c>
      <c r="N535" s="39" t="n">
        <f aca="false">IF(COUNT('Business Case'!B11:G11)=0,"",H535+NPV(G535,I535:M535))</f>
        <v>136864043.264353</v>
      </c>
      <c r="P535" s="40" t="n">
        <f aca="true">RAND()</f>
        <v>0.79332818935326</v>
      </c>
      <c r="Q535" s="40" t="n">
        <f aca="true">RAND()</f>
        <v>0.875052170650612</v>
      </c>
      <c r="R535" s="40" t="n">
        <f aca="true">RAND()</f>
        <v>0.590143171031338</v>
      </c>
      <c r="S535" s="40" t="n">
        <f aca="true">RAND()</f>
        <v>0.774414196041346</v>
      </c>
      <c r="T535" s="40" t="n">
        <f aca="true">RAND()</f>
        <v>0.151102473110785</v>
      </c>
      <c r="U535" s="40" t="n">
        <f aca="true">RAND()</f>
        <v>0.141488185812445</v>
      </c>
    </row>
    <row r="536" customFormat="false" ht="15" hidden="false" customHeight="false" outlineLevel="0" collapsed="false">
      <c r="A536" s="36" t="n">
        <v>456</v>
      </c>
      <c r="B536" s="37" t="n">
        <f aca="false">1+IF($G$6=$E$6,$F$6,IF(P536&lt;($F$6-$E$6)/($G$6-$E$6),$E$6+SQRT(P536*($G$6-$E$6)*($F$6-$E$6)),$G$6-SQRT((1-P536)*($G$6-$E$6)*($G$6-$F$6))))</f>
        <v>0.96984420831369</v>
      </c>
      <c r="C536" s="37" t="n">
        <f aca="false">1+IF($G$7=$E$7,$F$7,IF(Q536&lt;($F$7-$E$7)/($G$7-$E$7),$E$7+SQRT(Q536*($G$7-$E$7)*($F$7-$E$7)),$G$7-SQRT((1-Q536)*($G$7-$E$7)*($G$7-$F$7))))</f>
        <v>0.974439016533867</v>
      </c>
      <c r="D536" s="37" t="n">
        <f aca="false">1+IF($G$8=$E$8,$F$8,IF(R536&lt;($F$8-$E$8)/($G$8-$E$8),$E$8+SQRT(R536*($G$8-$E$8)*($F$8-$E$8)),$G$8-SQRT((1-R536)*($G$8-$E$8)*($G$8-$F$8))))</f>
        <v>1.03296108494092</v>
      </c>
      <c r="E536" s="37" t="n">
        <f aca="false">1+IF($G$9=$E$9,$F$9,IF(S536&lt;($F$9-$E$9)/($G$9-$E$9),$E$9+SQRT(S536*($G$9-$E$9)*($F$9-$E$9)),$G$9-SQRT((1-S536)*($G$9-$E$9)*($G$9-$F$9))))</f>
        <v>0.952196572205532</v>
      </c>
      <c r="F536" s="37" t="n">
        <f aca="false">1+IF($G$10=$E$10,$F$10,IF(T536&lt;($F$10-$E$10)/($G$10-$E$10),$E$10+SQRT(T536*($G$10-$E$10)*($F$10-$E$10)),$G$10-SQRT((1-T536)*($G$10-$E$10)*($G$10-$F$10))))</f>
        <v>1.05086495214449</v>
      </c>
      <c r="G536" s="38" t="n">
        <f aca="false">IF($G$11=$E$11,$F$11,IF(U536&lt;($F$11-$E$11)/($G$11-$E$11),$E$11+SQRT(U536*($G$11-$E$11)*($F$11-$E$11)),$G$11-SQRT((1-U536)*($G$11-$E$11)*($G$11-$F$11))))</f>
        <v>0.0927574273476171</v>
      </c>
      <c r="H536" s="39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-2101729904.28899</v>
      </c>
      <c r="I536" s="39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-30690107.4810456</v>
      </c>
      <c r="J536" s="39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228100234.074232</v>
      </c>
      <c r="K536" s="39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539433823.236734</v>
      </c>
      <c r="L536" s="39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658358337.924658</v>
      </c>
      <c r="M536" s="39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837994209.19023</v>
      </c>
      <c r="N536" s="39" t="n">
        <f aca="false">IF(COUNT('Business Case'!B11:G11)=0,"",H536+NPV(G536,I536:M536))</f>
        <v>-525889048.756143</v>
      </c>
      <c r="P536" s="40" t="n">
        <f aca="true">RAND()</f>
        <v>0.325214228997745</v>
      </c>
      <c r="Q536" s="40" t="n">
        <f aca="true">RAND()</f>
        <v>0.557902028119083</v>
      </c>
      <c r="R536" s="40" t="n">
        <f aca="true">RAND()</f>
        <v>0.700385591180094</v>
      </c>
      <c r="S536" s="40" t="n">
        <f aca="true">RAND()</f>
        <v>0.108979286000294</v>
      </c>
      <c r="T536" s="40" t="n">
        <f aca="true">RAND()</f>
        <v>0.47126976954114</v>
      </c>
      <c r="U536" s="40" t="n">
        <f aca="true">RAND()</f>
        <v>0.162751952529728</v>
      </c>
    </row>
    <row r="537" customFormat="false" ht="15" hidden="false" customHeight="false" outlineLevel="0" collapsed="false">
      <c r="A537" s="36" t="n">
        <v>457</v>
      </c>
      <c r="B537" s="37" t="n">
        <f aca="false">1+IF($G$6=$E$6,$F$6,IF(P537&lt;($F$6-$E$6)/($G$6-$E$6),$E$6+SQRT(P537*($G$6-$E$6)*($F$6-$E$6)),$G$6-SQRT((1-P537)*($G$6-$E$6)*($G$6-$F$6))))</f>
        <v>0.999010439198466</v>
      </c>
      <c r="C537" s="37" t="n">
        <f aca="false">1+IF($G$7=$E$7,$F$7,IF(Q537&lt;($F$7-$E$7)/($G$7-$E$7),$E$7+SQRT(Q537*($G$7-$E$7)*($F$7-$E$7)),$G$7-SQRT((1-Q537)*($G$7-$E$7)*($G$7-$F$7))))</f>
        <v>1.06582296135265</v>
      </c>
      <c r="D537" s="37" t="n">
        <f aca="false">1+IF($G$8=$E$8,$F$8,IF(R537&lt;($F$8-$E$8)/($G$8-$E$8),$E$8+SQRT(R537*($G$8-$E$8)*($F$8-$E$8)),$G$8-SQRT((1-R537)*($G$8-$E$8)*($G$8-$F$8))))</f>
        <v>1.0020727654238</v>
      </c>
      <c r="E537" s="37" t="n">
        <f aca="false">1+IF($G$9=$E$9,$F$9,IF(S537&lt;($F$9-$E$9)/($G$9-$E$9),$E$9+SQRT(S537*($G$9-$E$9)*($F$9-$E$9)),$G$9-SQRT((1-S537)*($G$9-$E$9)*($G$9-$F$9))))</f>
        <v>0.924538748777454</v>
      </c>
      <c r="F537" s="37" t="n">
        <f aca="false">1+IF($G$10=$E$10,$F$10,IF(T537&lt;($F$10-$E$10)/($G$10-$E$10),$E$10+SQRT(T537*($G$10-$E$10)*($F$10-$E$10)),$G$10-SQRT((1-T537)*($G$10-$E$10)*($G$10-$F$10))))</f>
        <v>1.01583467250846</v>
      </c>
      <c r="G537" s="38" t="n">
        <f aca="false">IF($G$11=$E$11,$F$11,IF(U537&lt;($F$11-$E$11)/($G$11-$E$11),$E$11+SQRT(U537*($G$11-$E$11)*($F$11-$E$11)),$G$11-SQRT((1-U537)*($G$11-$E$11)*($G$11-$F$11))))</f>
        <v>0.0960655209179997</v>
      </c>
      <c r="H537" s="39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-2031669345.01692</v>
      </c>
      <c r="I537" s="39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37124383.414896</v>
      </c>
      <c r="J537" s="39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362499231.000329</v>
      </c>
      <c r="K537" s="39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738665812.211185</v>
      </c>
      <c r="L537" s="39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883922485.968687</v>
      </c>
      <c r="M537" s="39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1086313637.72832</v>
      </c>
      <c r="N537" s="39" t="n">
        <f aca="false">IF(COUNT('Business Case'!B11:G11)=0,"",H537+NPV(G537,I537:M537))</f>
        <v>164065826.38312</v>
      </c>
      <c r="P537" s="40" t="n">
        <f aca="true">RAND()</f>
        <v>0.653537804684876</v>
      </c>
      <c r="Q537" s="40" t="n">
        <f aca="true">RAND()</f>
        <v>0.895025572808343</v>
      </c>
      <c r="R537" s="40" t="n">
        <f aca="true">RAND()</f>
        <v>0.36068378188392</v>
      </c>
      <c r="S537" s="40" t="n">
        <f aca="true">RAND()</f>
        <v>0.0240860076625202</v>
      </c>
      <c r="T537" s="40" t="n">
        <f aca="true">RAND()</f>
        <v>0.268887992010403</v>
      </c>
      <c r="U537" s="40" t="n">
        <f aca="true">RAND()</f>
        <v>0.258100962366684</v>
      </c>
    </row>
    <row r="538" customFormat="false" ht="15" hidden="false" customHeight="false" outlineLevel="0" collapsed="false">
      <c r="A538" s="36" t="n">
        <v>458</v>
      </c>
      <c r="B538" s="37" t="n">
        <f aca="false">1+IF($G$6=$E$6,$F$6,IF(P538&lt;($F$6-$E$6)/($G$6-$E$6),$E$6+SQRT(P538*($G$6-$E$6)*($F$6-$E$6)),$G$6-SQRT((1-P538)*($G$6-$E$6)*($G$6-$F$6))))</f>
        <v>0.953650784019247</v>
      </c>
      <c r="C538" s="37" t="n">
        <f aca="false">1+IF($G$7=$E$7,$F$7,IF(Q538&lt;($F$7-$E$7)/($G$7-$E$7),$E$7+SQRT(Q538*($G$7-$E$7)*($F$7-$E$7)),$G$7-SQRT((1-Q538)*($G$7-$E$7)*($G$7-$F$7))))</f>
        <v>0.903635047069264</v>
      </c>
      <c r="D538" s="37" t="n">
        <f aca="false">1+IF($G$8=$E$8,$F$8,IF(R538&lt;($F$8-$E$8)/($G$8-$E$8),$E$8+SQRT(R538*($G$8-$E$8)*($F$8-$E$8)),$G$8-SQRT((1-R538)*($G$8-$E$8)*($G$8-$F$8))))</f>
        <v>0.970708908024158</v>
      </c>
      <c r="E538" s="37" t="n">
        <f aca="false">1+IF($G$9=$E$9,$F$9,IF(S538&lt;($F$9-$E$9)/($G$9-$E$9),$E$9+SQRT(S538*($G$9-$E$9)*($F$9-$E$9)),$G$9-SQRT((1-S538)*($G$9-$E$9)*($G$9-$F$9))))</f>
        <v>1.06071829753737</v>
      </c>
      <c r="F538" s="37" t="n">
        <f aca="false">1+IF($G$10=$E$10,$F$10,IF(T538&lt;($F$10-$E$10)/($G$10-$E$10),$E$10+SQRT(T538*($G$10-$E$10)*($F$10-$E$10)),$G$10-SQRT((1-T538)*($G$10-$E$10)*($G$10-$F$10))))</f>
        <v>1.05359907692455</v>
      </c>
      <c r="G538" s="38" t="n">
        <f aca="false">IF($G$11=$E$11,$F$11,IF(U538&lt;($F$11-$E$11)/($G$11-$E$11),$E$11+SQRT(U538*($G$11-$E$11)*($F$11-$E$11)),$G$11-SQRT((1-U538)*($G$11-$E$11)*($G$11-$F$11))))</f>
        <v>0.093912590880647</v>
      </c>
      <c r="H538" s="39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-2107198153.84911</v>
      </c>
      <c r="I538" s="39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-44069251.7847494</v>
      </c>
      <c r="J538" s="39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212728783.766847</v>
      </c>
      <c r="K538" s="39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522206773.164671</v>
      </c>
      <c r="L538" s="39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637588276.837921</v>
      </c>
      <c r="M538" s="39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801390148.529535</v>
      </c>
      <c r="N538" s="39" t="n">
        <f aca="false">IF(COUNT('Business Case'!B11:G11)=0,"",H538+NPV(G538,I538:M538))</f>
        <v>-613928421.889313</v>
      </c>
      <c r="P538" s="40" t="n">
        <f aca="true">RAND()</f>
        <v>0.19189377505866</v>
      </c>
      <c r="Q538" s="40" t="n">
        <f aca="true">RAND()</f>
        <v>0.307164684406675</v>
      </c>
      <c r="R538" s="40" t="n">
        <f aca="true">RAND()</f>
        <v>0.0571811828737356</v>
      </c>
      <c r="S538" s="40" t="n">
        <f aca="true">RAND()</f>
        <v>0.787434069476644</v>
      </c>
      <c r="T538" s="40" t="n">
        <f aca="true">RAND()</f>
        <v>0.485689032201504</v>
      </c>
      <c r="U538" s="40" t="n">
        <f aca="true">RAND()</f>
        <v>0.193560185012262</v>
      </c>
    </row>
    <row r="539" customFormat="false" ht="15" hidden="false" customHeight="false" outlineLevel="0" collapsed="false">
      <c r="A539" s="36" t="n">
        <v>459</v>
      </c>
      <c r="B539" s="37" t="n">
        <f aca="false">1+IF($G$6=$E$6,$F$6,IF(P539&lt;($F$6-$E$6)/($G$6-$E$6),$E$6+SQRT(P539*($G$6-$E$6)*($F$6-$E$6)),$G$6-SQRT((1-P539)*($G$6-$E$6)*($G$6-$F$6))))</f>
        <v>0.960693885495419</v>
      </c>
      <c r="C539" s="37" t="n">
        <f aca="false">1+IF($G$7=$E$7,$F$7,IF(Q539&lt;($F$7-$E$7)/($G$7-$E$7),$E$7+SQRT(Q539*($G$7-$E$7)*($F$7-$E$7)),$G$7-SQRT((1-Q539)*($G$7-$E$7)*($G$7-$F$7))))</f>
        <v>0.90592833643467</v>
      </c>
      <c r="D539" s="37" t="n">
        <f aca="false">1+IF($G$8=$E$8,$F$8,IF(R539&lt;($F$8-$E$8)/($G$8-$E$8),$E$8+SQRT(R539*($G$8-$E$8)*($F$8-$E$8)),$G$8-SQRT((1-R539)*($G$8-$E$8)*($G$8-$F$8))))</f>
        <v>0.992790371339831</v>
      </c>
      <c r="E539" s="37" t="n">
        <f aca="false">1+IF($G$9=$E$9,$F$9,IF(S539&lt;($F$9-$E$9)/($G$9-$E$9),$E$9+SQRT(S539*($G$9-$E$9)*($F$9-$E$9)),$G$9-SQRT((1-S539)*($G$9-$E$9)*($G$9-$F$9))))</f>
        <v>1.05345886952507</v>
      </c>
      <c r="F539" s="37" t="n">
        <f aca="false">1+IF($G$10=$E$10,$F$10,IF(T539&lt;($F$10-$E$10)/($G$10-$E$10),$E$10+SQRT(T539*($G$10-$E$10)*($F$10-$E$10)),$G$10-SQRT((1-T539)*($G$10-$E$10)*($G$10-$F$10))))</f>
        <v>1.0108294608108</v>
      </c>
      <c r="G539" s="38" t="n">
        <f aca="false">IF($G$11=$E$11,$F$11,IF(U539&lt;($F$11-$E$11)/($G$11-$E$11),$E$11+SQRT(U539*($G$11-$E$11)*($F$11-$E$11)),$G$11-SQRT((1-U539)*($G$11-$E$11)*($G$11-$F$11))))</f>
        <v>0.0825002261809732</v>
      </c>
      <c r="H539" s="39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-2021658921.62161</v>
      </c>
      <c r="I539" s="39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-43566862.3369733</v>
      </c>
      <c r="J539" s="39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208868451.785948</v>
      </c>
      <c r="K539" s="39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511845238.94941</v>
      </c>
      <c r="L539" s="39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626068596.411949</v>
      </c>
      <c r="M539" s="39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791498986.563897</v>
      </c>
      <c r="N539" s="39" t="n">
        <f aca="false">IF(COUNT('Business Case'!B11:G11)=0,"",H539+NPV(G539,I539:M539))</f>
        <v>-491719251.313232</v>
      </c>
      <c r="P539" s="40" t="n">
        <f aca="true">RAND()</f>
        <v>0.245583182435402</v>
      </c>
      <c r="Q539" s="40" t="n">
        <f aca="true">RAND()</f>
        <v>0.314122072198153</v>
      </c>
      <c r="R539" s="40" t="n">
        <f aca="true">RAND()</f>
        <v>0.244135450586746</v>
      </c>
      <c r="S539" s="40" t="n">
        <f aca="true">RAND()</f>
        <v>0.7514616033766</v>
      </c>
      <c r="T539" s="40" t="n">
        <f aca="true">RAND()</f>
        <v>0.237299375785993</v>
      </c>
      <c r="U539" s="40" t="n">
        <f aca="true">RAND()</f>
        <v>0.00625113095602369</v>
      </c>
    </row>
    <row r="540" customFormat="false" ht="15" hidden="false" customHeight="false" outlineLevel="0" collapsed="false">
      <c r="A540" s="36" t="n">
        <v>460</v>
      </c>
      <c r="B540" s="37" t="n">
        <f aca="false">1+IF($G$6=$E$6,$F$6,IF(P540&lt;($F$6-$E$6)/($G$6-$E$6),$E$6+SQRT(P540*($G$6-$E$6)*($F$6-$E$6)),$G$6-SQRT((1-P540)*($G$6-$E$6)*($G$6-$F$6))))</f>
        <v>0.942534067030729</v>
      </c>
      <c r="C540" s="37" t="n">
        <f aca="false">1+IF($G$7=$E$7,$F$7,IF(Q540&lt;($F$7-$E$7)/($G$7-$E$7),$E$7+SQRT(Q540*($G$7-$E$7)*($F$7-$E$7)),$G$7-SQRT((1-Q540)*($G$7-$E$7)*($G$7-$F$7))))</f>
        <v>1.03008909955719</v>
      </c>
      <c r="D540" s="37" t="n">
        <f aca="false">1+IF($G$8=$E$8,$F$8,IF(R540&lt;($F$8-$E$8)/($G$8-$E$8),$E$8+SQRT(R540*($G$8-$E$8)*($F$8-$E$8)),$G$8-SQRT((1-R540)*($G$8-$E$8)*($G$8-$F$8))))</f>
        <v>1.0042433017135</v>
      </c>
      <c r="E540" s="37" t="n">
        <f aca="false">1+IF($G$9=$E$9,$F$9,IF(S540&lt;($F$9-$E$9)/($G$9-$E$9),$E$9+SQRT(S540*($G$9-$E$9)*($F$9-$E$9)),$G$9-SQRT((1-S540)*($G$9-$E$9)*($G$9-$F$9))))</f>
        <v>1.00225228157968</v>
      </c>
      <c r="F540" s="37" t="n">
        <f aca="false">1+IF($G$10=$E$10,$F$10,IF(T540&lt;($F$10-$E$10)/($G$10-$E$10),$E$10+SQRT(T540*($G$10-$E$10)*($F$10-$E$10)),$G$10-SQRT((1-T540)*($G$10-$E$10)*($G$10-$F$10))))</f>
        <v>1.08654013748212</v>
      </c>
      <c r="G540" s="38" t="n">
        <f aca="false">IF($G$11=$E$11,$F$11,IF(U540&lt;($F$11-$E$11)/($G$11-$E$11),$E$11+SQRT(U540*($G$11-$E$11)*($F$11-$E$11)),$G$11-SQRT((1-U540)*($G$11-$E$11)*($G$11-$F$11))))</f>
        <v>0.0954704199721819</v>
      </c>
      <c r="H540" s="39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-2173080274.96424</v>
      </c>
      <c r="I540" s="39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-35834093.6284694</v>
      </c>
      <c r="J540" s="39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229837249.43826</v>
      </c>
      <c r="K540" s="39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549835599.379095</v>
      </c>
      <c r="L540" s="39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671946812.73891</v>
      </c>
      <c r="M540" s="39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856494357.262218</v>
      </c>
      <c r="N540" s="39" t="n">
        <f aca="false">IF(COUNT('Business Case'!B11:G11)=0,"",H540+NPV(G540,I540:M540))</f>
        <v>-586535749.708835</v>
      </c>
      <c r="P540" s="40" t="n">
        <f aca="true">RAND()</f>
        <v>0.120609790544969</v>
      </c>
      <c r="Q540" s="40" t="n">
        <f aca="true">RAND()</f>
        <v>0.786983347481403</v>
      </c>
      <c r="R540" s="40" t="n">
        <f aca="true">RAND()</f>
        <v>0.388710315551195</v>
      </c>
      <c r="S540" s="40" t="n">
        <f aca="true">RAND()</f>
        <v>0.41788297870905</v>
      </c>
      <c r="T540" s="40" t="n">
        <f aca="true">RAND()</f>
        <v>0.643744977941799</v>
      </c>
      <c r="U540" s="40" t="n">
        <f aca="true">RAND()</f>
        <v>0.239333894115685</v>
      </c>
    </row>
    <row r="541" customFormat="false" ht="15" hidden="false" customHeight="false" outlineLevel="0" collapsed="false">
      <c r="A541" s="36" t="n">
        <v>461</v>
      </c>
      <c r="B541" s="37" t="n">
        <f aca="false">1+IF($G$6=$E$6,$F$6,IF(P541&lt;($F$6-$E$6)/($G$6-$E$6),$E$6+SQRT(P541*($G$6-$E$6)*($F$6-$E$6)),$G$6-SQRT((1-P541)*($G$6-$E$6)*($G$6-$F$6))))</f>
        <v>1.00418835957788</v>
      </c>
      <c r="C541" s="37" t="n">
        <f aca="false">1+IF($G$7=$E$7,$F$7,IF(Q541&lt;($F$7-$E$7)/($G$7-$E$7),$E$7+SQRT(Q541*($G$7-$E$7)*($F$7-$E$7)),$G$7-SQRT((1-Q541)*($G$7-$E$7)*($G$7-$F$7))))</f>
        <v>1.04722860733197</v>
      </c>
      <c r="D541" s="37" t="n">
        <f aca="false">1+IF($G$8=$E$8,$F$8,IF(R541&lt;($F$8-$E$8)/($G$8-$E$8),$E$8+SQRT(R541*($G$8-$E$8)*($F$8-$E$8)),$G$8-SQRT((1-R541)*($G$8-$E$8)*($G$8-$F$8))))</f>
        <v>1.0740284973889</v>
      </c>
      <c r="E541" s="37" t="n">
        <f aca="false">1+IF($G$9=$E$9,$F$9,IF(S541&lt;($F$9-$E$9)/($G$9-$E$9),$E$9+SQRT(S541*($G$9-$E$9)*($F$9-$E$9)),$G$9-SQRT((1-S541)*($G$9-$E$9)*($G$9-$F$9))))</f>
        <v>1.02686005740423</v>
      </c>
      <c r="F541" s="37" t="n">
        <f aca="false">1+IF($G$10=$E$10,$F$10,IF(T541&lt;($F$10-$E$10)/($G$10-$E$10),$E$10+SQRT(T541*($G$10-$E$10)*($F$10-$E$10)),$G$10-SQRT((1-T541)*($G$10-$E$10)*($G$10-$F$10))))</f>
        <v>1.0971639792021</v>
      </c>
      <c r="G541" s="38" t="n">
        <f aca="false">IF($G$11=$E$11,$F$11,IF(U541&lt;($F$11-$E$11)/($G$11-$E$11),$E$11+SQRT(U541*($G$11-$E$11)*($F$11-$E$11)),$G$11-SQRT((1-U541)*($G$11-$E$11)*($G$11-$F$11))))</f>
        <v>0.103595516008624</v>
      </c>
      <c r="H541" s="39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-2194327958.40421</v>
      </c>
      <c r="I541" s="39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-24687133.1848464</v>
      </c>
      <c r="J541" s="39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260877341.768617</v>
      </c>
      <c r="K541" s="39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601300015.682186</v>
      </c>
      <c r="L541" s="39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732831980.703486</v>
      </c>
      <c r="M541" s="39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932722917.572618</v>
      </c>
      <c r="N541" s="39" t="n">
        <f aca="false">IF(COUNT('Business Case'!B11:G11)=0,"",H541+NPV(G541,I541:M541))</f>
        <v>-491317283.45888</v>
      </c>
      <c r="P541" s="40" t="n">
        <f aca="true">RAND()</f>
        <v>0.720172480244629</v>
      </c>
      <c r="Q541" s="40" t="n">
        <f aca="true">RAND()</f>
        <v>0.843526531097391</v>
      </c>
      <c r="R541" s="40" t="n">
        <f aca="true">RAND()</f>
        <v>0.955032070141451</v>
      </c>
      <c r="S541" s="40" t="n">
        <f aca="true">RAND()</f>
        <v>0.595641454333632</v>
      </c>
      <c r="T541" s="40" t="n">
        <f aca="true">RAND()</f>
        <v>0.688548676622202</v>
      </c>
      <c r="U541" s="40" t="n">
        <f aca="true">RAND()</f>
        <v>0.53520215009945</v>
      </c>
    </row>
    <row r="542" customFormat="false" ht="15" hidden="false" customHeight="false" outlineLevel="0" collapsed="false">
      <c r="A542" s="36" t="n">
        <v>462</v>
      </c>
      <c r="B542" s="37" t="n">
        <f aca="false">1+IF($G$6=$E$6,$F$6,IF(P542&lt;($F$6-$E$6)/($G$6-$E$6),$E$6+SQRT(P542*($G$6-$E$6)*($F$6-$E$6)),$G$6-SQRT((1-P542)*($G$6-$E$6)*($G$6-$F$6))))</f>
        <v>0.999246492508152</v>
      </c>
      <c r="C542" s="37" t="n">
        <f aca="false">1+IF($G$7=$E$7,$F$7,IF(Q542&lt;($F$7-$E$7)/($G$7-$E$7),$E$7+SQRT(Q542*($G$7-$E$7)*($F$7-$E$7)),$G$7-SQRT((1-Q542)*($G$7-$E$7)*($G$7-$F$7))))</f>
        <v>1.11824628705951</v>
      </c>
      <c r="D542" s="37" t="n">
        <f aca="false">1+IF($G$8=$E$8,$F$8,IF(R542&lt;($F$8-$E$8)/($G$8-$E$8),$E$8+SQRT(R542*($G$8-$E$8)*($F$8-$E$8)),$G$8-SQRT((1-R542)*($G$8-$E$8)*($G$8-$F$8))))</f>
        <v>1.00989438231928</v>
      </c>
      <c r="E542" s="37" t="n">
        <f aca="false">1+IF($G$9=$E$9,$F$9,IF(S542&lt;($F$9-$E$9)/($G$9-$E$9),$E$9+SQRT(S542*($G$9-$E$9)*($F$9-$E$9)),$G$9-SQRT((1-S542)*($G$9-$E$9)*($G$9-$F$9))))</f>
        <v>0.966195874746607</v>
      </c>
      <c r="F542" s="37" t="n">
        <f aca="false">1+IF($G$10=$E$10,$F$10,IF(T542&lt;($F$10-$E$10)/($G$10-$E$10),$E$10+SQRT(T542*($G$10-$E$10)*($F$10-$E$10)),$G$10-SQRT((1-T542)*($G$10-$E$10)*($G$10-$F$10))))</f>
        <v>0.989442295080582</v>
      </c>
      <c r="G542" s="38" t="n">
        <f aca="false">IF($G$11=$E$11,$F$11,IF(U542&lt;($F$11-$E$11)/($G$11-$E$11),$E$11+SQRT(U542*($G$11-$E$11)*($F$11-$E$11)),$G$11-SQRT((1-U542)*($G$11-$E$11)*($G$11-$F$11))))</f>
        <v>0.0990046523413749</v>
      </c>
      <c r="H542" s="39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-1978884590.16116</v>
      </c>
      <c r="I542" s="39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42853872.8527597</v>
      </c>
      <c r="J542" s="39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379971235.379162</v>
      </c>
      <c r="K542" s="39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766560712.659592</v>
      </c>
      <c r="L542" s="39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917550638.019471</v>
      </c>
      <c r="M542" s="39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1129946729.53373</v>
      </c>
      <c r="N542" s="39" t="n">
        <f aca="false">IF(COUNT('Business Case'!B11:G11)=0,"",H542+NPV(G542,I542:M542))</f>
        <v>285962116.112746</v>
      </c>
      <c r="P542" s="40" t="n">
        <f aca="true">RAND()</f>
        <v>0.656657751678041</v>
      </c>
      <c r="Q542" s="40" t="n">
        <f aca="true">RAND()</f>
        <v>0.985062247622119</v>
      </c>
      <c r="R542" s="40" t="n">
        <f aca="true">RAND()</f>
        <v>0.458731844158335</v>
      </c>
      <c r="S542" s="40" t="n">
        <f aca="true">RAND()</f>
        <v>0.175275753338739</v>
      </c>
      <c r="T542" s="40" t="n">
        <f aca="true">RAND()</f>
        <v>0.103712976081581</v>
      </c>
      <c r="U542" s="40" t="n">
        <f aca="true">RAND()</f>
        <v>0.361176810616526</v>
      </c>
    </row>
    <row r="543" customFormat="false" ht="15" hidden="false" customHeight="false" outlineLevel="0" collapsed="false">
      <c r="A543" s="36" t="n">
        <v>463</v>
      </c>
      <c r="B543" s="37" t="n">
        <f aca="false">1+IF($G$6=$E$6,$F$6,IF(P543&lt;($F$6-$E$6)/($G$6-$E$6),$E$6+SQRT(P543*($G$6-$E$6)*($F$6-$E$6)),$G$6-SQRT((1-P543)*($G$6-$E$6)*($G$6-$F$6))))</f>
        <v>1.00444175010066</v>
      </c>
      <c r="C543" s="37" t="n">
        <f aca="false">1+IF($G$7=$E$7,$F$7,IF(Q543&lt;($F$7-$E$7)/($G$7-$E$7),$E$7+SQRT(Q543*($G$7-$E$7)*($F$7-$E$7)),$G$7-SQRT((1-Q543)*($G$7-$E$7)*($G$7-$F$7))))</f>
        <v>1.02378179428357</v>
      </c>
      <c r="D543" s="37" t="n">
        <f aca="false">1+IF($G$8=$E$8,$F$8,IF(R543&lt;($F$8-$E$8)/($G$8-$E$8),$E$8+SQRT(R543*($G$8-$E$8)*($F$8-$E$8)),$G$8-SQRT((1-R543)*($G$8-$E$8)*($G$8-$F$8))))</f>
        <v>1.04557909690535</v>
      </c>
      <c r="E543" s="37" t="n">
        <f aca="false">1+IF($G$9=$E$9,$F$9,IF(S543&lt;($F$9-$E$9)/($G$9-$E$9),$E$9+SQRT(S543*($G$9-$E$9)*($F$9-$E$9)),$G$9-SQRT((1-S543)*($G$9-$E$9)*($G$9-$F$9))))</f>
        <v>1.09760913980025</v>
      </c>
      <c r="F543" s="37" t="n">
        <f aca="false">1+IF($G$10=$E$10,$F$10,IF(T543&lt;($F$10-$E$10)/($G$10-$E$10),$E$10+SQRT(T543*($G$10-$E$10)*($F$10-$E$10)),$G$10-SQRT((1-T543)*($G$10-$E$10)*($G$10-$F$10))))</f>
        <v>0.99553632826611</v>
      </c>
      <c r="G543" s="38" t="n">
        <f aca="false">IF($G$11=$E$11,$F$11,IF(U543&lt;($F$11-$E$11)/($G$11-$E$11),$E$11+SQRT(U543*($G$11-$E$11)*($F$11-$E$11)),$G$11-SQRT((1-U543)*($G$11-$E$11)*($G$11-$F$11))))</f>
        <v>0.102186063201001</v>
      </c>
      <c r="H543" s="39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-1991072656.53222</v>
      </c>
      <c r="I543" s="39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-14648725.7334631</v>
      </c>
      <c r="J543" s="39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279644785.583845</v>
      </c>
      <c r="K543" s="39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623715113.314459</v>
      </c>
      <c r="L543" s="39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757352006.783271</v>
      </c>
      <c r="M543" s="39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952816816.780006</v>
      </c>
      <c r="N543" s="39" t="n">
        <f aca="false">IF(COUNT('Business Case'!B11:G11)=0,"",H543+NPV(G543,I543:M543))</f>
        <v>-209373770.65721</v>
      </c>
      <c r="P543" s="40" t="n">
        <f aca="true">RAND()</f>
        <v>0.723259448814537</v>
      </c>
      <c r="Q543" s="40" t="n">
        <f aca="true">RAND()</f>
        <v>0.763984659936649</v>
      </c>
      <c r="R543" s="40" t="n">
        <f aca="true">RAND()</f>
        <v>0.802557687090842</v>
      </c>
      <c r="S543" s="40" t="n">
        <f aca="true">RAND()</f>
        <v>0.92680527380082</v>
      </c>
      <c r="T543" s="40" t="n">
        <f aca="true">RAND()</f>
        <v>0.138237146130597</v>
      </c>
      <c r="U543" s="40" t="n">
        <f aca="true">RAND()</f>
        <v>0.484256613160852</v>
      </c>
    </row>
    <row r="544" customFormat="false" ht="15" hidden="false" customHeight="false" outlineLevel="0" collapsed="false">
      <c r="A544" s="36" t="n">
        <v>464</v>
      </c>
      <c r="B544" s="37" t="n">
        <f aca="false">1+IF($G$6=$E$6,$F$6,IF(P544&lt;($F$6-$E$6)/($G$6-$E$6),$E$6+SQRT(P544*($G$6-$E$6)*($F$6-$E$6)),$G$6-SQRT((1-P544)*($G$6-$E$6)*($G$6-$F$6))))</f>
        <v>1.01237453710496</v>
      </c>
      <c r="C544" s="37" t="n">
        <f aca="false">1+IF($G$7=$E$7,$F$7,IF(Q544&lt;($F$7-$E$7)/($G$7-$E$7),$E$7+SQRT(Q544*($G$7-$E$7)*($F$7-$E$7)),$G$7-SQRT((1-Q544)*($G$7-$E$7)*($G$7-$F$7))))</f>
        <v>0.762274958233923</v>
      </c>
      <c r="D544" s="37" t="n">
        <f aca="false">1+IF($G$8=$E$8,$F$8,IF(R544&lt;($F$8-$E$8)/($G$8-$E$8),$E$8+SQRT(R544*($G$8-$E$8)*($F$8-$E$8)),$G$8-SQRT((1-R544)*($G$8-$E$8)*($G$8-$F$8))))</f>
        <v>1.04092612196235</v>
      </c>
      <c r="E544" s="37" t="n">
        <f aca="false">1+IF($G$9=$E$9,$F$9,IF(S544&lt;($F$9-$E$9)/($G$9-$E$9),$E$9+SQRT(S544*($G$9-$E$9)*($F$9-$E$9)),$G$9-SQRT((1-S544)*($G$9-$E$9)*($G$9-$F$9))))</f>
        <v>0.928271433053234</v>
      </c>
      <c r="F544" s="37" t="n">
        <f aca="false">1+IF($G$10=$E$10,$F$10,IF(T544&lt;($F$10-$E$10)/($G$10-$E$10),$E$10+SQRT(T544*($G$10-$E$10)*($F$10-$E$10)),$G$10-SQRT((1-T544)*($G$10-$E$10)*($G$10-$F$10))))</f>
        <v>1.12386742851615</v>
      </c>
      <c r="G544" s="38" t="n">
        <f aca="false">IF($G$11=$E$11,$F$11,IF(U544&lt;($F$11-$E$11)/($G$11-$E$11),$E$11+SQRT(U544*($G$11-$E$11)*($F$11-$E$11)),$G$11-SQRT((1-U544)*($G$11-$E$11)*($G$11-$F$11))))</f>
        <v>0.0837110941330018</v>
      </c>
      <c r="H544" s="39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-2247734857.0323</v>
      </c>
      <c r="I544" s="39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-58502197.3666982</v>
      </c>
      <c r="J544" s="39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167387876.072526</v>
      </c>
      <c r="K544" s="39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449471320.937558</v>
      </c>
      <c r="L544" s="39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551438232.200058</v>
      </c>
      <c r="M544" s="39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698124442.838563</v>
      </c>
      <c r="N544" s="39" t="n">
        <f aca="false">IF(COUNT('Business Case'!B11:G11)=0,"",H544+NPV(G544,I544:M544))</f>
        <v>-939187300.829221</v>
      </c>
      <c r="P544" s="40" t="n">
        <f aca="true">RAND()</f>
        <v>0.811243272257849</v>
      </c>
      <c r="Q544" s="40" t="n">
        <f aca="true">RAND()</f>
        <v>0.0287271883187916</v>
      </c>
      <c r="R544" s="40" t="n">
        <f aca="true">RAND()</f>
        <v>0.767351795572822</v>
      </c>
      <c r="S544" s="40" t="n">
        <f aca="true">RAND()</f>
        <v>0.0319709570753399</v>
      </c>
      <c r="T544" s="40" t="n">
        <f aca="true">RAND()</f>
        <v>0.787874325478283</v>
      </c>
      <c r="U544" s="40" t="n">
        <f aca="true">RAND()</f>
        <v>0.0137722196640005</v>
      </c>
    </row>
    <row r="545" customFormat="false" ht="15" hidden="false" customHeight="false" outlineLevel="0" collapsed="false">
      <c r="A545" s="36" t="n">
        <v>465</v>
      </c>
      <c r="B545" s="37" t="n">
        <f aca="false">1+IF($G$6=$E$6,$F$6,IF(P545&lt;($F$6-$E$6)/($G$6-$E$6),$E$6+SQRT(P545*($G$6-$E$6)*($F$6-$E$6)),$G$6-SQRT((1-P545)*($G$6-$E$6)*($G$6-$F$6))))</f>
        <v>0.962390688351215</v>
      </c>
      <c r="C545" s="37" t="n">
        <f aca="false">1+IF($G$7=$E$7,$F$7,IF(Q545&lt;($F$7-$E$7)/($G$7-$E$7),$E$7+SQRT(Q545*($G$7-$E$7)*($F$7-$E$7)),$G$7-SQRT((1-Q545)*($G$7-$E$7)*($G$7-$F$7))))</f>
        <v>0.896410335888108</v>
      </c>
      <c r="D545" s="37" t="n">
        <f aca="false">1+IF($G$8=$E$8,$F$8,IF(R545&lt;($F$8-$E$8)/($G$8-$E$8),$E$8+SQRT(R545*($G$8-$E$8)*($F$8-$E$8)),$G$8-SQRT((1-R545)*($G$8-$E$8)*($G$8-$F$8))))</f>
        <v>1.03931627777887</v>
      </c>
      <c r="E545" s="37" t="n">
        <f aca="false">1+IF($G$9=$E$9,$F$9,IF(S545&lt;($F$9-$E$9)/($G$9-$E$9),$E$9+SQRT(S545*($G$9-$E$9)*($F$9-$E$9)),$G$9-SQRT((1-S545)*($G$9-$E$9)*($G$9-$F$9))))</f>
        <v>1.11622114040248</v>
      </c>
      <c r="F545" s="37" t="n">
        <f aca="false">1+IF($G$10=$E$10,$F$10,IF(T545&lt;($F$10-$E$10)/($G$10-$E$10),$E$10+SQRT(T545*($G$10-$E$10)*($F$10-$E$10)),$G$10-SQRT((1-T545)*($G$10-$E$10)*($G$10-$F$10))))</f>
        <v>1.10340859904789</v>
      </c>
      <c r="G545" s="38" t="n">
        <f aca="false">IF($G$11=$E$11,$F$11,IF(U545&lt;($F$11-$E$11)/($G$11-$E$11),$E$11+SQRT(U545*($G$11-$E$11)*($F$11-$E$11)),$G$11-SQRT((1-U545)*($G$11-$E$11)*($G$11-$F$11))))</f>
        <v>0.113777400555707</v>
      </c>
      <c r="H545" s="39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-2206817198.09579</v>
      </c>
      <c r="I545" s="39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-84111032.6659395</v>
      </c>
      <c r="J545" s="39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145567651.154936</v>
      </c>
      <c r="K545" s="39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430416764.928207</v>
      </c>
      <c r="L545" s="39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536791133.146361</v>
      </c>
      <c r="M545" s="39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700772571.341273</v>
      </c>
      <c r="N545" s="39" t="n">
        <f aca="false">IF(COUNT('Business Case'!B11:G11)=0,"",H545+NPV(G545,I545:M545))</f>
        <v>-1095766036.23927</v>
      </c>
      <c r="P545" s="40" t="n">
        <f aca="true">RAND()</f>
        <v>0.259506532862563</v>
      </c>
      <c r="Q545" s="40" t="n">
        <f aca="true">RAND()</f>
        <v>0.285755704027255</v>
      </c>
      <c r="R545" s="40" t="n">
        <f aca="true">RAND()</f>
        <v>0.754499057159262</v>
      </c>
      <c r="S545" s="40" t="n">
        <f aca="true">RAND()</f>
        <v>0.969573030514419</v>
      </c>
      <c r="T545" s="40" t="n">
        <f aca="true">RAND()</f>
        <v>0.713479482225313</v>
      </c>
      <c r="U545" s="40" t="n">
        <f aca="true">RAND()</f>
        <v>0.824551511513354</v>
      </c>
    </row>
    <row r="546" customFormat="false" ht="15" hidden="false" customHeight="false" outlineLevel="0" collapsed="false">
      <c r="A546" s="36" t="n">
        <v>466</v>
      </c>
      <c r="B546" s="37" t="n">
        <f aca="false">1+IF($G$6=$E$6,$F$6,IF(P546&lt;($F$6-$E$6)/($G$6-$E$6),$E$6+SQRT(P546*($G$6-$E$6)*($F$6-$E$6)),$G$6-SQRT((1-P546)*($G$6-$E$6)*($G$6-$F$6))))</f>
        <v>0.914774518253449</v>
      </c>
      <c r="C546" s="37" t="n">
        <f aca="false">1+IF($G$7=$E$7,$F$7,IF(Q546&lt;($F$7-$E$7)/($G$7-$E$7),$E$7+SQRT(Q546*($G$7-$E$7)*($F$7-$E$7)),$G$7-SQRT((1-Q546)*($G$7-$E$7)*($G$7-$F$7))))</f>
        <v>0.978245374603616</v>
      </c>
      <c r="D546" s="37" t="n">
        <f aca="false">1+IF($G$8=$E$8,$F$8,IF(R546&lt;($F$8-$E$8)/($G$8-$E$8),$E$8+SQRT(R546*($G$8-$E$8)*($F$8-$E$8)),$G$8-SQRT((1-R546)*($G$8-$E$8)*($G$8-$F$8))))</f>
        <v>0.977285668359485</v>
      </c>
      <c r="E546" s="37" t="n">
        <f aca="false">1+IF($G$9=$E$9,$F$9,IF(S546&lt;($F$9-$E$9)/($G$9-$E$9),$E$9+SQRT(S546*($G$9-$E$9)*($F$9-$E$9)),$G$9-SQRT((1-S546)*($G$9-$E$9)*($G$9-$F$9))))</f>
        <v>1.03970006055045</v>
      </c>
      <c r="F546" s="37" t="n">
        <f aca="false">1+IF($G$10=$E$10,$F$10,IF(T546&lt;($F$10-$E$10)/($G$10-$E$10),$E$10+SQRT(T546*($G$10-$E$10)*($F$10-$E$10)),$G$10-SQRT((1-T546)*($G$10-$E$10)*($G$10-$F$10))))</f>
        <v>1.02617806352827</v>
      </c>
      <c r="G546" s="38" t="n">
        <f aca="false">IF($G$11=$E$11,$F$11,IF(U546&lt;($F$11-$E$11)/($G$11-$E$11),$E$11+SQRT(U546*($G$11-$E$11)*($F$11-$E$11)),$G$11-SQRT((1-U546)*($G$11-$E$11)*($G$11-$F$11))))</f>
        <v>0.0869540834692582</v>
      </c>
      <c r="H546" s="39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-2052356127.05655</v>
      </c>
      <c r="I546" s="39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-53295643.813458</v>
      </c>
      <c r="J546" s="39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190262132.452487</v>
      </c>
      <c r="K546" s="39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485128811.894847</v>
      </c>
      <c r="L546" s="39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597241580.727696</v>
      </c>
      <c r="M546" s="39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767339219.48747</v>
      </c>
      <c r="N546" s="39" t="n">
        <f aca="false">IF(COUNT('Business Case'!B11:G11)=0,"",H546+NPV(G546,I546:M546))</f>
        <v>-628974834.455621</v>
      </c>
      <c r="P546" s="40" t="n">
        <f aca="true">RAND()</f>
        <v>0.0145524259747673</v>
      </c>
      <c r="Q546" s="40" t="n">
        <f aca="true">RAND()</f>
        <v>0.57348509991338</v>
      </c>
      <c r="R546" s="40" t="n">
        <f aca="true">RAND()</f>
        <v>0.0992676930431714</v>
      </c>
      <c r="S546" s="40" t="n">
        <f aca="true">RAND()</f>
        <v>0.675571289531362</v>
      </c>
      <c r="T546" s="40" t="n">
        <f aca="true">RAND()</f>
        <v>0.33204987672062</v>
      </c>
      <c r="U546" s="40" t="n">
        <f aca="true">RAND()</f>
        <v>0.0483592768974102</v>
      </c>
    </row>
    <row r="547" customFormat="false" ht="15" hidden="false" customHeight="false" outlineLevel="0" collapsed="false">
      <c r="A547" s="36" t="n">
        <v>467</v>
      </c>
      <c r="B547" s="37" t="n">
        <f aca="false">1+IF($G$6=$E$6,$F$6,IF(P547&lt;($F$6-$E$6)/($G$6-$E$6),$E$6+SQRT(P547*($G$6-$E$6)*($F$6-$E$6)),$G$6-SQRT((1-P547)*($G$6-$E$6)*($G$6-$F$6))))</f>
        <v>0.985338703142198</v>
      </c>
      <c r="C547" s="37" t="n">
        <f aca="false">1+IF($G$7=$E$7,$F$7,IF(Q547&lt;($F$7-$E$7)/($G$7-$E$7),$E$7+SQRT(Q547*($G$7-$E$7)*($F$7-$E$7)),$G$7-SQRT((1-Q547)*($G$7-$E$7)*($G$7-$F$7))))</f>
        <v>0.82434740729019</v>
      </c>
      <c r="D547" s="37" t="n">
        <f aca="false">1+IF($G$8=$E$8,$F$8,IF(R547&lt;($F$8-$E$8)/($G$8-$E$8),$E$8+SQRT(R547*($G$8-$E$8)*($F$8-$E$8)),$G$8-SQRT((1-R547)*($G$8-$E$8)*($G$8-$F$8))))</f>
        <v>0.989927368411702</v>
      </c>
      <c r="E547" s="37" t="n">
        <f aca="false">1+IF($G$9=$E$9,$F$9,IF(S547&lt;($F$9-$E$9)/($G$9-$E$9),$E$9+SQRT(S547*($G$9-$E$9)*($F$9-$E$9)),$G$9-SQRT((1-S547)*($G$9-$E$9)*($G$9-$F$9))))</f>
        <v>1.01368279290556</v>
      </c>
      <c r="F547" s="37" t="n">
        <f aca="false">1+IF($G$10=$E$10,$F$10,IF(T547&lt;($F$10-$E$10)/($G$10-$E$10),$E$10+SQRT(T547*($G$10-$E$10)*($F$10-$E$10)),$G$10-SQRT((1-T547)*($G$10-$E$10)*($G$10-$F$10))))</f>
        <v>1.15712859259233</v>
      </c>
      <c r="G547" s="38" t="n">
        <f aca="false">IF($G$11=$E$11,$F$11,IF(U547&lt;($F$11-$E$11)/($G$11-$E$11),$E$11+SQRT(U547*($G$11-$E$11)*($F$11-$E$11)),$G$11-SQRT((1-U547)*($G$11-$E$11)*($G$11-$F$11))))</f>
        <v>0.0936070531625502</v>
      </c>
      <c r="H547" s="39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-2314257185.18465</v>
      </c>
      <c r="I547" s="39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-54414884.9146795</v>
      </c>
      <c r="J547" s="39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193136413.82858</v>
      </c>
      <c r="K547" s="39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498544142.201456</v>
      </c>
      <c r="L547" s="39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609132995.947566</v>
      </c>
      <c r="M547" s="39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763527643.855195</v>
      </c>
      <c r="N547" s="39" t="n">
        <f aca="false">IF(COUNT('Business Case'!B11:G11)=0,"",H547+NPV(G547,I547:M547))</f>
        <v>-907384400.301207</v>
      </c>
      <c r="P547" s="40" t="n">
        <f aca="true">RAND()</f>
        <v>0.485512950266151</v>
      </c>
      <c r="Q547" s="40" t="n">
        <f aca="true">RAND()</f>
        <v>0.114535390368833</v>
      </c>
      <c r="R547" s="40" t="n">
        <f aca="true">RAND()</f>
        <v>0.212559299771166</v>
      </c>
      <c r="S547" s="40" t="n">
        <f aca="true">RAND()</f>
        <v>0.504469841332588</v>
      </c>
      <c r="T547" s="40" t="n">
        <f aca="true">RAND()</f>
        <v>0.884998689148241</v>
      </c>
      <c r="U547" s="40" t="n">
        <f aca="true">RAND()</f>
        <v>0.185151895768468</v>
      </c>
    </row>
    <row r="548" customFormat="false" ht="15" hidden="false" customHeight="false" outlineLevel="0" collapsed="false">
      <c r="A548" s="36" t="n">
        <v>468</v>
      </c>
      <c r="B548" s="37" t="n">
        <f aca="false">1+IF($G$6=$E$6,$F$6,IF(P548&lt;($F$6-$E$6)/($G$6-$E$6),$E$6+SQRT(P548*($G$6-$E$6)*($F$6-$E$6)),$G$6-SQRT((1-P548)*($G$6-$E$6)*($G$6-$F$6))))</f>
        <v>0.995917988927639</v>
      </c>
      <c r="C548" s="37" t="n">
        <f aca="false">1+IF($G$7=$E$7,$F$7,IF(Q548&lt;($F$7-$E$7)/($G$7-$E$7),$E$7+SQRT(Q548*($G$7-$E$7)*($F$7-$E$7)),$G$7-SQRT((1-Q548)*($G$7-$E$7)*($G$7-$F$7))))</f>
        <v>0.723448626606425</v>
      </c>
      <c r="D548" s="37" t="n">
        <f aca="false">1+IF($G$8=$E$8,$F$8,IF(R548&lt;($F$8-$E$8)/($G$8-$E$8),$E$8+SQRT(R548*($G$8-$E$8)*($F$8-$E$8)),$G$8-SQRT((1-R548)*($G$8-$E$8)*($G$8-$F$8))))</f>
        <v>1.0793678596529</v>
      </c>
      <c r="E548" s="37" t="n">
        <f aca="false">1+IF($G$9=$E$9,$F$9,IF(S548&lt;($F$9-$E$9)/($G$9-$E$9),$E$9+SQRT(S548*($G$9-$E$9)*($F$9-$E$9)),$G$9-SQRT((1-S548)*($G$9-$E$9)*($G$9-$F$9))))</f>
        <v>1.03835396522415</v>
      </c>
      <c r="F548" s="37" t="n">
        <f aca="false">1+IF($G$10=$E$10,$F$10,IF(T548&lt;($F$10-$E$10)/($G$10-$E$10),$E$10+SQRT(T548*($G$10-$E$10)*($F$10-$E$10)),$G$10-SQRT((1-T548)*($G$10-$E$10)*($G$10-$F$10))))</f>
        <v>1.08163457608871</v>
      </c>
      <c r="G548" s="38" t="n">
        <f aca="false">IF($G$11=$E$11,$F$11,IF(U548&lt;($F$11-$E$11)/($G$11-$E$11),$E$11+SQRT(U548*($G$11-$E$11)*($F$11-$E$11)),$G$11-SQRT((1-U548)*($G$11-$E$11)*($G$11-$F$11))))</f>
        <v>0.0890861360727265</v>
      </c>
      <c r="H548" s="39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-2163269152.17742</v>
      </c>
      <c r="I548" s="39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-102771721.815432</v>
      </c>
      <c r="J548" s="39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87624434.6203943</v>
      </c>
      <c r="K548" s="39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332102319.860657</v>
      </c>
      <c r="L548" s="39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420468029.864274</v>
      </c>
      <c r="M548" s="39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557419814.751821</v>
      </c>
      <c r="N548" s="39" t="n">
        <f aca="false">IF(COUNT('Business Case'!B11:G11)=0,"",H548+NPV(G548,I548:M548))</f>
        <v>-1263990306.31275</v>
      </c>
      <c r="P548" s="40" t="n">
        <f aca="true">RAND()</f>
        <v>0.613350706661509</v>
      </c>
      <c r="Q548" s="40" t="n">
        <f aca="true">RAND()</f>
        <v>0.0040728747387226</v>
      </c>
      <c r="R548" s="40" t="n">
        <f aca="true">RAND()</f>
        <v>0.971620985646504</v>
      </c>
      <c r="S548" s="40" t="n">
        <f aca="true">RAND()</f>
        <v>0.667604344502153</v>
      </c>
      <c r="T548" s="40" t="n">
        <f aca="true">RAND()</f>
        <v>0.622041120415623</v>
      </c>
      <c r="U548" s="40" t="n">
        <f aca="true">RAND()</f>
        <v>0.0825578687321026</v>
      </c>
    </row>
    <row r="549" customFormat="false" ht="15" hidden="false" customHeight="false" outlineLevel="0" collapsed="false">
      <c r="A549" s="36" t="n">
        <v>469</v>
      </c>
      <c r="B549" s="37" t="n">
        <f aca="false">1+IF($G$6=$E$6,$F$6,IF(P549&lt;($F$6-$E$6)/($G$6-$E$6),$E$6+SQRT(P549*($G$6-$E$6)*($F$6-$E$6)),$G$6-SQRT((1-P549)*($G$6-$E$6)*($G$6-$F$6))))</f>
        <v>0.963984134569941</v>
      </c>
      <c r="C549" s="37" t="n">
        <f aca="false">1+IF($G$7=$E$7,$F$7,IF(Q549&lt;($F$7-$E$7)/($G$7-$E$7),$E$7+SQRT(Q549*($G$7-$E$7)*($F$7-$E$7)),$G$7-SQRT((1-Q549)*($G$7-$E$7)*($G$7-$F$7))))</f>
        <v>1.01232836052102</v>
      </c>
      <c r="D549" s="37" t="n">
        <f aca="false">1+IF($G$8=$E$8,$F$8,IF(R549&lt;($F$8-$E$8)/($G$8-$E$8),$E$8+SQRT(R549*($G$8-$E$8)*($F$8-$E$8)),$G$8-SQRT((1-R549)*($G$8-$E$8)*($G$8-$F$8))))</f>
        <v>1.04921710066002</v>
      </c>
      <c r="E549" s="37" t="n">
        <f aca="false">1+IF($G$9=$E$9,$F$9,IF(S549&lt;($F$9-$E$9)/($G$9-$E$9),$E$9+SQRT(S549*($G$9-$E$9)*($F$9-$E$9)),$G$9-SQRT((1-S549)*($G$9-$E$9)*($G$9-$F$9))))</f>
        <v>1.03027492458002</v>
      </c>
      <c r="F549" s="37" t="n">
        <f aca="false">1+IF($G$10=$E$10,$F$10,IF(T549&lt;($F$10-$E$10)/($G$10-$E$10),$E$10+SQRT(T549*($G$10-$E$10)*($F$10-$E$10)),$G$10-SQRT((1-T549)*($G$10-$E$10)*($G$10-$F$10))))</f>
        <v>1.14891411647018</v>
      </c>
      <c r="G549" s="38" t="n">
        <f aca="false">IF($G$11=$E$11,$F$11,IF(U549&lt;($F$11-$E$11)/($G$11-$E$11),$E$11+SQRT(U549*($G$11-$E$11)*($F$11-$E$11)),$G$11-SQRT((1-U549)*($G$11-$E$11)*($G$11-$F$11))))</f>
        <v>0.0870679039015308</v>
      </c>
      <c r="H549" s="39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-2297828232.94036</v>
      </c>
      <c r="I549" s="39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-56415949.6331873</v>
      </c>
      <c r="J549" s="39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199153628.582268</v>
      </c>
      <c r="K549" s="39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512168912.621233</v>
      </c>
      <c r="L549" s="39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631084786.643948</v>
      </c>
      <c r="M549" s="39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816577867.040548</v>
      </c>
      <c r="N549" s="39" t="n">
        <f aca="false">IF(COUNT('Business Case'!B11:G11)=0,"",H549+NPV(G549,I549:M549))</f>
        <v>-792664132.996145</v>
      </c>
      <c r="P549" s="40" t="n">
        <f aca="true">RAND()</f>
        <v>0.272931298444291</v>
      </c>
      <c r="Q549" s="40" t="n">
        <f aca="true">RAND()</f>
        <v>0.719207699009924</v>
      </c>
      <c r="R549" s="40" t="n">
        <f aca="true">RAND()</f>
        <v>0.828073142308339</v>
      </c>
      <c r="S549" s="40" t="n">
        <f aca="true">RAND()</f>
        <v>0.617757501751495</v>
      </c>
      <c r="T549" s="40" t="n">
        <f aca="true">RAND()</f>
        <v>0.863755255346611</v>
      </c>
      <c r="U549" s="40" t="n">
        <f aca="true">RAND()</f>
        <v>0.0499552655612736</v>
      </c>
    </row>
    <row r="550" customFormat="false" ht="15" hidden="false" customHeight="false" outlineLevel="0" collapsed="false">
      <c r="A550" s="36" t="n">
        <v>470</v>
      </c>
      <c r="B550" s="37" t="n">
        <f aca="false">1+IF($G$6=$E$6,$F$6,IF(P550&lt;($F$6-$E$6)/($G$6-$E$6),$E$6+SQRT(P550*($G$6-$E$6)*($F$6-$E$6)),$G$6-SQRT((1-P550)*($G$6-$E$6)*($G$6-$F$6))))</f>
        <v>0.983043037782656</v>
      </c>
      <c r="C550" s="37" t="n">
        <f aca="false">1+IF($G$7=$E$7,$F$7,IF(Q550&lt;($F$7-$E$7)/($G$7-$E$7),$E$7+SQRT(Q550*($G$7-$E$7)*($F$7-$E$7)),$G$7-SQRT((1-Q550)*($G$7-$E$7)*($G$7-$F$7))))</f>
        <v>0.972945448412002</v>
      </c>
      <c r="D550" s="37" t="n">
        <f aca="false">1+IF($G$8=$E$8,$F$8,IF(R550&lt;($F$8-$E$8)/($G$8-$E$8),$E$8+SQRT(R550*($G$8-$E$8)*($F$8-$E$8)),$G$8-SQRT((1-R550)*($G$8-$E$8)*($G$8-$F$8))))</f>
        <v>1.04078116085219</v>
      </c>
      <c r="E550" s="37" t="n">
        <f aca="false">1+IF($G$9=$E$9,$F$9,IF(S550&lt;($F$9-$E$9)/($G$9-$E$9),$E$9+SQRT(S550*($G$9-$E$9)*($F$9-$E$9)),$G$9-SQRT((1-S550)*($G$9-$E$9)*($G$9-$F$9))))</f>
        <v>1.00157252100812</v>
      </c>
      <c r="F550" s="37" t="n">
        <f aca="false">1+IF($G$10=$E$10,$F$10,IF(T550&lt;($F$10-$E$10)/($G$10-$E$10),$E$10+SQRT(T550*($G$10-$E$10)*($F$10-$E$10)),$G$10-SQRT((1-T550)*($G$10-$E$10)*($G$10-$F$10))))</f>
        <v>1.02702566341305</v>
      </c>
      <c r="G550" s="38" t="n">
        <f aca="false">IF($G$11=$E$11,$F$11,IF(U550&lt;($F$11-$E$11)/($G$11-$E$11),$E$11+SQRT(U550*($G$11-$E$11)*($F$11-$E$11)),$G$11-SQRT((1-U550)*($G$11-$E$11)*($G$11-$F$11))))</f>
        <v>0.107389372993027</v>
      </c>
      <c r="H550" s="39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-2054051326.82609</v>
      </c>
      <c r="I550" s="39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-29691359.2050922</v>
      </c>
      <c r="J550" s="39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235325685.817196</v>
      </c>
      <c r="K550" s="39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551694014.010137</v>
      </c>
      <c r="L550" s="39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673087845.950047</v>
      </c>
      <c r="M550" s="39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854889339.078695</v>
      </c>
      <c r="N550" s="39" t="n">
        <f aca="false">IF(COUNT('Business Case'!B11:G11)=0,"",H550+NPV(G550,I550:M550))</f>
        <v>-521789316.414142</v>
      </c>
      <c r="P550" s="40" t="n">
        <f aca="true">RAND()</f>
        <v>0.459743074944777</v>
      </c>
      <c r="Q550" s="40" t="n">
        <f aca="true">RAND()</f>
        <v>0.551846057843175</v>
      </c>
      <c r="R550" s="40" t="n">
        <f aca="true">RAND()</f>
        <v>0.766208605999072</v>
      </c>
      <c r="S550" s="40" t="n">
        <f aca="true">RAND()</f>
        <v>0.41251422613637</v>
      </c>
      <c r="T550" s="40" t="n">
        <f aca="true">RAND()</f>
        <v>0.337099269648099</v>
      </c>
      <c r="U550" s="40" t="n">
        <f aca="true">RAND()</f>
        <v>0.659173030901016</v>
      </c>
    </row>
    <row r="551" customFormat="false" ht="15" hidden="false" customHeight="false" outlineLevel="0" collapsed="false">
      <c r="A551" s="36" t="n">
        <v>471</v>
      </c>
      <c r="B551" s="37" t="n">
        <f aca="false">1+IF($G$6=$E$6,$F$6,IF(P551&lt;($F$6-$E$6)/($G$6-$E$6),$E$6+SQRT(P551*($G$6-$E$6)*($F$6-$E$6)),$G$6-SQRT((1-P551)*($G$6-$E$6)*($G$6-$F$6))))</f>
        <v>1.04079654742156</v>
      </c>
      <c r="C551" s="37" t="n">
        <f aca="false">1+IF($G$7=$E$7,$F$7,IF(Q551&lt;($F$7-$E$7)/($G$7-$E$7),$E$7+SQRT(Q551*($G$7-$E$7)*($F$7-$E$7)),$G$7-SQRT((1-Q551)*($G$7-$E$7)*($G$7-$F$7))))</f>
        <v>1.00529472078724</v>
      </c>
      <c r="D551" s="37" t="n">
        <f aca="false">1+IF($G$8=$E$8,$F$8,IF(R551&lt;($F$8-$E$8)/($G$8-$E$8),$E$8+SQRT(R551*($G$8-$E$8)*($F$8-$E$8)),$G$8-SQRT((1-R551)*($G$8-$E$8)*($G$8-$F$8))))</f>
        <v>1.08771920061023</v>
      </c>
      <c r="E551" s="37" t="n">
        <f aca="false">1+IF($G$9=$E$9,$F$9,IF(S551&lt;($F$9-$E$9)/($G$9-$E$9),$E$9+SQRT(S551*($G$9-$E$9)*($F$9-$E$9)),$G$9-SQRT((1-S551)*($G$9-$E$9)*($G$9-$F$9))))</f>
        <v>1.12567759716969</v>
      </c>
      <c r="F551" s="37" t="n">
        <f aca="false">1+IF($G$10=$E$10,$F$10,IF(T551&lt;($F$10-$E$10)/($G$10-$E$10),$E$10+SQRT(T551*($G$10-$E$10)*($F$10-$E$10)),$G$10-SQRT((1-T551)*($G$10-$E$10)*($G$10-$F$10))))</f>
        <v>1.04582902523815</v>
      </c>
      <c r="G551" s="38" t="n">
        <f aca="false">IF($G$11=$E$11,$F$11,IF(U551&lt;($F$11-$E$11)/($G$11-$E$11),$E$11+SQRT(U551*($G$11-$E$11)*($F$11-$E$11)),$G$11-SQRT((1-U551)*($G$11-$E$11)*($G$11-$F$11))))</f>
        <v>0.104651511709956</v>
      </c>
      <c r="H551" s="39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-2091658050.47631</v>
      </c>
      <c r="I551" s="39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-21667281.1916218</v>
      </c>
      <c r="J551" s="39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275560263.570073</v>
      </c>
      <c r="K551" s="39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625079259.593674</v>
      </c>
      <c r="L551" s="39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760315487.255553</v>
      </c>
      <c r="M551" s="39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959197573.999448</v>
      </c>
      <c r="N551" s="39" t="n">
        <f aca="false">IF(COUNT('Business Case'!B11:G11)=0,"",H551+NPV(G551,I551:M551))</f>
        <v>-327961403.664842</v>
      </c>
      <c r="P551" s="40" t="n">
        <f aca="true">RAND()</f>
        <v>0.988706194751524</v>
      </c>
      <c r="Q551" s="40" t="n">
        <f aca="true">RAND()</f>
        <v>0.689783439525306</v>
      </c>
      <c r="R551" s="40" t="n">
        <f aca="true">RAND()</f>
        <v>0.989945464423211</v>
      </c>
      <c r="S551" s="40" t="n">
        <f aca="true">RAND()</f>
        <v>0.984224552548264</v>
      </c>
      <c r="T551" s="40" t="n">
        <f aca="true">RAND()</f>
        <v>0.444189507530639</v>
      </c>
      <c r="U551" s="40" t="n">
        <f aca="true">RAND()</f>
        <v>0.571636094273006</v>
      </c>
    </row>
    <row r="552" customFormat="false" ht="15" hidden="false" customHeight="false" outlineLevel="0" collapsed="false">
      <c r="A552" s="36" t="n">
        <v>472</v>
      </c>
      <c r="B552" s="37" t="n">
        <f aca="false">1+IF($G$6=$E$6,$F$6,IF(P552&lt;($F$6-$E$6)/($G$6-$E$6),$E$6+SQRT(P552*($G$6-$E$6)*($F$6-$E$6)),$G$6-SQRT((1-P552)*($G$6-$E$6)*($G$6-$F$6))))</f>
        <v>1.00478340507105</v>
      </c>
      <c r="C552" s="37" t="n">
        <f aca="false">1+IF($G$7=$E$7,$F$7,IF(Q552&lt;($F$7-$E$7)/($G$7-$E$7),$E$7+SQRT(Q552*($G$7-$E$7)*($F$7-$E$7)),$G$7-SQRT((1-Q552)*($G$7-$E$7)*($G$7-$F$7))))</f>
        <v>1.14377264598031</v>
      </c>
      <c r="D552" s="37" t="n">
        <f aca="false">1+IF($G$8=$E$8,$F$8,IF(R552&lt;($F$8-$E$8)/($G$8-$E$8),$E$8+SQRT(R552*($G$8-$E$8)*($F$8-$E$8)),$G$8-SQRT((1-R552)*($G$8-$E$8)*($G$8-$F$8))))</f>
        <v>0.993256832711436</v>
      </c>
      <c r="E552" s="37" t="n">
        <f aca="false">1+IF($G$9=$E$9,$F$9,IF(S552&lt;($F$9-$E$9)/($G$9-$E$9),$E$9+SQRT(S552*($G$9-$E$9)*($F$9-$E$9)),$G$9-SQRT((1-S552)*($G$9-$E$9)*($G$9-$F$9))))</f>
        <v>0.95382364101589</v>
      </c>
      <c r="F552" s="37" t="n">
        <f aca="false">1+IF($G$10=$E$10,$F$10,IF(T552&lt;($F$10-$E$10)/($G$10-$E$10),$E$10+SQRT(T552*($G$10-$E$10)*($F$10-$E$10)),$G$10-SQRT((1-T552)*($G$10-$E$10)*($G$10-$F$10))))</f>
        <v>1.19446761004547</v>
      </c>
      <c r="G552" s="38" t="n">
        <f aca="false">IF($G$11=$E$11,$F$11,IF(U552&lt;($F$11-$E$11)/($G$11-$E$11),$E$11+SQRT(U552*($G$11-$E$11)*($F$11-$E$11)),$G$11-SQRT((1-U552)*($G$11-$E$11)*($G$11-$F$11))))</f>
        <v>0.107770876360072</v>
      </c>
      <c r="H552" s="39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-2388935220.09093</v>
      </c>
      <c r="I552" s="39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45084283.3526823</v>
      </c>
      <c r="J552" s="39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404825846.699025</v>
      </c>
      <c r="K552" s="39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824290790.547641</v>
      </c>
      <c r="L552" s="39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983922509.820859</v>
      </c>
      <c r="M552" s="39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1202370766.35526</v>
      </c>
      <c r="N552" s="39" t="n">
        <f aca="false">IF(COUNT('Business Case'!B11:G11)=0,"",H552+NPV(G552,I552:M552))</f>
        <v>-37857909.4872255</v>
      </c>
      <c r="P552" s="40" t="n">
        <f aca="true">RAND()</f>
        <v>0.727394605737449</v>
      </c>
      <c r="Q552" s="40" t="n">
        <f aca="true">RAND()</f>
        <v>0.999425482398718</v>
      </c>
      <c r="R552" s="40" t="n">
        <f aca="true">RAND()</f>
        <v>0.249487143496688</v>
      </c>
      <c r="S552" s="40" t="n">
        <f aca="true">RAND()</f>
        <v>0.115879373288294</v>
      </c>
      <c r="T552" s="40" t="n">
        <f aca="true">RAND()</f>
        <v>0.958882048879169</v>
      </c>
      <c r="U552" s="40" t="n">
        <f aca="true">RAND()</f>
        <v>0.670577374800539</v>
      </c>
    </row>
    <row r="553" customFormat="false" ht="15" hidden="false" customHeight="false" outlineLevel="0" collapsed="false">
      <c r="A553" s="36" t="n">
        <v>473</v>
      </c>
      <c r="B553" s="37" t="n">
        <f aca="false">1+IF($G$6=$E$6,$F$6,IF(P553&lt;($F$6-$E$6)/($G$6-$E$6),$E$6+SQRT(P553*($G$6-$E$6)*($F$6-$E$6)),$G$6-SQRT((1-P553)*($G$6-$E$6)*($G$6-$F$6))))</f>
        <v>0.970539925880239</v>
      </c>
      <c r="C553" s="37" t="n">
        <f aca="false">1+IF($G$7=$E$7,$F$7,IF(Q553&lt;($F$7-$E$7)/($G$7-$E$7),$E$7+SQRT(Q553*($G$7-$E$7)*($F$7-$E$7)),$G$7-SQRT((1-Q553)*($G$7-$E$7)*($G$7-$F$7))))</f>
        <v>0.96862557946179</v>
      </c>
      <c r="D553" s="37" t="n">
        <f aca="false">1+IF($G$8=$E$8,$F$8,IF(R553&lt;($F$8-$E$8)/($G$8-$E$8),$E$8+SQRT(R553*($G$8-$E$8)*($F$8-$E$8)),$G$8-SQRT((1-R553)*($G$8-$E$8)*($G$8-$F$8))))</f>
        <v>1.05596449243336</v>
      </c>
      <c r="E553" s="37" t="n">
        <f aca="false">1+IF($G$9=$E$9,$F$9,IF(S553&lt;($F$9-$E$9)/($G$9-$E$9),$E$9+SQRT(S553*($G$9-$E$9)*($F$9-$E$9)),$G$9-SQRT((1-S553)*($G$9-$E$9)*($G$9-$F$9))))</f>
        <v>1.03788595567706</v>
      </c>
      <c r="F553" s="37" t="n">
        <f aca="false">1+IF($G$10=$E$10,$F$10,IF(T553&lt;($F$10-$E$10)/($G$10-$E$10),$E$10+SQRT(T553*($G$10-$E$10)*($F$10-$E$10)),$G$10-SQRT((1-T553)*($G$10-$E$10)*($G$10-$F$10))))</f>
        <v>1.08618366838831</v>
      </c>
      <c r="G553" s="38" t="n">
        <f aca="false">IF($G$11=$E$11,$F$11,IF(U553&lt;($F$11-$E$11)/($G$11-$E$11),$E$11+SQRT(U553*($G$11-$E$11)*($F$11-$E$11)),$G$11-SQRT((1-U553)*($G$11-$E$11)*($G$11-$F$11))))</f>
        <v>0.120220069934198</v>
      </c>
      <c r="H553" s="39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-2172367336.77661</v>
      </c>
      <c r="I553" s="39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-58548066.8330885</v>
      </c>
      <c r="J553" s="39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187843871.203256</v>
      </c>
      <c r="K553" s="39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488544992.659016</v>
      </c>
      <c r="L553" s="39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603165142.093348</v>
      </c>
      <c r="M553" s="39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781857410.91554</v>
      </c>
      <c r="N553" s="39" t="n">
        <f aca="false">IF(COUNT('Business Case'!B11:G11)=0,"",H553+NPV(G553,I553:M553))</f>
        <v>-901178690.293665</v>
      </c>
      <c r="P553" s="40" t="n">
        <f aca="true">RAND()</f>
        <v>0.331725409545976</v>
      </c>
      <c r="Q553" s="40" t="n">
        <f aca="true">RAND()</f>
        <v>0.534516310675424</v>
      </c>
      <c r="R553" s="40" t="n">
        <f aca="true">RAND()</f>
        <v>0.870724938223238</v>
      </c>
      <c r="S553" s="40" t="n">
        <f aca="true">RAND()</f>
        <v>0.664811761748073</v>
      </c>
      <c r="T553" s="40" t="n">
        <f aca="true">RAND()</f>
        <v>0.642189459963839</v>
      </c>
      <c r="U553" s="40" t="n">
        <f aca="true">RAND()</f>
        <v>0.936235311938679</v>
      </c>
    </row>
    <row r="554" customFormat="false" ht="15" hidden="false" customHeight="false" outlineLevel="0" collapsed="false">
      <c r="A554" s="36" t="n">
        <v>474</v>
      </c>
      <c r="B554" s="37" t="n">
        <f aca="false">1+IF($G$6=$E$6,$F$6,IF(P554&lt;($F$6-$E$6)/($G$6-$E$6),$E$6+SQRT(P554*($G$6-$E$6)*($F$6-$E$6)),$G$6-SQRT((1-P554)*($G$6-$E$6)*($G$6-$F$6))))</f>
        <v>0.972307379703031</v>
      </c>
      <c r="C554" s="37" t="n">
        <f aca="false">1+IF($G$7=$E$7,$F$7,IF(Q554&lt;($F$7-$E$7)/($G$7-$E$7),$E$7+SQRT(Q554*($G$7-$E$7)*($F$7-$E$7)),$G$7-SQRT((1-Q554)*($G$7-$E$7)*($G$7-$F$7))))</f>
        <v>0.892793503603767</v>
      </c>
      <c r="D554" s="37" t="n">
        <f aca="false">1+IF($G$8=$E$8,$F$8,IF(R554&lt;($F$8-$E$8)/($G$8-$E$8),$E$8+SQRT(R554*($G$8-$E$8)*($F$8-$E$8)),$G$8-SQRT((1-R554)*($G$8-$E$8)*($G$8-$F$8))))</f>
        <v>1.05521436281463</v>
      </c>
      <c r="E554" s="37" t="n">
        <f aca="false">1+IF($G$9=$E$9,$F$9,IF(S554&lt;($F$9-$E$9)/($G$9-$E$9),$E$9+SQRT(S554*($G$9-$E$9)*($F$9-$E$9)),$G$9-SQRT((1-S554)*($G$9-$E$9)*($G$9-$F$9))))</f>
        <v>0.992608024069454</v>
      </c>
      <c r="F554" s="37" t="n">
        <f aca="false">1+IF($G$10=$E$10,$F$10,IF(T554&lt;($F$10-$E$10)/($G$10-$E$10),$E$10+SQRT(T554*($G$10-$E$10)*($F$10-$E$10)),$G$10-SQRT((1-T554)*($G$10-$E$10)*($G$10-$F$10))))</f>
        <v>1.17020838137681</v>
      </c>
      <c r="G554" s="38" t="n">
        <f aca="false">IF($G$11=$E$11,$F$11,IF(U554&lt;($F$11-$E$11)/($G$11-$E$11),$E$11+SQRT(U554*($G$11-$E$11)*($F$11-$E$11)),$G$11-SQRT((1-U554)*($G$11-$E$11)*($G$11-$F$11))))</f>
        <v>0.095145936181352</v>
      </c>
      <c r="H554" s="39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-2340416762.75363</v>
      </c>
      <c r="I554" s="39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-74432797.0719838</v>
      </c>
      <c r="J554" s="39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154304838.891907</v>
      </c>
      <c r="K554" s="39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441552893.924638</v>
      </c>
      <c r="L554" s="39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547799261.829613</v>
      </c>
      <c r="M554" s="39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712801952.706506</v>
      </c>
      <c r="N554" s="39" t="n">
        <f aca="false">IF(COUNT('Business Case'!B11:G11)=0,"",H554+NPV(G554,I554:M554))</f>
        <v>-1110227263.01705</v>
      </c>
      <c r="P554" s="40" t="n">
        <f aca="true">RAND()</f>
        <v>0.348557143967881</v>
      </c>
      <c r="Q554" s="40" t="n">
        <f aca="true">RAND()</f>
        <v>0.275328407643078</v>
      </c>
      <c r="R554" s="40" t="n">
        <f aca="true">RAND()</f>
        <v>0.866283113460038</v>
      </c>
      <c r="S554" s="40" t="n">
        <f aca="true">RAND()</f>
        <v>0.343049844881946</v>
      </c>
      <c r="T554" s="40" t="n">
        <f aca="true">RAND()</f>
        <v>0.915110634633228</v>
      </c>
      <c r="U554" s="40" t="n">
        <f aca="true">RAND()</f>
        <v>0.229399382809586</v>
      </c>
    </row>
    <row r="555" customFormat="false" ht="15" hidden="false" customHeight="false" outlineLevel="0" collapsed="false">
      <c r="A555" s="36" t="n">
        <v>475</v>
      </c>
      <c r="B555" s="37" t="n">
        <f aca="false">1+IF($G$6=$E$6,$F$6,IF(P555&lt;($F$6-$E$6)/($G$6-$E$6),$E$6+SQRT(P555*($G$6-$E$6)*($F$6-$E$6)),$G$6-SQRT((1-P555)*($G$6-$E$6)*($G$6-$F$6))))</f>
        <v>0.944070282952376</v>
      </c>
      <c r="C555" s="37" t="n">
        <f aca="false">1+IF($G$7=$E$7,$F$7,IF(Q555&lt;($F$7-$E$7)/($G$7-$E$7),$E$7+SQRT(Q555*($G$7-$E$7)*($F$7-$E$7)),$G$7-SQRT((1-Q555)*($G$7-$E$7)*($G$7-$F$7))))</f>
        <v>0.865805017031998</v>
      </c>
      <c r="D555" s="37" t="n">
        <f aca="false">1+IF($G$8=$E$8,$F$8,IF(R555&lt;($F$8-$E$8)/($G$8-$E$8),$E$8+SQRT(R555*($G$8-$E$8)*($F$8-$E$8)),$G$8-SQRT((1-R555)*($G$8-$E$8)*($G$8-$F$8))))</f>
        <v>0.979431890157699</v>
      </c>
      <c r="E555" s="37" t="n">
        <f aca="false">1+IF($G$9=$E$9,$F$9,IF(S555&lt;($F$9-$E$9)/($G$9-$E$9),$E$9+SQRT(S555*($G$9-$E$9)*($F$9-$E$9)),$G$9-SQRT((1-S555)*($G$9-$E$9)*($G$9-$F$9))))</f>
        <v>0.976703819689952</v>
      </c>
      <c r="F555" s="37" t="n">
        <f aca="false">1+IF($G$10=$E$10,$F$10,IF(T555&lt;($F$10-$E$10)/($G$10-$E$10),$E$10+SQRT(T555*($G$10-$E$10)*($F$10-$E$10)),$G$10-SQRT((1-T555)*($G$10-$E$10)*($G$10-$F$10))))</f>
        <v>1.19276114688679</v>
      </c>
      <c r="G555" s="38" t="n">
        <f aca="false">IF($G$11=$E$11,$F$11,IF(U555&lt;($F$11-$E$11)/($G$11-$E$11),$E$11+SQRT(U555*($G$11-$E$11)*($F$11-$E$11)),$G$11-SQRT((1-U555)*($G$11-$E$11)*($G$11-$F$11))))</f>
        <v>0.104875549613003</v>
      </c>
      <c r="H555" s="39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-2385522293.77359</v>
      </c>
      <c r="I555" s="39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-65149348.5000489</v>
      </c>
      <c r="J555" s="39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170237720.867878</v>
      </c>
      <c r="K555" s="39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465262847.580145</v>
      </c>
      <c r="L555" s="39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571973884.049044</v>
      </c>
      <c r="M555" s="39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727341624.120124</v>
      </c>
      <c r="N555" s="39" t="n">
        <f aca="false">IF(COUNT('Business Case'!B11:G11)=0,"",H555+NPV(G555,I555:M555))</f>
        <v>-1134521840.85581</v>
      </c>
      <c r="P555" s="40" t="n">
        <f aca="true">RAND()</f>
        <v>0.129479322633496</v>
      </c>
      <c r="Q555" s="40" t="n">
        <f aca="true">RAND()</f>
        <v>0.203639286466527</v>
      </c>
      <c r="R555" s="40" t="n">
        <f aca="true">RAND()</f>
        <v>0.115498154433978</v>
      </c>
      <c r="S555" s="40" t="n">
        <f aca="true">RAND()</f>
        <v>0.235339038201144</v>
      </c>
      <c r="T555" s="40" t="n">
        <f aca="true">RAND()</f>
        <v>0.956316182590465</v>
      </c>
      <c r="U555" s="40" t="n">
        <f aca="true">RAND()</f>
        <v>0.579174661834201</v>
      </c>
    </row>
    <row r="556" customFormat="false" ht="15" hidden="false" customHeight="false" outlineLevel="0" collapsed="false">
      <c r="A556" s="36" t="n">
        <v>476</v>
      </c>
      <c r="B556" s="37" t="n">
        <f aca="false">1+IF($G$6=$E$6,$F$6,IF(P556&lt;($F$6-$E$6)/($G$6-$E$6),$E$6+SQRT(P556*($G$6-$E$6)*($F$6-$E$6)),$G$6-SQRT((1-P556)*($G$6-$E$6)*($G$6-$F$6))))</f>
        <v>0.999056157135924</v>
      </c>
      <c r="C556" s="37" t="n">
        <f aca="false">1+IF($G$7=$E$7,$F$7,IF(Q556&lt;($F$7-$E$7)/($G$7-$E$7),$E$7+SQRT(Q556*($G$7-$E$7)*($F$7-$E$7)),$G$7-SQRT((1-Q556)*($G$7-$E$7)*($G$7-$F$7))))</f>
        <v>0.873089974739602</v>
      </c>
      <c r="D556" s="37" t="n">
        <f aca="false">1+IF($G$8=$E$8,$F$8,IF(R556&lt;($F$8-$E$8)/($G$8-$E$8),$E$8+SQRT(R556*($G$8-$E$8)*($F$8-$E$8)),$G$8-SQRT((1-R556)*($G$8-$E$8)*($G$8-$F$8))))</f>
        <v>0.982336737652494</v>
      </c>
      <c r="E556" s="37" t="n">
        <f aca="false">1+IF($G$9=$E$9,$F$9,IF(S556&lt;($F$9-$E$9)/($G$9-$E$9),$E$9+SQRT(S556*($G$9-$E$9)*($F$9-$E$9)),$G$9-SQRT((1-S556)*($G$9-$E$9)*($G$9-$F$9))))</f>
        <v>0.938143258297339</v>
      </c>
      <c r="F556" s="37" t="n">
        <f aca="false">1+IF($G$10=$E$10,$F$10,IF(T556&lt;($F$10-$E$10)/($G$10-$E$10),$E$10+SQRT(T556*($G$10-$E$10)*($F$10-$E$10)),$G$10-SQRT((1-T556)*($G$10-$E$10)*($G$10-$F$10))))</f>
        <v>1.0412281543445</v>
      </c>
      <c r="G556" s="38" t="n">
        <f aca="false">IF($G$11=$E$11,$F$11,IF(U556&lt;($F$11-$E$11)/($G$11-$E$11),$E$11+SQRT(U556*($G$11-$E$11)*($F$11-$E$11)),$G$11-SQRT((1-U556)*($G$11-$E$11)*($G$11-$F$11))))</f>
        <v>0.103326352202871</v>
      </c>
      <c r="H556" s="39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-2082456308.68901</v>
      </c>
      <c r="I556" s="39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-7354049.82151957</v>
      </c>
      <c r="J556" s="39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268036952.15475</v>
      </c>
      <c r="K556" s="39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595489361.848245</v>
      </c>
      <c r="L556" s="39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717431872.529306</v>
      </c>
      <c r="M556" s="39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883232177.651983</v>
      </c>
      <c r="N556" s="39" t="n">
        <f aca="false">IF(COUNT('Business Case'!B11:G11)=0,"",H556+NPV(G556,I556:M556))</f>
        <v>-401238090.2079</v>
      </c>
      <c r="P556" s="40" t="n">
        <f aca="true">RAND()</f>
        <v>0.65414148443579</v>
      </c>
      <c r="Q556" s="40" t="n">
        <f aca="true">RAND()</f>
        <v>0.221926958187822</v>
      </c>
      <c r="R556" s="40" t="n">
        <f aca="true">RAND()</f>
        <v>0.139421946934162</v>
      </c>
      <c r="S556" s="40" t="n">
        <f aca="true">RAND()</f>
        <v>0.0581963261415002</v>
      </c>
      <c r="T556" s="40" t="n">
        <f aca="true">RAND()</f>
        <v>0.418857552821296</v>
      </c>
      <c r="U556" s="40" t="n">
        <f aca="true">RAND()</f>
        <v>0.52567767546313</v>
      </c>
    </row>
    <row r="557" customFormat="false" ht="15" hidden="false" customHeight="false" outlineLevel="0" collapsed="false">
      <c r="A557" s="36" t="n">
        <v>477</v>
      </c>
      <c r="B557" s="37" t="n">
        <f aca="false">1+IF($G$6=$E$6,$F$6,IF(P557&lt;($F$6-$E$6)/($G$6-$E$6),$E$6+SQRT(P557*($G$6-$E$6)*($F$6-$E$6)),$G$6-SQRT((1-P557)*($G$6-$E$6)*($G$6-$F$6))))</f>
        <v>0.989515719848392</v>
      </c>
      <c r="C557" s="37" t="n">
        <f aca="false">1+IF($G$7=$E$7,$F$7,IF(Q557&lt;($F$7-$E$7)/($G$7-$E$7),$E$7+SQRT(Q557*($G$7-$E$7)*($F$7-$E$7)),$G$7-SQRT((1-Q557)*($G$7-$E$7)*($G$7-$F$7))))</f>
        <v>1.03390848646322</v>
      </c>
      <c r="D557" s="37" t="n">
        <f aca="false">1+IF($G$8=$E$8,$F$8,IF(R557&lt;($F$8-$E$8)/($G$8-$E$8),$E$8+SQRT(R557*($G$8-$E$8)*($F$8-$E$8)),$G$8-SQRT((1-R557)*($G$8-$E$8)*($G$8-$F$8))))</f>
        <v>1.05997293305736</v>
      </c>
      <c r="E557" s="37" t="n">
        <f aca="false">1+IF($G$9=$E$9,$F$9,IF(S557&lt;($F$9-$E$9)/($G$9-$E$9),$E$9+SQRT(S557*($G$9-$E$9)*($F$9-$E$9)),$G$9-SQRT((1-S557)*($G$9-$E$9)*($G$9-$F$9))))</f>
        <v>1.09736125383146</v>
      </c>
      <c r="F557" s="37" t="n">
        <f aca="false">1+IF($G$10=$E$10,$F$10,IF(T557&lt;($F$10-$E$10)/($G$10-$E$10),$E$10+SQRT(T557*($G$10-$E$10)*($F$10-$E$10)),$G$10-SQRT((1-T557)*($G$10-$E$10)*($G$10-$F$10))))</f>
        <v>1.00610954738592</v>
      </c>
      <c r="G557" s="38" t="n">
        <f aca="false">IF($G$11=$E$11,$F$11,IF(U557&lt;($F$11-$E$11)/($G$11-$E$11),$E$11+SQRT(U557*($G$11-$E$11)*($F$11-$E$11)),$G$11-SQRT((1-U557)*($G$11-$E$11)*($G$11-$F$11))))</f>
        <v>0.0872529618512532</v>
      </c>
      <c r="H557" s="39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-2012219094.77183</v>
      </c>
      <c r="I557" s="39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-32745492.3955744</v>
      </c>
      <c r="J557" s="39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244200621.662719</v>
      </c>
      <c r="K557" s="39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571452213.090307</v>
      </c>
      <c r="L557" s="39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699124838.723366</v>
      </c>
      <c r="M557" s="39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893589737.264989</v>
      </c>
      <c r="N557" s="39" t="n">
        <f aca="false">IF(COUNT('Business Case'!B11:G11)=0,"",H557+NPV(G557,I557:M557))</f>
        <v>-302690768.720325</v>
      </c>
      <c r="P557" s="40" t="n">
        <f aca="true">RAND()</f>
        <v>0.534204273331722</v>
      </c>
      <c r="Q557" s="40" t="n">
        <f aca="true">RAND()</f>
        <v>0.800337192366522</v>
      </c>
      <c r="R557" s="40" t="n">
        <f aca="true">RAND()</f>
        <v>0.893188927464633</v>
      </c>
      <c r="S557" s="40" t="n">
        <f aca="true">RAND()</f>
        <v>0.926110997381432</v>
      </c>
      <c r="T557" s="40" t="n">
        <f aca="true">RAND()</f>
        <v>0.206899294982636</v>
      </c>
      <c r="U557" s="40" t="n">
        <f aca="true">RAND()</f>
        <v>0.0526054556157338</v>
      </c>
    </row>
    <row r="558" customFormat="false" ht="15" hidden="false" customHeight="false" outlineLevel="0" collapsed="false">
      <c r="A558" s="36" t="n">
        <v>478</v>
      </c>
      <c r="B558" s="37" t="n">
        <f aca="false">1+IF($G$6=$E$6,$F$6,IF(P558&lt;($F$6-$E$6)/($G$6-$E$6),$E$6+SQRT(P558*($G$6-$E$6)*($F$6-$E$6)),$G$6-SQRT((1-P558)*($G$6-$E$6)*($G$6-$F$6))))</f>
        <v>0.976502682126923</v>
      </c>
      <c r="C558" s="37" t="n">
        <f aca="false">1+IF($G$7=$E$7,$F$7,IF(Q558&lt;($F$7-$E$7)/($G$7-$E$7),$E$7+SQRT(Q558*($G$7-$E$7)*($F$7-$E$7)),$G$7-SQRT((1-Q558)*($G$7-$E$7)*($G$7-$F$7))))</f>
        <v>1.04704192916005</v>
      </c>
      <c r="D558" s="37" t="n">
        <f aca="false">1+IF($G$8=$E$8,$F$8,IF(R558&lt;($F$8-$E$8)/($G$8-$E$8),$E$8+SQRT(R558*($G$8-$E$8)*($F$8-$E$8)),$G$8-SQRT((1-R558)*($G$8-$E$8)*($G$8-$F$8))))</f>
        <v>1.05621573220591</v>
      </c>
      <c r="E558" s="37" t="n">
        <f aca="false">1+IF($G$9=$E$9,$F$9,IF(S558&lt;($F$9-$E$9)/($G$9-$E$9),$E$9+SQRT(S558*($G$9-$E$9)*($F$9-$E$9)),$G$9-SQRT((1-S558)*($G$9-$E$9)*($G$9-$F$9))))</f>
        <v>1.00649848609723</v>
      </c>
      <c r="F558" s="37" t="n">
        <f aca="false">1+IF($G$10=$E$10,$F$10,IF(T558&lt;($F$10-$E$10)/($G$10-$E$10),$E$10+SQRT(T558*($G$10-$E$10)*($F$10-$E$10)),$G$10-SQRT((1-T558)*($G$10-$E$10)*($G$10-$F$10))))</f>
        <v>1.18625601373421</v>
      </c>
      <c r="G558" s="38" t="n">
        <f aca="false">IF($G$11=$E$11,$F$11,IF(U558&lt;($F$11-$E$11)/($G$11-$E$11),$E$11+SQRT(U558*($G$11-$E$11)*($F$11-$E$11)),$G$11-SQRT((1-U558)*($G$11-$E$11)*($G$11-$F$11))))</f>
        <v>0.125885587852757</v>
      </c>
      <c r="H558" s="39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-2372512027.46841</v>
      </c>
      <c r="I558" s="39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-43435006.4614441</v>
      </c>
      <c r="J558" s="39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227882924.003674</v>
      </c>
      <c r="K558" s="39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558513655.155503</v>
      </c>
      <c r="L558" s="39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684288465.863953</v>
      </c>
      <c r="M558" s="39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878633718.907708</v>
      </c>
      <c r="N558" s="39" t="n">
        <f aca="false">IF(COUNT('Business Case'!B11:G11)=0,"",H558+NPV(G558,I558:M558))</f>
        <v>-928460804.281841</v>
      </c>
      <c r="P558" s="40" t="n">
        <f aca="true">RAND()</f>
        <v>0.390177358174202</v>
      </c>
      <c r="Q558" s="40" t="n">
        <f aca="true">RAND()</f>
        <v>0.842957565169114</v>
      </c>
      <c r="R558" s="40" t="n">
        <f aca="true">RAND()</f>
        <v>0.87219585958234</v>
      </c>
      <c r="S558" s="40" t="n">
        <f aca="true">RAND()</f>
        <v>0.450861746869716</v>
      </c>
      <c r="T558" s="40" t="n">
        <f aca="true">RAND()</f>
        <v>0.945822722865949</v>
      </c>
      <c r="U558" s="40" t="n">
        <f aca="true">RAND()</f>
        <v>0.988714408455078</v>
      </c>
    </row>
    <row r="559" customFormat="false" ht="15" hidden="false" customHeight="false" outlineLevel="0" collapsed="false">
      <c r="A559" s="36" t="n">
        <v>479</v>
      </c>
      <c r="B559" s="37" t="n">
        <f aca="false">1+IF($G$6=$E$6,$F$6,IF(P559&lt;($F$6-$E$6)/($G$6-$E$6),$E$6+SQRT(P559*($G$6-$E$6)*($F$6-$E$6)),$G$6-SQRT((1-P559)*($G$6-$E$6)*($G$6-$F$6))))</f>
        <v>1.03778996666991</v>
      </c>
      <c r="C559" s="37" t="n">
        <f aca="false">1+IF($G$7=$E$7,$F$7,IF(Q559&lt;($F$7-$E$7)/($G$7-$E$7),$E$7+SQRT(Q559*($G$7-$E$7)*($F$7-$E$7)),$G$7-SQRT((1-Q559)*($G$7-$E$7)*($G$7-$F$7))))</f>
        <v>1.06579053247529</v>
      </c>
      <c r="D559" s="37" t="n">
        <f aca="false">1+IF($G$8=$E$8,$F$8,IF(R559&lt;($F$8-$E$8)/($G$8-$E$8),$E$8+SQRT(R559*($G$8-$E$8)*($F$8-$E$8)),$G$8-SQRT((1-R559)*($G$8-$E$8)*($G$8-$F$8))))</f>
        <v>0.966877211147092</v>
      </c>
      <c r="E559" s="37" t="n">
        <f aca="false">1+IF($G$9=$E$9,$F$9,IF(S559&lt;($F$9-$E$9)/($G$9-$E$9),$E$9+SQRT(S559*($G$9-$E$9)*($F$9-$E$9)),$G$9-SQRT((1-S559)*($G$9-$E$9)*($G$9-$F$9))))</f>
        <v>0.983587483144538</v>
      </c>
      <c r="F559" s="37" t="n">
        <f aca="false">1+IF($G$10=$E$10,$F$10,IF(T559&lt;($F$10-$E$10)/($G$10-$E$10),$E$10+SQRT(T559*($G$10-$E$10)*($F$10-$E$10)),$G$10-SQRT((1-T559)*($G$10-$E$10)*($G$10-$F$10))))</f>
        <v>1.1865749424778</v>
      </c>
      <c r="G559" s="38" t="n">
        <f aca="false">IF($G$11=$E$11,$F$11,IF(U559&lt;($F$11-$E$11)/($G$11-$E$11),$E$11+SQRT(U559*($G$11-$E$11)*($F$11-$E$11)),$G$11-SQRT((1-U559)*($G$11-$E$11)*($G$11-$F$11))))</f>
        <v>0.111120185470919</v>
      </c>
      <c r="H559" s="39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-2373149884.9556</v>
      </c>
      <c r="I559" s="39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62558435.5697176</v>
      </c>
      <c r="J559" s="39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440979004.316061</v>
      </c>
      <c r="K559" s="39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878728320.186295</v>
      </c>
      <c r="L559" s="39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1043094175.65221</v>
      </c>
      <c r="M559" s="39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1253335338.01308</v>
      </c>
      <c r="N559" s="39" t="n">
        <f aca="false">IF(COUNT('Business Case'!B11:G11)=0,"",H559+NPV(G559,I559:M559))</f>
        <v>105320152.819763</v>
      </c>
      <c r="P559" s="40" t="n">
        <f aca="true">RAND()</f>
        <v>0.980122011477063</v>
      </c>
      <c r="Q559" s="40" t="n">
        <f aca="true">RAND()</f>
        <v>0.894944675247482</v>
      </c>
      <c r="R559" s="40" t="n">
        <f aca="true">RAND()</f>
        <v>0.0379787008138011</v>
      </c>
      <c r="S559" s="40" t="n">
        <f aca="true">RAND()</f>
        <v>0.279474693537538</v>
      </c>
      <c r="T559" s="40" t="n">
        <f aca="true">RAND()</f>
        <v>0.946363494377404</v>
      </c>
      <c r="U559" s="40" t="n">
        <f aca="true">RAND()</f>
        <v>0.762368402231675</v>
      </c>
    </row>
    <row r="560" customFormat="false" ht="15" hidden="false" customHeight="false" outlineLevel="0" collapsed="false">
      <c r="A560" s="36" t="n">
        <v>480</v>
      </c>
      <c r="B560" s="37" t="n">
        <f aca="false">1+IF($G$6=$E$6,$F$6,IF(P560&lt;($F$6-$E$6)/($G$6-$E$6),$E$6+SQRT(P560*($G$6-$E$6)*($F$6-$E$6)),$G$6-SQRT((1-P560)*($G$6-$E$6)*($G$6-$F$6))))</f>
        <v>0.961901498264937</v>
      </c>
      <c r="C560" s="37" t="n">
        <f aca="false">1+IF($G$7=$E$7,$F$7,IF(Q560&lt;($F$7-$E$7)/($G$7-$E$7),$E$7+SQRT(Q560*($G$7-$E$7)*($F$7-$E$7)),$G$7-SQRT((1-Q560)*($G$7-$E$7)*($G$7-$F$7))))</f>
        <v>1.02064536710086</v>
      </c>
      <c r="D560" s="37" t="n">
        <f aca="false">1+IF($G$8=$E$8,$F$8,IF(R560&lt;($F$8-$E$8)/($G$8-$E$8),$E$8+SQRT(R560*($G$8-$E$8)*($F$8-$E$8)),$G$8-SQRT((1-R560)*($G$8-$E$8)*($G$8-$F$8))))</f>
        <v>1.05357811619531</v>
      </c>
      <c r="E560" s="37" t="n">
        <f aca="false">1+IF($G$9=$E$9,$F$9,IF(S560&lt;($F$9-$E$9)/($G$9-$E$9),$E$9+SQRT(S560*($G$9-$E$9)*($F$9-$E$9)),$G$9-SQRT((1-S560)*($G$9-$E$9)*($G$9-$F$9))))</f>
        <v>1.01983877235619</v>
      </c>
      <c r="F560" s="37" t="n">
        <f aca="false">1+IF($G$10=$E$10,$F$10,IF(T560&lt;($F$10-$E$10)/($G$10-$E$10),$E$10+SQRT(T560*($G$10-$E$10)*($F$10-$E$10)),$G$10-SQRT((1-T560)*($G$10-$E$10)*($G$10-$F$10))))</f>
        <v>1.12655965895064</v>
      </c>
      <c r="G560" s="38" t="n">
        <f aca="false">IF($G$11=$E$11,$F$11,IF(U560&lt;($F$11-$E$11)/($G$11-$E$11),$E$11+SQRT(U560*($G$11-$E$11)*($F$11-$E$11)),$G$11-SQRT((1-U560)*($G$11-$E$11)*($G$11-$F$11))))</f>
        <v>0.0910718090180844</v>
      </c>
      <c r="H560" s="39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-2253119317.90128</v>
      </c>
      <c r="I560" s="39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-54921855.5363198</v>
      </c>
      <c r="J560" s="39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198727782.608421</v>
      </c>
      <c r="K560" s="39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508705403.700693</v>
      </c>
      <c r="L560" s="39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627184919.320239</v>
      </c>
      <c r="M560" s="39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813797918.629045</v>
      </c>
      <c r="N560" s="39" t="n">
        <f aca="false">IF(COUNT('Business Case'!B11:G11)=0,"",H560+NPV(G560,I560:M560))</f>
        <v>-775972362.117254</v>
      </c>
      <c r="P560" s="40" t="n">
        <f aca="true">RAND()</f>
        <v>0.255453032496265</v>
      </c>
      <c r="Q560" s="40" t="n">
        <f aca="true">RAND()</f>
        <v>0.752109317741158</v>
      </c>
      <c r="R560" s="40" t="n">
        <f aca="true">RAND()</f>
        <v>0.856333913601586</v>
      </c>
      <c r="S560" s="40" t="n">
        <f aca="true">RAND()</f>
        <v>0.548214795153471</v>
      </c>
      <c r="T560" s="40" t="n">
        <f aca="true">RAND()</f>
        <v>0.796833096021561</v>
      </c>
      <c r="U560" s="40" t="n">
        <f aca="true">RAND()</f>
        <v>0.122584954932934</v>
      </c>
    </row>
    <row r="561" customFormat="false" ht="15" hidden="false" customHeight="false" outlineLevel="0" collapsed="false">
      <c r="A561" s="36" t="n">
        <v>481</v>
      </c>
      <c r="B561" s="37" t="n">
        <f aca="false">1+IF($G$6=$E$6,$F$6,IF(P561&lt;($F$6-$E$6)/($G$6-$E$6),$E$6+SQRT(P561*($G$6-$E$6)*($F$6-$E$6)),$G$6-SQRT((1-P561)*($G$6-$E$6)*($G$6-$F$6))))</f>
        <v>1.01054053912979</v>
      </c>
      <c r="C561" s="37" t="n">
        <f aca="false">1+IF($G$7=$E$7,$F$7,IF(Q561&lt;($F$7-$E$7)/($G$7-$E$7),$E$7+SQRT(Q561*($G$7-$E$7)*($F$7-$E$7)),$G$7-SQRT((1-Q561)*($G$7-$E$7)*($G$7-$F$7))))</f>
        <v>0.902477139654015</v>
      </c>
      <c r="D561" s="37" t="n">
        <f aca="false">1+IF($G$8=$E$8,$F$8,IF(R561&lt;($F$8-$E$8)/($G$8-$E$8),$E$8+SQRT(R561*($G$8-$E$8)*($F$8-$E$8)),$G$8-SQRT((1-R561)*($G$8-$E$8)*($G$8-$F$8))))</f>
        <v>1.07922991038828</v>
      </c>
      <c r="E561" s="37" t="n">
        <f aca="false">1+IF($G$9=$E$9,$F$9,IF(S561&lt;($F$9-$E$9)/($G$9-$E$9),$E$9+SQRT(S561*($G$9-$E$9)*($F$9-$E$9)),$G$9-SQRT((1-S561)*($G$9-$E$9)*($G$9-$F$9))))</f>
        <v>1.01373819613606</v>
      </c>
      <c r="F561" s="37" t="n">
        <f aca="false">1+IF($G$10=$E$10,$F$10,IF(T561&lt;($F$10-$E$10)/($G$10-$E$10),$E$10+SQRT(T561*($G$10-$E$10)*($F$10-$E$10)),$G$10-SQRT((1-T561)*($G$10-$E$10)*($G$10-$F$10))))</f>
        <v>1.09990071140405</v>
      </c>
      <c r="G561" s="38" t="n">
        <f aca="false">IF($G$11=$E$11,$F$11,IF(U561&lt;($F$11-$E$11)/($G$11-$E$11),$E$11+SQRT(U561*($G$11-$E$11)*($F$11-$E$11)),$G$11-SQRT((1-U561)*($G$11-$E$11)*($G$11-$F$11))))</f>
        <v>0.0827067862303857</v>
      </c>
      <c r="H561" s="39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-2199801422.80811</v>
      </c>
      <c r="I561" s="39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-53035940.7922798</v>
      </c>
      <c r="J561" s="39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195349308.922184</v>
      </c>
      <c r="K561" s="39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498729594.20685</v>
      </c>
      <c r="L561" s="39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613043042.69553</v>
      </c>
      <c r="M561" s="39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786394051.573424</v>
      </c>
      <c r="N561" s="39" t="n">
        <f aca="false">IF(COUNT('Business Case'!B11:G11)=0,"",H561+NPV(G561,I561:M561))</f>
        <v>-714530560.711218</v>
      </c>
      <c r="P561" s="40" t="n">
        <f aca="true">RAND()</f>
        <v>0.792393459711007</v>
      </c>
      <c r="Q561" s="40" t="n">
        <f aca="true">RAND()</f>
        <v>0.303681422833122</v>
      </c>
      <c r="R561" s="40" t="n">
        <f aca="true">RAND()</f>
        <v>0.971240225168074</v>
      </c>
      <c r="S561" s="40" t="n">
        <f aca="true">RAND()</f>
        <v>0.504872554873234</v>
      </c>
      <c r="T561" s="40" t="n">
        <f aca="true">RAND()</f>
        <v>0.699602714173215</v>
      </c>
      <c r="U561" s="40" t="n">
        <f aca="true">RAND()</f>
        <v>0.00732669169700535</v>
      </c>
    </row>
    <row r="562" customFormat="false" ht="15" hidden="false" customHeight="false" outlineLevel="0" collapsed="false">
      <c r="A562" s="36" t="n">
        <v>482</v>
      </c>
      <c r="B562" s="37" t="n">
        <f aca="false">1+IF($G$6=$E$6,$F$6,IF(P562&lt;($F$6-$E$6)/($G$6-$E$6),$E$6+SQRT(P562*($G$6-$E$6)*($F$6-$E$6)),$G$6-SQRT((1-P562)*($G$6-$E$6)*($G$6-$F$6))))</f>
        <v>0.930029994207224</v>
      </c>
      <c r="C562" s="37" t="n">
        <f aca="false">1+IF($G$7=$E$7,$F$7,IF(Q562&lt;($F$7-$E$7)/($G$7-$E$7),$E$7+SQRT(Q562*($G$7-$E$7)*($F$7-$E$7)),$G$7-SQRT((1-Q562)*($G$7-$E$7)*($G$7-$F$7))))</f>
        <v>1.01618001224735</v>
      </c>
      <c r="D562" s="37" t="n">
        <f aca="false">1+IF($G$8=$E$8,$F$8,IF(R562&lt;($F$8-$E$8)/($G$8-$E$8),$E$8+SQRT(R562*($G$8-$E$8)*($F$8-$E$8)),$G$8-SQRT((1-R562)*($G$8-$E$8)*($G$8-$F$8))))</f>
        <v>1.00288006159072</v>
      </c>
      <c r="E562" s="37" t="n">
        <f aca="false">1+IF($G$9=$E$9,$F$9,IF(S562&lt;($F$9-$E$9)/($G$9-$E$9),$E$9+SQRT(S562*($G$9-$E$9)*($F$9-$E$9)),$G$9-SQRT((1-S562)*($G$9-$E$9)*($G$9-$F$9))))</f>
        <v>1.01131540919604</v>
      </c>
      <c r="F562" s="37" t="n">
        <f aca="false">1+IF($G$10=$E$10,$F$10,IF(T562&lt;($F$10-$E$10)/($G$10-$E$10),$E$10+SQRT(T562*($G$10-$E$10)*($F$10-$E$10)),$G$10-SQRT((1-T562)*($G$10-$E$10)*($G$10-$F$10))))</f>
        <v>1.16365198727857</v>
      </c>
      <c r="G562" s="38" t="n">
        <f aca="false">IF($G$11=$E$11,$F$11,IF(U562&lt;($F$11-$E$11)/($G$11-$E$11),$E$11+SQRT(U562*($G$11-$E$11)*($F$11-$E$11)),$G$11-SQRT((1-U562)*($G$11-$E$11)*($G$11-$F$11))))</f>
        <v>0.0991407744353159</v>
      </c>
      <c r="H562" s="39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-2327303974.55714</v>
      </c>
      <c r="I562" s="39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-56781337.7018716</v>
      </c>
      <c r="J562" s="39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195604412.376249</v>
      </c>
      <c r="K562" s="39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506172761.818298</v>
      </c>
      <c r="L562" s="39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622963237.087311</v>
      </c>
      <c r="M562" s="39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802603642.590324</v>
      </c>
      <c r="N562" s="39" t="n">
        <f aca="false">IF(COUNT('Business Case'!B11:G11)=0,"",H562+NPV(G562,I562:M562))</f>
        <v>-908737755.372694</v>
      </c>
      <c r="P562" s="40" t="n">
        <f aca="true">RAND()</f>
        <v>0.0601200368057256</v>
      </c>
      <c r="Q562" s="40" t="n">
        <f aca="true">RAND()</f>
        <v>0.734699420413037</v>
      </c>
      <c r="R562" s="40" t="n">
        <f aca="true">RAND()</f>
        <v>0.371181170891841</v>
      </c>
      <c r="S562" s="40" t="n">
        <f aca="true">RAND()</f>
        <v>0.487108913961027</v>
      </c>
      <c r="T562" s="40" t="n">
        <f aca="true">RAND()</f>
        <v>0.900586942654135</v>
      </c>
      <c r="U562" s="40" t="n">
        <f aca="true">RAND()</f>
        <v>0.366369245983644</v>
      </c>
    </row>
    <row r="563" customFormat="false" ht="15" hidden="false" customHeight="false" outlineLevel="0" collapsed="false">
      <c r="A563" s="36" t="n">
        <v>483</v>
      </c>
      <c r="B563" s="37" t="n">
        <f aca="false">1+IF($G$6=$E$6,$F$6,IF(P563&lt;($F$6-$E$6)/($G$6-$E$6),$E$6+SQRT(P563*($G$6-$E$6)*($F$6-$E$6)),$G$6-SQRT((1-P563)*($G$6-$E$6)*($G$6-$F$6))))</f>
        <v>1.01880129445829</v>
      </c>
      <c r="C563" s="37" t="n">
        <f aca="false">1+IF($G$7=$E$7,$F$7,IF(Q563&lt;($F$7-$E$7)/($G$7-$E$7),$E$7+SQRT(Q563*($G$7-$E$7)*($F$7-$E$7)),$G$7-SQRT((1-Q563)*($G$7-$E$7)*($G$7-$F$7))))</f>
        <v>0.940160168939569</v>
      </c>
      <c r="D563" s="37" t="n">
        <f aca="false">1+IF($G$8=$E$8,$F$8,IF(R563&lt;($F$8-$E$8)/($G$8-$E$8),$E$8+SQRT(R563*($G$8-$E$8)*($F$8-$E$8)),$G$8-SQRT((1-R563)*($G$8-$E$8)*($G$8-$F$8))))</f>
        <v>1.00835875371825</v>
      </c>
      <c r="E563" s="37" t="n">
        <f aca="false">1+IF($G$9=$E$9,$F$9,IF(S563&lt;($F$9-$E$9)/($G$9-$E$9),$E$9+SQRT(S563*($G$9-$E$9)*($F$9-$E$9)),$G$9-SQRT((1-S563)*($G$9-$E$9)*($G$9-$F$9))))</f>
        <v>1.04084263728675</v>
      </c>
      <c r="F563" s="37" t="n">
        <f aca="false">1+IF($G$10=$E$10,$F$10,IF(T563&lt;($F$10-$E$10)/($G$10-$E$10),$E$10+SQRT(T563*($G$10-$E$10)*($F$10-$E$10)),$G$10-SQRT((1-T563)*($G$10-$E$10)*($G$10-$F$10))))</f>
        <v>1.04510570701906</v>
      </c>
      <c r="G563" s="38" t="n">
        <f aca="false">IF($G$11=$E$11,$F$11,IF(U563&lt;($F$11-$E$11)/($G$11-$E$11),$E$11+SQRT(U563*($G$11-$E$11)*($F$11-$E$11)),$G$11-SQRT((1-U563)*($G$11-$E$11)*($G$11-$F$11))))</f>
        <v>0.0962475374420825</v>
      </c>
      <c r="H563" s="39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-2090211414.03813</v>
      </c>
      <c r="I563" s="39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-2945410.5534948</v>
      </c>
      <c r="J563" s="39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296281811.44347</v>
      </c>
      <c r="K563" s="39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647764318.791388</v>
      </c>
      <c r="L563" s="39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780609552.007961</v>
      </c>
      <c r="M563" s="39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962675094.371343</v>
      </c>
      <c r="N563" s="39" t="n">
        <f aca="false">IF(COUNT('Business Case'!B11:G11)=0,"",H563+NPV(G563,I563:M563))</f>
        <v>-206117577.669782</v>
      </c>
      <c r="P563" s="40" t="n">
        <f aca="true">RAND()</f>
        <v>0.870218769669536</v>
      </c>
      <c r="Q563" s="40" t="n">
        <f aca="true">RAND()</f>
        <v>0.427236346259868</v>
      </c>
      <c r="R563" s="40" t="n">
        <f aca="true">RAND()</f>
        <v>0.440125465328551</v>
      </c>
      <c r="S563" s="40" t="n">
        <f aca="true">RAND()</f>
        <v>0.682257871079684</v>
      </c>
      <c r="T563" s="40" t="n">
        <f aca="true">RAND()</f>
        <v>0.440244382717899</v>
      </c>
      <c r="U563" s="40" t="n">
        <f aca="true">RAND()</f>
        <v>0.263982472931872</v>
      </c>
    </row>
    <row r="564" customFormat="false" ht="15" hidden="false" customHeight="false" outlineLevel="0" collapsed="false">
      <c r="A564" s="36" t="n">
        <v>484</v>
      </c>
      <c r="B564" s="37" t="n">
        <f aca="false">1+IF($G$6=$E$6,$F$6,IF(P564&lt;($F$6-$E$6)/($G$6-$E$6),$E$6+SQRT(P564*($G$6-$E$6)*($F$6-$E$6)),$G$6-SQRT((1-P564)*($G$6-$E$6)*($G$6-$F$6))))</f>
        <v>1.00528892776584</v>
      </c>
      <c r="C564" s="37" t="n">
        <f aca="false">1+IF($G$7=$E$7,$F$7,IF(Q564&lt;($F$7-$E$7)/($G$7-$E$7),$E$7+SQRT(Q564*($G$7-$E$7)*($F$7-$E$7)),$G$7-SQRT((1-Q564)*($G$7-$E$7)*($G$7-$F$7))))</f>
        <v>1.05448826978184</v>
      </c>
      <c r="D564" s="37" t="n">
        <f aca="false">1+IF($G$8=$E$8,$F$8,IF(R564&lt;($F$8-$E$8)/($G$8-$E$8),$E$8+SQRT(R564*($G$8-$E$8)*($F$8-$E$8)),$G$8-SQRT((1-R564)*($G$8-$E$8)*($G$8-$F$8))))</f>
        <v>1.0452447990147</v>
      </c>
      <c r="E564" s="37" t="n">
        <f aca="false">1+IF($G$9=$E$9,$F$9,IF(S564&lt;($F$9-$E$9)/($G$9-$E$9),$E$9+SQRT(S564*($G$9-$E$9)*($F$9-$E$9)),$G$9-SQRT((1-S564)*($G$9-$E$9)*($G$9-$F$9))))</f>
        <v>0.96473818675772</v>
      </c>
      <c r="F564" s="37" t="n">
        <f aca="false">1+IF($G$10=$E$10,$F$10,IF(T564&lt;($F$10-$E$10)/($G$10-$E$10),$E$10+SQRT(T564*($G$10-$E$10)*($F$10-$E$10)),$G$10-SQRT((1-T564)*($G$10-$E$10)*($G$10-$F$10))))</f>
        <v>1.02863589484105</v>
      </c>
      <c r="G564" s="38" t="n">
        <f aca="false">IF($G$11=$E$11,$F$11,IF(U564&lt;($F$11-$E$11)/($G$11-$E$11),$E$11+SQRT(U564*($G$11-$E$11)*($F$11-$E$11)),$G$11-SQRT((1-U564)*($G$11-$E$11)*($G$11-$F$11))))</f>
        <v>0.097781987008069</v>
      </c>
      <c r="H564" s="39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-2057271789.68211</v>
      </c>
      <c r="I564" s="39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9029329.08506081</v>
      </c>
      <c r="J564" s="39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313061807.217717</v>
      </c>
      <c r="K564" s="39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668526080.092426</v>
      </c>
      <c r="L564" s="39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806506099.074339</v>
      </c>
      <c r="M564" s="39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1008003326.89833</v>
      </c>
      <c r="N564" s="39" t="n">
        <f aca="false">IF(COUNT('Business Case'!B11:G11)=0,"",H564+NPV(G564,I564:M564))</f>
        <v>-96388068.5513425</v>
      </c>
      <c r="P564" s="40" t="n">
        <f aca="true">RAND()</f>
        <v>0.733456002622893</v>
      </c>
      <c r="Q564" s="40" t="n">
        <f aca="true">RAND()</f>
        <v>0.864851990973827</v>
      </c>
      <c r="R564" s="40" t="n">
        <f aca="true">RAND()</f>
        <v>0.800124531003964</v>
      </c>
      <c r="S564" s="40" t="n">
        <f aca="true">RAND()</f>
        <v>0.167641312987097</v>
      </c>
      <c r="T564" s="40" t="n">
        <f aca="true">RAND()</f>
        <v>0.346639105962388</v>
      </c>
      <c r="U564" s="40" t="n">
        <f aca="true">RAND()</f>
        <v>0.316199061955136</v>
      </c>
    </row>
    <row r="565" customFormat="false" ht="15" hidden="false" customHeight="false" outlineLevel="0" collapsed="false">
      <c r="A565" s="36" t="n">
        <v>485</v>
      </c>
      <c r="B565" s="37" t="n">
        <f aca="false">1+IF($G$6=$E$6,$F$6,IF(P565&lt;($F$6-$E$6)/($G$6-$E$6),$E$6+SQRT(P565*($G$6-$E$6)*($F$6-$E$6)),$G$6-SQRT((1-P565)*($G$6-$E$6)*($G$6-$F$6))))</f>
        <v>0.928100954854206</v>
      </c>
      <c r="C565" s="37" t="n">
        <f aca="false">1+IF($G$7=$E$7,$F$7,IF(Q565&lt;($F$7-$E$7)/($G$7-$E$7),$E$7+SQRT(Q565*($G$7-$E$7)*($F$7-$E$7)),$G$7-SQRT((1-Q565)*($G$7-$E$7)*($G$7-$F$7))))</f>
        <v>1.06130008518676</v>
      </c>
      <c r="D565" s="37" t="n">
        <f aca="false">1+IF($G$8=$E$8,$F$8,IF(R565&lt;($F$8-$E$8)/($G$8-$E$8),$E$8+SQRT(R565*($G$8-$E$8)*($F$8-$E$8)),$G$8-SQRT((1-R565)*($G$8-$E$8)*($G$8-$F$8))))</f>
        <v>0.966910150572384</v>
      </c>
      <c r="E565" s="37" t="n">
        <f aca="false">1+IF($G$9=$E$9,$F$9,IF(S565&lt;($F$9-$E$9)/($G$9-$E$9),$E$9+SQRT(S565*($G$9-$E$9)*($F$9-$E$9)),$G$9-SQRT((1-S565)*($G$9-$E$9)*($G$9-$F$9))))</f>
        <v>0.962956513367547</v>
      </c>
      <c r="F565" s="37" t="n">
        <f aca="false">1+IF($G$10=$E$10,$F$10,IF(T565&lt;($F$10-$E$10)/($G$10-$E$10),$E$10+SQRT(T565*($G$10-$E$10)*($F$10-$E$10)),$G$10-SQRT((1-T565)*($G$10-$E$10)*($G$10-$F$10))))</f>
        <v>0.968107468090856</v>
      </c>
      <c r="G565" s="38" t="n">
        <f aca="false">IF($G$11=$E$11,$F$11,IF(U565&lt;($F$11-$E$11)/($G$11-$E$11),$E$11+SQRT(U565*($G$11-$E$11)*($F$11-$E$11)),$G$11-SQRT((1-U565)*($G$11-$E$11)*($G$11-$F$11))))</f>
        <v>0.106207134894001</v>
      </c>
      <c r="H565" s="39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-1936214936.18171</v>
      </c>
      <c r="I565" s="39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-3347536.01264167</v>
      </c>
      <c r="J565" s="39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278110160.372407</v>
      </c>
      <c r="K565" s="39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607973230.161998</v>
      </c>
      <c r="L565" s="39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735833841.882174</v>
      </c>
      <c r="M565" s="39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923061429.63722</v>
      </c>
      <c r="N565" s="39" t="n">
        <f aca="false">IF(COUNT('Business Case'!B11:G11)=0,"",H565+NPV(G565,I565:M565))</f>
        <v>-214190605.925829</v>
      </c>
      <c r="P565" s="40" t="n">
        <f aca="true">RAND()</f>
        <v>0.0526442442478738</v>
      </c>
      <c r="Q565" s="40" t="n">
        <f aca="true">RAND()</f>
        <v>0.88344185351295</v>
      </c>
      <c r="R565" s="40" t="n">
        <f aca="true">RAND()</f>
        <v>0.0381270923174257</v>
      </c>
      <c r="S565" s="40" t="n">
        <f aca="true">RAND()</f>
        <v>0.158540903015925</v>
      </c>
      <c r="T565" s="40" t="n">
        <f aca="true">RAND()</f>
        <v>0.0218586933774234</v>
      </c>
      <c r="U565" s="40" t="n">
        <f aca="true">RAND()</f>
        <v>0.622599713365146</v>
      </c>
    </row>
    <row r="566" customFormat="false" ht="15" hidden="false" customHeight="false" outlineLevel="0" collapsed="false">
      <c r="A566" s="36" t="n">
        <v>486</v>
      </c>
      <c r="B566" s="37" t="n">
        <f aca="false">1+IF($G$6=$E$6,$F$6,IF(P566&lt;($F$6-$E$6)/($G$6-$E$6),$E$6+SQRT(P566*($G$6-$E$6)*($F$6-$E$6)),$G$6-SQRT((1-P566)*($G$6-$E$6)*($G$6-$F$6))))</f>
        <v>0.96919227672412</v>
      </c>
      <c r="C566" s="37" t="n">
        <f aca="false">1+IF($G$7=$E$7,$F$7,IF(Q566&lt;($F$7-$E$7)/($G$7-$E$7),$E$7+SQRT(Q566*($G$7-$E$7)*($F$7-$E$7)),$G$7-SQRT((1-Q566)*($G$7-$E$7)*($G$7-$F$7))))</f>
        <v>0.997592195692547</v>
      </c>
      <c r="D566" s="37" t="n">
        <f aca="false">1+IF($G$8=$E$8,$F$8,IF(R566&lt;($F$8-$E$8)/($G$8-$E$8),$E$8+SQRT(R566*($G$8-$E$8)*($F$8-$E$8)),$G$8-SQRT((1-R566)*($G$8-$E$8)*($G$8-$F$8))))</f>
        <v>0.978317485405457</v>
      </c>
      <c r="E566" s="37" t="n">
        <f aca="false">1+IF($G$9=$E$9,$F$9,IF(S566&lt;($F$9-$E$9)/($G$9-$E$9),$E$9+SQRT(S566*($G$9-$E$9)*($F$9-$E$9)),$G$9-SQRT((1-S566)*($G$9-$E$9)*($G$9-$F$9))))</f>
        <v>0.960967490882109</v>
      </c>
      <c r="F566" s="37" t="n">
        <f aca="false">1+IF($G$10=$E$10,$F$10,IF(T566&lt;($F$10-$E$10)/($G$10-$E$10),$E$10+SQRT(T566*($G$10-$E$10)*($F$10-$E$10)),$G$10-SQRT((1-T566)*($G$10-$E$10)*($G$10-$F$10))))</f>
        <v>0.982217453293654</v>
      </c>
      <c r="G566" s="38" t="n">
        <f aca="false">IF($G$11=$E$11,$F$11,IF(U566&lt;($F$11-$E$11)/($G$11-$E$11),$E$11+SQRT(U566*($G$11-$E$11)*($F$11-$E$11)),$G$11-SQRT((1-U566)*($G$11-$E$11)*($G$11-$F$11))))</f>
        <v>0.0892891354419665</v>
      </c>
      <c r="H566" s="39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-1964434906.58731</v>
      </c>
      <c r="I566" s="39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7319164.40282498</v>
      </c>
      <c r="J566" s="39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299631603.826274</v>
      </c>
      <c r="K566" s="39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641054915.914406</v>
      </c>
      <c r="L566" s="39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771907030.714104</v>
      </c>
      <c r="M566" s="39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955687523.169455</v>
      </c>
      <c r="N566" s="39" t="n">
        <f aca="false">IF(COUNT('Business Case'!B11:G11)=0,"",H566+NPV(G566,I566:M566))</f>
        <v>-37782770.2376769</v>
      </c>
      <c r="P566" s="40" t="n">
        <f aca="true">RAND()</f>
        <v>0.319171410551144</v>
      </c>
      <c r="Q566" s="40" t="n">
        <f aca="true">RAND()</f>
        <v>0.656008258793417</v>
      </c>
      <c r="R566" s="40" t="n">
        <f aca="true">RAND()</f>
        <v>0.106917330625103</v>
      </c>
      <c r="S566" s="40" t="n">
        <f aca="true">RAND()</f>
        <v>0.148681397778402</v>
      </c>
      <c r="T566" s="40" t="n">
        <f aca="true">RAND()</f>
        <v>0.0691976197819192</v>
      </c>
      <c r="U566" s="40" t="n">
        <f aca="true">RAND()</f>
        <v>0.0862880372591978</v>
      </c>
    </row>
    <row r="567" customFormat="false" ht="15" hidden="false" customHeight="false" outlineLevel="0" collapsed="false">
      <c r="A567" s="36" t="n">
        <v>487</v>
      </c>
      <c r="B567" s="37" t="n">
        <f aca="false">1+IF($G$6=$E$6,$F$6,IF(P567&lt;($F$6-$E$6)/($G$6-$E$6),$E$6+SQRT(P567*($G$6-$E$6)*($F$6-$E$6)),$G$6-SQRT((1-P567)*($G$6-$E$6)*($G$6-$F$6))))</f>
        <v>0.940483702936059</v>
      </c>
      <c r="C567" s="37" t="n">
        <f aca="false">1+IF($G$7=$E$7,$F$7,IF(Q567&lt;($F$7-$E$7)/($G$7-$E$7),$E$7+SQRT(Q567*($G$7-$E$7)*($F$7-$E$7)),$G$7-SQRT((1-Q567)*($G$7-$E$7)*($G$7-$F$7))))</f>
        <v>0.879107786250027</v>
      </c>
      <c r="D567" s="37" t="n">
        <f aca="false">1+IF($G$8=$E$8,$F$8,IF(R567&lt;($F$8-$E$8)/($G$8-$E$8),$E$8+SQRT(R567*($G$8-$E$8)*($F$8-$E$8)),$G$8-SQRT((1-R567)*($G$8-$E$8)*($G$8-$F$8))))</f>
        <v>0.964146291271123</v>
      </c>
      <c r="E567" s="37" t="n">
        <f aca="false">1+IF($G$9=$E$9,$F$9,IF(S567&lt;($F$9-$E$9)/($G$9-$E$9),$E$9+SQRT(S567*($G$9-$E$9)*($F$9-$E$9)),$G$9-SQRT((1-S567)*($G$9-$E$9)*($G$9-$F$9))))</f>
        <v>1.06263892458758</v>
      </c>
      <c r="F567" s="37" t="n">
        <f aca="false">1+IF($G$10=$E$10,$F$10,IF(T567&lt;($F$10-$E$10)/($G$10-$E$10),$E$10+SQRT(T567*($G$10-$E$10)*($F$10-$E$10)),$G$10-SQRT((1-T567)*($G$10-$E$10)*($G$10-$F$10))))</f>
        <v>0.997966329585438</v>
      </c>
      <c r="G567" s="38" t="n">
        <f aca="false">IF($G$11=$E$11,$F$11,IF(U567&lt;($F$11-$E$11)/($G$11-$E$11),$E$11+SQRT(U567*($G$11-$E$11)*($F$11-$E$11)),$G$11-SQRT((1-U567)*($G$11-$E$11)*($G$11-$F$11))))</f>
        <v>0.106706547584284</v>
      </c>
      <c r="H567" s="39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-1995932659.17088</v>
      </c>
      <c r="I567" s="39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-50464303.6335875</v>
      </c>
      <c r="J567" s="39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192835895.317151</v>
      </c>
      <c r="K567" s="39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486034410.74716</v>
      </c>
      <c r="L567" s="39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595708220.097025</v>
      </c>
      <c r="M567" s="39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752863806.778258</v>
      </c>
      <c r="N567" s="39" t="n">
        <f aca="false">IF(COUNT('Business Case'!B11:G11)=0,"",H567+NPV(G567,I567:M567))</f>
        <v>-674942890.94021</v>
      </c>
      <c r="P567" s="40" t="n">
        <f aca="true">RAND()</f>
        <v>0.109262013561003</v>
      </c>
      <c r="Q567" s="40" t="n">
        <f aca="true">RAND()</f>
        <v>0.237626659965817</v>
      </c>
      <c r="R567" s="40" t="n">
        <f aca="true">RAND()</f>
        <v>0.0266823408969934</v>
      </c>
      <c r="S567" s="40" t="n">
        <f aca="true">RAND()</f>
        <v>0.796481133407632</v>
      </c>
      <c r="T567" s="40" t="n">
        <f aca="true">RAND()</f>
        <v>0.153384584926589</v>
      </c>
      <c r="U567" s="40" t="n">
        <f aca="true">RAND()</f>
        <v>0.638276716371187</v>
      </c>
    </row>
    <row r="568" customFormat="false" ht="15" hidden="false" customHeight="false" outlineLevel="0" collapsed="false">
      <c r="A568" s="36" t="n">
        <v>488</v>
      </c>
      <c r="B568" s="37" t="n">
        <f aca="false">1+IF($G$6=$E$6,$F$6,IF(P568&lt;($F$6-$E$6)/($G$6-$E$6),$E$6+SQRT(P568*($G$6-$E$6)*($F$6-$E$6)),$G$6-SQRT((1-P568)*($G$6-$E$6)*($G$6-$F$6))))</f>
        <v>0.977416095514703</v>
      </c>
      <c r="C568" s="37" t="n">
        <f aca="false">1+IF($G$7=$E$7,$F$7,IF(Q568&lt;($F$7-$E$7)/($G$7-$E$7),$E$7+SQRT(Q568*($G$7-$E$7)*($F$7-$E$7)),$G$7-SQRT((1-Q568)*($G$7-$E$7)*($G$7-$F$7))))</f>
        <v>0.87450521624722</v>
      </c>
      <c r="D568" s="37" t="n">
        <f aca="false">1+IF($G$8=$E$8,$F$8,IF(R568&lt;($F$8-$E$8)/($G$8-$E$8),$E$8+SQRT(R568*($G$8-$E$8)*($F$8-$E$8)),$G$8-SQRT((1-R568)*($G$8-$E$8)*($G$8-$F$8))))</f>
        <v>1.00798598543809</v>
      </c>
      <c r="E568" s="37" t="n">
        <f aca="false">1+IF($G$9=$E$9,$F$9,IF(S568&lt;($F$9-$E$9)/($G$9-$E$9),$E$9+SQRT(S568*($G$9-$E$9)*($F$9-$E$9)),$G$9-SQRT((1-S568)*($G$9-$E$9)*($G$9-$F$9))))</f>
        <v>0.941740698882032</v>
      </c>
      <c r="F568" s="37" t="n">
        <f aca="false">1+IF($G$10=$E$10,$F$10,IF(T568&lt;($F$10-$E$10)/($G$10-$E$10),$E$10+SQRT(T568*($G$10-$E$10)*($F$10-$E$10)),$G$10-SQRT((1-T568)*($G$10-$E$10)*($G$10-$F$10))))</f>
        <v>1.17706732612058</v>
      </c>
      <c r="G568" s="38" t="n">
        <f aca="false">IF($G$11=$E$11,$F$11,IF(U568&lt;($F$11-$E$11)/($G$11-$E$11),$E$11+SQRT(U568*($G$11-$E$11)*($F$11-$E$11)),$G$11-SQRT((1-U568)*($G$11-$E$11)*($G$11-$F$11))))</f>
        <v>0.106620829620249</v>
      </c>
      <c r="H568" s="39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-2354134652.24116</v>
      </c>
      <c r="I568" s="39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-47078358.1776184</v>
      </c>
      <c r="J568" s="39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201776067.408534</v>
      </c>
      <c r="K568" s="39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509483859.300715</v>
      </c>
      <c r="L568" s="39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621975683.676557</v>
      </c>
      <c r="M568" s="39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784447604.169079</v>
      </c>
      <c r="N568" s="39" t="n">
        <f aca="false">IF(COUNT('Business Case'!B11:G11)=0,"",H568+NPV(G568,I568:M568))</f>
        <v>-968531375.693138</v>
      </c>
      <c r="P568" s="40" t="n">
        <f aca="true">RAND()</f>
        <v>0.399550122982774</v>
      </c>
      <c r="Q568" s="40" t="n">
        <f aca="true">RAND()</f>
        <v>0.225570892573992</v>
      </c>
      <c r="R568" s="40" t="n">
        <f aca="true">RAND()</f>
        <v>0.435561408279996</v>
      </c>
      <c r="S568" s="40" t="n">
        <f aca="true">RAND()</f>
        <v>0.0696914377264171</v>
      </c>
      <c r="T568" s="40" t="n">
        <f aca="true">RAND()</f>
        <v>0.929077667743971</v>
      </c>
      <c r="U568" s="40" t="n">
        <f aca="true">RAND()</f>
        <v>0.635609594903058</v>
      </c>
    </row>
    <row r="569" customFormat="false" ht="15" hidden="false" customHeight="false" outlineLevel="0" collapsed="false">
      <c r="A569" s="36" t="n">
        <v>489</v>
      </c>
      <c r="B569" s="37" t="n">
        <f aca="false">1+IF($G$6=$E$6,$F$6,IF(P569&lt;($F$6-$E$6)/($G$6-$E$6),$E$6+SQRT(P569*($G$6-$E$6)*($F$6-$E$6)),$G$6-SQRT((1-P569)*($G$6-$E$6)*($G$6-$F$6))))</f>
        <v>0.915386488975879</v>
      </c>
      <c r="C569" s="37" t="n">
        <f aca="false">1+IF($G$7=$E$7,$F$7,IF(Q569&lt;($F$7-$E$7)/($G$7-$E$7),$E$7+SQRT(Q569*($G$7-$E$7)*($F$7-$E$7)),$G$7-SQRT((1-Q569)*($G$7-$E$7)*($G$7-$F$7))))</f>
        <v>0.979042114674308</v>
      </c>
      <c r="D569" s="37" t="n">
        <f aca="false">1+IF($G$8=$E$8,$F$8,IF(R569&lt;($F$8-$E$8)/($G$8-$E$8),$E$8+SQRT(R569*($G$8-$E$8)*($F$8-$E$8)),$G$8-SQRT((1-R569)*($G$8-$E$8)*($G$8-$F$8))))</f>
        <v>1.07693245955529</v>
      </c>
      <c r="E569" s="37" t="n">
        <f aca="false">1+IF($G$9=$E$9,$F$9,IF(S569&lt;($F$9-$E$9)/($G$9-$E$9),$E$9+SQRT(S569*($G$9-$E$9)*($F$9-$E$9)),$G$9-SQRT((1-S569)*($G$9-$E$9)*($G$9-$F$9))))</f>
        <v>1.0129738294416</v>
      </c>
      <c r="F569" s="37" t="n">
        <f aca="false">1+IF($G$10=$E$10,$F$10,IF(T569&lt;($F$10-$E$10)/($G$10-$E$10),$E$10+SQRT(T569*($G$10-$E$10)*($F$10-$E$10)),$G$10-SQRT((1-T569)*($G$10-$E$10)*($G$10-$F$10))))</f>
        <v>1.19386143962338</v>
      </c>
      <c r="G569" s="38" t="n">
        <f aca="false">IF($G$11=$E$11,$F$11,IF(U569&lt;($F$11-$E$11)/($G$11-$E$11),$E$11+SQRT(U569*($G$11-$E$11)*($F$11-$E$11)),$G$11-SQRT((1-U569)*($G$11-$E$11)*($G$11-$F$11))))</f>
        <v>0.107065672777477</v>
      </c>
      <c r="H569" s="39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-2387722879.24675</v>
      </c>
      <c r="I569" s="39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-115585342.117044</v>
      </c>
      <c r="J569" s="39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78719446.0104042</v>
      </c>
      <c r="K569" s="39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332717306.119021</v>
      </c>
      <c r="L569" s="39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428458307.318543</v>
      </c>
      <c r="M569" s="39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598808369.01559</v>
      </c>
      <c r="N569" s="39" t="n">
        <f aca="false">IF(COUNT('Business Case'!B11:G11)=0,"",H569+NPV(G569,I569:M569))</f>
        <v>-1537339371.04333</v>
      </c>
      <c r="P569" s="40" t="n">
        <f aca="true">RAND()</f>
        <v>0.015782936200323</v>
      </c>
      <c r="Q569" s="40" t="n">
        <f aca="true">RAND()</f>
        <v>0.576774087125256</v>
      </c>
      <c r="R569" s="40" t="n">
        <f aca="true">RAND()</f>
        <v>0.964525905188776</v>
      </c>
      <c r="S569" s="40" t="n">
        <f aca="true">RAND()</f>
        <v>0.499302095522678</v>
      </c>
      <c r="T569" s="40" t="n">
        <f aca="true">RAND()</f>
        <v>0.957979493851201</v>
      </c>
      <c r="U569" s="40" t="n">
        <f aca="true">RAND()</f>
        <v>0.6493444232335</v>
      </c>
    </row>
    <row r="570" customFormat="false" ht="15" hidden="false" customHeight="false" outlineLevel="0" collapsed="false">
      <c r="A570" s="36" t="n">
        <v>490</v>
      </c>
      <c r="B570" s="37" t="n">
        <f aca="false">1+IF($G$6=$E$6,$F$6,IF(P570&lt;($F$6-$E$6)/($G$6-$E$6),$E$6+SQRT(P570*($G$6-$E$6)*($F$6-$E$6)),$G$6-SQRT((1-P570)*($G$6-$E$6)*($G$6-$F$6))))</f>
        <v>0.9978336465948</v>
      </c>
      <c r="C570" s="37" t="n">
        <f aca="false">1+IF($G$7=$E$7,$F$7,IF(Q570&lt;($F$7-$E$7)/($G$7-$E$7),$E$7+SQRT(Q570*($G$7-$E$7)*($F$7-$E$7)),$G$7-SQRT((1-Q570)*($G$7-$E$7)*($G$7-$F$7))))</f>
        <v>0.974608655722867</v>
      </c>
      <c r="D570" s="37" t="n">
        <f aca="false">1+IF($G$8=$E$8,$F$8,IF(R570&lt;($F$8-$E$8)/($G$8-$E$8),$E$8+SQRT(R570*($G$8-$E$8)*($F$8-$E$8)),$G$8-SQRT((1-R570)*($G$8-$E$8)*($G$8-$F$8))))</f>
        <v>0.989536618499133</v>
      </c>
      <c r="E570" s="37" t="n">
        <f aca="false">1+IF($G$9=$E$9,$F$9,IF(S570&lt;($F$9-$E$9)/($G$9-$E$9),$E$9+SQRT(S570*($G$9-$E$9)*($F$9-$E$9)),$G$9-SQRT((1-S570)*($G$9-$E$9)*($G$9-$F$9))))</f>
        <v>0.939911232778831</v>
      </c>
      <c r="F570" s="37" t="n">
        <f aca="false">1+IF($G$10=$E$10,$F$10,IF(T570&lt;($F$10-$E$10)/($G$10-$E$10),$E$10+SQRT(T570*($G$10-$E$10)*($F$10-$E$10)),$G$10-SQRT((1-T570)*($G$10-$E$10)*($G$10-$F$10))))</f>
        <v>1.07849000181825</v>
      </c>
      <c r="G570" s="38" t="n">
        <f aca="false">IF($G$11=$E$11,$F$11,IF(U570&lt;($F$11-$E$11)/($G$11-$E$11),$E$11+SQRT(U570*($G$11-$E$11)*($F$11-$E$11)),$G$11-SQRT((1-U570)*($G$11-$E$11)*($G$11-$F$11))))</f>
        <v>0.0939723249158452</v>
      </c>
      <c r="H570" s="39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-2156980003.6365</v>
      </c>
      <c r="I570" s="39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10925422.5135911</v>
      </c>
      <c r="J570" s="39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313769483.005752</v>
      </c>
      <c r="K570" s="39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670538043.588825</v>
      </c>
      <c r="L570" s="39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805095570.749942</v>
      </c>
      <c r="M570" s="39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989947859.23379</v>
      </c>
      <c r="N570" s="39" t="n">
        <f aca="false">IF(COUNT('Business Case'!B11:G11)=0,"",H570+NPV(G570,I570:M570))</f>
        <v>-178742959.154707</v>
      </c>
      <c r="P570" s="40" t="n">
        <f aca="true">RAND()</f>
        <v>0.638094827069087</v>
      </c>
      <c r="Q570" s="40" t="n">
        <f aca="true">RAND()</f>
        <v>0.558591954058666</v>
      </c>
      <c r="R570" s="40" t="n">
        <f aca="true">RAND()</f>
        <v>0.208419226979461</v>
      </c>
      <c r="S570" s="40" t="n">
        <f aca="true">RAND()</f>
        <v>0.0637162600770423</v>
      </c>
      <c r="T570" s="40" t="n">
        <f aca="true">RAND()</f>
        <v>0.607790940315947</v>
      </c>
      <c r="U570" s="40" t="n">
        <f aca="true">RAND()</f>
        <v>0.195225863553948</v>
      </c>
    </row>
    <row r="571" customFormat="false" ht="15" hidden="false" customHeight="false" outlineLevel="0" collapsed="false">
      <c r="A571" s="36" t="n">
        <v>491</v>
      </c>
      <c r="B571" s="37" t="n">
        <f aca="false">1+IF($G$6=$E$6,$F$6,IF(P571&lt;($F$6-$E$6)/($G$6-$E$6),$E$6+SQRT(P571*($G$6-$E$6)*($F$6-$E$6)),$G$6-SQRT((1-P571)*($G$6-$E$6)*($G$6-$F$6))))</f>
        <v>0.9564742820391</v>
      </c>
      <c r="C571" s="37" t="n">
        <f aca="false">1+IF($G$7=$E$7,$F$7,IF(Q571&lt;($F$7-$E$7)/($G$7-$E$7),$E$7+SQRT(Q571*($G$7-$E$7)*($F$7-$E$7)),$G$7-SQRT((1-Q571)*($G$7-$E$7)*($G$7-$F$7))))</f>
        <v>1.09962603308209</v>
      </c>
      <c r="D571" s="37" t="n">
        <f aca="false">1+IF($G$8=$E$8,$F$8,IF(R571&lt;($F$8-$E$8)/($G$8-$E$8),$E$8+SQRT(R571*($G$8-$E$8)*($F$8-$E$8)),$G$8-SQRT((1-R571)*($G$8-$E$8)*($G$8-$F$8))))</f>
        <v>1.07276758660212</v>
      </c>
      <c r="E571" s="37" t="n">
        <f aca="false">1+IF($G$9=$E$9,$F$9,IF(S571&lt;($F$9-$E$9)/($G$9-$E$9),$E$9+SQRT(S571*($G$9-$E$9)*($F$9-$E$9)),$G$9-SQRT((1-S571)*($G$9-$E$9)*($G$9-$F$9))))</f>
        <v>0.991271875632779</v>
      </c>
      <c r="F571" s="37" t="n">
        <f aca="false">1+IF($G$10=$E$10,$F$10,IF(T571&lt;($F$10-$E$10)/($G$10-$E$10),$E$10+SQRT(T571*($G$10-$E$10)*($F$10-$E$10)),$G$10-SQRT((1-T571)*($G$10-$E$10)*($G$10-$F$10))))</f>
        <v>1.08233583437449</v>
      </c>
      <c r="G571" s="38" t="n">
        <f aca="false">IF($G$11=$E$11,$F$11,IF(U571&lt;($F$11-$E$11)/($G$11-$E$11),$E$11+SQRT(U571*($G$11-$E$11)*($F$11-$E$11)),$G$11-SQRT((1-U571)*($G$11-$E$11)*($G$11-$F$11))))</f>
        <v>0.114234326042882</v>
      </c>
      <c r="H571" s="39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-2164671668.74898</v>
      </c>
      <c r="I571" s="39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-46128360.5453428</v>
      </c>
      <c r="J571" s="39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211459169.884656</v>
      </c>
      <c r="K571" s="39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523163492.03338</v>
      </c>
      <c r="L571" s="39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645374966.725321</v>
      </c>
      <c r="M571" s="39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845294271.742664</v>
      </c>
      <c r="N571" s="39" t="n">
        <f aca="false">IF(COUNT('Business Case'!B11:G11)=0,"",H571+NPV(G571,I571:M571))</f>
        <v>-746675307.948876</v>
      </c>
      <c r="P571" s="40" t="n">
        <f aca="true">RAND()</f>
        <v>0.212622968788788</v>
      </c>
      <c r="Q571" s="40" t="n">
        <f aca="true">RAND()</f>
        <v>0.962406866028945</v>
      </c>
      <c r="R571" s="40" t="n">
        <f aca="true">RAND()</f>
        <v>0.950559710701789</v>
      </c>
      <c r="S571" s="40" t="n">
        <f aca="true">RAND()</f>
        <v>0.333222211261018</v>
      </c>
      <c r="T571" s="40" t="n">
        <f aca="true">RAND()</f>
        <v>0.62518303420135</v>
      </c>
      <c r="U571" s="40" t="n">
        <f aca="true">RAND()</f>
        <v>0.834295683118565</v>
      </c>
    </row>
    <row r="572" customFormat="false" ht="15" hidden="false" customHeight="false" outlineLevel="0" collapsed="false">
      <c r="A572" s="36" t="n">
        <v>492</v>
      </c>
      <c r="B572" s="37" t="n">
        <f aca="false">1+IF($G$6=$E$6,$F$6,IF(P572&lt;($F$6-$E$6)/($G$6-$E$6),$E$6+SQRT(P572*($G$6-$E$6)*($F$6-$E$6)),$G$6-SQRT((1-P572)*($G$6-$E$6)*($G$6-$F$6))))</f>
        <v>1.00363711438153</v>
      </c>
      <c r="C572" s="37" t="n">
        <f aca="false">1+IF($G$7=$E$7,$F$7,IF(Q572&lt;($F$7-$E$7)/($G$7-$E$7),$E$7+SQRT(Q572*($G$7-$E$7)*($F$7-$E$7)),$G$7-SQRT((1-Q572)*($G$7-$E$7)*($G$7-$F$7))))</f>
        <v>0.886677232291024</v>
      </c>
      <c r="D572" s="37" t="n">
        <f aca="false">1+IF($G$8=$E$8,$F$8,IF(R572&lt;($F$8-$E$8)/($G$8-$E$8),$E$8+SQRT(R572*($G$8-$E$8)*($F$8-$E$8)),$G$8-SQRT((1-R572)*($G$8-$E$8)*($G$8-$F$8))))</f>
        <v>1.06159656500698</v>
      </c>
      <c r="E572" s="37" t="n">
        <f aca="false">1+IF($G$9=$E$9,$F$9,IF(S572&lt;($F$9-$E$9)/($G$9-$E$9),$E$9+SQRT(S572*($G$9-$E$9)*($F$9-$E$9)),$G$9-SQRT((1-S572)*($G$9-$E$9)*($G$9-$F$9))))</f>
        <v>0.99814682370499</v>
      </c>
      <c r="F572" s="37" t="n">
        <f aca="false">1+IF($G$10=$E$10,$F$10,IF(T572&lt;($F$10-$E$10)/($G$10-$E$10),$E$10+SQRT(T572*($G$10-$E$10)*($F$10-$E$10)),$G$10-SQRT((1-T572)*($G$10-$E$10)*($G$10-$F$10))))</f>
        <v>1.03431966984065</v>
      </c>
      <c r="G572" s="38" t="n">
        <f aca="false">IF($G$11=$E$11,$F$11,IF(U572&lt;($F$11-$E$11)/($G$11-$E$11),$E$11+SQRT(U572*($G$11-$E$11)*($F$11-$E$11)),$G$11-SQRT((1-U572)*($G$11-$E$11)*($G$11-$F$11))))</f>
        <v>0.0920941680227781</v>
      </c>
      <c r="H572" s="39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-2068639339.68129</v>
      </c>
      <c r="I572" s="39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-44473987.470017</v>
      </c>
      <c r="J572" s="39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202552999.324099</v>
      </c>
      <c r="K572" s="39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501295969.610247</v>
      </c>
      <c r="L572" s="39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614393317.841098</v>
      </c>
      <c r="M572" s="39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783545923.988232</v>
      </c>
      <c r="N572" s="39" t="n">
        <f aca="false">IF(COUNT('Business Case'!B11:G11)=0,"",H572+NPV(G572,I572:M572))</f>
        <v>-618351465.047425</v>
      </c>
      <c r="P572" s="40" t="n">
        <f aca="true">RAND()</f>
        <v>0.713397711617213</v>
      </c>
      <c r="Q572" s="40" t="n">
        <f aca="true">RAND()</f>
        <v>0.258136215228421</v>
      </c>
      <c r="R572" s="40" t="n">
        <f aca="true">RAND()</f>
        <v>0.9016784120491</v>
      </c>
      <c r="S572" s="40" t="n">
        <f aca="true">RAND()</f>
        <v>0.385311960135139</v>
      </c>
      <c r="T572" s="40" t="n">
        <f aca="true">RAND()</f>
        <v>0.379759935764698</v>
      </c>
      <c r="U572" s="40" t="n">
        <f aca="true">RAND()</f>
        <v>0.146268900163187</v>
      </c>
    </row>
    <row r="573" customFormat="false" ht="15" hidden="false" customHeight="false" outlineLevel="0" collapsed="false">
      <c r="A573" s="36" t="n">
        <v>493</v>
      </c>
      <c r="B573" s="37" t="n">
        <f aca="false">1+IF($G$6=$E$6,$F$6,IF(P573&lt;($F$6-$E$6)/($G$6-$E$6),$E$6+SQRT(P573*($G$6-$E$6)*($F$6-$E$6)),$G$6-SQRT((1-P573)*($G$6-$E$6)*($G$6-$F$6))))</f>
        <v>0.918163212376124</v>
      </c>
      <c r="C573" s="37" t="n">
        <f aca="false">1+IF($G$7=$E$7,$F$7,IF(Q573&lt;($F$7-$E$7)/($G$7-$E$7),$E$7+SQRT(Q573*($G$7-$E$7)*($F$7-$E$7)),$G$7-SQRT((1-Q573)*($G$7-$E$7)*($G$7-$F$7))))</f>
        <v>0.914692363942304</v>
      </c>
      <c r="D573" s="37" t="n">
        <f aca="false">1+IF($G$8=$E$8,$F$8,IF(R573&lt;($F$8-$E$8)/($G$8-$E$8),$E$8+SQRT(R573*($G$8-$E$8)*($F$8-$E$8)),$G$8-SQRT((1-R573)*($G$8-$E$8)*($G$8-$F$8))))</f>
        <v>1.00231425245696</v>
      </c>
      <c r="E573" s="37" t="n">
        <f aca="false">1+IF($G$9=$E$9,$F$9,IF(S573&lt;($F$9-$E$9)/($G$9-$E$9),$E$9+SQRT(S573*($G$9-$E$9)*($F$9-$E$9)),$G$9-SQRT((1-S573)*($G$9-$E$9)*($G$9-$F$9))))</f>
        <v>1.08512661680745</v>
      </c>
      <c r="F573" s="37" t="n">
        <f aca="false">1+IF($G$10=$E$10,$F$10,IF(T573&lt;($F$10-$E$10)/($G$10-$E$10),$E$10+SQRT(T573*($G$10-$E$10)*($F$10-$E$10)),$G$10-SQRT((1-T573)*($G$10-$E$10)*($G$10-$F$10))))</f>
        <v>1.15291342581498</v>
      </c>
      <c r="G573" s="38" t="n">
        <f aca="false">IF($G$11=$E$11,$F$11,IF(U573&lt;($F$11-$E$11)/($G$11-$E$11),$E$11+SQRT(U573*($G$11-$E$11)*($F$11-$E$11)),$G$11-SQRT((1-U573)*($G$11-$E$11)*($G$11-$F$11))))</f>
        <v>0.106753054249733</v>
      </c>
      <c r="H573" s="39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-2305826851.62997</v>
      </c>
      <c r="I573" s="39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-94579581.0559697</v>
      </c>
      <c r="J573" s="39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123974329.19799</v>
      </c>
      <c r="K573" s="39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400173910.742698</v>
      </c>
      <c r="L573" s="39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502049976.706292</v>
      </c>
      <c r="M573" s="39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661686170.707133</v>
      </c>
      <c r="N573" s="39" t="n">
        <f aca="false">IF(COUNT('Business Case'!B11:G11)=0,"",H573+NPV(G573,I573:M573))</f>
        <v>-1261798993.89975</v>
      </c>
      <c r="P573" s="40" t="n">
        <f aca="true">RAND()</f>
        <v>0.0219934855880127</v>
      </c>
      <c r="Q573" s="40" t="n">
        <f aca="true">RAND()</f>
        <v>0.341428230630628</v>
      </c>
      <c r="R573" s="40" t="n">
        <f aca="true">RAND()</f>
        <v>0.363832981797169</v>
      </c>
      <c r="S573" s="40" t="n">
        <f aca="true">RAND()</f>
        <v>0.887771844084076</v>
      </c>
      <c r="T573" s="40" t="n">
        <f aca="true">RAND()</f>
        <v>0.874322628173562</v>
      </c>
      <c r="U573" s="40" t="n">
        <f aca="true">RAND()</f>
        <v>0.639719675522754</v>
      </c>
    </row>
    <row r="574" customFormat="false" ht="15" hidden="false" customHeight="false" outlineLevel="0" collapsed="false">
      <c r="A574" s="36" t="n">
        <v>494</v>
      </c>
      <c r="B574" s="37" t="n">
        <f aca="false">1+IF($G$6=$E$6,$F$6,IF(P574&lt;($F$6-$E$6)/($G$6-$E$6),$E$6+SQRT(P574*($G$6-$E$6)*($F$6-$E$6)),$G$6-SQRT((1-P574)*($G$6-$E$6)*($G$6-$F$6))))</f>
        <v>1.019896523488</v>
      </c>
      <c r="C574" s="37" t="n">
        <f aca="false">1+IF($G$7=$E$7,$F$7,IF(Q574&lt;($F$7-$E$7)/($G$7-$E$7),$E$7+SQRT(Q574*($G$7-$E$7)*($F$7-$E$7)),$G$7-SQRT((1-Q574)*($G$7-$E$7)*($G$7-$F$7))))</f>
        <v>0.988332365198869</v>
      </c>
      <c r="D574" s="37" t="n">
        <f aca="false">1+IF($G$8=$E$8,$F$8,IF(R574&lt;($F$8-$E$8)/($G$8-$E$8),$E$8+SQRT(R574*($G$8-$E$8)*($F$8-$E$8)),$G$8-SQRT((1-R574)*($G$8-$E$8)*($G$8-$F$8))))</f>
        <v>0.986917499127621</v>
      </c>
      <c r="E574" s="37" t="n">
        <f aca="false">1+IF($G$9=$E$9,$F$9,IF(S574&lt;($F$9-$E$9)/($G$9-$E$9),$E$9+SQRT(S574*($G$9-$E$9)*($F$9-$E$9)),$G$9-SQRT((1-S574)*($G$9-$E$9)*($G$9-$F$9))))</f>
        <v>1.01688774114616</v>
      </c>
      <c r="F574" s="37" t="n">
        <f aca="false">1+IF($G$10=$E$10,$F$10,IF(T574&lt;($F$10-$E$10)/($G$10-$E$10),$E$10+SQRT(T574*($G$10-$E$10)*($F$10-$E$10)),$G$10-SQRT((1-T574)*($G$10-$E$10)*($G$10-$F$10))))</f>
        <v>1.20274651936099</v>
      </c>
      <c r="G574" s="38" t="n">
        <f aca="false">IF($G$11=$E$11,$F$11,IF(U574&lt;($F$11-$E$11)/($G$11-$E$11),$E$11+SQRT(U574*($G$11-$E$11)*($F$11-$E$11)),$G$11-SQRT((1-U574)*($G$11-$E$11)*($G$11-$F$11))))</f>
        <v>0.116123560951333</v>
      </c>
      <c r="H574" s="39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-2405493038.72198</v>
      </c>
      <c r="I574" s="39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9163217.6834956</v>
      </c>
      <c r="J574" s="39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335457075.267628</v>
      </c>
      <c r="K574" s="39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721888258.81981</v>
      </c>
      <c r="L574" s="39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865489245.463556</v>
      </c>
      <c r="M574" s="39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1057089266.43325</v>
      </c>
      <c r="N574" s="39" t="n">
        <f aca="false">IF(COUNT('Business Case'!B11:G11)=0,"",H574+NPV(G574,I574:M574))</f>
        <v>-440774831.653781</v>
      </c>
      <c r="P574" s="40" t="n">
        <f aca="true">RAND()</f>
        <v>0.879170760252222</v>
      </c>
      <c r="Q574" s="40" t="n">
        <f aca="true">RAND()</f>
        <v>0.615818909786472</v>
      </c>
      <c r="R574" s="40" t="n">
        <f aca="true">RAND()</f>
        <v>0.181720232245052</v>
      </c>
      <c r="S574" s="40" t="n">
        <f aca="true">RAND()</f>
        <v>0.52749670780877</v>
      </c>
      <c r="T574" s="40" t="n">
        <f aca="true">RAND()</f>
        <v>0.970228114233318</v>
      </c>
      <c r="U574" s="40" t="n">
        <f aca="true">RAND()</f>
        <v>0.871629626219091</v>
      </c>
    </row>
    <row r="575" customFormat="false" ht="15" hidden="false" customHeight="false" outlineLevel="0" collapsed="false">
      <c r="A575" s="36" t="n">
        <v>495</v>
      </c>
      <c r="B575" s="37" t="n">
        <f aca="false">1+IF($G$6=$E$6,$F$6,IF(P575&lt;($F$6-$E$6)/($G$6-$E$6),$E$6+SQRT(P575*($G$6-$E$6)*($F$6-$E$6)),$G$6-SQRT((1-P575)*($G$6-$E$6)*($G$6-$F$6))))</f>
        <v>1.03899717502517</v>
      </c>
      <c r="C575" s="37" t="n">
        <f aca="false">1+IF($G$7=$E$7,$F$7,IF(Q575&lt;($F$7-$E$7)/($G$7-$E$7),$E$7+SQRT(Q575*($G$7-$E$7)*($F$7-$E$7)),$G$7-SQRT((1-Q575)*($G$7-$E$7)*($G$7-$F$7))))</f>
        <v>0.979712164016083</v>
      </c>
      <c r="D575" s="37" t="n">
        <f aca="false">1+IF($G$8=$E$8,$F$8,IF(R575&lt;($F$8-$E$8)/($G$8-$E$8),$E$8+SQRT(R575*($G$8-$E$8)*($F$8-$E$8)),$G$8-SQRT((1-R575)*($G$8-$E$8)*($G$8-$F$8))))</f>
        <v>1.06210910608994</v>
      </c>
      <c r="E575" s="37" t="n">
        <f aca="false">1+IF($G$9=$E$9,$F$9,IF(S575&lt;($F$9-$E$9)/($G$9-$E$9),$E$9+SQRT(S575*($G$9-$E$9)*($F$9-$E$9)),$G$9-SQRT((1-S575)*($G$9-$E$9)*($G$9-$F$9))))</f>
        <v>1.02330326362351</v>
      </c>
      <c r="F575" s="37" t="n">
        <f aca="false">1+IF($G$10=$E$10,$F$10,IF(T575&lt;($F$10-$E$10)/($G$10-$E$10),$E$10+SQRT(T575*($G$10-$E$10)*($F$10-$E$10)),$G$10-SQRT((1-T575)*($G$10-$E$10)*($G$10-$F$10))))</f>
        <v>1.02004793468315</v>
      </c>
      <c r="G575" s="38" t="n">
        <f aca="false">IF($G$11=$E$11,$F$11,IF(U575&lt;($F$11-$E$11)/($G$11-$E$11),$E$11+SQRT(U575*($G$11-$E$11)*($F$11-$E$11)),$G$11-SQRT((1-U575)*($G$11-$E$11)*($G$11-$F$11))))</f>
        <v>0.115754726049652</v>
      </c>
      <c r="H575" s="39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-2040095869.3663</v>
      </c>
      <c r="I575" s="39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776781.419270486</v>
      </c>
      <c r="J575" s="39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301840958.365825</v>
      </c>
      <c r="K575" s="39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653907532.046537</v>
      </c>
      <c r="L575" s="39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789441509.676526</v>
      </c>
      <c r="M575" s="39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982927395.572782</v>
      </c>
      <c r="N575" s="39" t="n">
        <f aca="false">IF(COUNT('Business Case'!B11:G11)=0,"",H575+NPV(G575,I575:M575))</f>
        <v>-248353189.138366</v>
      </c>
      <c r="P575" s="40" t="n">
        <f aca="true">RAND()</f>
        <v>0.983858379009769</v>
      </c>
      <c r="Q575" s="40" t="n">
        <f aca="true">RAND()</f>
        <v>0.579547368137483</v>
      </c>
      <c r="R575" s="40" t="n">
        <f aca="true">RAND()</f>
        <v>0.904285343913109</v>
      </c>
      <c r="S575" s="40" t="n">
        <f aca="true">RAND()</f>
        <v>0.571944986441208</v>
      </c>
      <c r="T575" s="40" t="n">
        <f aca="true">RAND()</f>
        <v>0.29496063542021</v>
      </c>
      <c r="U575" s="40" t="n">
        <f aca="true">RAND()</f>
        <v>0.864714780053022</v>
      </c>
    </row>
    <row r="576" customFormat="false" ht="15" hidden="false" customHeight="false" outlineLevel="0" collapsed="false">
      <c r="A576" s="36" t="n">
        <v>496</v>
      </c>
      <c r="B576" s="37" t="n">
        <f aca="false">1+IF($G$6=$E$6,$F$6,IF(P576&lt;($F$6-$E$6)/($G$6-$E$6),$E$6+SQRT(P576*($G$6-$E$6)*($F$6-$E$6)),$G$6-SQRT((1-P576)*($G$6-$E$6)*($G$6-$F$6))))</f>
        <v>0.976473683023431</v>
      </c>
      <c r="C576" s="37" t="n">
        <f aca="false">1+IF($G$7=$E$7,$F$7,IF(Q576&lt;($F$7-$E$7)/($G$7-$E$7),$E$7+SQRT(Q576*($G$7-$E$7)*($F$7-$E$7)),$G$7-SQRT((1-Q576)*($G$7-$E$7)*($G$7-$F$7))))</f>
        <v>1.04000611016651</v>
      </c>
      <c r="D576" s="37" t="n">
        <f aca="false">1+IF($G$8=$E$8,$F$8,IF(R576&lt;($F$8-$E$8)/($G$8-$E$8),$E$8+SQRT(R576*($G$8-$E$8)*($F$8-$E$8)),$G$8-SQRT((1-R576)*($G$8-$E$8)*($G$8-$F$8))))</f>
        <v>0.993534303655793</v>
      </c>
      <c r="E576" s="37" t="n">
        <f aca="false">1+IF($G$9=$E$9,$F$9,IF(S576&lt;($F$9-$E$9)/($G$9-$E$9),$E$9+SQRT(S576*($G$9-$E$9)*($F$9-$E$9)),$G$9-SQRT((1-S576)*($G$9-$E$9)*($G$9-$F$9))))</f>
        <v>1.0380578088895</v>
      </c>
      <c r="F576" s="37" t="n">
        <f aca="false">1+IF($G$10=$E$10,$F$10,IF(T576&lt;($F$10-$E$10)/($G$10-$E$10),$E$10+SQRT(T576*($G$10-$E$10)*($F$10-$E$10)),$G$10-SQRT((1-T576)*($G$10-$E$10)*($G$10-$F$10))))</f>
        <v>1.04786123929484</v>
      </c>
      <c r="G576" s="38" t="n">
        <f aca="false">IF($G$11=$E$11,$F$11,IF(U576&lt;($F$11-$E$11)/($G$11-$E$11),$E$11+SQRT(U576*($G$11-$E$11)*($F$11-$E$11)),$G$11-SQRT((1-U576)*($G$11-$E$11)*($G$11-$F$11))))</f>
        <v>0.0971622598818519</v>
      </c>
      <c r="H576" s="39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-2095722478.58968</v>
      </c>
      <c r="I576" s="39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-2201827.33216412</v>
      </c>
      <c r="J576" s="39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300639810.545341</v>
      </c>
      <c r="K576" s="39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655874510.387588</v>
      </c>
      <c r="L576" s="39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791918736.917488</v>
      </c>
      <c r="M576" s="39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984952313.38985</v>
      </c>
      <c r="N576" s="39" t="n">
        <f aca="false">IF(COUNT('Business Case'!B11:G11)=0,"",H576+NPV(G576,I576:M576))</f>
        <v>-185341300.156625</v>
      </c>
      <c r="P576" s="40" t="n">
        <f aca="true">RAND()</f>
        <v>0.389881613011209</v>
      </c>
      <c r="Q576" s="40" t="n">
        <f aca="true">RAND()</f>
        <v>0.82076065480441</v>
      </c>
      <c r="R576" s="40" t="n">
        <f aca="true">RAND()</f>
        <v>0.252698079305971</v>
      </c>
      <c r="S576" s="40" t="n">
        <f aca="true">RAND()</f>
        <v>0.665838555983459</v>
      </c>
      <c r="T576" s="40" t="n">
        <f aca="true">RAND()</f>
        <v>0.455198952274426</v>
      </c>
      <c r="U576" s="40" t="n">
        <f aca="true">RAND()</f>
        <v>0.294543164252223</v>
      </c>
    </row>
    <row r="577" customFormat="false" ht="15" hidden="false" customHeight="false" outlineLevel="0" collapsed="false">
      <c r="A577" s="36" t="n">
        <v>497</v>
      </c>
      <c r="B577" s="37" t="n">
        <f aca="false">1+IF($G$6=$E$6,$F$6,IF(P577&lt;($F$6-$E$6)/($G$6-$E$6),$E$6+SQRT(P577*($G$6-$E$6)*($F$6-$E$6)),$G$6-SQRT((1-P577)*($G$6-$E$6)*($G$6-$F$6))))</f>
        <v>0.958675361835243</v>
      </c>
      <c r="C577" s="37" t="n">
        <f aca="false">1+IF($G$7=$E$7,$F$7,IF(Q577&lt;($F$7-$E$7)/($G$7-$E$7),$E$7+SQRT(Q577*($G$7-$E$7)*($F$7-$E$7)),$G$7-SQRT((1-Q577)*($G$7-$E$7)*($G$7-$F$7))))</f>
        <v>1.09233761325982</v>
      </c>
      <c r="D577" s="37" t="n">
        <f aca="false">1+IF($G$8=$E$8,$F$8,IF(R577&lt;($F$8-$E$8)/($G$8-$E$8),$E$8+SQRT(R577*($G$8-$E$8)*($F$8-$E$8)),$G$8-SQRT((1-R577)*($G$8-$E$8)*($G$8-$F$8))))</f>
        <v>1.04091715008789</v>
      </c>
      <c r="E577" s="37" t="n">
        <f aca="false">1+IF($G$9=$E$9,$F$9,IF(S577&lt;($F$9-$E$9)/($G$9-$E$9),$E$9+SQRT(S577*($G$9-$E$9)*($F$9-$E$9)),$G$9-SQRT((1-S577)*($G$9-$E$9)*($G$9-$F$9))))</f>
        <v>0.976890720932643</v>
      </c>
      <c r="F577" s="37" t="n">
        <f aca="false">1+IF($G$10=$E$10,$F$10,IF(T577&lt;($F$10-$E$10)/($G$10-$E$10),$E$10+SQRT(T577*($G$10-$E$10)*($F$10-$E$10)),$G$10-SQRT((1-T577)*($G$10-$E$10)*($G$10-$F$10))))</f>
        <v>1.01782478168769</v>
      </c>
      <c r="G577" s="38" t="n">
        <f aca="false">IF($G$11=$E$11,$F$11,IF(U577&lt;($F$11-$E$11)/($G$11-$E$11),$E$11+SQRT(U577*($G$11-$E$11)*($F$11-$E$11)),$G$11-SQRT((1-U577)*($G$11-$E$11)*($G$11-$F$11))))</f>
        <v>0.108779909798184</v>
      </c>
      <c r="H577" s="39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-2035649563.37538</v>
      </c>
      <c r="I577" s="39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-19323080.295247</v>
      </c>
      <c r="J577" s="39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256336878.695016</v>
      </c>
      <c r="K577" s="39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582888076.769663</v>
      </c>
      <c r="L577" s="39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710965863.49983</v>
      </c>
      <c r="M577" s="39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910017099.033601</v>
      </c>
      <c r="N577" s="39" t="n">
        <f aca="false">IF(COUNT('Business Case'!B11:G11)=0,"",H577+NPV(G577,I577:M577))</f>
        <v>-403529981.404343</v>
      </c>
      <c r="P577" s="40" t="n">
        <f aca="true">RAND()</f>
        <v>0.22951987243311</v>
      </c>
      <c r="Q577" s="40" t="n">
        <f aca="true">RAND()</f>
        <v>0.95074146896927</v>
      </c>
      <c r="R577" s="40" t="n">
        <f aca="true">RAND()</f>
        <v>0.767281123084195</v>
      </c>
      <c r="S577" s="40" t="n">
        <f aca="true">RAND()</f>
        <v>0.236487318621663</v>
      </c>
      <c r="T577" s="40" t="n">
        <f aca="true">RAND()</f>
        <v>0.281262240021734</v>
      </c>
      <c r="U577" s="40" t="n">
        <f aca="true">RAND()</f>
        <v>0.699805181217867</v>
      </c>
    </row>
    <row r="578" customFormat="false" ht="15" hidden="false" customHeight="false" outlineLevel="0" collapsed="false">
      <c r="A578" s="36" t="n">
        <v>498</v>
      </c>
      <c r="B578" s="37" t="n">
        <f aca="false">1+IF($G$6=$E$6,$F$6,IF(P578&lt;($F$6-$E$6)/($G$6-$E$6),$E$6+SQRT(P578*($G$6-$E$6)*($F$6-$E$6)),$G$6-SQRT((1-P578)*($G$6-$E$6)*($G$6-$F$6))))</f>
        <v>1.02490068736129</v>
      </c>
      <c r="C578" s="37" t="n">
        <f aca="false">1+IF($G$7=$E$7,$F$7,IF(Q578&lt;($F$7-$E$7)/($G$7-$E$7),$E$7+SQRT(Q578*($G$7-$E$7)*($F$7-$E$7)),$G$7-SQRT((1-Q578)*($G$7-$E$7)*($G$7-$F$7))))</f>
        <v>1.06084043148932</v>
      </c>
      <c r="D578" s="37" t="n">
        <f aca="false">1+IF($G$8=$E$8,$F$8,IF(R578&lt;($F$8-$E$8)/($G$8-$E$8),$E$8+SQRT(R578*($G$8-$E$8)*($F$8-$E$8)),$G$8-SQRT((1-R578)*($G$8-$E$8)*($G$8-$F$8))))</f>
        <v>1.02015119494121</v>
      </c>
      <c r="E578" s="37" t="n">
        <f aca="false">1+IF($G$9=$E$9,$F$9,IF(S578&lt;($F$9-$E$9)/($G$9-$E$9),$E$9+SQRT(S578*($G$9-$E$9)*($F$9-$E$9)),$G$9-SQRT((1-S578)*($G$9-$E$9)*($G$9-$F$9))))</f>
        <v>0.974135506096295</v>
      </c>
      <c r="F578" s="37" t="n">
        <f aca="false">1+IF($G$10=$E$10,$F$10,IF(T578&lt;($F$10-$E$10)/($G$10-$E$10),$E$10+SQRT(T578*($G$10-$E$10)*($F$10-$E$10)),$G$10-SQRT((1-T578)*($G$10-$E$10)*($G$10-$F$10))))</f>
        <v>1.03561996674945</v>
      </c>
      <c r="G578" s="38" t="n">
        <f aca="false">IF($G$11=$E$11,$F$11,IF(U578&lt;($F$11-$E$11)/($G$11-$E$11),$E$11+SQRT(U578*($G$11-$E$11)*($F$11-$E$11)),$G$11-SQRT((1-U578)*($G$11-$E$11)*($G$11-$F$11))))</f>
        <v>0.0923590161139288</v>
      </c>
      <c r="H578" s="39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-2071239933.4989</v>
      </c>
      <c r="I578" s="39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38084745.7089274</v>
      </c>
      <c r="J578" s="39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374616912.631237</v>
      </c>
      <c r="K578" s="39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762930077.891019</v>
      </c>
      <c r="L578" s="39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912683037.246152</v>
      </c>
      <c r="M578" s="39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1119348674.34182</v>
      </c>
      <c r="N578" s="39" t="n">
        <f aca="false">IF(COUNT('Business Case'!B11:G11)=0,"",H578+NPV(G578,I578:M578))</f>
        <v>223564246.866954</v>
      </c>
      <c r="P578" s="40" t="n">
        <f aca="true">RAND()</f>
        <v>0.91600326734192</v>
      </c>
      <c r="Q578" s="40" t="n">
        <f aca="true">RAND()</f>
        <v>0.882230686562803</v>
      </c>
      <c r="R578" s="40" t="n">
        <f aca="true">RAND()</f>
        <v>0.574944555378913</v>
      </c>
      <c r="S578" s="40" t="n">
        <f aca="true">RAND()</f>
        <v>0.219842930566151</v>
      </c>
      <c r="T578" s="40" t="n">
        <f aca="true">RAND()</f>
        <v>0.38721601791323</v>
      </c>
      <c r="U578" s="40" t="n">
        <f aca="true">RAND()</f>
        <v>0.152745279304353</v>
      </c>
    </row>
    <row r="579" customFormat="false" ht="15" hidden="false" customHeight="false" outlineLevel="0" collapsed="false">
      <c r="A579" s="36" t="n">
        <v>499</v>
      </c>
      <c r="B579" s="37" t="n">
        <f aca="false">1+IF($G$6=$E$6,$F$6,IF(P579&lt;($F$6-$E$6)/($G$6-$E$6),$E$6+SQRT(P579*($G$6-$E$6)*($F$6-$E$6)),$G$6-SQRT((1-P579)*($G$6-$E$6)*($G$6-$F$6))))</f>
        <v>0.91456153471977</v>
      </c>
      <c r="C579" s="37" t="n">
        <f aca="false">1+IF($G$7=$E$7,$F$7,IF(Q579&lt;($F$7-$E$7)/($G$7-$E$7),$E$7+SQRT(Q579*($G$7-$E$7)*($F$7-$E$7)),$G$7-SQRT((1-Q579)*($G$7-$E$7)*($G$7-$F$7))))</f>
        <v>0.968657373642268</v>
      </c>
      <c r="D579" s="37" t="n">
        <f aca="false">1+IF($G$8=$E$8,$F$8,IF(R579&lt;($F$8-$E$8)/($G$8-$E$8),$E$8+SQRT(R579*($G$8-$E$8)*($F$8-$E$8)),$G$8-SQRT((1-R579)*($G$8-$E$8)*($G$8-$F$8))))</f>
        <v>1.08522925524361</v>
      </c>
      <c r="E579" s="37" t="n">
        <f aca="false">1+IF($G$9=$E$9,$F$9,IF(S579&lt;($F$9-$E$9)/($G$9-$E$9),$E$9+SQRT(S579*($G$9-$E$9)*($F$9-$E$9)),$G$9-SQRT((1-S579)*($G$9-$E$9)*($G$9-$F$9))))</f>
        <v>0.981754428441554</v>
      </c>
      <c r="F579" s="37" t="n">
        <f aca="false">1+IF($G$10=$E$10,$F$10,IF(T579&lt;($F$10-$E$10)/($G$10-$E$10),$E$10+SQRT(T579*($G$10-$E$10)*($F$10-$E$10)),$G$10-SQRT((1-T579)*($G$10-$E$10)*($G$10-$F$10))))</f>
        <v>1.03031157759991</v>
      </c>
      <c r="G579" s="38" t="n">
        <f aca="false">IF($G$11=$E$11,$F$11,IF(U579&lt;($F$11-$E$11)/($G$11-$E$11),$E$11+SQRT(U579*($G$11-$E$11)*($F$11-$E$11)),$G$11-SQRT((1-U579)*($G$11-$E$11)*($G$11-$F$11))))</f>
        <v>0.101181730415549</v>
      </c>
      <c r="H579" s="39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-2060623155.19981</v>
      </c>
      <c r="I579" s="39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-101086430.287087</v>
      </c>
      <c r="J579" s="39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86388665.6876303</v>
      </c>
      <c r="K579" s="39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325379340.542344</v>
      </c>
      <c r="L579" s="39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418487631.718867</v>
      </c>
      <c r="M579" s="39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586878890.569427</v>
      </c>
      <c r="N579" s="39" t="n">
        <f aca="false">IF(COUNT('Business Case'!B11:G11)=0,"",H579+NPV(G579,I579:M579))</f>
        <v>-1190440528.13741</v>
      </c>
      <c r="P579" s="40" t="n">
        <f aca="true">RAND()</f>
        <v>0.014135886226338</v>
      </c>
      <c r="Q579" s="40" t="n">
        <f aca="true">RAND()</f>
        <v>0.534642847498971</v>
      </c>
      <c r="R579" s="40" t="n">
        <f aca="true">RAND()</f>
        <v>0.985455006622762</v>
      </c>
      <c r="S579" s="40" t="n">
        <f aca="true">RAND()</f>
        <v>0.267351462792209</v>
      </c>
      <c r="T579" s="40" t="n">
        <f aca="true">RAND()</f>
        <v>0.356493294178106</v>
      </c>
      <c r="U579" s="40" t="n">
        <f aca="true">RAND()</f>
        <v>0.44633822543861</v>
      </c>
    </row>
    <row r="580" customFormat="false" ht="15" hidden="false" customHeight="false" outlineLevel="0" collapsed="false">
      <c r="A580" s="36" t="n">
        <v>500</v>
      </c>
      <c r="B580" s="37" t="n">
        <f aca="false">1+IF($G$6=$E$6,$F$6,IF(P580&lt;($F$6-$E$6)/($G$6-$E$6),$E$6+SQRT(P580*($G$6-$E$6)*($F$6-$E$6)),$G$6-SQRT((1-P580)*($G$6-$E$6)*($G$6-$F$6))))</f>
        <v>0.963998515885486</v>
      </c>
      <c r="C580" s="37" t="n">
        <f aca="false">1+IF($G$7=$E$7,$F$7,IF(Q580&lt;($F$7-$E$7)/($G$7-$E$7),$E$7+SQRT(Q580*($G$7-$E$7)*($F$7-$E$7)),$G$7-SQRT((1-Q580)*($G$7-$E$7)*($G$7-$F$7))))</f>
        <v>0.768970278294125</v>
      </c>
      <c r="D580" s="37" t="n">
        <f aca="false">1+IF($G$8=$E$8,$F$8,IF(R580&lt;($F$8-$E$8)/($G$8-$E$8),$E$8+SQRT(R580*($G$8-$E$8)*($F$8-$E$8)),$G$8-SQRT((1-R580)*($G$8-$E$8)*($G$8-$F$8))))</f>
        <v>1.05923646286693</v>
      </c>
      <c r="E580" s="37" t="n">
        <f aca="false">1+IF($G$9=$E$9,$F$9,IF(S580&lt;($F$9-$E$9)/($G$9-$E$9),$E$9+SQRT(S580*($G$9-$E$9)*($F$9-$E$9)),$G$9-SQRT((1-S580)*($G$9-$E$9)*($G$9-$F$9))))</f>
        <v>1.12918221163722</v>
      </c>
      <c r="F580" s="37" t="n">
        <f aca="false">1+IF($G$10=$E$10,$F$10,IF(T580&lt;($F$10-$E$10)/($G$10-$E$10),$E$10+SQRT(T580*($G$10-$E$10)*($F$10-$E$10)),$G$10-SQRT((1-T580)*($G$10-$E$10)*($G$10-$F$10))))</f>
        <v>1.0640348328699</v>
      </c>
      <c r="G580" s="38" t="n">
        <f aca="false">IF($G$11=$E$11,$F$11,IF(U580&lt;($F$11-$E$11)/($G$11-$E$11),$E$11+SQRT(U580*($G$11-$E$11)*($F$11-$E$11)),$G$11-SQRT((1-U580)*($G$11-$E$11)*($G$11-$F$11))))</f>
        <v>0.0894223146441459</v>
      </c>
      <c r="H580" s="39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-2128069665.73981</v>
      </c>
      <c r="I580" s="39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-115204467.983462</v>
      </c>
      <c r="J580" s="39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74992534.7876036</v>
      </c>
      <c r="K580" s="39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318391279.202165</v>
      </c>
      <c r="L580" s="39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407409131.441003</v>
      </c>
      <c r="M580" s="39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548312813.674327</v>
      </c>
      <c r="N580" s="39" t="n">
        <f aca="false">IF(COUNT('Business Case'!B11:G11)=0,"",H580+NPV(G580,I580:M580))</f>
        <v>-1277840282.45252</v>
      </c>
      <c r="P580" s="40" t="n">
        <f aca="true">RAND()</f>
        <v>0.273054002369651</v>
      </c>
      <c r="Q580" s="40" t="n">
        <f aca="true">RAND()</f>
        <v>0.0352362910219931</v>
      </c>
      <c r="R580" s="40" t="n">
        <f aca="true">RAND()</f>
        <v>0.889222269360073</v>
      </c>
      <c r="S580" s="40" t="n">
        <f aca="true">RAND()</f>
        <v>0.98844319167153</v>
      </c>
      <c r="T580" s="40" t="n">
        <f aca="true">RAND()</f>
        <v>0.538892754857004</v>
      </c>
      <c r="U580" s="40" t="n">
        <f aca="true">RAND()</f>
        <v>0.0887800132532859</v>
      </c>
    </row>
    <row r="581" customFormat="false" ht="15" hidden="false" customHeight="false" outlineLevel="0" collapsed="false">
      <c r="A581" s="36" t="n">
        <v>501</v>
      </c>
      <c r="B581" s="37" t="n">
        <f aca="false">1+IF($G$6=$E$6,$F$6,IF(P581&lt;($F$6-$E$6)/($G$6-$E$6),$E$6+SQRT(P581*($G$6-$E$6)*($F$6-$E$6)),$G$6-SQRT((1-P581)*($G$6-$E$6)*($G$6-$F$6))))</f>
        <v>0.904044204564805</v>
      </c>
      <c r="C581" s="37" t="n">
        <f aca="false">1+IF($G$7=$E$7,$F$7,IF(Q581&lt;($F$7-$E$7)/($G$7-$E$7),$E$7+SQRT(Q581*($G$7-$E$7)*($F$7-$E$7)),$G$7-SQRT((1-Q581)*($G$7-$E$7)*($G$7-$F$7))))</f>
        <v>1.11164513082092</v>
      </c>
      <c r="D581" s="37" t="n">
        <f aca="false">1+IF($G$8=$E$8,$F$8,IF(R581&lt;($F$8-$E$8)/($G$8-$E$8),$E$8+SQRT(R581*($G$8-$E$8)*($F$8-$E$8)),$G$8-SQRT((1-R581)*($G$8-$E$8)*($G$8-$F$8))))</f>
        <v>1.03189033917054</v>
      </c>
      <c r="E581" s="37" t="n">
        <f aca="false">1+IF($G$9=$E$9,$F$9,IF(S581&lt;($F$9-$E$9)/($G$9-$E$9),$E$9+SQRT(S581*($G$9-$E$9)*($F$9-$E$9)),$G$9-SQRT((1-S581)*($G$9-$E$9)*($G$9-$F$9))))</f>
        <v>0.983118268554823</v>
      </c>
      <c r="F581" s="37" t="n">
        <f aca="false">1+IF($G$10=$E$10,$F$10,IF(T581&lt;($F$10-$E$10)/($G$10-$E$10),$E$10+SQRT(T581*($G$10-$E$10)*($F$10-$E$10)),$G$10-SQRT((1-T581)*($G$10-$E$10)*($G$10-$F$10))))</f>
        <v>1.11501062785599</v>
      </c>
      <c r="G581" s="38" t="n">
        <f aca="false">IF($G$11=$E$11,$F$11,IF(U581&lt;($F$11-$E$11)/($G$11-$E$11),$E$11+SQRT(U581*($G$11-$E$11)*($F$11-$E$11)),$G$11-SQRT((1-U581)*($G$11-$E$11)*($G$11-$F$11))))</f>
        <v>0.101704728866014</v>
      </c>
      <c r="H581" s="39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-2230021255.71198</v>
      </c>
      <c r="I581" s="39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-67471793.1016057</v>
      </c>
      <c r="J581" s="39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168454867.735465</v>
      </c>
      <c r="K581" s="39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460132059.965334</v>
      </c>
      <c r="L581" s="39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573506262.487413</v>
      </c>
      <c r="M581" s="39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764532164.82421</v>
      </c>
      <c r="N581" s="39" t="n">
        <f aca="false">IF(COUNT('Business Case'!B11:G11)=0,"",H581+NPV(G581,I581:M581))</f>
        <v>-948027665.546617</v>
      </c>
      <c r="P581" s="40" t="n">
        <f aca="true">RAND()</f>
        <v>0.00109037270413285</v>
      </c>
      <c r="Q581" s="40" t="n">
        <f aca="true">RAND()</f>
        <v>0.978205985337119</v>
      </c>
      <c r="R581" s="40" t="n">
        <f aca="true">RAND()</f>
        <v>0.690738273446405</v>
      </c>
      <c r="S581" s="40" t="n">
        <f aca="true">RAND()</f>
        <v>0.276345862702067</v>
      </c>
      <c r="T581" s="40" t="n">
        <f aca="true">RAND()</f>
        <v>0.757038258775549</v>
      </c>
      <c r="U581" s="40" t="n">
        <f aca="true">RAND()</f>
        <v>0.466251754302809</v>
      </c>
    </row>
    <row r="582" customFormat="false" ht="15" hidden="false" customHeight="false" outlineLevel="0" collapsed="false">
      <c r="A582" s="36" t="n">
        <v>502</v>
      </c>
      <c r="B582" s="37" t="n">
        <f aca="false">1+IF($G$6=$E$6,$F$6,IF(P582&lt;($F$6-$E$6)/($G$6-$E$6),$E$6+SQRT(P582*($G$6-$E$6)*($F$6-$E$6)),$G$6-SQRT((1-P582)*($G$6-$E$6)*($G$6-$F$6))))</f>
        <v>1.01943221218852</v>
      </c>
      <c r="C582" s="37" t="n">
        <f aca="false">1+IF($G$7=$E$7,$F$7,IF(Q582&lt;($F$7-$E$7)/($G$7-$E$7),$E$7+SQRT(Q582*($G$7-$E$7)*($F$7-$E$7)),$G$7-SQRT((1-Q582)*($G$7-$E$7)*($G$7-$F$7))))</f>
        <v>0.936706193479628</v>
      </c>
      <c r="D582" s="37" t="n">
        <f aca="false">1+IF($G$8=$E$8,$F$8,IF(R582&lt;($F$8-$E$8)/($G$8-$E$8),$E$8+SQRT(R582*($G$8-$E$8)*($F$8-$E$8)),$G$8-SQRT((1-R582)*($G$8-$E$8)*($G$8-$F$8))))</f>
        <v>0.977611791865503</v>
      </c>
      <c r="E582" s="37" t="n">
        <f aca="false">1+IF($G$9=$E$9,$F$9,IF(S582&lt;($F$9-$E$9)/($G$9-$E$9),$E$9+SQRT(S582*($G$9-$E$9)*($F$9-$E$9)),$G$9-SQRT((1-S582)*($G$9-$E$9)*($G$9-$F$9))))</f>
        <v>0.955106632672512</v>
      </c>
      <c r="F582" s="37" t="n">
        <f aca="false">1+IF($G$10=$E$10,$F$10,IF(T582&lt;($F$10-$E$10)/($G$10-$E$10),$E$10+SQRT(T582*($G$10-$E$10)*($F$10-$E$10)),$G$10-SQRT((1-T582)*($G$10-$E$10)*($G$10-$F$10))))</f>
        <v>1.06775327453752</v>
      </c>
      <c r="G582" s="38" t="n">
        <f aca="false">IF($G$11=$E$11,$F$11,IF(U582&lt;($F$11-$E$11)/($G$11-$E$11),$E$11+SQRT(U582*($G$11-$E$11)*($F$11-$E$11)),$G$11-SQRT((1-U582)*($G$11-$E$11)*($G$11-$F$11))))</f>
        <v>0.111137120557379</v>
      </c>
      <c r="H582" s="39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-2135506549.07504</v>
      </c>
      <c r="I582" s="39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21261770.754548</v>
      </c>
      <c r="J582" s="39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334617487.057621</v>
      </c>
      <c r="K582" s="39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701360867.087571</v>
      </c>
      <c r="L582" s="39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838814409.14109</v>
      </c>
      <c r="M582" s="39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1020323410.54648</v>
      </c>
      <c r="N582" s="39" t="n">
        <f aca="false">IF(COUNT('Business Case'!B11:G11)=0,"",H582+NPV(G582,I582:M582))</f>
        <v>-181372895.24932</v>
      </c>
      <c r="P582" s="40" t="n">
        <f aca="true">RAND()</f>
        <v>0.875414713108344</v>
      </c>
      <c r="Q582" s="40" t="n">
        <f aca="true">RAND()</f>
        <v>0.415035718752703</v>
      </c>
      <c r="R582" s="40" t="n">
        <f aca="true">RAND()</f>
        <v>0.101654806669848</v>
      </c>
      <c r="S582" s="40" t="n">
        <f aca="true">RAND()</f>
        <v>0.121469638580126</v>
      </c>
      <c r="T582" s="40" t="n">
        <f aca="true">RAND()</f>
        <v>0.557148414109369</v>
      </c>
      <c r="U582" s="40" t="n">
        <f aca="true">RAND()</f>
        <v>0.762794519422103</v>
      </c>
    </row>
    <row r="583" customFormat="false" ht="15" hidden="false" customHeight="false" outlineLevel="0" collapsed="false">
      <c r="A583" s="36" t="n">
        <v>503</v>
      </c>
      <c r="B583" s="37" t="n">
        <f aca="false">1+IF($G$6=$E$6,$F$6,IF(P583&lt;($F$6-$E$6)/($G$6-$E$6),$E$6+SQRT(P583*($G$6-$E$6)*($F$6-$E$6)),$G$6-SQRT((1-P583)*($G$6-$E$6)*($G$6-$F$6))))</f>
        <v>0.91889839661616</v>
      </c>
      <c r="C583" s="37" t="n">
        <f aca="false">1+IF($G$7=$E$7,$F$7,IF(Q583&lt;($F$7-$E$7)/($G$7-$E$7),$E$7+SQRT(Q583*($G$7-$E$7)*($F$7-$E$7)),$G$7-SQRT((1-Q583)*($G$7-$E$7)*($G$7-$F$7))))</f>
        <v>0.83807719591251</v>
      </c>
      <c r="D583" s="37" t="n">
        <f aca="false">1+IF($G$8=$E$8,$F$8,IF(R583&lt;($F$8-$E$8)/($G$8-$E$8),$E$8+SQRT(R583*($G$8-$E$8)*($F$8-$E$8)),$G$8-SQRT((1-R583)*($G$8-$E$8)*($G$8-$F$8))))</f>
        <v>1.00905406721776</v>
      </c>
      <c r="E583" s="37" t="n">
        <f aca="false">1+IF($G$9=$E$9,$F$9,IF(S583&lt;($F$9-$E$9)/($G$9-$E$9),$E$9+SQRT(S583*($G$9-$E$9)*($F$9-$E$9)),$G$9-SQRT((1-S583)*($G$9-$E$9)*($G$9-$F$9))))</f>
        <v>1.03291529174797</v>
      </c>
      <c r="F583" s="37" t="n">
        <f aca="false">1+IF($G$10=$E$10,$F$10,IF(T583&lt;($F$10-$E$10)/($G$10-$E$10),$E$10+SQRT(T583*($G$10-$E$10)*($F$10-$E$10)),$G$10-SQRT((1-T583)*($G$10-$E$10)*($G$10-$F$10))))</f>
        <v>0.994969353892013</v>
      </c>
      <c r="G583" s="38" t="n">
        <f aca="false">IF($G$11=$E$11,$F$11,IF(U583&lt;($F$11-$E$11)/($G$11-$E$11),$E$11+SQRT(U583*($G$11-$E$11)*($F$11-$E$11)),$G$11-SQRT((1-U583)*($G$11-$E$11)*($G$11-$F$11))))</f>
        <v>0.108086027129007</v>
      </c>
      <c r="H583" s="39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-1989938707.78403</v>
      </c>
      <c r="I583" s="39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-88439079.5489596</v>
      </c>
      <c r="J583" s="39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109421718.692551</v>
      </c>
      <c r="K583" s="39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357030984.628661</v>
      </c>
      <c r="L583" s="39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449599509.31897</v>
      </c>
      <c r="M583" s="39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595981598.339564</v>
      </c>
      <c r="N583" s="39" t="n">
        <f aca="false">IF(COUNT('Business Case'!B11:G11)=0,"",H583+NPV(G583,I583:M583))</f>
        <v>-1063254034.66346</v>
      </c>
      <c r="P583" s="40" t="n">
        <f aca="true">RAND()</f>
        <v>0.0238099596441136</v>
      </c>
      <c r="Q583" s="40" t="n">
        <f aca="true">RAND()</f>
        <v>0.141224533563421</v>
      </c>
      <c r="R583" s="40" t="n">
        <f aca="true">RAND()</f>
        <v>0.448589154024542</v>
      </c>
      <c r="S583" s="40" t="n">
        <f aca="true">RAND()</f>
        <v>0.634431229160967</v>
      </c>
      <c r="T583" s="40" t="n">
        <f aca="true">RAND()</f>
        <v>0.134816185964342</v>
      </c>
      <c r="U583" s="40" t="n">
        <f aca="true">RAND()</f>
        <v>0.679851862006255</v>
      </c>
    </row>
    <row r="584" customFormat="false" ht="15" hidden="false" customHeight="false" outlineLevel="0" collapsed="false">
      <c r="A584" s="36" t="n">
        <v>504</v>
      </c>
      <c r="B584" s="37" t="n">
        <f aca="false">1+IF($G$6=$E$6,$F$6,IF(P584&lt;($F$6-$E$6)/($G$6-$E$6),$E$6+SQRT(P584*($G$6-$E$6)*($F$6-$E$6)),$G$6-SQRT((1-P584)*($G$6-$E$6)*($G$6-$F$6))))</f>
        <v>0.977658605162033</v>
      </c>
      <c r="C584" s="37" t="n">
        <f aca="false">1+IF($G$7=$E$7,$F$7,IF(Q584&lt;($F$7-$E$7)/($G$7-$E$7),$E$7+SQRT(Q584*($G$7-$E$7)*($F$7-$E$7)),$G$7-SQRT((1-Q584)*($G$7-$E$7)*($G$7-$F$7))))</f>
        <v>0.989726854916498</v>
      </c>
      <c r="D584" s="37" t="n">
        <f aca="false">1+IF($G$8=$E$8,$F$8,IF(R584&lt;($F$8-$E$8)/($G$8-$E$8),$E$8+SQRT(R584*($G$8-$E$8)*($F$8-$E$8)),$G$8-SQRT((1-R584)*($G$8-$E$8)*($G$8-$F$8))))</f>
        <v>1.00251969844403</v>
      </c>
      <c r="E584" s="37" t="n">
        <f aca="false">1+IF($G$9=$E$9,$F$9,IF(S584&lt;($F$9-$E$9)/($G$9-$E$9),$E$9+SQRT(S584*($G$9-$E$9)*($F$9-$E$9)),$G$9-SQRT((1-S584)*($G$9-$E$9)*($G$9-$F$9))))</f>
        <v>1.06545921352695</v>
      </c>
      <c r="F584" s="37" t="n">
        <f aca="false">1+IF($G$10=$E$10,$F$10,IF(T584&lt;($F$10-$E$10)/($G$10-$E$10),$E$10+SQRT(T584*($G$10-$E$10)*($F$10-$E$10)),$G$10-SQRT((1-T584)*($G$10-$E$10)*($G$10-$F$10))))</f>
        <v>1.03678566904761</v>
      </c>
      <c r="G584" s="38" t="n">
        <f aca="false">IF($G$11=$E$11,$F$11,IF(U584&lt;($F$11-$E$11)/($G$11-$E$11),$E$11+SQRT(U584*($G$11-$E$11)*($F$11-$E$11)),$G$11-SQRT((1-U584)*($G$11-$E$11)*($G$11-$F$11))))</f>
        <v>0.106511257778695</v>
      </c>
      <c r="H584" s="39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-2073571338.09521</v>
      </c>
      <c r="I584" s="39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-20739297.8725418</v>
      </c>
      <c r="J584" s="39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263869431.703366</v>
      </c>
      <c r="K584" s="39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600317444.731654</v>
      </c>
      <c r="L584" s="39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728627794.843728</v>
      </c>
      <c r="M584" s="39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912552049.570968</v>
      </c>
      <c r="N584" s="39" t="n">
        <f aca="false">IF(COUNT('Business Case'!B11:G11)=0,"",H584+NPV(G584,I584:M584))</f>
        <v>-397489160.491091</v>
      </c>
      <c r="P584" s="40" t="n">
        <f aca="true">RAND()</f>
        <v>0.40205726371417</v>
      </c>
      <c r="Q584" s="40" t="n">
        <f aca="true">RAND()</f>
        <v>0.621790003405967</v>
      </c>
      <c r="R584" s="40" t="n">
        <f aca="true">RAND()</f>
        <v>0.366506053903795</v>
      </c>
      <c r="S584" s="40" t="n">
        <f aca="true">RAND()</f>
        <v>0.809409477933816</v>
      </c>
      <c r="T584" s="40" t="n">
        <f aca="true">RAND()</f>
        <v>0.393861987686975</v>
      </c>
      <c r="U584" s="40" t="n">
        <f aca="true">RAND()</f>
        <v>0.632185992574059</v>
      </c>
    </row>
    <row r="585" customFormat="false" ht="15" hidden="false" customHeight="false" outlineLevel="0" collapsed="false">
      <c r="A585" s="36" t="n">
        <v>505</v>
      </c>
      <c r="B585" s="37" t="n">
        <f aca="false">1+IF($G$6=$E$6,$F$6,IF(P585&lt;($F$6-$E$6)/($G$6-$E$6),$E$6+SQRT(P585*($G$6-$E$6)*($F$6-$E$6)),$G$6-SQRT((1-P585)*($G$6-$E$6)*($G$6-$F$6))))</f>
        <v>0.959906350603859</v>
      </c>
      <c r="C585" s="37" t="n">
        <f aca="false">1+IF($G$7=$E$7,$F$7,IF(Q585&lt;($F$7-$E$7)/($G$7-$E$7),$E$7+SQRT(Q585*($G$7-$E$7)*($F$7-$E$7)),$G$7-SQRT((1-Q585)*($G$7-$E$7)*($G$7-$F$7))))</f>
        <v>1.03048292517066</v>
      </c>
      <c r="D585" s="37" t="n">
        <f aca="false">1+IF($G$8=$E$8,$F$8,IF(R585&lt;($F$8-$E$8)/($G$8-$E$8),$E$8+SQRT(R585*($G$8-$E$8)*($F$8-$E$8)),$G$8-SQRT((1-R585)*($G$8-$E$8)*($G$8-$F$8))))</f>
        <v>1.06746398566823</v>
      </c>
      <c r="E585" s="37" t="n">
        <f aca="false">1+IF($G$9=$E$9,$F$9,IF(S585&lt;($F$9-$E$9)/($G$9-$E$9),$E$9+SQRT(S585*($G$9-$E$9)*($F$9-$E$9)),$G$9-SQRT((1-S585)*($G$9-$E$9)*($G$9-$F$9))))</f>
        <v>1.02108422636623</v>
      </c>
      <c r="F585" s="37" t="n">
        <f aca="false">1+IF($G$10=$E$10,$F$10,IF(T585&lt;($F$10-$E$10)/($G$10-$E$10),$E$10+SQRT(T585*($G$10-$E$10)*($F$10-$E$10)),$G$10-SQRT((1-T585)*($G$10-$E$10)*($G$10-$F$10))))</f>
        <v>1.05211274858233</v>
      </c>
      <c r="G585" s="38" t="n">
        <f aca="false">IF($G$11=$E$11,$F$11,IF(U585&lt;($F$11-$E$11)/($G$11-$E$11),$E$11+SQRT(U585*($G$11-$E$11)*($F$11-$E$11)),$G$11-SQRT((1-U585)*($G$11-$E$11)*($G$11-$F$11))))</f>
        <v>0.0993350024534253</v>
      </c>
      <c r="H585" s="39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-2104225497.16466</v>
      </c>
      <c r="I585" s="39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-54602542.1508461</v>
      </c>
      <c r="J585" s="39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192482790.220298</v>
      </c>
      <c r="K585" s="39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492173760.020558</v>
      </c>
      <c r="L585" s="39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608721152.593925</v>
      </c>
      <c r="M585" s="39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796742035.73368</v>
      </c>
      <c r="N585" s="39" t="n">
        <f aca="false">IF(COUNT('Business Case'!B11:G11)=0,"",H585+NPV(G585,I585:M585))</f>
        <v>-711192253.69759</v>
      </c>
      <c r="P585" s="40" t="n">
        <f aca="true">RAND()</f>
        <v>0.239251389511499</v>
      </c>
      <c r="Q585" s="40" t="n">
        <f aca="true">RAND()</f>
        <v>0.788380278877601</v>
      </c>
      <c r="R585" s="40" t="n">
        <f aca="true">RAND()</f>
        <v>0.929427184760206</v>
      </c>
      <c r="S585" s="40" t="n">
        <f aca="true">RAND()</f>
        <v>0.556819288224184</v>
      </c>
      <c r="T585" s="40" t="n">
        <f aca="true">RAND()</f>
        <v>0.477875143018144</v>
      </c>
      <c r="U585" s="40" t="n">
        <f aca="true">RAND()</f>
        <v>0.373842319873963</v>
      </c>
    </row>
    <row r="586" customFormat="false" ht="15" hidden="false" customHeight="false" outlineLevel="0" collapsed="false">
      <c r="A586" s="36" t="n">
        <v>506</v>
      </c>
      <c r="B586" s="37" t="n">
        <f aca="false">1+IF($G$6=$E$6,$F$6,IF(P586&lt;($F$6-$E$6)/($G$6-$E$6),$E$6+SQRT(P586*($G$6-$E$6)*($F$6-$E$6)),$G$6-SQRT((1-P586)*($G$6-$E$6)*($G$6-$F$6))))</f>
        <v>1.0039519451364</v>
      </c>
      <c r="C586" s="37" t="n">
        <f aca="false">1+IF($G$7=$E$7,$F$7,IF(Q586&lt;($F$7-$E$7)/($G$7-$E$7),$E$7+SQRT(Q586*($G$7-$E$7)*($F$7-$E$7)),$G$7-SQRT((1-Q586)*($G$7-$E$7)*($G$7-$F$7))))</f>
        <v>0.891790319574475</v>
      </c>
      <c r="D586" s="37" t="n">
        <f aca="false">1+IF($G$8=$E$8,$F$8,IF(R586&lt;($F$8-$E$8)/($G$8-$E$8),$E$8+SQRT(R586*($G$8-$E$8)*($F$8-$E$8)),$G$8-SQRT((1-R586)*($G$8-$E$8)*($G$8-$F$8))))</f>
        <v>0.982657845668622</v>
      </c>
      <c r="E586" s="37" t="n">
        <f aca="false">1+IF($G$9=$E$9,$F$9,IF(S586&lt;($F$9-$E$9)/($G$9-$E$9),$E$9+SQRT(S586*($G$9-$E$9)*($F$9-$E$9)),$G$9-SQRT((1-S586)*($G$9-$E$9)*($G$9-$F$9))))</f>
        <v>0.96947013635137</v>
      </c>
      <c r="F586" s="37" t="n">
        <f aca="false">1+IF($G$10=$E$10,$F$10,IF(T586&lt;($F$10-$E$10)/($G$10-$E$10),$E$10+SQRT(T586*($G$10-$E$10)*($F$10-$E$10)),$G$10-SQRT((1-T586)*($G$10-$E$10)*($G$10-$F$10))))</f>
        <v>1.02477726251862</v>
      </c>
      <c r="G586" s="38" t="n">
        <f aca="false">IF($G$11=$E$11,$F$11,IF(U586&lt;($F$11-$E$11)/($G$11-$E$11),$E$11+SQRT(U586*($G$11-$E$11)*($F$11-$E$11)),$G$11-SQRT((1-U586)*($G$11-$E$11)*($G$11-$F$11))))</f>
        <v>0.110438452420624</v>
      </c>
      <c r="H586" s="39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-2049554525.03723</v>
      </c>
      <c r="I586" s="39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-2030516.69390875</v>
      </c>
      <c r="J586" s="39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282688456.464562</v>
      </c>
      <c r="K586" s="39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618646292.748963</v>
      </c>
      <c r="L586" s="39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744494690.609356</v>
      </c>
      <c r="M586" s="39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914676094.717651</v>
      </c>
      <c r="N586" s="39" t="n">
        <f aca="false">IF(COUNT('Business Case'!B11:G11)=0,"",H586+NPV(G586,I586:M586))</f>
        <v>-338922176.151531</v>
      </c>
      <c r="P586" s="40" t="n">
        <f aca="true">RAND()</f>
        <v>0.71727688577056</v>
      </c>
      <c r="Q586" s="40" t="n">
        <f aca="true">RAND()</f>
        <v>0.272470568018364</v>
      </c>
      <c r="R586" s="40" t="n">
        <f aca="true">RAND()</f>
        <v>0.142204651162069</v>
      </c>
      <c r="S586" s="40" t="n">
        <f aca="true">RAND()</f>
        <v>0.19304399378712</v>
      </c>
      <c r="T586" s="40" t="n">
        <f aca="true">RAND()</f>
        <v>0.323662913618548</v>
      </c>
      <c r="U586" s="40" t="n">
        <f aca="true">RAND()</f>
        <v>0.744897237533198</v>
      </c>
    </row>
    <row r="587" customFormat="false" ht="15" hidden="false" customHeight="false" outlineLevel="0" collapsed="false">
      <c r="A587" s="36" t="n">
        <v>507</v>
      </c>
      <c r="B587" s="37" t="n">
        <f aca="false">1+IF($G$6=$E$6,$F$6,IF(P587&lt;($F$6-$E$6)/($G$6-$E$6),$E$6+SQRT(P587*($G$6-$E$6)*($F$6-$E$6)),$G$6-SQRT((1-P587)*($G$6-$E$6)*($G$6-$F$6))))</f>
        <v>0.951575841033531</v>
      </c>
      <c r="C587" s="37" t="n">
        <f aca="false">1+IF($G$7=$E$7,$F$7,IF(Q587&lt;($F$7-$E$7)/($G$7-$E$7),$E$7+SQRT(Q587*($G$7-$E$7)*($F$7-$E$7)),$G$7-SQRT((1-Q587)*($G$7-$E$7)*($G$7-$F$7))))</f>
        <v>0.839501002582087</v>
      </c>
      <c r="D587" s="37" t="n">
        <f aca="false">1+IF($G$8=$E$8,$F$8,IF(R587&lt;($F$8-$E$8)/($G$8-$E$8),$E$8+SQRT(R587*($G$8-$E$8)*($F$8-$E$8)),$G$8-SQRT((1-R587)*($G$8-$E$8)*($G$8-$F$8))))</f>
        <v>0.987934052267882</v>
      </c>
      <c r="E587" s="37" t="n">
        <f aca="false">1+IF($G$9=$E$9,$F$9,IF(S587&lt;($F$9-$E$9)/($G$9-$E$9),$E$9+SQRT(S587*($G$9-$E$9)*($F$9-$E$9)),$G$9-SQRT((1-S587)*($G$9-$E$9)*($G$9-$F$9))))</f>
        <v>1.01424081998921</v>
      </c>
      <c r="F587" s="37" t="n">
        <f aca="false">1+IF($G$10=$E$10,$F$10,IF(T587&lt;($F$10-$E$10)/($G$10-$E$10),$E$10+SQRT(T587*($G$10-$E$10)*($F$10-$E$10)),$G$10-SQRT((1-T587)*($G$10-$E$10)*($G$10-$F$10))))</f>
        <v>1.00454643583205</v>
      </c>
      <c r="G587" s="38" t="n">
        <f aca="false">IF($G$11=$E$11,$F$11,IF(U587&lt;($F$11-$E$11)/($G$11-$E$11),$E$11+SQRT(U587*($G$11-$E$11)*($F$11-$E$11)),$G$11-SQRT((1-U587)*($G$11-$E$11)*($G$11-$F$11))))</f>
        <v>0.0976994172093961</v>
      </c>
      <c r="H587" s="39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-2009092871.6641</v>
      </c>
      <c r="I587" s="39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-56349193.4580692</v>
      </c>
      <c r="J587" s="39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173393626.824107</v>
      </c>
      <c r="K587" s="39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453363768.897886</v>
      </c>
      <c r="L587" s="39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557552926.028329</v>
      </c>
      <c r="M587" s="39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709398119.728438</v>
      </c>
      <c r="N587" s="39" t="n">
        <f aca="false">IF(COUNT('Business Case'!B11:G11)=0,"",H587+NPV(G587,I587:M587))</f>
        <v>-744625585.731981</v>
      </c>
      <c r="P587" s="40" t="n">
        <f aca="true">RAND()</f>
        <v>0.177337825221068</v>
      </c>
      <c r="Q587" s="40" t="n">
        <f aca="true">RAND()</f>
        <v>0.144152072010426</v>
      </c>
      <c r="R587" s="40" t="n">
        <f aca="true">RAND()</f>
        <v>0.191865642861653</v>
      </c>
      <c r="S587" s="40" t="n">
        <f aca="true">RAND()</f>
        <v>0.508518534474611</v>
      </c>
      <c r="T587" s="40" t="n">
        <f aca="true">RAND()</f>
        <v>0.196700637829991</v>
      </c>
      <c r="U587" s="40" t="n">
        <f aca="true">RAND()</f>
        <v>0.313269369552266</v>
      </c>
    </row>
    <row r="588" customFormat="false" ht="15" hidden="false" customHeight="false" outlineLevel="0" collapsed="false">
      <c r="A588" s="36" t="n">
        <v>508</v>
      </c>
      <c r="B588" s="37" t="n">
        <f aca="false">1+IF($G$6=$E$6,$F$6,IF(P588&lt;($F$6-$E$6)/($G$6-$E$6),$E$6+SQRT(P588*($G$6-$E$6)*($F$6-$E$6)),$G$6-SQRT((1-P588)*($G$6-$E$6)*($G$6-$F$6))))</f>
        <v>0.975465252602689</v>
      </c>
      <c r="C588" s="37" t="n">
        <f aca="false">1+IF($G$7=$E$7,$F$7,IF(Q588&lt;($F$7-$E$7)/($G$7-$E$7),$E$7+SQRT(Q588*($G$7-$E$7)*($F$7-$E$7)),$G$7-SQRT((1-Q588)*($G$7-$E$7)*($G$7-$F$7))))</f>
        <v>0.929904819948124</v>
      </c>
      <c r="D588" s="37" t="n">
        <f aca="false">1+IF($G$8=$E$8,$F$8,IF(R588&lt;($F$8-$E$8)/($G$8-$E$8),$E$8+SQRT(R588*($G$8-$E$8)*($F$8-$E$8)),$G$8-SQRT((1-R588)*($G$8-$E$8)*($G$8-$F$8))))</f>
        <v>1.01839800397251</v>
      </c>
      <c r="E588" s="37" t="n">
        <f aca="false">1+IF($G$9=$E$9,$F$9,IF(S588&lt;($F$9-$E$9)/($G$9-$E$9),$E$9+SQRT(S588*($G$9-$E$9)*($F$9-$E$9)),$G$9-SQRT((1-S588)*($G$9-$E$9)*($G$9-$F$9))))</f>
        <v>0.932219106444262</v>
      </c>
      <c r="F588" s="37" t="n">
        <f aca="false">1+IF($G$10=$E$10,$F$10,IF(T588&lt;($F$10-$E$10)/($G$10-$E$10),$E$10+SQRT(T588*($G$10-$E$10)*($F$10-$E$10)),$G$10-SQRT((1-T588)*($G$10-$E$10)*($G$10-$F$10))))</f>
        <v>1.11519782893872</v>
      </c>
      <c r="G588" s="38" t="n">
        <f aca="false">IF($G$11=$E$11,$F$11,IF(U588&lt;($F$11-$E$11)/($G$11-$E$11),$E$11+SQRT(U588*($G$11-$E$11)*($F$11-$E$11)),$G$11-SQRT((1-U588)*($G$11-$E$11)*($G$11-$F$11))))</f>
        <v>0.0823331005202406</v>
      </c>
      <c r="H588" s="39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-2230395657.87745</v>
      </c>
      <c r="I588" s="39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-32927991.3935237</v>
      </c>
      <c r="J588" s="39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225248894.353317</v>
      </c>
      <c r="K588" s="39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539185671.547094</v>
      </c>
      <c r="L588" s="39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656593658.33612</v>
      </c>
      <c r="M588" s="39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829013295.139886</v>
      </c>
      <c r="N588" s="39" t="n">
        <f aca="false">IF(COUNT('Business Case'!B11:G11)=0,"",H588+NPV(G588,I588:M588))</f>
        <v>-606649332.547886</v>
      </c>
      <c r="P588" s="40" t="n">
        <f aca="true">RAND()</f>
        <v>0.379666956692512</v>
      </c>
      <c r="Q588" s="40" t="n">
        <f aca="true">RAND()</f>
        <v>0.391527601743549</v>
      </c>
      <c r="R588" s="40" t="n">
        <f aca="true">RAND()</f>
        <v>0.556074282955277</v>
      </c>
      <c r="S588" s="40" t="n">
        <f aca="true">RAND()</f>
        <v>0.0415228328026665</v>
      </c>
      <c r="T588" s="40" t="n">
        <f aca="true">RAND()</f>
        <v>0.757711662362218</v>
      </c>
      <c r="U588" s="40" t="n">
        <f aca="true">RAND()</f>
        <v>0.00544335803754693</v>
      </c>
    </row>
    <row r="589" customFormat="false" ht="15" hidden="false" customHeight="false" outlineLevel="0" collapsed="false">
      <c r="A589" s="36" t="n">
        <v>509</v>
      </c>
      <c r="B589" s="37" t="n">
        <f aca="false">1+IF($G$6=$E$6,$F$6,IF(P589&lt;($F$6-$E$6)/($G$6-$E$6),$E$6+SQRT(P589*($G$6-$E$6)*($F$6-$E$6)),$G$6-SQRT((1-P589)*($G$6-$E$6)*($G$6-$F$6))))</f>
        <v>0.984005370598666</v>
      </c>
      <c r="C589" s="37" t="n">
        <f aca="false">1+IF($G$7=$E$7,$F$7,IF(Q589&lt;($F$7-$E$7)/($G$7-$E$7),$E$7+SQRT(Q589*($G$7-$E$7)*($F$7-$E$7)),$G$7-SQRT((1-Q589)*($G$7-$E$7)*($G$7-$F$7))))</f>
        <v>0.746571098149794</v>
      </c>
      <c r="D589" s="37" t="n">
        <f aca="false">1+IF($G$8=$E$8,$F$8,IF(R589&lt;($F$8-$E$8)/($G$8-$E$8),$E$8+SQRT(R589*($G$8-$E$8)*($F$8-$E$8)),$G$8-SQRT((1-R589)*($G$8-$E$8)*($G$8-$F$8))))</f>
        <v>1.07366262591788</v>
      </c>
      <c r="E589" s="37" t="n">
        <f aca="false">1+IF($G$9=$E$9,$F$9,IF(S589&lt;($F$9-$E$9)/($G$9-$E$9),$E$9+SQRT(S589*($G$9-$E$9)*($F$9-$E$9)),$G$9-SQRT((1-S589)*($G$9-$E$9)*($G$9-$F$9))))</f>
        <v>1.00816223953673</v>
      </c>
      <c r="F589" s="37" t="n">
        <f aca="false">1+IF($G$10=$E$10,$F$10,IF(T589&lt;($F$10-$E$10)/($G$10-$E$10),$E$10+SQRT(T589*($G$10-$E$10)*($F$10-$E$10)),$G$10-SQRT((1-T589)*($G$10-$E$10)*($G$10-$F$10))))</f>
        <v>1.0148411983957</v>
      </c>
      <c r="G589" s="38" t="n">
        <f aca="false">IF($G$11=$E$11,$F$11,IF(U589&lt;($F$11-$E$11)/($G$11-$E$11),$E$11+SQRT(U589*($G$11-$E$11)*($F$11-$E$11)),$G$11-SQRT((1-U589)*($G$11-$E$11)*($G$11-$F$11))))</f>
        <v>0.113758322699219</v>
      </c>
      <c r="H589" s="39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-2029682396.79139</v>
      </c>
      <c r="I589" s="39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-91550572.4980304</v>
      </c>
      <c r="J589" s="39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99826862.9562975</v>
      </c>
      <c r="K589" s="39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341946358.33041</v>
      </c>
      <c r="L589" s="39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431127648.582296</v>
      </c>
      <c r="M589" s="39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570766113.301402</v>
      </c>
      <c r="N589" s="39" t="n">
        <f aca="false">IF(COUNT('Business Case'!B11:G11)=0,"",H589+NPV(G589,I589:M589))</f>
        <v>-1170672094.18293</v>
      </c>
      <c r="P589" s="40" t="n">
        <f aca="true">RAND()</f>
        <v>0.470460152627949</v>
      </c>
      <c r="Q589" s="40" t="n">
        <f aca="true">RAND()</f>
        <v>0.0160656828361314</v>
      </c>
      <c r="R589" s="40" t="n">
        <f aca="true">RAND()</f>
        <v>0.953756181763884</v>
      </c>
      <c r="S589" s="40" t="n">
        <f aca="true">RAND()</f>
        <v>0.463521325513729</v>
      </c>
      <c r="T589" s="40" t="n">
        <f aca="true">RAND()</f>
        <v>0.262671173707033</v>
      </c>
      <c r="U589" s="40" t="n">
        <f aca="true">RAND()</f>
        <v>0.824138612304873</v>
      </c>
    </row>
    <row r="590" customFormat="false" ht="15" hidden="false" customHeight="false" outlineLevel="0" collapsed="false">
      <c r="A590" s="36" t="n">
        <v>510</v>
      </c>
      <c r="B590" s="37" t="n">
        <f aca="false">1+IF($G$6=$E$6,$F$6,IF(P590&lt;($F$6-$E$6)/($G$6-$E$6),$E$6+SQRT(P590*($G$6-$E$6)*($F$6-$E$6)),$G$6-SQRT((1-P590)*($G$6-$E$6)*($G$6-$F$6))))</f>
        <v>0.94810605216885</v>
      </c>
      <c r="C590" s="37" t="n">
        <f aca="false">1+IF($G$7=$E$7,$F$7,IF(Q590&lt;($F$7-$E$7)/($G$7-$E$7),$E$7+SQRT(Q590*($G$7-$E$7)*($F$7-$E$7)),$G$7-SQRT((1-Q590)*($G$7-$E$7)*($G$7-$F$7))))</f>
        <v>1.01840743305715</v>
      </c>
      <c r="D590" s="37" t="n">
        <f aca="false">1+IF($G$8=$E$8,$F$8,IF(R590&lt;($F$8-$E$8)/($G$8-$E$8),$E$8+SQRT(R590*($G$8-$E$8)*($F$8-$E$8)),$G$8-SQRT((1-R590)*($G$8-$E$8)*($G$8-$F$8))))</f>
        <v>0.996399666601777</v>
      </c>
      <c r="E590" s="37" t="n">
        <f aca="false">1+IF($G$9=$E$9,$F$9,IF(S590&lt;($F$9-$E$9)/($G$9-$E$9),$E$9+SQRT(S590*($G$9-$E$9)*($F$9-$E$9)),$G$9-SQRT((1-S590)*($G$9-$E$9)*($G$9-$F$9))))</f>
        <v>1.05609624784609</v>
      </c>
      <c r="F590" s="37" t="n">
        <f aca="false">1+IF($G$10=$E$10,$F$10,IF(T590&lt;($F$10-$E$10)/($G$10-$E$10),$E$10+SQRT(T590*($G$10-$E$10)*($F$10-$E$10)),$G$10-SQRT((1-T590)*($G$10-$E$10)*($G$10-$F$10))))</f>
        <v>1.11098191090369</v>
      </c>
      <c r="G590" s="38" t="n">
        <f aca="false">IF($G$11=$E$11,$F$11,IF(U590&lt;($F$11-$E$11)/($G$11-$E$11),$E$11+SQRT(U590*($G$11-$E$11)*($F$11-$E$11)),$G$11-SQRT((1-U590)*($G$11-$E$11)*($G$11-$F$11))))</f>
        <v>0.114828894000257</v>
      </c>
      <c r="H590" s="39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-2221963821.80739</v>
      </c>
      <c r="I590" s="39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-39934013.6503961</v>
      </c>
      <c r="J590" s="39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231461589.957626</v>
      </c>
      <c r="K590" s="39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558406289.110833</v>
      </c>
      <c r="L590" s="39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682241183.463064</v>
      </c>
      <c r="M590" s="39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865774495.785626</v>
      </c>
      <c r="N590" s="39" t="n">
        <f aca="false">IF(COUNT('Business Case'!B11:G11)=0,"",H590+NPV(G590,I590:M590))</f>
        <v>-724089193.956096</v>
      </c>
      <c r="P590" s="40" t="n">
        <f aca="true">RAND()</f>
        <v>0.154279483684808</v>
      </c>
      <c r="Q590" s="40" t="n">
        <f aca="true">RAND()</f>
        <v>0.743457723339152</v>
      </c>
      <c r="R590" s="40" t="n">
        <f aca="true">RAND()</f>
        <v>0.287057208100802</v>
      </c>
      <c r="S590" s="40" t="n">
        <f aca="true">RAND()</f>
        <v>0.764855608837782</v>
      </c>
      <c r="T590" s="40" t="n">
        <f aca="true">RAND()</f>
        <v>0.742319612053482</v>
      </c>
      <c r="U590" s="40" t="n">
        <f aca="true">RAND()</f>
        <v>0.846558361829716</v>
      </c>
    </row>
    <row r="591" customFormat="false" ht="15" hidden="false" customHeight="false" outlineLevel="0" collapsed="false">
      <c r="A591" s="36" t="n">
        <v>511</v>
      </c>
      <c r="B591" s="37" t="n">
        <f aca="false">1+IF($G$6=$E$6,$F$6,IF(P591&lt;($F$6-$E$6)/($G$6-$E$6),$E$6+SQRT(P591*($G$6-$E$6)*($F$6-$E$6)),$G$6-SQRT((1-P591)*($G$6-$E$6)*($G$6-$F$6))))</f>
        <v>0.99006105856914</v>
      </c>
      <c r="C591" s="37" t="n">
        <f aca="false">1+IF($G$7=$E$7,$F$7,IF(Q591&lt;($F$7-$E$7)/($G$7-$E$7),$E$7+SQRT(Q591*($G$7-$E$7)*($F$7-$E$7)),$G$7-SQRT((1-Q591)*($G$7-$E$7)*($G$7-$F$7))))</f>
        <v>1.0564336898018</v>
      </c>
      <c r="D591" s="37" t="n">
        <f aca="false">1+IF($G$8=$E$8,$F$8,IF(R591&lt;($F$8-$E$8)/($G$8-$E$8),$E$8+SQRT(R591*($G$8-$E$8)*($F$8-$E$8)),$G$8-SQRT((1-R591)*($G$8-$E$8)*($G$8-$F$8))))</f>
        <v>1.01898069842535</v>
      </c>
      <c r="E591" s="37" t="n">
        <f aca="false">1+IF($G$9=$E$9,$F$9,IF(S591&lt;($F$9-$E$9)/($G$9-$E$9),$E$9+SQRT(S591*($G$9-$E$9)*($F$9-$E$9)),$G$9-SQRT((1-S591)*($G$9-$E$9)*($G$9-$F$9))))</f>
        <v>1.00437522161282</v>
      </c>
      <c r="F591" s="37" t="n">
        <f aca="false">1+IF($G$10=$E$10,$F$10,IF(T591&lt;($F$10-$E$10)/($G$10-$E$10),$E$10+SQRT(T591*($G$10-$E$10)*($F$10-$E$10)),$G$10-SQRT((1-T591)*($G$10-$E$10)*($G$10-$F$10))))</f>
        <v>0.968859236293261</v>
      </c>
      <c r="G591" s="38" t="n">
        <f aca="false">IF($G$11=$E$11,$F$11,IF(U591&lt;($F$11-$E$11)/($G$11-$E$11),$E$11+SQRT(U591*($G$11-$E$11)*($F$11-$E$11)),$G$11-SQRT((1-U591)*($G$11-$E$11)*($G$11-$F$11))))</f>
        <v>0.0886576948805296</v>
      </c>
      <c r="H591" s="39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-1937718472.58652</v>
      </c>
      <c r="I591" s="39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11691367.8472094</v>
      </c>
      <c r="J591" s="39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317312026.99606</v>
      </c>
      <c r="K591" s="39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671375647.959574</v>
      </c>
      <c r="L591" s="39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809396675.115172</v>
      </c>
      <c r="M591" s="39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1008207782.69807</v>
      </c>
      <c r="N591" s="39" t="n">
        <f aca="false">IF(COUNT('Business Case'!B11:G11)=0,"",H591+NPV(G591,I591:M591))</f>
        <v>96645920.7705417</v>
      </c>
      <c r="P591" s="40" t="n">
        <f aca="true">RAND()</f>
        <v>0.54073295137294</v>
      </c>
      <c r="Q591" s="40" t="n">
        <f aca="true">RAND()</f>
        <v>0.87030141623546</v>
      </c>
      <c r="R591" s="40" t="n">
        <f aca="true">RAND()</f>
        <v>0.562391518157059</v>
      </c>
      <c r="S591" s="40" t="n">
        <f aca="true">RAND()</f>
        <v>0.434491304524909</v>
      </c>
      <c r="T591" s="40" t="n">
        <f aca="true">RAND()</f>
        <v>0.0237113862376709</v>
      </c>
      <c r="U591" s="40" t="n">
        <f aca="true">RAND()</f>
        <v>0.0749556806443481</v>
      </c>
    </row>
    <row r="592" customFormat="false" ht="15" hidden="false" customHeight="false" outlineLevel="0" collapsed="false">
      <c r="A592" s="36" t="n">
        <v>512</v>
      </c>
      <c r="B592" s="37" t="n">
        <f aca="false">1+IF($G$6=$E$6,$F$6,IF(P592&lt;($F$6-$E$6)/($G$6-$E$6),$E$6+SQRT(P592*($G$6-$E$6)*($F$6-$E$6)),$G$6-SQRT((1-P592)*($G$6-$E$6)*($G$6-$F$6))))</f>
        <v>1.01715018737246</v>
      </c>
      <c r="C592" s="37" t="n">
        <f aca="false">1+IF($G$7=$E$7,$F$7,IF(Q592&lt;($F$7-$E$7)/($G$7-$E$7),$E$7+SQRT(Q592*($G$7-$E$7)*($F$7-$E$7)),$G$7-SQRT((1-Q592)*($G$7-$E$7)*($G$7-$F$7))))</f>
        <v>1.01157424555797</v>
      </c>
      <c r="D592" s="37" t="n">
        <f aca="false">1+IF($G$8=$E$8,$F$8,IF(R592&lt;($F$8-$E$8)/($G$8-$E$8),$E$8+SQRT(R592*($G$8-$E$8)*($F$8-$E$8)),$G$8-SQRT((1-R592)*($G$8-$E$8)*($G$8-$F$8))))</f>
        <v>1.01953381684425</v>
      </c>
      <c r="E592" s="37" t="n">
        <f aca="false">1+IF($G$9=$E$9,$F$9,IF(S592&lt;($F$9-$E$9)/($G$9-$E$9),$E$9+SQRT(S592*($G$9-$E$9)*($F$9-$E$9)),$G$9-SQRT((1-S592)*($G$9-$E$9)*($G$9-$F$9))))</f>
        <v>1.04075769119175</v>
      </c>
      <c r="F592" s="37" t="n">
        <f aca="false">1+IF($G$10=$E$10,$F$10,IF(T592&lt;($F$10-$E$10)/($G$10-$E$10),$E$10+SQRT(T592*($G$10-$E$10)*($F$10-$E$10)),$G$10-SQRT((1-T592)*($G$10-$E$10)*($G$10-$F$10))))</f>
        <v>1.09284366355897</v>
      </c>
      <c r="G592" s="38" t="n">
        <f aca="false">IF($G$11=$E$11,$F$11,IF(U592&lt;($F$11-$E$11)/($G$11-$E$11),$E$11+SQRT(U592*($G$11-$E$11)*($F$11-$E$11)),$G$11-SQRT((1-U592)*($G$11-$E$11)*($G$11-$F$11))))</f>
        <v>0.0998593914285417</v>
      </c>
      <c r="H592" s="39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-2185687327.11793</v>
      </c>
      <c r="I592" s="39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4181911.11845765</v>
      </c>
      <c r="J592" s="39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318983297.148277</v>
      </c>
      <c r="K592" s="39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688426866.356044</v>
      </c>
      <c r="L592" s="39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828920238.277983</v>
      </c>
      <c r="M592" s="39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1024497909.46064</v>
      </c>
      <c r="N592" s="39" t="n">
        <f aca="false">IF(COUNT('Business Case'!B11:G11)=0,"",H592+NPV(G592,I592:M592))</f>
        <v>-197778871.202441</v>
      </c>
      <c r="P592" s="40" t="n">
        <f aca="true">RAND()</f>
        <v>0.856118641378083</v>
      </c>
      <c r="Q592" s="40" t="n">
        <f aca="true">RAND()</f>
        <v>0.716123118624524</v>
      </c>
      <c r="R592" s="40" t="n">
        <f aca="true">RAND()</f>
        <v>0.568346224556337</v>
      </c>
      <c r="S592" s="40" t="n">
        <f aca="true">RAND()</f>
        <v>0.681763145766493</v>
      </c>
      <c r="T592" s="40" t="n">
        <f aca="true">RAND()</f>
        <v>0.670691812219102</v>
      </c>
      <c r="U592" s="40" t="n">
        <f aca="true">RAND()</f>
        <v>0.394395427912034</v>
      </c>
    </row>
    <row r="593" customFormat="false" ht="15" hidden="false" customHeight="false" outlineLevel="0" collapsed="false">
      <c r="A593" s="36" t="n">
        <v>513</v>
      </c>
      <c r="B593" s="37" t="n">
        <f aca="false">1+IF($G$6=$E$6,$F$6,IF(P593&lt;($F$6-$E$6)/($G$6-$E$6),$E$6+SQRT(P593*($G$6-$E$6)*($F$6-$E$6)),$G$6-SQRT((1-P593)*($G$6-$E$6)*($G$6-$F$6))))</f>
        <v>0.984740099633863</v>
      </c>
      <c r="C593" s="37" t="n">
        <f aca="false">1+IF($G$7=$E$7,$F$7,IF(Q593&lt;($F$7-$E$7)/($G$7-$E$7),$E$7+SQRT(Q593*($G$7-$E$7)*($F$7-$E$7)),$G$7-SQRT((1-Q593)*($G$7-$E$7)*($G$7-$F$7))))</f>
        <v>1.04842700285595</v>
      </c>
      <c r="D593" s="37" t="n">
        <f aca="false">1+IF($G$8=$E$8,$F$8,IF(R593&lt;($F$8-$E$8)/($G$8-$E$8),$E$8+SQRT(R593*($G$8-$E$8)*($F$8-$E$8)),$G$8-SQRT((1-R593)*($G$8-$E$8)*($G$8-$F$8))))</f>
        <v>0.967944729842018</v>
      </c>
      <c r="E593" s="37" t="n">
        <f aca="false">1+IF($G$9=$E$9,$F$9,IF(S593&lt;($F$9-$E$9)/($G$9-$E$9),$E$9+SQRT(S593*($G$9-$E$9)*($F$9-$E$9)),$G$9-SQRT((1-S593)*($G$9-$E$9)*($G$9-$F$9))))</f>
        <v>0.989985963447306</v>
      </c>
      <c r="F593" s="37" t="n">
        <f aca="false">1+IF($G$10=$E$10,$F$10,IF(T593&lt;($F$10-$E$10)/($G$10-$E$10),$E$10+SQRT(T593*($G$10-$E$10)*($F$10-$E$10)),$G$10-SQRT((1-T593)*($G$10-$E$10)*($G$10-$F$10))))</f>
        <v>1.03132749332489</v>
      </c>
      <c r="G593" s="38" t="n">
        <f aca="false">IF($G$11=$E$11,$F$11,IF(U593&lt;($F$11-$E$11)/($G$11-$E$11),$E$11+SQRT(U593*($G$11-$E$11)*($F$11-$E$11)),$G$11-SQRT((1-U593)*($G$11-$E$11)*($G$11-$F$11))))</f>
        <v>0.0989900458941773</v>
      </c>
      <c r="H593" s="39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-2062654986.64978</v>
      </c>
      <c r="I593" s="39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28696788.1444459</v>
      </c>
      <c r="J593" s="39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354823402.91085</v>
      </c>
      <c r="K593" s="39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732516392.343499</v>
      </c>
      <c r="L593" s="39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876905979.457142</v>
      </c>
      <c r="M593" s="39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1073149914.84377</v>
      </c>
      <c r="N593" s="39" t="n">
        <f aca="false">IF(COUNT('Business Case'!B11:G11)=0,"",H593+NPV(G593,I593:M593))</f>
        <v>79660131.4484799</v>
      </c>
      <c r="P593" s="40" t="n">
        <f aca="true">RAND()</f>
        <v>0.47872563239713</v>
      </c>
      <c r="Q593" s="40" t="n">
        <f aca="true">RAND()</f>
        <v>0.847154462980362</v>
      </c>
      <c r="R593" s="40" t="n">
        <f aca="true">RAND()</f>
        <v>0.0429351105470672</v>
      </c>
      <c r="S593" s="40" t="n">
        <f aca="true">RAND()</f>
        <v>0.323898944701597</v>
      </c>
      <c r="T593" s="40" t="n">
        <f aca="true">RAND()</f>
        <v>0.36243113099233</v>
      </c>
      <c r="U593" s="40" t="n">
        <f aca="true">RAND()</f>
        <v>0.360621843062961</v>
      </c>
    </row>
    <row r="594" customFormat="false" ht="15" hidden="false" customHeight="false" outlineLevel="0" collapsed="false">
      <c r="A594" s="36" t="n">
        <v>514</v>
      </c>
      <c r="B594" s="37" t="n">
        <f aca="false">1+IF($G$6=$E$6,$F$6,IF(P594&lt;($F$6-$E$6)/($G$6-$E$6),$E$6+SQRT(P594*($G$6-$E$6)*($F$6-$E$6)),$G$6-SQRT((1-P594)*($G$6-$E$6)*($G$6-$F$6))))</f>
        <v>0.978412706914041</v>
      </c>
      <c r="C594" s="37" t="n">
        <f aca="false">1+IF($G$7=$E$7,$F$7,IF(Q594&lt;($F$7-$E$7)/($G$7-$E$7),$E$7+SQRT(Q594*($G$7-$E$7)*($F$7-$E$7)),$G$7-SQRT((1-Q594)*($G$7-$E$7)*($G$7-$F$7))))</f>
        <v>0.927653917116779</v>
      </c>
      <c r="D594" s="37" t="n">
        <f aca="false">1+IF($G$8=$E$8,$F$8,IF(R594&lt;($F$8-$E$8)/($G$8-$E$8),$E$8+SQRT(R594*($G$8-$E$8)*($F$8-$E$8)),$G$8-SQRT((1-R594)*($G$8-$E$8)*($G$8-$F$8))))</f>
        <v>0.97993339404302</v>
      </c>
      <c r="E594" s="37" t="n">
        <f aca="false">1+IF($G$9=$E$9,$F$9,IF(S594&lt;($F$9-$E$9)/($G$9-$E$9),$E$9+SQRT(S594*($G$9-$E$9)*($F$9-$E$9)),$G$9-SQRT((1-S594)*($G$9-$E$9)*($G$9-$F$9))))</f>
        <v>1.11052261561169</v>
      </c>
      <c r="F594" s="37" t="n">
        <f aca="false">1+IF($G$10=$E$10,$F$10,IF(T594&lt;($F$10-$E$10)/($G$10-$E$10),$E$10+SQRT(T594*($G$10-$E$10)*($F$10-$E$10)),$G$10-SQRT((1-T594)*($G$10-$E$10)*($G$10-$F$10))))</f>
        <v>1.17117867318913</v>
      </c>
      <c r="G594" s="38" t="n">
        <f aca="false">IF($G$11=$E$11,$F$11,IF(U594&lt;($F$11-$E$11)/($G$11-$E$11),$E$11+SQRT(U594*($G$11-$E$11)*($F$11-$E$11)),$G$11-SQRT((1-U594)*($G$11-$E$11)*($G$11-$F$11))))</f>
        <v>0.117951053859644</v>
      </c>
      <c r="H594" s="39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-2342357346.37827</v>
      </c>
      <c r="I594" s="39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-44027917.160965</v>
      </c>
      <c r="J594" s="39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234029804.16268</v>
      </c>
      <c r="K594" s="39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570646459.145781</v>
      </c>
      <c r="L594" s="39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694700003.070805</v>
      </c>
      <c r="M594" s="39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867222005.565087</v>
      </c>
      <c r="N594" s="39" t="n">
        <f aca="false">IF(COUNT('Business Case'!B11:G11)=0,"",H594+NPV(G594,I594:M594))</f>
        <v>-844725207.355647</v>
      </c>
      <c r="P594" s="40" t="n">
        <f aca="true">RAND()</f>
        <v>0.409903507039155</v>
      </c>
      <c r="Q594" s="40" t="n">
        <f aca="true">RAND()</f>
        <v>0.383898562804544</v>
      </c>
      <c r="R594" s="40" t="n">
        <f aca="true">RAND()</f>
        <v>0.119467743857964</v>
      </c>
      <c r="S594" s="40" t="n">
        <f aca="true">RAND()</f>
        <v>0.958440963249546</v>
      </c>
      <c r="T594" s="40" t="n">
        <f aca="true">RAND()</f>
        <v>0.91716264586366</v>
      </c>
      <c r="U594" s="40" t="n">
        <f aca="true">RAND()</f>
        <v>0.903215264604539</v>
      </c>
    </row>
    <row r="595" customFormat="false" ht="15" hidden="false" customHeight="false" outlineLevel="0" collapsed="false">
      <c r="A595" s="36" t="n">
        <v>515</v>
      </c>
      <c r="B595" s="37" t="n">
        <f aca="false">1+IF($G$6=$E$6,$F$6,IF(P595&lt;($F$6-$E$6)/($G$6-$E$6),$E$6+SQRT(P595*($G$6-$E$6)*($F$6-$E$6)),$G$6-SQRT((1-P595)*($G$6-$E$6)*($G$6-$F$6))))</f>
        <v>0.952111390227439</v>
      </c>
      <c r="C595" s="37" t="n">
        <f aca="false">1+IF($G$7=$E$7,$F$7,IF(Q595&lt;($F$7-$E$7)/($G$7-$E$7),$E$7+SQRT(Q595*($G$7-$E$7)*($F$7-$E$7)),$G$7-SQRT((1-Q595)*($G$7-$E$7)*($G$7-$F$7))))</f>
        <v>1.06008414091029</v>
      </c>
      <c r="D595" s="37" t="n">
        <f aca="false">1+IF($G$8=$E$8,$F$8,IF(R595&lt;($F$8-$E$8)/($G$8-$E$8),$E$8+SQRT(R595*($G$8-$E$8)*($F$8-$E$8)),$G$8-SQRT((1-R595)*($G$8-$E$8)*($G$8-$F$8))))</f>
        <v>0.970010636535403</v>
      </c>
      <c r="E595" s="37" t="n">
        <f aca="false">1+IF($G$9=$E$9,$F$9,IF(S595&lt;($F$9-$E$9)/($G$9-$E$9),$E$9+SQRT(S595*($G$9-$E$9)*($F$9-$E$9)),$G$9-SQRT((1-S595)*($G$9-$E$9)*($G$9-$F$9))))</f>
        <v>1.07399004112781</v>
      </c>
      <c r="F595" s="37" t="n">
        <f aca="false">1+IF($G$10=$E$10,$F$10,IF(T595&lt;($F$10-$E$10)/($G$10-$E$10),$E$10+SQRT(T595*($G$10-$E$10)*($F$10-$E$10)),$G$10-SQRT((1-T595)*($G$10-$E$10)*($G$10-$F$10))))</f>
        <v>1.07854837987114</v>
      </c>
      <c r="G595" s="38" t="n">
        <f aca="false">IF($G$11=$E$11,$F$11,IF(U595&lt;($F$11-$E$11)/($G$11-$E$11),$E$11+SQRT(U595*($G$11-$E$11)*($F$11-$E$11)),$G$11-SQRT((1-U595)*($G$11-$E$11)*($G$11-$F$11))))</f>
        <v>0.0894132808384726</v>
      </c>
      <c r="H595" s="39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-2157096759.74227</v>
      </c>
      <c r="I595" s="39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-12598709.4277115</v>
      </c>
      <c r="J595" s="39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287701857.698768</v>
      </c>
      <c r="K595" s="39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641929843.818803</v>
      </c>
      <c r="L595" s="39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776912069.340098</v>
      </c>
      <c r="M595" s="39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968763269.975339</v>
      </c>
      <c r="N595" s="39" t="n">
        <f aca="false">IF(COUNT('Business Case'!B11:G11)=0,"",H595+NPV(G595,I595:M595))</f>
        <v>-246861018.1508</v>
      </c>
      <c r="P595" s="40" t="n">
        <f aca="true">RAND()</f>
        <v>0.181039799429095</v>
      </c>
      <c r="Q595" s="40" t="n">
        <f aca="true">RAND()</f>
        <v>0.880224270876423</v>
      </c>
      <c r="R595" s="40" t="n">
        <f aca="true">RAND()</f>
        <v>0.053390076606934</v>
      </c>
      <c r="S595" s="40" t="n">
        <f aca="true">RAND()</f>
        <v>0.845932964059952</v>
      </c>
      <c r="T595" s="40" t="n">
        <f aca="true">RAND()</f>
        <v>0.608057892735833</v>
      </c>
      <c r="U595" s="40" t="n">
        <f aca="true">RAND()</f>
        <v>0.0886098561439559</v>
      </c>
    </row>
    <row r="596" customFormat="false" ht="15" hidden="false" customHeight="false" outlineLevel="0" collapsed="false">
      <c r="A596" s="36" t="n">
        <v>516</v>
      </c>
      <c r="B596" s="37" t="n">
        <f aca="false">1+IF($G$6=$E$6,$F$6,IF(P596&lt;($F$6-$E$6)/($G$6-$E$6),$E$6+SQRT(P596*($G$6-$E$6)*($F$6-$E$6)),$G$6-SQRT((1-P596)*($G$6-$E$6)*($G$6-$F$6))))</f>
        <v>1.03239919909347</v>
      </c>
      <c r="C596" s="37" t="n">
        <f aca="false">1+IF($G$7=$E$7,$F$7,IF(Q596&lt;($F$7-$E$7)/($G$7-$E$7),$E$7+SQRT(Q596*($G$7-$E$7)*($F$7-$E$7)),$G$7-SQRT((1-Q596)*($G$7-$E$7)*($G$7-$F$7))))</f>
        <v>0.87574534564796</v>
      </c>
      <c r="D596" s="37" t="n">
        <f aca="false">1+IF($G$8=$E$8,$F$8,IF(R596&lt;($F$8-$E$8)/($G$8-$E$8),$E$8+SQRT(R596*($G$8-$E$8)*($F$8-$E$8)),$G$8-SQRT((1-R596)*($G$8-$E$8)*($G$8-$F$8))))</f>
        <v>0.958160992864177</v>
      </c>
      <c r="E596" s="37" t="n">
        <f aca="false">1+IF($G$9=$E$9,$F$9,IF(S596&lt;($F$9-$E$9)/($G$9-$E$9),$E$9+SQRT(S596*($G$9-$E$9)*($F$9-$E$9)),$G$9-SQRT((1-S596)*($G$9-$E$9)*($G$9-$F$9))))</f>
        <v>0.986577616486581</v>
      </c>
      <c r="F596" s="37" t="n">
        <f aca="false">1+IF($G$10=$E$10,$F$10,IF(T596&lt;($F$10-$E$10)/($G$10-$E$10),$E$10+SQRT(T596*($G$10-$E$10)*($F$10-$E$10)),$G$10-SQRT((1-T596)*($G$10-$E$10)*($G$10-$F$10))))</f>
        <v>1.14479987859986</v>
      </c>
      <c r="G596" s="38" t="n">
        <f aca="false">IF($G$11=$E$11,$F$11,IF(U596&lt;($F$11-$E$11)/($G$11-$E$11),$E$11+SQRT(U596*($G$11-$E$11)*($F$11-$E$11)),$G$11-SQRT((1-U596)*($G$11-$E$11)*($G$11-$F$11))))</f>
        <v>0.10174039866254</v>
      </c>
      <c r="H596" s="39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-2289599757.19972</v>
      </c>
      <c r="I596" s="39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9342898.31974599</v>
      </c>
      <c r="J596" s="39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320326639.81667</v>
      </c>
      <c r="K596" s="39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688550375.243586</v>
      </c>
      <c r="L596" s="39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823457967.911094</v>
      </c>
      <c r="M596" s="39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995312868.17136</v>
      </c>
      <c r="N596" s="39" t="n">
        <f aca="false">IF(COUNT('Business Case'!B11:G11)=0,"",H596+NPV(G596,I596:M596))</f>
        <v>-330319726.626016</v>
      </c>
      <c r="P596" s="40" t="n">
        <f aca="true">RAND()</f>
        <v>0.958694907659807</v>
      </c>
      <c r="Q596" s="40" t="n">
        <f aca="true">RAND()</f>
        <v>0.228788344569785</v>
      </c>
      <c r="R596" s="40" t="n">
        <f aca="true">RAND()</f>
        <v>0.00888024060388617</v>
      </c>
      <c r="S596" s="40" t="n">
        <f aca="true">RAND()</f>
        <v>0.2998273470599</v>
      </c>
      <c r="T596" s="40" t="n">
        <f aca="true">RAND()</f>
        <v>0.852439126098615</v>
      </c>
      <c r="U596" s="40" t="n">
        <f aca="true">RAND()</f>
        <v>0.467596621498563</v>
      </c>
    </row>
    <row r="597" customFormat="false" ht="15" hidden="false" customHeight="false" outlineLevel="0" collapsed="false">
      <c r="A597" s="36" t="n">
        <v>517</v>
      </c>
      <c r="B597" s="37" t="n">
        <f aca="false">1+IF($G$6=$E$6,$F$6,IF(P597&lt;($F$6-$E$6)/($G$6-$E$6),$E$6+SQRT(P597*($G$6-$E$6)*($F$6-$E$6)),$G$6-SQRT((1-P597)*($G$6-$E$6)*($G$6-$F$6))))</f>
        <v>0.974985586188418</v>
      </c>
      <c r="C597" s="37" t="n">
        <f aca="false">1+IF($G$7=$E$7,$F$7,IF(Q597&lt;($F$7-$E$7)/($G$7-$E$7),$E$7+SQRT(Q597*($G$7-$E$7)*($F$7-$E$7)),$G$7-SQRT((1-Q597)*($G$7-$E$7)*($G$7-$F$7))))</f>
        <v>1.083071811555</v>
      </c>
      <c r="D597" s="37" t="n">
        <f aca="false">1+IF($G$8=$E$8,$F$8,IF(R597&lt;($F$8-$E$8)/($G$8-$E$8),$E$8+SQRT(R597*($G$8-$E$8)*($F$8-$E$8)),$G$8-SQRT((1-R597)*($G$8-$E$8)*($G$8-$F$8))))</f>
        <v>1.07539956324558</v>
      </c>
      <c r="E597" s="37" t="n">
        <f aca="false">1+IF($G$9=$E$9,$F$9,IF(S597&lt;($F$9-$E$9)/($G$9-$E$9),$E$9+SQRT(S597*($G$9-$E$9)*($F$9-$E$9)),$G$9-SQRT((1-S597)*($G$9-$E$9)*($G$9-$F$9))))</f>
        <v>1.02476716133881</v>
      </c>
      <c r="F597" s="37" t="n">
        <f aca="false">1+IF($G$10=$E$10,$F$10,IF(T597&lt;($F$10-$E$10)/($G$10-$E$10),$E$10+SQRT(T597*($G$10-$E$10)*($F$10-$E$10)),$G$10-SQRT((1-T597)*($G$10-$E$10)*($G$10-$F$10))))</f>
        <v>1.18205799287125</v>
      </c>
      <c r="G597" s="38" t="n">
        <f aca="false">IF($G$11=$E$11,$F$11,IF(U597&lt;($F$11-$E$11)/($G$11-$E$11),$E$11+SQRT(U597*($G$11-$E$11)*($F$11-$E$11)),$G$11-SQRT((1-U597)*($G$11-$E$11)*($G$11-$F$11))))</f>
        <v>0.11418877740732</v>
      </c>
      <c r="H597" s="39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-2364115985.74249</v>
      </c>
      <c r="I597" s="39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-49997615.9124484</v>
      </c>
      <c r="J597" s="39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218674430.163597</v>
      </c>
      <c r="K597" s="39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546449375.883204</v>
      </c>
      <c r="L597" s="39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672501372.814545</v>
      </c>
      <c r="M597" s="39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873221938.13084</v>
      </c>
      <c r="N597" s="39" t="n">
        <f aca="false">IF(COUNT('Business Case'!B11:G11)=0,"",H597+NPV(G597,I597:M597))</f>
        <v>-892851087.256062</v>
      </c>
      <c r="P597" s="40" t="n">
        <f aca="true">RAND()</f>
        <v>0.374855875734713</v>
      </c>
      <c r="Q597" s="40" t="n">
        <f aca="true">RAND()</f>
        <v>0.933638779132889</v>
      </c>
      <c r="R597" s="40" t="n">
        <f aca="true">RAND()</f>
        <v>0.959654567432778</v>
      </c>
      <c r="S597" s="40" t="n">
        <f aca="true">RAND()</f>
        <v>0.581779629889634</v>
      </c>
      <c r="T597" s="40" t="n">
        <f aca="true">RAND()</f>
        <v>0.938451782230886</v>
      </c>
      <c r="U597" s="40" t="n">
        <f aca="true">RAND()</f>
        <v>0.833336826749824</v>
      </c>
    </row>
    <row r="598" customFormat="false" ht="15" hidden="false" customHeight="false" outlineLevel="0" collapsed="false">
      <c r="A598" s="36" t="n">
        <v>518</v>
      </c>
      <c r="B598" s="37" t="n">
        <f aca="false">1+IF($G$6=$E$6,$F$6,IF(P598&lt;($F$6-$E$6)/($G$6-$E$6),$E$6+SQRT(P598*($G$6-$E$6)*($F$6-$E$6)),$G$6-SQRT((1-P598)*($G$6-$E$6)*($G$6-$F$6))))</f>
        <v>1.03788079508583</v>
      </c>
      <c r="C598" s="37" t="n">
        <f aca="false">1+IF($G$7=$E$7,$F$7,IF(Q598&lt;($F$7-$E$7)/($G$7-$E$7),$E$7+SQRT(Q598*($G$7-$E$7)*($F$7-$E$7)),$G$7-SQRT((1-Q598)*($G$7-$E$7)*($G$7-$F$7))))</f>
        <v>0.978312650130066</v>
      </c>
      <c r="D598" s="37" t="n">
        <f aca="false">1+IF($G$8=$E$8,$F$8,IF(R598&lt;($F$8-$E$8)/($G$8-$E$8),$E$8+SQRT(R598*($G$8-$E$8)*($F$8-$E$8)),$G$8-SQRT((1-R598)*($G$8-$E$8)*($G$8-$F$8))))</f>
        <v>0.988934208164601</v>
      </c>
      <c r="E598" s="37" t="n">
        <f aca="false">1+IF($G$9=$E$9,$F$9,IF(S598&lt;($F$9-$E$9)/($G$9-$E$9),$E$9+SQRT(S598*($G$9-$E$9)*($F$9-$E$9)),$G$9-SQRT((1-S598)*($G$9-$E$9)*($G$9-$F$9))))</f>
        <v>0.972747935281375</v>
      </c>
      <c r="F598" s="37" t="n">
        <f aca="false">1+IF($G$10=$E$10,$F$10,IF(T598&lt;($F$10-$E$10)/($G$10-$E$10),$E$10+SQRT(T598*($G$10-$E$10)*($F$10-$E$10)),$G$10-SQRT((1-T598)*($G$10-$E$10)*($G$10-$F$10))))</f>
        <v>1.08440103328753</v>
      </c>
      <c r="G598" s="38" t="n">
        <f aca="false">IF($G$11=$E$11,$F$11,IF(U598&lt;($F$11-$E$11)/($G$11-$E$11),$E$11+SQRT(U598*($G$11-$E$11)*($F$11-$E$11)),$G$11-SQRT((1-U598)*($G$11-$E$11)*($G$11-$F$11))))</f>
        <v>0.111755737579333</v>
      </c>
      <c r="H598" s="39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-2168802066.57505</v>
      </c>
      <c r="I598" s="39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36985096.2158376</v>
      </c>
      <c r="J598" s="39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373371932.031949</v>
      </c>
      <c r="K598" s="39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763978819.512437</v>
      </c>
      <c r="L598" s="39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911199018.034147</v>
      </c>
      <c r="M598" s="39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1104200910.90735</v>
      </c>
      <c r="N598" s="39" t="n">
        <f aca="false">IF(COUNT('Business Case'!B11:G11)=0,"",H598+NPV(G598,I598:M598))</f>
        <v>-30897993.9272988</v>
      </c>
      <c r="P598" s="40" t="n">
        <f aca="true">RAND()</f>
        <v>0.980416649633126</v>
      </c>
      <c r="Q598" s="40" t="n">
        <f aca="true">RAND()</f>
        <v>0.573762453499413</v>
      </c>
      <c r="R598" s="40" t="n">
        <f aca="true">RAND()</f>
        <v>0.202116342053931</v>
      </c>
      <c r="S598" s="40" t="n">
        <f aca="true">RAND()</f>
        <v>0.211690483508123</v>
      </c>
      <c r="T598" s="40" t="n">
        <f aca="true">RAND()</f>
        <v>0.634359762983481</v>
      </c>
      <c r="U598" s="40" t="n">
        <f aca="true">RAND()</f>
        <v>0.778097925817228</v>
      </c>
    </row>
    <row r="599" customFormat="false" ht="15" hidden="false" customHeight="false" outlineLevel="0" collapsed="false">
      <c r="A599" s="36" t="n">
        <v>519</v>
      </c>
      <c r="B599" s="37" t="n">
        <f aca="false">1+IF($G$6=$E$6,$F$6,IF(P599&lt;($F$6-$E$6)/($G$6-$E$6),$E$6+SQRT(P599*($G$6-$E$6)*($F$6-$E$6)),$G$6-SQRT((1-P599)*($G$6-$E$6)*($G$6-$F$6))))</f>
        <v>1.00589799008429</v>
      </c>
      <c r="C599" s="37" t="n">
        <f aca="false">1+IF($G$7=$E$7,$F$7,IF(Q599&lt;($F$7-$E$7)/($G$7-$E$7),$E$7+SQRT(Q599*($G$7-$E$7)*($F$7-$E$7)),$G$7-SQRT((1-Q599)*($G$7-$E$7)*($G$7-$F$7))))</f>
        <v>0.907283719396329</v>
      </c>
      <c r="D599" s="37" t="n">
        <f aca="false">1+IF($G$8=$E$8,$F$8,IF(R599&lt;($F$8-$E$8)/($G$8-$E$8),$E$8+SQRT(R599*($G$8-$E$8)*($F$8-$E$8)),$G$8-SQRT((1-R599)*($G$8-$E$8)*($G$8-$F$8))))</f>
        <v>1.04419909969033</v>
      </c>
      <c r="E599" s="37" t="n">
        <f aca="false">1+IF($G$9=$E$9,$F$9,IF(S599&lt;($F$9-$E$9)/($G$9-$E$9),$E$9+SQRT(S599*($G$9-$E$9)*($F$9-$E$9)),$G$9-SQRT((1-S599)*($G$9-$E$9)*($G$9-$F$9))))</f>
        <v>0.975740842125781</v>
      </c>
      <c r="F599" s="37" t="n">
        <f aca="false">1+IF($G$10=$E$10,$F$10,IF(T599&lt;($F$10-$E$10)/($G$10-$E$10),$E$10+SQRT(T599*($G$10-$E$10)*($F$10-$E$10)),$G$10-SQRT((1-T599)*($G$10-$E$10)*($G$10-$F$10))))</f>
        <v>0.982611043088333</v>
      </c>
      <c r="G599" s="38" t="n">
        <f aca="false">IF($G$11=$E$11,$F$11,IF(U599&lt;($F$11-$E$11)/($G$11-$E$11),$E$11+SQRT(U599*($G$11-$E$11)*($F$11-$E$11)),$G$11-SQRT((1-U599)*($G$11-$E$11)*($G$11-$F$11))))</f>
        <v>0.108505430878234</v>
      </c>
      <c r="H599" s="39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-1965222086.17667</v>
      </c>
      <c r="I599" s="39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-21794024.4571195</v>
      </c>
      <c r="J599" s="39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240734394.794118</v>
      </c>
      <c r="K599" s="39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552393366.199773</v>
      </c>
      <c r="L599" s="39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671443500.38301</v>
      </c>
      <c r="M599" s="39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844917136.430216</v>
      </c>
      <c r="N599" s="39" t="n">
        <f aca="false">IF(COUNT('Business Case'!B11:G11)=0,"",H599+NPV(G599,I599:M599))</f>
        <v>-433931568.480819</v>
      </c>
      <c r="P599" s="40" t="n">
        <f aca="true">RAND()</f>
        <v>0.740668362852585</v>
      </c>
      <c r="Q599" s="40" t="n">
        <f aca="true">RAND()</f>
        <v>0.31827066908723</v>
      </c>
      <c r="R599" s="40" t="n">
        <f aca="true">RAND()</f>
        <v>0.792417301641981</v>
      </c>
      <c r="S599" s="40" t="n">
        <f aca="true">RAND()</f>
        <v>0.2294670066369</v>
      </c>
      <c r="T599" s="40" t="n">
        <f aca="true">RAND()</f>
        <v>0.0708986754206066</v>
      </c>
      <c r="U599" s="40" t="n">
        <f aca="true">RAND()</f>
        <v>0.691988998846407</v>
      </c>
    </row>
    <row r="600" customFormat="false" ht="15" hidden="false" customHeight="false" outlineLevel="0" collapsed="false">
      <c r="A600" s="36" t="n">
        <v>520</v>
      </c>
      <c r="B600" s="37" t="n">
        <f aca="false">1+IF($G$6=$E$6,$F$6,IF(P600&lt;($F$6-$E$6)/($G$6-$E$6),$E$6+SQRT(P600*($G$6-$E$6)*($F$6-$E$6)),$G$6-SQRT((1-P600)*($G$6-$E$6)*($G$6-$F$6))))</f>
        <v>1.01099329692341</v>
      </c>
      <c r="C600" s="37" t="n">
        <f aca="false">1+IF($G$7=$E$7,$F$7,IF(Q600&lt;($F$7-$E$7)/($G$7-$E$7),$E$7+SQRT(Q600*($G$7-$E$7)*($F$7-$E$7)),$G$7-SQRT((1-Q600)*($G$7-$E$7)*($G$7-$F$7))))</f>
        <v>0.985984665081502</v>
      </c>
      <c r="D600" s="37" t="n">
        <f aca="false">1+IF($G$8=$E$8,$F$8,IF(R600&lt;($F$8-$E$8)/($G$8-$E$8),$E$8+SQRT(R600*($G$8-$E$8)*($F$8-$E$8)),$G$8-SQRT((1-R600)*($G$8-$E$8)*($G$8-$F$8))))</f>
        <v>1.06219366479808</v>
      </c>
      <c r="E600" s="37" t="n">
        <f aca="false">1+IF($G$9=$E$9,$F$9,IF(S600&lt;($F$9-$E$9)/($G$9-$E$9),$E$9+SQRT(S600*($G$9-$E$9)*($F$9-$E$9)),$G$9-SQRT((1-S600)*($G$9-$E$9)*($G$9-$F$9))))</f>
        <v>1.02667009938487</v>
      </c>
      <c r="F600" s="37" t="n">
        <f aca="false">1+IF($G$10=$E$10,$F$10,IF(T600&lt;($F$10-$E$10)/($G$10-$E$10),$E$10+SQRT(T600*($G$10-$E$10)*($F$10-$E$10)),$G$10-SQRT((1-T600)*($G$10-$E$10)*($G$10-$F$10))))</f>
        <v>0.996485493054666</v>
      </c>
      <c r="G600" s="38" t="n">
        <f aca="false">IF($G$11=$E$11,$F$11,IF(U600&lt;($F$11-$E$11)/($G$11-$E$11),$E$11+SQRT(U600*($G$11-$E$11)*($F$11-$E$11)),$G$11-SQRT((1-U600)*($G$11-$E$11)*($G$11-$F$11))))</f>
        <v>0.107419625904221</v>
      </c>
      <c r="H600" s="39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-1992970986.10933</v>
      </c>
      <c r="I600" s="39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-16983080.626293</v>
      </c>
      <c r="J600" s="39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263350226.501314</v>
      </c>
      <c r="K600" s="39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593507808.281654</v>
      </c>
      <c r="L600" s="39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721402477.534793</v>
      </c>
      <c r="M600" s="39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910878762.026441</v>
      </c>
      <c r="N600" s="39" t="n">
        <f aca="false">IF(COUNT('Business Case'!B11:G11)=0,"",H600+NPV(G600,I600:M600))</f>
        <v>-330015969.839342</v>
      </c>
      <c r="P600" s="40" t="n">
        <f aca="true">RAND()</f>
        <v>0.797130282012614</v>
      </c>
      <c r="Q600" s="40" t="n">
        <f aca="true">RAND()</f>
        <v>0.605831323420585</v>
      </c>
      <c r="R600" s="40" t="n">
        <f aca="true">RAND()</f>
        <v>0.904712067906676</v>
      </c>
      <c r="S600" s="40" t="n">
        <f aca="true">RAND()</f>
        <v>0.594392949713688</v>
      </c>
      <c r="T600" s="40" t="n">
        <f aca="true">RAND()</f>
        <v>0.144060070969025</v>
      </c>
      <c r="U600" s="40" t="n">
        <f aca="true">RAND()</f>
        <v>0.660084470463104</v>
      </c>
    </row>
    <row r="601" customFormat="false" ht="15" hidden="false" customHeight="false" outlineLevel="0" collapsed="false">
      <c r="A601" s="36" t="n">
        <v>521</v>
      </c>
      <c r="B601" s="37" t="n">
        <f aca="false">1+IF($G$6=$E$6,$F$6,IF(P601&lt;($F$6-$E$6)/($G$6-$E$6),$E$6+SQRT(P601*($G$6-$E$6)*($F$6-$E$6)),$G$6-SQRT((1-P601)*($G$6-$E$6)*($G$6-$F$6))))</f>
        <v>0.993373741448772</v>
      </c>
      <c r="C601" s="37" t="n">
        <f aca="false">1+IF($G$7=$E$7,$F$7,IF(Q601&lt;($F$7-$E$7)/($G$7-$E$7),$E$7+SQRT(Q601*($G$7-$E$7)*($F$7-$E$7)),$G$7-SQRT((1-Q601)*($G$7-$E$7)*($G$7-$F$7))))</f>
        <v>0.774525594259202</v>
      </c>
      <c r="D601" s="37" t="n">
        <f aca="false">1+IF($G$8=$E$8,$F$8,IF(R601&lt;($F$8-$E$8)/($G$8-$E$8),$E$8+SQRT(R601*($G$8-$E$8)*($F$8-$E$8)),$G$8-SQRT((1-R601)*($G$8-$E$8)*($G$8-$F$8))))</f>
        <v>0.997089972022425</v>
      </c>
      <c r="E601" s="37" t="n">
        <f aca="false">1+IF($G$9=$E$9,$F$9,IF(S601&lt;($F$9-$E$9)/($G$9-$E$9),$E$9+SQRT(S601*($G$9-$E$9)*($F$9-$E$9)),$G$9-SQRT((1-S601)*($G$9-$E$9)*($G$9-$F$9))))</f>
        <v>1.02405273099775</v>
      </c>
      <c r="F601" s="37" t="n">
        <f aca="false">1+IF($G$10=$E$10,$F$10,IF(T601&lt;($F$10-$E$10)/($G$10-$E$10),$E$10+SQRT(T601*($G$10-$E$10)*($F$10-$E$10)),$G$10-SQRT((1-T601)*($G$10-$E$10)*($G$10-$F$10))))</f>
        <v>1.12015726307614</v>
      </c>
      <c r="G601" s="38" t="n">
        <f aca="false">IF($G$11=$E$11,$F$11,IF(U601&lt;($F$11-$E$11)/($G$11-$E$11),$E$11+SQRT(U601*($G$11-$E$11)*($F$11-$E$11)),$G$11-SQRT((1-U601)*($G$11-$E$11)*($G$11-$F$11))))</f>
        <v>0.106274691111237</v>
      </c>
      <c r="H601" s="39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-2240314526.15227</v>
      </c>
      <c r="I601" s="39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-62674127.4970575</v>
      </c>
      <c r="J601" s="39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172173122.865081</v>
      </c>
      <c r="K601" s="39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463028236.381027</v>
      </c>
      <c r="L601" s="39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567900888.637541</v>
      </c>
      <c r="M601" s="39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714147183.717783</v>
      </c>
      <c r="N601" s="39" t="n">
        <f aca="false">IF(COUNT('Business Case'!B11:G11)=0,"",H601+NPV(G601,I601:M601))</f>
        <v>-1004137541.81262</v>
      </c>
      <c r="P601" s="40" t="n">
        <f aca="true">RAND()</f>
        <v>0.581243706142806</v>
      </c>
      <c r="Q601" s="40" t="n">
        <f aca="true">RAND()</f>
        <v>0.0411412162939798</v>
      </c>
      <c r="R601" s="40" t="n">
        <f aca="true">RAND()</f>
        <v>0.295662062009702</v>
      </c>
      <c r="S601" s="40" t="n">
        <f aca="true">RAND()</f>
        <v>0.576994278156678</v>
      </c>
      <c r="T601" s="40" t="n">
        <f aca="true">RAND()</f>
        <v>0.775211515574938</v>
      </c>
      <c r="U601" s="40" t="n">
        <f aca="true">RAND()</f>
        <v>0.624739812088531</v>
      </c>
    </row>
    <row r="602" customFormat="false" ht="15" hidden="false" customHeight="false" outlineLevel="0" collapsed="false">
      <c r="A602" s="36" t="n">
        <v>522</v>
      </c>
      <c r="B602" s="37" t="n">
        <f aca="false">1+IF($G$6=$E$6,$F$6,IF(P602&lt;($F$6-$E$6)/($G$6-$E$6),$E$6+SQRT(P602*($G$6-$E$6)*($F$6-$E$6)),$G$6-SQRT((1-P602)*($G$6-$E$6)*($G$6-$F$6))))</f>
        <v>1.01338984720894</v>
      </c>
      <c r="C602" s="37" t="n">
        <f aca="false">1+IF($G$7=$E$7,$F$7,IF(Q602&lt;($F$7-$E$7)/($G$7-$E$7),$E$7+SQRT(Q602*($G$7-$E$7)*($F$7-$E$7)),$G$7-SQRT((1-Q602)*($G$7-$E$7)*($G$7-$F$7))))</f>
        <v>0.766101729081258</v>
      </c>
      <c r="D602" s="37" t="n">
        <f aca="false">1+IF($G$8=$E$8,$F$8,IF(R602&lt;($F$8-$E$8)/($G$8-$E$8),$E$8+SQRT(R602*($G$8-$E$8)*($F$8-$E$8)),$G$8-SQRT((1-R602)*($G$8-$E$8)*($G$8-$F$8))))</f>
        <v>0.988388988816497</v>
      </c>
      <c r="E602" s="37" t="n">
        <f aca="false">1+IF($G$9=$E$9,$F$9,IF(S602&lt;($F$9-$E$9)/($G$9-$E$9),$E$9+SQRT(S602*($G$9-$E$9)*($F$9-$E$9)),$G$9-SQRT((1-S602)*($G$9-$E$9)*($G$9-$F$9))))</f>
        <v>0.95950948443163</v>
      </c>
      <c r="F602" s="37" t="n">
        <f aca="false">1+IF($G$10=$E$10,$F$10,IF(T602&lt;($F$10-$E$10)/($G$10-$E$10),$E$10+SQRT(T602*($G$10-$E$10)*($F$10-$E$10)),$G$10-SQRT((1-T602)*($G$10-$E$10)*($G$10-$F$10))))</f>
        <v>1.19635135054573</v>
      </c>
      <c r="G602" s="38" t="n">
        <f aca="false">IF($G$11=$E$11,$F$11,IF(U602&lt;($F$11-$E$11)/($G$11-$E$11),$E$11+SQRT(U602*($G$11-$E$11)*($F$11-$E$11)),$G$11-SQRT((1-U602)*($G$11-$E$11)*($G$11-$F$11))))</f>
        <v>0.124240934254223</v>
      </c>
      <c r="H602" s="39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-2392702701.09146</v>
      </c>
      <c r="I602" s="39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-48058525.8184518</v>
      </c>
      <c r="J602" s="39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200206819.686947</v>
      </c>
      <c r="K602" s="39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508289732.719632</v>
      </c>
      <c r="L602" s="39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617875839.610165</v>
      </c>
      <c r="M602" s="39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765446294.081531</v>
      </c>
      <c r="N602" s="39" t="n">
        <f aca="false">IF(COUNT('Business Case'!B11:G11)=0,"",H602+NPV(G602,I602:M602))</f>
        <v>-1106352841.12122</v>
      </c>
      <c r="P602" s="40" t="n">
        <f aca="true">RAND()</f>
        <v>0.821292895015412</v>
      </c>
      <c r="Q602" s="40" t="n">
        <f aca="true">RAND()</f>
        <v>0.0323662117594966</v>
      </c>
      <c r="R602" s="40" t="n">
        <f aca="true">RAND()</f>
        <v>0.196495261647087</v>
      </c>
      <c r="S602" s="40" t="n">
        <f aca="true">RAND()</f>
        <v>0.141655149492737</v>
      </c>
      <c r="T602" s="40" t="n">
        <f aca="true">RAND()</f>
        <v>0.961624298823108</v>
      </c>
      <c r="U602" s="40" t="n">
        <f aca="true">RAND()</f>
        <v>0.977888774490546</v>
      </c>
    </row>
    <row r="603" customFormat="false" ht="15" hidden="false" customHeight="false" outlineLevel="0" collapsed="false">
      <c r="A603" s="36" t="n">
        <v>523</v>
      </c>
      <c r="B603" s="37" t="n">
        <f aca="false">1+IF($G$6=$E$6,$F$6,IF(P603&lt;($F$6-$E$6)/($G$6-$E$6),$E$6+SQRT(P603*($G$6-$E$6)*($F$6-$E$6)),$G$6-SQRT((1-P603)*($G$6-$E$6)*($G$6-$F$6))))</f>
        <v>0.928160856184512</v>
      </c>
      <c r="C603" s="37" t="n">
        <f aca="false">1+IF($G$7=$E$7,$F$7,IF(Q603&lt;($F$7-$E$7)/($G$7-$E$7),$E$7+SQRT(Q603*($G$7-$E$7)*($F$7-$E$7)),$G$7-SQRT((1-Q603)*($G$7-$E$7)*($G$7-$F$7))))</f>
        <v>0.920890899159323</v>
      </c>
      <c r="D603" s="37" t="n">
        <f aca="false">1+IF($G$8=$E$8,$F$8,IF(R603&lt;($F$8-$E$8)/($G$8-$E$8),$E$8+SQRT(R603*($G$8-$E$8)*($F$8-$E$8)),$G$8-SQRT((1-R603)*($G$8-$E$8)*($G$8-$F$8))))</f>
        <v>1.08023936360656</v>
      </c>
      <c r="E603" s="37" t="n">
        <f aca="false">1+IF($G$9=$E$9,$F$9,IF(S603&lt;($F$9-$E$9)/($G$9-$E$9),$E$9+SQRT(S603*($G$9-$E$9)*($F$9-$E$9)),$G$9-SQRT((1-S603)*($G$9-$E$9)*($G$9-$F$9))))</f>
        <v>1.08949794640001</v>
      </c>
      <c r="F603" s="37" t="n">
        <f aca="false">1+IF($G$10=$E$10,$F$10,IF(T603&lt;($F$10-$E$10)/($G$10-$E$10),$E$10+SQRT(T603*($G$10-$E$10)*($F$10-$E$10)),$G$10-SQRT((1-T603)*($G$10-$E$10)*($G$10-$F$10))))</f>
        <v>1.12579722349812</v>
      </c>
      <c r="G603" s="38" t="n">
        <f aca="false">IF($G$11=$E$11,$F$11,IF(U603&lt;($F$11-$E$11)/($G$11-$E$11),$E$11+SQRT(U603*($G$11-$E$11)*($F$11-$E$11)),$G$11-SQRT((1-U603)*($G$11-$E$11)*($G$11-$F$11))))</f>
        <v>0.0976954299073816</v>
      </c>
      <c r="H603" s="39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-2251594446.99625</v>
      </c>
      <c r="I603" s="39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-120975482.728087</v>
      </c>
      <c r="J603" s="39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69864821.3316975</v>
      </c>
      <c r="K603" s="39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316994986.566388</v>
      </c>
      <c r="L603" s="39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410148058.892968</v>
      </c>
      <c r="M603" s="39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572616065.912887</v>
      </c>
      <c r="N603" s="39" t="n">
        <f aca="false">IF(COUNT('Business Case'!B11:G11)=0,"",H603+NPV(G603,I603:M603))</f>
        <v>-1422360461.93703</v>
      </c>
      <c r="P603" s="40" t="n">
        <f aca="true">RAND()</f>
        <v>0.0528689214029844</v>
      </c>
      <c r="Q603" s="40" t="n">
        <f aca="true">RAND()</f>
        <v>0.361428069121587</v>
      </c>
      <c r="R603" s="40" t="n">
        <f aca="true">RAND()</f>
        <v>0.973967816621748</v>
      </c>
      <c r="S603" s="40" t="n">
        <f aca="true">RAND()</f>
        <v>0.902386706938225</v>
      </c>
      <c r="T603" s="40" t="n">
        <f aca="true">RAND()</f>
        <v>0.794315604122999</v>
      </c>
      <c r="U603" s="40" t="n">
        <f aca="true">RAND()</f>
        <v>0.313128239607053</v>
      </c>
    </row>
    <row r="604" customFormat="false" ht="15" hidden="false" customHeight="false" outlineLevel="0" collapsed="false">
      <c r="A604" s="36" t="n">
        <v>524</v>
      </c>
      <c r="B604" s="37" t="n">
        <f aca="false">1+IF($G$6=$E$6,$F$6,IF(P604&lt;($F$6-$E$6)/($G$6-$E$6),$E$6+SQRT(P604*($G$6-$E$6)*($F$6-$E$6)),$G$6-SQRT((1-P604)*($G$6-$E$6)*($G$6-$F$6))))</f>
        <v>0.985944242942333</v>
      </c>
      <c r="C604" s="37" t="n">
        <f aca="false">1+IF($G$7=$E$7,$F$7,IF(Q604&lt;($F$7-$E$7)/($G$7-$E$7),$E$7+SQRT(Q604*($G$7-$E$7)*($F$7-$E$7)),$G$7-SQRT((1-Q604)*($G$7-$E$7)*($G$7-$F$7))))</f>
        <v>0.885728270295241</v>
      </c>
      <c r="D604" s="37" t="n">
        <f aca="false">1+IF($G$8=$E$8,$F$8,IF(R604&lt;($F$8-$E$8)/($G$8-$E$8),$E$8+SQRT(R604*($G$8-$E$8)*($F$8-$E$8)),$G$8-SQRT((1-R604)*($G$8-$E$8)*($G$8-$F$8))))</f>
        <v>1.07757359206607</v>
      </c>
      <c r="E604" s="37" t="n">
        <f aca="false">1+IF($G$9=$E$9,$F$9,IF(S604&lt;($F$9-$E$9)/($G$9-$E$9),$E$9+SQRT(S604*($G$9-$E$9)*($F$9-$E$9)),$G$9-SQRT((1-S604)*($G$9-$E$9)*($G$9-$F$9))))</f>
        <v>0.953152421294046</v>
      </c>
      <c r="F604" s="37" t="n">
        <f aca="false">1+IF($G$10=$E$10,$F$10,IF(T604&lt;($F$10-$E$10)/($G$10-$E$10),$E$10+SQRT(T604*($G$10-$E$10)*($F$10-$E$10)),$G$10-SQRT((1-T604)*($G$10-$E$10)*($G$10-$F$10))))</f>
        <v>1.00264233169711</v>
      </c>
      <c r="G604" s="38" t="n">
        <f aca="false">IF($G$11=$E$11,$F$11,IF(U604&lt;($F$11-$E$11)/($G$11-$E$11),$E$11+SQRT(U604*($G$11-$E$11)*($F$11-$E$11)),$G$11-SQRT((1-U604)*($G$11-$E$11)*($G$11-$F$11))))</f>
        <v>0.0975529796794854</v>
      </c>
      <c r="H604" s="39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-2005284663.39423</v>
      </c>
      <c r="I604" s="39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-54390743.0713485</v>
      </c>
      <c r="J604" s="39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172291788.568063</v>
      </c>
      <c r="K604" s="39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449106436.792331</v>
      </c>
      <c r="L604" s="39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554847792.160825</v>
      </c>
      <c r="M604" s="39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720840605.348622</v>
      </c>
      <c r="N604" s="39" t="n">
        <f aca="false">IF(COUNT('Business Case'!B11:G11)=0,"",H604+NPV(G604,I604:M604))</f>
        <v>-737176672.724269</v>
      </c>
      <c r="P604" s="40" t="n">
        <f aca="true">RAND()</f>
        <v>0.492427526328721</v>
      </c>
      <c r="Q604" s="40" t="n">
        <f aca="true">RAND()</f>
        <v>0.255518447310091</v>
      </c>
      <c r="R604" s="40" t="n">
        <f aca="true">RAND()</f>
        <v>0.966470415145408</v>
      </c>
      <c r="S604" s="40" t="n">
        <f aca="true">RAND()</f>
        <v>0.113007195576788</v>
      </c>
      <c r="T604" s="40" t="n">
        <f aca="true">RAND()</f>
        <v>0.184189119090117</v>
      </c>
      <c r="U604" s="40" t="n">
        <f aca="true">RAND()</f>
        <v>0.308107095628429</v>
      </c>
    </row>
    <row r="605" customFormat="false" ht="15" hidden="false" customHeight="false" outlineLevel="0" collapsed="false">
      <c r="A605" s="36" t="n">
        <v>525</v>
      </c>
      <c r="B605" s="37" t="n">
        <f aca="false">1+IF($G$6=$E$6,$F$6,IF(P605&lt;($F$6-$E$6)/($G$6-$E$6),$E$6+SQRT(P605*($G$6-$E$6)*($F$6-$E$6)),$G$6-SQRT((1-P605)*($G$6-$E$6)*($G$6-$F$6))))</f>
        <v>1.01311276641956</v>
      </c>
      <c r="C605" s="37" t="n">
        <f aca="false">1+IF($G$7=$E$7,$F$7,IF(Q605&lt;($F$7-$E$7)/($G$7-$E$7),$E$7+SQRT(Q605*($G$7-$E$7)*($F$7-$E$7)),$G$7-SQRT((1-Q605)*($G$7-$E$7)*($G$7-$F$7))))</f>
        <v>1.03889714573275</v>
      </c>
      <c r="D605" s="37" t="n">
        <f aca="false">1+IF($G$8=$E$8,$F$8,IF(R605&lt;($F$8-$E$8)/($G$8-$E$8),$E$8+SQRT(R605*($G$8-$E$8)*($F$8-$E$8)),$G$8-SQRT((1-R605)*($G$8-$E$8)*($G$8-$F$8))))</f>
        <v>1.00314272663665</v>
      </c>
      <c r="E605" s="37" t="n">
        <f aca="false">1+IF($G$9=$E$9,$F$9,IF(S605&lt;($F$9-$E$9)/($G$9-$E$9),$E$9+SQRT(S605*($G$9-$E$9)*($F$9-$E$9)),$G$9-SQRT((1-S605)*($G$9-$E$9)*($G$9-$F$9))))</f>
        <v>0.984422006565048</v>
      </c>
      <c r="F605" s="37" t="n">
        <f aca="false">1+IF($G$10=$E$10,$F$10,IF(T605&lt;($F$10-$E$10)/($G$10-$E$10),$E$10+SQRT(T605*($G$10-$E$10)*($F$10-$E$10)),$G$10-SQRT((1-T605)*($G$10-$E$10)*($G$10-$F$10))))</f>
        <v>1.0459800167521</v>
      </c>
      <c r="G605" s="38" t="n">
        <f aca="false">IF($G$11=$E$11,$F$11,IF(U605&lt;($F$11-$E$11)/($G$11-$E$11),$E$11+SQRT(U605*($G$11-$E$11)*($F$11-$E$11)),$G$11-SQRT((1-U605)*($G$11-$E$11)*($G$11-$F$11))))</f>
        <v>0.10689332944429</v>
      </c>
      <c r="H605" s="39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-2091960033.50421</v>
      </c>
      <c r="I605" s="39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29440553.8200061</v>
      </c>
      <c r="J605" s="39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358026553.44457</v>
      </c>
      <c r="K605" s="39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738911553.90674</v>
      </c>
      <c r="L605" s="39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884815310.312126</v>
      </c>
      <c r="M605" s="39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1084878304.56338</v>
      </c>
      <c r="N605" s="39" t="n">
        <f aca="false">IF(COUNT('Business Case'!B11:G11)=0,"",H605+NPV(G605,I605:M605))</f>
        <v>14035588.7058244</v>
      </c>
      <c r="P605" s="40" t="n">
        <f aca="true">RAND()</f>
        <v>0.818577599837619</v>
      </c>
      <c r="Q605" s="40" t="n">
        <f aca="true">RAND()</f>
        <v>0.817128233683997</v>
      </c>
      <c r="R605" s="40" t="n">
        <f aca="true">RAND()</f>
        <v>0.374577906441186</v>
      </c>
      <c r="S605" s="40" t="n">
        <f aca="true">RAND()</f>
        <v>0.28508300769876</v>
      </c>
      <c r="T605" s="40" t="n">
        <f aca="true">RAND()</f>
        <v>0.445011285807038</v>
      </c>
      <c r="U605" s="40" t="n">
        <f aca="true">RAND()</f>
        <v>0.644054517219929</v>
      </c>
    </row>
    <row r="606" customFormat="false" ht="15" hidden="false" customHeight="false" outlineLevel="0" collapsed="false">
      <c r="A606" s="36" t="n">
        <v>526</v>
      </c>
      <c r="B606" s="37" t="n">
        <f aca="false">1+IF($G$6=$E$6,$F$6,IF(P606&lt;($F$6-$E$6)/($G$6-$E$6),$E$6+SQRT(P606*($G$6-$E$6)*($F$6-$E$6)),$G$6-SQRT((1-P606)*($G$6-$E$6)*($G$6-$F$6))))</f>
        <v>0.97392799014247</v>
      </c>
      <c r="C606" s="37" t="n">
        <f aca="false">1+IF($G$7=$E$7,$F$7,IF(Q606&lt;($F$7-$E$7)/($G$7-$E$7),$E$7+SQRT(Q606*($G$7-$E$7)*($F$7-$E$7)),$G$7-SQRT((1-Q606)*($G$7-$E$7)*($G$7-$F$7))))</f>
        <v>0.904807966206709</v>
      </c>
      <c r="D606" s="37" t="n">
        <f aca="false">1+IF($G$8=$E$8,$F$8,IF(R606&lt;($F$8-$E$8)/($G$8-$E$8),$E$8+SQRT(R606*($G$8-$E$8)*($F$8-$E$8)),$G$8-SQRT((1-R606)*($G$8-$E$8)*($G$8-$F$8))))</f>
        <v>0.992814144762725</v>
      </c>
      <c r="E606" s="37" t="n">
        <f aca="false">1+IF($G$9=$E$9,$F$9,IF(S606&lt;($F$9-$E$9)/($G$9-$E$9),$E$9+SQRT(S606*($G$9-$E$9)*($F$9-$E$9)),$G$9-SQRT((1-S606)*($G$9-$E$9)*($G$9-$F$9))))</f>
        <v>1.00268740735815</v>
      </c>
      <c r="F606" s="37" t="n">
        <f aca="false">1+IF($G$10=$E$10,$F$10,IF(T606&lt;($F$10-$E$10)/($G$10-$E$10),$E$10+SQRT(T606*($G$10-$E$10)*($F$10-$E$10)),$G$10-SQRT((1-T606)*($G$10-$E$10)*($G$10-$F$10))))</f>
        <v>1.00697736927707</v>
      </c>
      <c r="G606" s="38" t="n">
        <f aca="false">IF($G$11=$E$11,$F$11,IF(U606&lt;($F$11-$E$11)/($G$11-$E$11),$E$11+SQRT(U606*($G$11-$E$11)*($F$11-$E$11)),$G$11-SQRT((1-U606)*($G$11-$E$11)*($G$11-$F$11))))</f>
        <v>0.113310386790697</v>
      </c>
      <c r="H606" s="39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-2013954738.55413</v>
      </c>
      <c r="I606" s="39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-27042270.9071514</v>
      </c>
      <c r="J606" s="39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234877675.398708</v>
      </c>
      <c r="K606" s="39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547146490.168422</v>
      </c>
      <c r="L606" s="39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664908026.243026</v>
      </c>
      <c r="M606" s="39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832409906.425938</v>
      </c>
      <c r="N606" s="39" t="n">
        <f aca="false">IF(COUNT('Business Case'!B11:G11)=0,"",H606+NPV(G606,I606:M606))</f>
        <v>-532730887.816876</v>
      </c>
      <c r="P606" s="40" t="n">
        <f aca="true">RAND()</f>
        <v>0.364356515100341</v>
      </c>
      <c r="Q606" s="40" t="n">
        <f aca="true">RAND()</f>
        <v>0.310713355716506</v>
      </c>
      <c r="R606" s="40" t="n">
        <f aca="true">RAND()</f>
        <v>0.244406798901805</v>
      </c>
      <c r="S606" s="40" t="n">
        <f aca="true">RAND()</f>
        <v>0.421306667976943</v>
      </c>
      <c r="T606" s="40" t="n">
        <f aca="true">RAND()</f>
        <v>0.212533346086724</v>
      </c>
      <c r="U606" s="40" t="n">
        <f aca="true">RAND()</f>
        <v>0.814304540615912</v>
      </c>
    </row>
    <row r="607" customFormat="false" ht="15" hidden="false" customHeight="false" outlineLevel="0" collapsed="false">
      <c r="A607" s="36" t="n">
        <v>527</v>
      </c>
      <c r="B607" s="37" t="n">
        <f aca="false">1+IF($G$6=$E$6,$F$6,IF(P607&lt;($F$6-$E$6)/($G$6-$E$6),$E$6+SQRT(P607*($G$6-$E$6)*($F$6-$E$6)),$G$6-SQRT((1-P607)*($G$6-$E$6)*($G$6-$F$6))))</f>
        <v>1.00880991559823</v>
      </c>
      <c r="C607" s="37" t="n">
        <f aca="false">1+IF($G$7=$E$7,$F$7,IF(Q607&lt;($F$7-$E$7)/($G$7-$E$7),$E$7+SQRT(Q607*($G$7-$E$7)*($F$7-$E$7)),$G$7-SQRT((1-Q607)*($G$7-$E$7)*($G$7-$F$7))))</f>
        <v>1.00560173298335</v>
      </c>
      <c r="D607" s="37" t="n">
        <f aca="false">1+IF($G$8=$E$8,$F$8,IF(R607&lt;($F$8-$E$8)/($G$8-$E$8),$E$8+SQRT(R607*($G$8-$E$8)*($F$8-$E$8)),$G$8-SQRT((1-R607)*($G$8-$E$8)*($G$8-$F$8))))</f>
        <v>0.999547695502985</v>
      </c>
      <c r="E607" s="37" t="n">
        <f aca="false">1+IF($G$9=$E$9,$F$9,IF(S607&lt;($F$9-$E$9)/($G$9-$E$9),$E$9+SQRT(S607*($G$9-$E$9)*($F$9-$E$9)),$G$9-SQRT((1-S607)*($G$9-$E$9)*($G$9-$F$9))))</f>
        <v>0.987011116979925</v>
      </c>
      <c r="F607" s="37" t="n">
        <f aca="false">1+IF($G$10=$E$10,$F$10,IF(T607&lt;($F$10-$E$10)/($G$10-$E$10),$E$10+SQRT(T607*($G$10-$E$10)*($F$10-$E$10)),$G$10-SQRT((1-T607)*($G$10-$E$10)*($G$10-$F$10))))</f>
        <v>1.04210775310952</v>
      </c>
      <c r="G607" s="38" t="n">
        <f aca="false">IF($G$11=$E$11,$F$11,IF(U607&lt;($F$11-$E$11)/($G$11-$E$11),$E$11+SQRT(U607*($G$11-$E$11)*($F$11-$E$11)),$G$11-SQRT((1-U607)*($G$11-$E$11)*($G$11-$F$11))))</f>
        <v>0.112891479783699</v>
      </c>
      <c r="H607" s="39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-2084215506.21904</v>
      </c>
      <c r="I607" s="39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19208386.9433851</v>
      </c>
      <c r="J607" s="39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335570188.239938</v>
      </c>
      <c r="K607" s="39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704037377.191967</v>
      </c>
      <c r="L607" s="39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844551083.095931</v>
      </c>
      <c r="M607" s="39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1037379829.85739</v>
      </c>
      <c r="N607" s="39" t="n">
        <f aca="false">IF(COUNT('Business Case'!B11:G11)=0,"",H607+NPV(G607,I607:M607))</f>
        <v>-126977810.327146</v>
      </c>
      <c r="P607" s="40" t="n">
        <f aca="true">RAND()</f>
        <v>0.77378359292996</v>
      </c>
      <c r="Q607" s="40" t="n">
        <f aca="true">RAND()</f>
        <v>0.691098377519806</v>
      </c>
      <c r="R607" s="40" t="n">
        <f aca="true">RAND()</f>
        <v>0.327329883954207</v>
      </c>
      <c r="S607" s="40" t="n">
        <f aca="true">RAND()</f>
        <v>0.302837379123769</v>
      </c>
      <c r="T607" s="40" t="n">
        <f aca="true">RAND()</f>
        <v>0.423744182437693</v>
      </c>
      <c r="U607" s="40" t="n">
        <f aca="true">RAND()</f>
        <v>0.804865690672272</v>
      </c>
    </row>
    <row r="608" customFormat="false" ht="15" hidden="false" customHeight="false" outlineLevel="0" collapsed="false">
      <c r="A608" s="36" t="n">
        <v>528</v>
      </c>
      <c r="B608" s="37" t="n">
        <f aca="false">1+IF($G$6=$E$6,$F$6,IF(P608&lt;($F$6-$E$6)/($G$6-$E$6),$E$6+SQRT(P608*($G$6-$E$6)*($F$6-$E$6)),$G$6-SQRT((1-P608)*($G$6-$E$6)*($G$6-$F$6))))</f>
        <v>1.00623910000685</v>
      </c>
      <c r="C608" s="37" t="n">
        <f aca="false">1+IF($G$7=$E$7,$F$7,IF(Q608&lt;($F$7-$E$7)/($G$7-$E$7),$E$7+SQRT(Q608*($G$7-$E$7)*($F$7-$E$7)),$G$7-SQRT((1-Q608)*($G$7-$E$7)*($G$7-$F$7))))</f>
        <v>0.885112416696059</v>
      </c>
      <c r="D608" s="37" t="n">
        <f aca="false">1+IF($G$8=$E$8,$F$8,IF(R608&lt;($F$8-$E$8)/($G$8-$E$8),$E$8+SQRT(R608*($G$8-$E$8)*($F$8-$E$8)),$G$8-SQRT((1-R608)*($G$8-$E$8)*($G$8-$F$8))))</f>
        <v>1.05931944010201</v>
      </c>
      <c r="E608" s="37" t="n">
        <f aca="false">1+IF($G$9=$E$9,$F$9,IF(S608&lt;($F$9-$E$9)/($G$9-$E$9),$E$9+SQRT(S608*($G$9-$E$9)*($F$9-$E$9)),$G$9-SQRT((1-S608)*($G$9-$E$9)*($G$9-$F$9))))</f>
        <v>0.993098070471307</v>
      </c>
      <c r="F608" s="37" t="n">
        <f aca="false">1+IF($G$10=$E$10,$F$10,IF(T608&lt;($F$10-$E$10)/($G$10-$E$10),$E$10+SQRT(T608*($G$10-$E$10)*($F$10-$E$10)),$G$10-SQRT((1-T608)*($G$10-$E$10)*($G$10-$F$10))))</f>
        <v>1.18181534328539</v>
      </c>
      <c r="G608" s="38" t="n">
        <f aca="false">IF($G$11=$E$11,$F$11,IF(U608&lt;($F$11-$E$11)/($G$11-$E$11),$E$11+SQRT(U608*($G$11-$E$11)*($F$11-$E$11)),$G$11-SQRT((1-U608)*($G$11-$E$11)*($G$11-$F$11))))</f>
        <v>0.100255390497836</v>
      </c>
      <c r="H608" s="39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-2363630686.57079</v>
      </c>
      <c r="I608" s="39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-56061408.2153384</v>
      </c>
      <c r="J608" s="39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193447767.485648</v>
      </c>
      <c r="K608" s="39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502047710.350904</v>
      </c>
      <c r="L608" s="39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615997771.56241</v>
      </c>
      <c r="M608" s="39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785289619.440551</v>
      </c>
      <c r="N608" s="39" t="n">
        <f aca="false">IF(COUNT('Business Case'!B11:G11)=0,"",H608+NPV(G608,I608:M608))</f>
        <v>-970468841.556694</v>
      </c>
      <c r="P608" s="40" t="n">
        <f aca="true">RAND()</f>
        <v>0.744664484238557</v>
      </c>
      <c r="Q608" s="40" t="n">
        <f aca="true">RAND()</f>
        <v>0.253826717148559</v>
      </c>
      <c r="R608" s="40" t="n">
        <f aca="true">RAND()</f>
        <v>0.889672803092404</v>
      </c>
      <c r="S608" s="40" t="n">
        <f aca="true">RAND()</f>
        <v>0.34669002901922</v>
      </c>
      <c r="T608" s="40" t="n">
        <f aca="true">RAND()</f>
        <v>0.938011367849482</v>
      </c>
      <c r="U608" s="40" t="n">
        <f aca="true">RAND()</f>
        <v>0.410172137042505</v>
      </c>
    </row>
    <row r="609" customFormat="false" ht="15" hidden="false" customHeight="false" outlineLevel="0" collapsed="false">
      <c r="A609" s="36" t="n">
        <v>529</v>
      </c>
      <c r="B609" s="37" t="n">
        <f aca="false">1+IF($G$6=$E$6,$F$6,IF(P609&lt;($F$6-$E$6)/($G$6-$E$6),$E$6+SQRT(P609*($G$6-$E$6)*($F$6-$E$6)),$G$6-SQRT((1-P609)*($G$6-$E$6)*($G$6-$F$6))))</f>
        <v>1.00391260705673</v>
      </c>
      <c r="C609" s="37" t="n">
        <f aca="false">1+IF($G$7=$E$7,$F$7,IF(Q609&lt;($F$7-$E$7)/($G$7-$E$7),$E$7+SQRT(Q609*($G$7-$E$7)*($F$7-$E$7)),$G$7-SQRT((1-Q609)*($G$7-$E$7)*($G$7-$F$7))))</f>
        <v>0.966891734352287</v>
      </c>
      <c r="D609" s="37" t="n">
        <f aca="false">1+IF($G$8=$E$8,$F$8,IF(R609&lt;($F$8-$E$8)/($G$8-$E$8),$E$8+SQRT(R609*($G$8-$E$8)*($F$8-$E$8)),$G$8-SQRT((1-R609)*($G$8-$E$8)*($G$8-$F$8))))</f>
        <v>0.968370410042714</v>
      </c>
      <c r="E609" s="37" t="n">
        <f aca="false">1+IF($G$9=$E$9,$F$9,IF(S609&lt;($F$9-$E$9)/($G$9-$E$9),$E$9+SQRT(S609*($G$9-$E$9)*($F$9-$E$9)),$G$9-SQRT((1-S609)*($G$9-$E$9)*($G$9-$F$9))))</f>
        <v>0.969475516926117</v>
      </c>
      <c r="F609" s="37" t="n">
        <f aca="false">1+IF($G$10=$E$10,$F$10,IF(T609&lt;($F$10-$E$10)/($G$10-$E$10),$E$10+SQRT(T609*($G$10-$E$10)*($F$10-$E$10)),$G$10-SQRT((1-T609)*($G$10-$E$10)*($G$10-$F$10))))</f>
        <v>1.03970151630547</v>
      </c>
      <c r="G609" s="38" t="n">
        <f aca="false">IF($G$11=$E$11,$F$11,IF(U609&lt;($F$11-$E$11)/($G$11-$E$11),$E$11+SQRT(U609*($G$11-$E$11)*($F$11-$E$11)),$G$11-SQRT((1-U609)*($G$11-$E$11)*($G$11-$F$11))))</f>
        <v>0.103211401928494</v>
      </c>
      <c r="H609" s="39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-2079403032.61095</v>
      </c>
      <c r="I609" s="39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23587719.3518197</v>
      </c>
      <c r="J609" s="39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339324790.565107</v>
      </c>
      <c r="K609" s="39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707046937.593669</v>
      </c>
      <c r="L609" s="39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845839149.147449</v>
      </c>
      <c r="M609" s="39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1030345015.46888</v>
      </c>
      <c r="N609" s="39" t="n">
        <f aca="false">IF(COUNT('Business Case'!B11:G11)=0,"",H609+NPV(G609,I609:M609))</f>
        <v>-51101765.763469</v>
      </c>
      <c r="P609" s="40" t="n">
        <f aca="true">RAND()</f>
        <v>0.716793628225698</v>
      </c>
      <c r="Q609" s="40" t="n">
        <f aca="true">RAND()</f>
        <v>0.527638502707937</v>
      </c>
      <c r="R609" s="40" t="n">
        <f aca="true">RAND()</f>
        <v>0.0449962620183248</v>
      </c>
      <c r="S609" s="40" t="n">
        <f aca="true">RAND()</f>
        <v>0.193073898086045</v>
      </c>
      <c r="T609" s="40" t="n">
        <f aca="true">RAND()</f>
        <v>0.410327303410443</v>
      </c>
      <c r="U609" s="40" t="n">
        <f aca="true">RAND()</f>
        <v>0.52158067557555</v>
      </c>
    </row>
    <row r="610" customFormat="false" ht="15" hidden="false" customHeight="false" outlineLevel="0" collapsed="false">
      <c r="A610" s="36" t="n">
        <v>530</v>
      </c>
      <c r="B610" s="37" t="n">
        <f aca="false">1+IF($G$6=$E$6,$F$6,IF(P610&lt;($F$6-$E$6)/($G$6-$E$6),$E$6+SQRT(P610*($G$6-$E$6)*($F$6-$E$6)),$G$6-SQRT((1-P610)*($G$6-$E$6)*($G$6-$F$6))))</f>
        <v>0.940630576422797</v>
      </c>
      <c r="C610" s="37" t="n">
        <f aca="false">1+IF($G$7=$E$7,$F$7,IF(Q610&lt;($F$7-$E$7)/($G$7-$E$7),$E$7+SQRT(Q610*($G$7-$E$7)*($F$7-$E$7)),$G$7-SQRT((1-Q610)*($G$7-$E$7)*($G$7-$F$7))))</f>
        <v>0.956047263119816</v>
      </c>
      <c r="D610" s="37" t="n">
        <f aca="false">1+IF($G$8=$E$8,$F$8,IF(R610&lt;($F$8-$E$8)/($G$8-$E$8),$E$8+SQRT(R610*($G$8-$E$8)*($F$8-$E$8)),$G$8-SQRT((1-R610)*($G$8-$E$8)*($G$8-$F$8))))</f>
        <v>1.05953537430414</v>
      </c>
      <c r="E610" s="37" t="n">
        <f aca="false">1+IF($G$9=$E$9,$F$9,IF(S610&lt;($F$9-$E$9)/($G$9-$E$9),$E$9+SQRT(S610*($G$9-$E$9)*($F$9-$E$9)),$G$9-SQRT((1-S610)*($G$9-$E$9)*($G$9-$F$9))))</f>
        <v>1.02236059503601</v>
      </c>
      <c r="F610" s="37" t="n">
        <f aca="false">1+IF($G$10=$E$10,$F$10,IF(T610&lt;($F$10-$E$10)/($G$10-$E$10),$E$10+SQRT(T610*($G$10-$E$10)*($F$10-$E$10)),$G$10-SQRT((1-T610)*($G$10-$E$10)*($G$10-$F$10))))</f>
        <v>1.19379283419681</v>
      </c>
      <c r="G610" s="38" t="n">
        <f aca="false">IF($G$11=$E$11,$F$11,IF(U610&lt;($F$11-$E$11)/($G$11-$E$11),$E$11+SQRT(U610*($G$11-$E$11)*($F$11-$E$11)),$G$11-SQRT((1-U610)*($G$11-$E$11)*($G$11-$F$11))))</f>
        <v>0.0966672330260665</v>
      </c>
      <c r="H610" s="39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-2387585668.39363</v>
      </c>
      <c r="I610" s="39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-93354476.193592</v>
      </c>
      <c r="J610" s="39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124669060.666689</v>
      </c>
      <c r="K610" s="39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402382239.236812</v>
      </c>
      <c r="L610" s="39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506136120.20362</v>
      </c>
      <c r="M610" s="39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677072647.943883</v>
      </c>
      <c r="N610" s="39" t="n">
        <f aca="false">IF(COUNT('Business Case'!B11:G11)=0,"",H610+NPV(G610,I610:M610))</f>
        <v>-1287216334.82323</v>
      </c>
      <c r="P610" s="40" t="n">
        <f aca="true">RAND()</f>
        <v>0.110056249363249</v>
      </c>
      <c r="Q610" s="40" t="n">
        <f aca="true">RAND()</f>
        <v>0.485631118156652</v>
      </c>
      <c r="R610" s="40" t="n">
        <f aca="true">RAND()</f>
        <v>0.890840937819586</v>
      </c>
      <c r="S610" s="40" t="n">
        <f aca="true">RAND()</f>
        <v>0.565551528011685</v>
      </c>
      <c r="T610" s="40" t="n">
        <f aca="true">RAND()</f>
        <v>0.957876726831641</v>
      </c>
      <c r="U610" s="40" t="n">
        <f aca="true">RAND()</f>
        <v>0.2777966567452</v>
      </c>
    </row>
    <row r="611" customFormat="false" ht="15" hidden="false" customHeight="false" outlineLevel="0" collapsed="false">
      <c r="A611" s="36" t="n">
        <v>531</v>
      </c>
      <c r="B611" s="37" t="n">
        <f aca="false">1+IF($G$6=$E$6,$F$6,IF(P611&lt;($F$6-$E$6)/($G$6-$E$6),$E$6+SQRT(P611*($G$6-$E$6)*($F$6-$E$6)),$G$6-SQRT((1-P611)*($G$6-$E$6)*($G$6-$F$6))))</f>
        <v>1.0036037190414</v>
      </c>
      <c r="C611" s="37" t="n">
        <f aca="false">1+IF($G$7=$E$7,$F$7,IF(Q611&lt;($F$7-$E$7)/($G$7-$E$7),$E$7+SQRT(Q611*($G$7-$E$7)*($F$7-$E$7)),$G$7-SQRT((1-Q611)*($G$7-$E$7)*($G$7-$F$7))))</f>
        <v>1.0411309793236</v>
      </c>
      <c r="D611" s="37" t="n">
        <f aca="false">1+IF($G$8=$E$8,$F$8,IF(R611&lt;($F$8-$E$8)/($G$8-$E$8),$E$8+SQRT(R611*($G$8-$E$8)*($F$8-$E$8)),$G$8-SQRT((1-R611)*($G$8-$E$8)*($G$8-$F$8))))</f>
        <v>0.96564518987254</v>
      </c>
      <c r="E611" s="37" t="n">
        <f aca="false">1+IF($G$9=$E$9,$F$9,IF(S611&lt;($F$9-$E$9)/($G$9-$E$9),$E$9+SQRT(S611*($G$9-$E$9)*($F$9-$E$9)),$G$9-SQRT((1-S611)*($G$9-$E$9)*($G$9-$F$9))))</f>
        <v>0.969872540872643</v>
      </c>
      <c r="F611" s="37" t="n">
        <f aca="false">1+IF($G$10=$E$10,$F$10,IF(T611&lt;($F$10-$E$10)/($G$10-$E$10),$E$10+SQRT(T611*($G$10-$E$10)*($F$10-$E$10)),$G$10-SQRT((1-T611)*($G$10-$E$10)*($G$10-$F$10))))</f>
        <v>1.09123525805207</v>
      </c>
      <c r="G611" s="38" t="n">
        <f aca="false">IF($G$11=$E$11,$F$11,IF(U611&lt;($F$11-$E$11)/($G$11-$E$11),$E$11+SQRT(U611*($G$11-$E$11)*($F$11-$E$11)),$G$11-SQRT((1-U611)*($G$11-$E$11)*($G$11-$F$11))))</f>
        <v>0.0987098522289617</v>
      </c>
      <c r="H611" s="39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-2182470516.10414</v>
      </c>
      <c r="I611" s="39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39962724.0308645</v>
      </c>
      <c r="J611" s="39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381131579.900004</v>
      </c>
      <c r="K611" s="39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776862198.671747</v>
      </c>
      <c r="L611" s="39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926696304.442113</v>
      </c>
      <c r="M611" s="39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1125307650.41903</v>
      </c>
      <c r="N611" s="39" t="n">
        <f aca="false">IF(COUNT('Business Case'!B11:G11)=0,"",H611+NPV(G611,I611:M611))</f>
        <v>94117149.5791969</v>
      </c>
      <c r="P611" s="40" t="n">
        <f aca="true">RAND()</f>
        <v>0.712984681761373</v>
      </c>
      <c r="Q611" s="40" t="n">
        <f aca="true">RAND()</f>
        <v>0.824407945732774</v>
      </c>
      <c r="R611" s="40" t="n">
        <f aca="true">RAND()</f>
        <v>0.0326362621530427</v>
      </c>
      <c r="S611" s="40" t="n">
        <f aca="true">RAND()</f>
        <v>0.195286878719966</v>
      </c>
      <c r="T611" s="40" t="n">
        <f aca="true">RAND()</f>
        <v>0.663916756189424</v>
      </c>
      <c r="U611" s="40" t="n">
        <f aca="true">RAND()</f>
        <v>0.350058570429581</v>
      </c>
    </row>
    <row r="612" customFormat="false" ht="15" hidden="false" customHeight="false" outlineLevel="0" collapsed="false">
      <c r="A612" s="36" t="n">
        <v>532</v>
      </c>
      <c r="B612" s="37" t="n">
        <f aca="false">1+IF($G$6=$E$6,$F$6,IF(P612&lt;($F$6-$E$6)/($G$6-$E$6),$E$6+SQRT(P612*($G$6-$E$6)*($F$6-$E$6)),$G$6-SQRT((1-P612)*($G$6-$E$6)*($G$6-$F$6))))</f>
        <v>0.949559718572751</v>
      </c>
      <c r="C612" s="37" t="n">
        <f aca="false">1+IF($G$7=$E$7,$F$7,IF(Q612&lt;($F$7-$E$7)/($G$7-$E$7),$E$7+SQRT(Q612*($G$7-$E$7)*($F$7-$E$7)),$G$7-SQRT((1-Q612)*($G$7-$E$7)*($G$7-$F$7))))</f>
        <v>0.877991483309462</v>
      </c>
      <c r="D612" s="37" t="n">
        <f aca="false">1+IF($G$8=$E$8,$F$8,IF(R612&lt;($F$8-$E$8)/($G$8-$E$8),$E$8+SQRT(R612*($G$8-$E$8)*($F$8-$E$8)),$G$8-SQRT((1-R612)*($G$8-$E$8)*($G$8-$F$8))))</f>
        <v>1.02697393085723</v>
      </c>
      <c r="E612" s="37" t="n">
        <f aca="false">1+IF($G$9=$E$9,$F$9,IF(S612&lt;($F$9-$E$9)/($G$9-$E$9),$E$9+SQRT(S612*($G$9-$E$9)*($F$9-$E$9)),$G$9-SQRT((1-S612)*($G$9-$E$9)*($G$9-$F$9))))</f>
        <v>1.08255223236418</v>
      </c>
      <c r="F612" s="37" t="n">
        <f aca="false">1+IF($G$10=$E$10,$F$10,IF(T612&lt;($F$10-$E$10)/($G$10-$E$10),$E$10+SQRT(T612*($G$10-$E$10)*($F$10-$E$10)),$G$10-SQRT((1-T612)*($G$10-$E$10)*($G$10-$F$10))))</f>
        <v>0.98580289365363</v>
      </c>
      <c r="G612" s="38" t="n">
        <f aca="false">IF($G$11=$E$11,$F$11,IF(U612&lt;($F$11-$E$11)/($G$11-$E$11),$E$11+SQRT(U612*($G$11-$E$11)*($F$11-$E$11)),$G$11-SQRT((1-U612)*($G$11-$E$11)*($G$11-$F$11))))</f>
        <v>0.115464530571133</v>
      </c>
      <c r="H612" s="39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-1971605787.30726</v>
      </c>
      <c r="I612" s="39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-74458937.8042967</v>
      </c>
      <c r="J612" s="39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146820626.325259</v>
      </c>
      <c r="K612" s="39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417390335.137496</v>
      </c>
      <c r="L612" s="39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519963046.598217</v>
      </c>
      <c r="M612" s="39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678433758.727996</v>
      </c>
      <c r="N612" s="39" t="n">
        <f aca="false">IF(COUNT('Business Case'!B11:G11)=0,"",H612+NPV(G612,I612:M612))</f>
        <v>-890925367.506086</v>
      </c>
      <c r="P612" s="40" t="n">
        <f aca="true">RAND()</f>
        <v>0.163744380334017</v>
      </c>
      <c r="Q612" s="40" t="n">
        <f aca="true">RAND()</f>
        <v>0.234673838005203</v>
      </c>
      <c r="R612" s="40" t="n">
        <f aca="true">RAND()</f>
        <v>0.64447954837038</v>
      </c>
      <c r="S612" s="40" t="n">
        <f aca="true">RAND()</f>
        <v>0.878687963758511</v>
      </c>
      <c r="T612" s="40" t="n">
        <f aca="true">RAND()</f>
        <v>0.0854564795982096</v>
      </c>
      <c r="U612" s="40" t="n">
        <f aca="true">RAND()</f>
        <v>0.85914675232165</v>
      </c>
    </row>
    <row r="613" customFormat="false" ht="15" hidden="false" customHeight="false" outlineLevel="0" collapsed="false">
      <c r="A613" s="36" t="n">
        <v>533</v>
      </c>
      <c r="B613" s="37" t="n">
        <f aca="false">1+IF($G$6=$E$6,$F$6,IF(P613&lt;($F$6-$E$6)/($G$6-$E$6),$E$6+SQRT(P613*($G$6-$E$6)*($F$6-$E$6)),$G$6-SQRT((1-P613)*($G$6-$E$6)*($G$6-$F$6))))</f>
        <v>1.03225672525657</v>
      </c>
      <c r="C613" s="37" t="n">
        <f aca="false">1+IF($G$7=$E$7,$F$7,IF(Q613&lt;($F$7-$E$7)/($G$7-$E$7),$E$7+SQRT(Q613*($G$7-$E$7)*($F$7-$E$7)),$G$7-SQRT((1-Q613)*($G$7-$E$7)*($G$7-$F$7))))</f>
        <v>0.911914375073659</v>
      </c>
      <c r="D613" s="37" t="n">
        <f aca="false">1+IF($G$8=$E$8,$F$8,IF(R613&lt;($F$8-$E$8)/($G$8-$E$8),$E$8+SQRT(R613*($G$8-$E$8)*($F$8-$E$8)),$G$8-SQRT((1-R613)*($G$8-$E$8)*($G$8-$F$8))))</f>
        <v>0.998731803942856</v>
      </c>
      <c r="E613" s="37" t="n">
        <f aca="false">1+IF($G$9=$E$9,$F$9,IF(S613&lt;($F$9-$E$9)/($G$9-$E$9),$E$9+SQRT(S613*($G$9-$E$9)*($F$9-$E$9)),$G$9-SQRT((1-S613)*($G$9-$E$9)*($G$9-$F$9))))</f>
        <v>1.08346156683801</v>
      </c>
      <c r="F613" s="37" t="n">
        <f aca="false">1+IF($G$10=$E$10,$F$10,IF(T613&lt;($F$10-$E$10)/($G$10-$E$10),$E$10+SQRT(T613*($G$10-$E$10)*($F$10-$E$10)),$G$10-SQRT((1-T613)*($G$10-$E$10)*($G$10-$F$10))))</f>
        <v>1.04522468794995</v>
      </c>
      <c r="G613" s="38" t="n">
        <f aca="false">IF($G$11=$E$11,$F$11,IF(U613&lt;($F$11-$E$11)/($G$11-$E$11),$E$11+SQRT(U613*($G$11-$E$11)*($F$11-$E$11)),$G$11-SQRT((1-U613)*($G$11-$E$11)*($G$11-$F$11))))</f>
        <v>0.0979703838463037</v>
      </c>
      <c r="H613" s="39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-2090449375.89989</v>
      </c>
      <c r="I613" s="39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-2607577.97580877</v>
      </c>
      <c r="J613" s="39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302174081.70775</v>
      </c>
      <c r="K613" s="39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659216975.788806</v>
      </c>
      <c r="L613" s="39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793343218.389998</v>
      </c>
      <c r="M613" s="39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972271176.610027</v>
      </c>
      <c r="N613" s="39" t="n">
        <f aca="false">IF(COUNT('Business Case'!B11:G11)=0,"",H613+NPV(G613,I613:M613))</f>
        <v>-188952224.806988</v>
      </c>
      <c r="P613" s="40" t="n">
        <f aca="true">RAND()</f>
        <v>0.958023493517233</v>
      </c>
      <c r="Q613" s="40" t="n">
        <f aca="true">RAND()</f>
        <v>0.332649647132291</v>
      </c>
      <c r="R613" s="40" t="n">
        <f aca="true">RAND()</f>
        <v>0.316638495403332</v>
      </c>
      <c r="S613" s="40" t="n">
        <f aca="true">RAND()</f>
        <v>0.881936984329261</v>
      </c>
      <c r="T613" s="40" t="n">
        <f aca="true">RAND()</f>
        <v>0.440894287664046</v>
      </c>
      <c r="U613" s="40" t="n">
        <f aca="true">RAND()</f>
        <v>0.322934695583494</v>
      </c>
    </row>
    <row r="614" customFormat="false" ht="15" hidden="false" customHeight="false" outlineLevel="0" collapsed="false">
      <c r="A614" s="36" t="n">
        <v>534</v>
      </c>
      <c r="B614" s="37" t="n">
        <f aca="false">1+IF($G$6=$E$6,$F$6,IF(P614&lt;($F$6-$E$6)/($G$6-$E$6),$E$6+SQRT(P614*($G$6-$E$6)*($F$6-$E$6)),$G$6-SQRT((1-P614)*($G$6-$E$6)*($G$6-$F$6))))</f>
        <v>0.996345087758869</v>
      </c>
      <c r="C614" s="37" t="n">
        <f aca="false">1+IF($G$7=$E$7,$F$7,IF(Q614&lt;($F$7-$E$7)/($G$7-$E$7),$E$7+SQRT(Q614*($G$7-$E$7)*($F$7-$E$7)),$G$7-SQRT((1-Q614)*($G$7-$E$7)*($G$7-$F$7))))</f>
        <v>0.918639466881206</v>
      </c>
      <c r="D614" s="37" t="n">
        <f aca="false">1+IF($G$8=$E$8,$F$8,IF(R614&lt;($F$8-$E$8)/($G$8-$E$8),$E$8+SQRT(R614*($G$8-$E$8)*($F$8-$E$8)),$G$8-SQRT((1-R614)*($G$8-$E$8)*($G$8-$F$8))))</f>
        <v>0.978544736647617</v>
      </c>
      <c r="E614" s="37" t="n">
        <f aca="false">1+IF($G$9=$E$9,$F$9,IF(S614&lt;($F$9-$E$9)/($G$9-$E$9),$E$9+SQRT(S614*($G$9-$E$9)*($F$9-$E$9)),$G$9-SQRT((1-S614)*($G$9-$E$9)*($G$9-$F$9))))</f>
        <v>0.998203192435623</v>
      </c>
      <c r="F614" s="37" t="n">
        <f aca="false">1+IF($G$10=$E$10,$F$10,IF(T614&lt;($F$10-$E$10)/($G$10-$E$10),$E$10+SQRT(T614*($G$10-$E$10)*($F$10-$E$10)),$G$10-SQRT((1-T614)*($G$10-$E$10)*($G$10-$F$10))))</f>
        <v>0.980877476008454</v>
      </c>
      <c r="G614" s="38" t="n">
        <f aca="false">IF($G$11=$E$11,$F$11,IF(U614&lt;($F$11-$E$11)/($G$11-$E$11),$E$11+SQRT(U614*($G$11-$E$11)*($F$11-$E$11)),$G$11-SQRT((1-U614)*($G$11-$E$11)*($G$11-$F$11))))</f>
        <v>0.100222168971378</v>
      </c>
      <c r="H614" s="39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-1961754952.01691</v>
      </c>
      <c r="I614" s="39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2021185.67712457</v>
      </c>
      <c r="J614" s="39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291522827.665123</v>
      </c>
      <c r="K614" s="39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630068343.453545</v>
      </c>
      <c r="L614" s="39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758201033.946666</v>
      </c>
      <c r="M614" s="39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932177821.347504</v>
      </c>
      <c r="N614" s="39" t="n">
        <f aca="false">IF(COUNT('Business Case'!B11:G11)=0,"",H614+NPV(G614,I614:M614))</f>
        <v>-150325986.620362</v>
      </c>
      <c r="P614" s="40" t="n">
        <f aca="true">RAND()</f>
        <v>0.618825062350947</v>
      </c>
      <c r="Q614" s="40" t="n">
        <f aca="true">RAND()</f>
        <v>0.354097899837763</v>
      </c>
      <c r="R614" s="40" t="n">
        <f aca="true">RAND()</f>
        <v>0.10864026537091</v>
      </c>
      <c r="S614" s="40" t="n">
        <f aca="true">RAND()</f>
        <v>0.385754680181919</v>
      </c>
      <c r="T614" s="40" t="n">
        <f aca="true">RAND()</f>
        <v>0.0635612349768453</v>
      </c>
      <c r="U614" s="40" t="n">
        <f aca="true">RAND()</f>
        <v>0.408853852820543</v>
      </c>
    </row>
    <row r="615" customFormat="false" ht="15" hidden="false" customHeight="false" outlineLevel="0" collapsed="false">
      <c r="A615" s="36" t="n">
        <v>535</v>
      </c>
      <c r="B615" s="37" t="n">
        <f aca="false">1+IF($G$6=$E$6,$F$6,IF(P615&lt;($F$6-$E$6)/($G$6-$E$6),$E$6+SQRT(P615*($G$6-$E$6)*($F$6-$E$6)),$G$6-SQRT((1-P615)*($G$6-$E$6)*($G$6-$F$6))))</f>
        <v>0.97006649884149</v>
      </c>
      <c r="C615" s="37" t="n">
        <f aca="false">1+IF($G$7=$E$7,$F$7,IF(Q615&lt;($F$7-$E$7)/($G$7-$E$7),$E$7+SQRT(Q615*($G$7-$E$7)*($F$7-$E$7)),$G$7-SQRT((1-Q615)*($G$7-$E$7)*($G$7-$F$7))))</f>
        <v>1.0069632876188</v>
      </c>
      <c r="D615" s="37" t="n">
        <f aca="false">1+IF($G$8=$E$8,$F$8,IF(R615&lt;($F$8-$E$8)/($G$8-$E$8),$E$8+SQRT(R615*($G$8-$E$8)*($F$8-$E$8)),$G$8-SQRT((1-R615)*($G$8-$E$8)*($G$8-$F$8))))</f>
        <v>1.03315853696807</v>
      </c>
      <c r="E615" s="37" t="n">
        <f aca="false">1+IF($G$9=$E$9,$F$9,IF(S615&lt;($F$9-$E$9)/($G$9-$E$9),$E$9+SQRT(S615*($G$9-$E$9)*($F$9-$E$9)),$G$9-SQRT((1-S615)*($G$9-$E$9)*($G$9-$F$9))))</f>
        <v>1.03632531841478</v>
      </c>
      <c r="F615" s="37" t="n">
        <f aca="false">1+IF($G$10=$E$10,$F$10,IF(T615&lt;($F$10-$E$10)/($G$10-$E$10),$E$10+SQRT(T615*($G$10-$E$10)*($F$10-$E$10)),$G$10-SQRT((1-T615)*($G$10-$E$10)*($G$10-$F$10))))</f>
        <v>1.12470302880456</v>
      </c>
      <c r="G615" s="38" t="n">
        <f aca="false">IF($G$11=$E$11,$F$11,IF(U615&lt;($F$11-$E$11)/($G$11-$E$11),$E$11+SQRT(U615*($G$11-$E$11)*($F$11-$E$11)),$G$11-SQRT((1-U615)*($G$11-$E$11)*($G$11-$F$11))))</f>
        <v>0.117696212900571</v>
      </c>
      <c r="H615" s="39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-2249406057.60912</v>
      </c>
      <c r="I615" s="39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-42964527.3741598</v>
      </c>
      <c r="J615" s="39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224545127.240456</v>
      </c>
      <c r="K615" s="39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548289933.2953</v>
      </c>
      <c r="L615" s="39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671218764.05333</v>
      </c>
      <c r="M615" s="39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856892966.429035</v>
      </c>
      <c r="N615" s="39" t="n">
        <f aca="false">IF(COUNT('Business Case'!B11:G11)=0,"",H615+NPV(G615,I615:M615))</f>
        <v>-794066160.617098</v>
      </c>
      <c r="P615" s="40" t="n">
        <f aca="true">RAND()</f>
        <v>0.327287617326966</v>
      </c>
      <c r="Q615" s="40" t="n">
        <f aca="true">RAND()</f>
        <v>0.696896280165614</v>
      </c>
      <c r="R615" s="40" t="n">
        <f aca="true">RAND()</f>
        <v>0.702147921316772</v>
      </c>
      <c r="S615" s="40" t="n">
        <f aca="true">RAND()</f>
        <v>0.655415113773307</v>
      </c>
      <c r="T615" s="40" t="n">
        <f aca="true">RAND()</f>
        <v>0.790675586789984</v>
      </c>
      <c r="U615" s="40" t="n">
        <f aca="true">RAND()</f>
        <v>0.899077882007953</v>
      </c>
    </row>
    <row r="616" customFormat="false" ht="15" hidden="false" customHeight="false" outlineLevel="0" collapsed="false">
      <c r="A616" s="36" t="n">
        <v>536</v>
      </c>
      <c r="B616" s="37" t="n">
        <f aca="false">1+IF($G$6=$E$6,$F$6,IF(P616&lt;($F$6-$E$6)/($G$6-$E$6),$E$6+SQRT(P616*($G$6-$E$6)*($F$6-$E$6)),$G$6-SQRT((1-P616)*($G$6-$E$6)*($G$6-$F$6))))</f>
        <v>0.973891137462203</v>
      </c>
      <c r="C616" s="37" t="n">
        <f aca="false">1+IF($G$7=$E$7,$F$7,IF(Q616&lt;($F$7-$E$7)/($G$7-$E$7),$E$7+SQRT(Q616*($G$7-$E$7)*($F$7-$E$7)),$G$7-SQRT((1-Q616)*($G$7-$E$7)*($G$7-$F$7))))</f>
        <v>0.964594044073692</v>
      </c>
      <c r="D616" s="37" t="n">
        <f aca="false">1+IF($G$8=$E$8,$F$8,IF(R616&lt;($F$8-$E$8)/($G$8-$E$8),$E$8+SQRT(R616*($G$8-$E$8)*($F$8-$E$8)),$G$8-SQRT((1-R616)*($G$8-$E$8)*($G$8-$F$8))))</f>
        <v>1.00329838196449</v>
      </c>
      <c r="E616" s="37" t="n">
        <f aca="false">1+IF($G$9=$E$9,$F$9,IF(S616&lt;($F$9-$E$9)/($G$9-$E$9),$E$9+SQRT(S616*($G$9-$E$9)*($F$9-$E$9)),$G$9-SQRT((1-S616)*($G$9-$E$9)*($G$9-$F$9))))</f>
        <v>0.927406945051338</v>
      </c>
      <c r="F616" s="37" t="n">
        <f aca="false">1+IF($G$10=$E$10,$F$10,IF(T616&lt;($F$10-$E$10)/($G$10-$E$10),$E$10+SQRT(T616*($G$10-$E$10)*($F$10-$E$10)),$G$10-SQRT((1-T616)*($G$10-$E$10)*($G$10-$F$10))))</f>
        <v>1.0418787634594</v>
      </c>
      <c r="G616" s="38" t="n">
        <f aca="false">IF($G$11=$E$11,$F$11,IF(U616&lt;($F$11-$E$11)/($G$11-$E$11),$E$11+SQRT(U616*($G$11-$E$11)*($F$11-$E$11)),$G$11-SQRT((1-U616)*($G$11-$E$11)*($G$11-$F$11))))</f>
        <v>0.102545746161822</v>
      </c>
      <c r="H616" s="39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-2083757526.9188</v>
      </c>
      <c r="I616" s="39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-10743752.2933324</v>
      </c>
      <c r="J616" s="39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263276632.531206</v>
      </c>
      <c r="K616" s="39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589390955.528714</v>
      </c>
      <c r="L616" s="39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713197079.260647</v>
      </c>
      <c r="M616" s="39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891760054.274626</v>
      </c>
      <c r="N616" s="39" t="n">
        <f aca="false">IF(COUNT('Business Case'!B11:G11)=0,"",H616+NPV(G616,I616:M616))</f>
        <v>-407174299.575634</v>
      </c>
      <c r="P616" s="40" t="n">
        <f aca="true">RAND()</f>
        <v>0.363993346363879</v>
      </c>
      <c r="Q616" s="40" t="n">
        <f aca="true">RAND()</f>
        <v>0.518592653031638</v>
      </c>
      <c r="R616" s="40" t="n">
        <f aca="true">RAND()</f>
        <v>0.376586471287575</v>
      </c>
      <c r="S616" s="40" t="n">
        <f aca="true">RAND()</f>
        <v>0.0300456254818818</v>
      </c>
      <c r="T616" s="40" t="n">
        <f aca="true">RAND()</f>
        <v>0.422474012010809</v>
      </c>
      <c r="U616" s="40" t="n">
        <f aca="true">RAND()</f>
        <v>0.497509297459269</v>
      </c>
    </row>
    <row r="617" customFormat="false" ht="15" hidden="false" customHeight="false" outlineLevel="0" collapsed="false">
      <c r="A617" s="36" t="n">
        <v>537</v>
      </c>
      <c r="B617" s="37" t="n">
        <f aca="false">1+IF($G$6=$E$6,$F$6,IF(P617&lt;($F$6-$E$6)/($G$6-$E$6),$E$6+SQRT(P617*($G$6-$E$6)*($F$6-$E$6)),$G$6-SQRT((1-P617)*($G$6-$E$6)*($G$6-$F$6))))</f>
        <v>1.00523688490505</v>
      </c>
      <c r="C617" s="37" t="n">
        <f aca="false">1+IF($G$7=$E$7,$F$7,IF(Q617&lt;($F$7-$E$7)/($G$7-$E$7),$E$7+SQRT(Q617*($G$7-$E$7)*($F$7-$E$7)),$G$7-SQRT((1-Q617)*($G$7-$E$7)*($G$7-$F$7))))</f>
        <v>0.948627525712612</v>
      </c>
      <c r="D617" s="37" t="n">
        <f aca="false">1+IF($G$8=$E$8,$F$8,IF(R617&lt;($F$8-$E$8)/($G$8-$E$8),$E$8+SQRT(R617*($G$8-$E$8)*($F$8-$E$8)),$G$8-SQRT((1-R617)*($G$8-$E$8)*($G$8-$F$8))))</f>
        <v>1.01809606469715</v>
      </c>
      <c r="E617" s="37" t="n">
        <f aca="false">1+IF($G$9=$E$9,$F$9,IF(S617&lt;($F$9-$E$9)/($G$9-$E$9),$E$9+SQRT(S617*($G$9-$E$9)*($F$9-$E$9)),$G$9-SQRT((1-S617)*($G$9-$E$9)*($G$9-$F$9))))</f>
        <v>1.13300259256279</v>
      </c>
      <c r="F617" s="37" t="n">
        <f aca="false">1+IF($G$10=$E$10,$F$10,IF(T617&lt;($F$10-$E$10)/($G$10-$E$10),$E$10+SQRT(T617*($G$10-$E$10)*($F$10-$E$10)),$G$10-SQRT((1-T617)*($G$10-$E$10)*($G$10-$F$10))))</f>
        <v>1.07908657836598</v>
      </c>
      <c r="G617" s="38" t="n">
        <f aca="false">IF($G$11=$E$11,$F$11,IF(U617&lt;($F$11-$E$11)/($G$11-$E$11),$E$11+SQRT(U617*($G$11-$E$11)*($F$11-$E$11)),$G$11-SQRT((1-U617)*($G$11-$E$11)*($G$11-$F$11))))</f>
        <v>0.105479002218839</v>
      </c>
      <c r="H617" s="39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-2158173156.73197</v>
      </c>
      <c r="I617" s="39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-31801976.0573652</v>
      </c>
      <c r="J617" s="39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254852058.825566</v>
      </c>
      <c r="K617" s="39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595460422.626797</v>
      </c>
      <c r="L617" s="39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723968023.881955</v>
      </c>
      <c r="M617" s="39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905227433.499946</v>
      </c>
      <c r="N617" s="39" t="n">
        <f aca="false">IF(COUNT('Business Case'!B11:G11)=0,"",H617+NPV(G617,I617:M617))</f>
        <v>-504609520.465131</v>
      </c>
      <c r="P617" s="40" t="n">
        <f aca="true">RAND()</f>
        <v>0.732835136932789</v>
      </c>
      <c r="Q617" s="40" t="n">
        <f aca="true">RAND()</f>
        <v>0.457893678088706</v>
      </c>
      <c r="R617" s="40" t="n">
        <f aca="true">RAND()</f>
        <v>0.552783025460485</v>
      </c>
      <c r="S617" s="40" t="n">
        <f aca="true">RAND()</f>
        <v>0.992295683744356</v>
      </c>
      <c r="T617" s="40" t="n">
        <f aca="true">RAND()</f>
        <v>0.610514697404707</v>
      </c>
      <c r="U617" s="40" t="n">
        <f aca="true">RAND()</f>
        <v>0.599147111877536</v>
      </c>
    </row>
    <row r="618" customFormat="false" ht="15" hidden="false" customHeight="false" outlineLevel="0" collapsed="false">
      <c r="A618" s="36" t="n">
        <v>538</v>
      </c>
      <c r="B618" s="37" t="n">
        <f aca="false">1+IF($G$6=$E$6,$F$6,IF(P618&lt;($F$6-$E$6)/($G$6-$E$6),$E$6+SQRT(P618*($G$6-$E$6)*($F$6-$E$6)),$G$6-SQRT((1-P618)*($G$6-$E$6)*($G$6-$F$6))))</f>
        <v>0.94669272941536</v>
      </c>
      <c r="C618" s="37" t="n">
        <f aca="false">1+IF($G$7=$E$7,$F$7,IF(Q618&lt;($F$7-$E$7)/($G$7-$E$7),$E$7+SQRT(Q618*($G$7-$E$7)*($F$7-$E$7)),$G$7-SQRT((1-Q618)*($G$7-$E$7)*($G$7-$F$7))))</f>
        <v>0.990742209772259</v>
      </c>
      <c r="D618" s="37" t="n">
        <f aca="false">1+IF($G$8=$E$8,$F$8,IF(R618&lt;($F$8-$E$8)/($G$8-$E$8),$E$8+SQRT(R618*($G$8-$E$8)*($F$8-$E$8)),$G$8-SQRT((1-R618)*($G$8-$E$8)*($G$8-$F$8))))</f>
        <v>1.00966160770779</v>
      </c>
      <c r="E618" s="37" t="n">
        <f aca="false">1+IF($G$9=$E$9,$F$9,IF(S618&lt;($F$9-$E$9)/($G$9-$E$9),$E$9+SQRT(S618*($G$9-$E$9)*($F$9-$E$9)),$G$9-SQRT((1-S618)*($G$9-$E$9)*($G$9-$F$9))))</f>
        <v>0.995136343451692</v>
      </c>
      <c r="F618" s="37" t="n">
        <f aca="false">1+IF($G$10=$E$10,$F$10,IF(T618&lt;($F$10-$E$10)/($G$10-$E$10),$E$10+SQRT(T618*($G$10-$E$10)*($F$10-$E$10)),$G$10-SQRT((1-T618)*($G$10-$E$10)*($G$10-$F$10))))</f>
        <v>1.04056571375376</v>
      </c>
      <c r="G618" s="38" t="n">
        <f aca="false">IF($G$11=$E$11,$F$11,IF(U618&lt;($F$11-$E$11)/($G$11-$E$11),$E$11+SQRT(U618*($G$11-$E$11)*($F$11-$E$11)),$G$11-SQRT((1-U618)*($G$11-$E$11)*($G$11-$F$11))))</f>
        <v>0.0889549003818546</v>
      </c>
      <c r="H618" s="39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-2081131427.50751</v>
      </c>
      <c r="I618" s="39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-38037174.8728005</v>
      </c>
      <c r="J618" s="39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218112820.346379</v>
      </c>
      <c r="K618" s="39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526291101.253245</v>
      </c>
      <c r="L618" s="39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644089240.111487</v>
      </c>
      <c r="M618" s="39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822370679.263322</v>
      </c>
      <c r="N618" s="39" t="n">
        <f aca="false">IF(COUNT('Business Case'!B11:G11)=0,"",H618+NPV(G618,I618:M618))</f>
        <v>-529465698.724739</v>
      </c>
      <c r="P618" s="40" t="n">
        <f aca="true">RAND()</f>
        <v>0.145347398683733</v>
      </c>
      <c r="Q618" s="40" t="n">
        <f aca="true">RAND()</f>
        <v>0.626155796616711</v>
      </c>
      <c r="R618" s="40" t="n">
        <f aca="true">RAND()</f>
        <v>0.455931658537256</v>
      </c>
      <c r="S618" s="40" t="n">
        <f aca="true">RAND()</f>
        <v>0.362036953814332</v>
      </c>
      <c r="T618" s="40" t="n">
        <f aca="true">RAND()</f>
        <v>0.415163729927023</v>
      </c>
      <c r="U618" s="40" t="n">
        <f aca="true">RAND()</f>
        <v>0.0801902408489392</v>
      </c>
    </row>
    <row r="619" customFormat="false" ht="15" hidden="false" customHeight="false" outlineLevel="0" collapsed="false">
      <c r="A619" s="36" t="n">
        <v>539</v>
      </c>
      <c r="B619" s="37" t="n">
        <f aca="false">1+IF($G$6=$E$6,$F$6,IF(P619&lt;($F$6-$E$6)/($G$6-$E$6),$E$6+SQRT(P619*($G$6-$E$6)*($F$6-$E$6)),$G$6-SQRT((1-P619)*($G$6-$E$6)*($G$6-$F$6))))</f>
        <v>0.975376003755204</v>
      </c>
      <c r="C619" s="37" t="n">
        <f aca="false">1+IF($G$7=$E$7,$F$7,IF(Q619&lt;($F$7-$E$7)/($G$7-$E$7),$E$7+SQRT(Q619*($G$7-$E$7)*($F$7-$E$7)),$G$7-SQRT((1-Q619)*($G$7-$E$7)*($G$7-$F$7))))</f>
        <v>0.824398678517578</v>
      </c>
      <c r="D619" s="37" t="n">
        <f aca="false">1+IF($G$8=$E$8,$F$8,IF(R619&lt;($F$8-$E$8)/($G$8-$E$8),$E$8+SQRT(R619*($G$8-$E$8)*($F$8-$E$8)),$G$8-SQRT((1-R619)*($G$8-$E$8)*($G$8-$F$8))))</f>
        <v>1.00100703281514</v>
      </c>
      <c r="E619" s="37" t="n">
        <f aca="false">1+IF($G$9=$E$9,$F$9,IF(S619&lt;($F$9-$E$9)/($G$9-$E$9),$E$9+SQRT(S619*($G$9-$E$9)*($F$9-$E$9)),$G$9-SQRT((1-S619)*($G$9-$E$9)*($G$9-$F$9))))</f>
        <v>0.985907044218147</v>
      </c>
      <c r="F619" s="37" t="n">
        <f aca="false">1+IF($G$10=$E$10,$F$10,IF(T619&lt;($F$10-$E$10)/($G$10-$E$10),$E$10+SQRT(T619*($G$10-$E$10)*($F$10-$E$10)),$G$10-SQRT((1-T619)*($G$10-$E$10)*($G$10-$F$10))))</f>
        <v>1.03027534832012</v>
      </c>
      <c r="G619" s="38" t="n">
        <f aca="false">IF($G$11=$E$11,$F$11,IF(U619&lt;($F$11-$E$11)/($G$11-$E$11),$E$11+SQRT(U619*($G$11-$E$11)*($F$11-$E$11)),$G$11-SQRT((1-U619)*($G$11-$E$11)*($G$11-$F$11))))</f>
        <v>0.10931622790855</v>
      </c>
      <c r="H619" s="39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-2060550696.64023</v>
      </c>
      <c r="I619" s="39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-48744437.2137899</v>
      </c>
      <c r="J619" s="39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187419118.106868</v>
      </c>
      <c r="K619" s="39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475096440.843532</v>
      </c>
      <c r="L619" s="39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581607276.626828</v>
      </c>
      <c r="M619" s="39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734450355.347086</v>
      </c>
      <c r="N619" s="39" t="n">
        <f aca="false">IF(COUNT('Business Case'!B11:G11)=0,"",H619+NPV(G619,I619:M619))</f>
        <v>-782887622.809944</v>
      </c>
      <c r="P619" s="40" t="n">
        <f aca="true">RAND()</f>
        <v>0.378769462806967</v>
      </c>
      <c r="Q619" s="40" t="n">
        <f aca="true">RAND()</f>
        <v>0.114629860866072</v>
      </c>
      <c r="R619" s="40" t="n">
        <f aca="true">RAND()</f>
        <v>0.346692829862438</v>
      </c>
      <c r="S619" s="40" t="n">
        <f aca="true">RAND()</f>
        <v>0.295200809851948</v>
      </c>
      <c r="T619" s="40" t="n">
        <f aca="true">RAND()</f>
        <v>0.356281032588712</v>
      </c>
      <c r="U619" s="40" t="n">
        <f aca="true">RAND()</f>
        <v>0.714787714712638</v>
      </c>
    </row>
    <row r="620" customFormat="false" ht="15" hidden="false" customHeight="false" outlineLevel="0" collapsed="false">
      <c r="A620" s="36" t="n">
        <v>540</v>
      </c>
      <c r="B620" s="37" t="n">
        <f aca="false">1+IF($G$6=$E$6,$F$6,IF(P620&lt;($F$6-$E$6)/($G$6-$E$6),$E$6+SQRT(P620*($G$6-$E$6)*($F$6-$E$6)),$G$6-SQRT((1-P620)*($G$6-$E$6)*($G$6-$F$6))))</f>
        <v>0.964094254885578</v>
      </c>
      <c r="C620" s="37" t="n">
        <f aca="false">1+IF($G$7=$E$7,$F$7,IF(Q620&lt;($F$7-$E$7)/($G$7-$E$7),$E$7+SQRT(Q620*($G$7-$E$7)*($F$7-$E$7)),$G$7-SQRT((1-Q620)*($G$7-$E$7)*($G$7-$F$7))))</f>
        <v>0.874424131247112</v>
      </c>
      <c r="D620" s="37" t="n">
        <f aca="false">1+IF($G$8=$E$8,$F$8,IF(R620&lt;($F$8-$E$8)/($G$8-$E$8),$E$8+SQRT(R620*($G$8-$E$8)*($F$8-$E$8)),$G$8-SQRT((1-R620)*($G$8-$E$8)*($G$8-$F$8))))</f>
        <v>1.02956590313206</v>
      </c>
      <c r="E620" s="37" t="n">
        <f aca="false">1+IF($G$9=$E$9,$F$9,IF(S620&lt;($F$9-$E$9)/($G$9-$E$9),$E$9+SQRT(S620*($G$9-$E$9)*($F$9-$E$9)),$G$9-SQRT((1-S620)*($G$9-$E$9)*($G$9-$F$9))))</f>
        <v>1.02353387901351</v>
      </c>
      <c r="F620" s="37" t="n">
        <f aca="false">1+IF($G$10=$E$10,$F$10,IF(T620&lt;($F$10-$E$10)/($G$10-$E$10),$E$10+SQRT(T620*($G$10-$E$10)*($F$10-$E$10)),$G$10-SQRT((1-T620)*($G$10-$E$10)*($G$10-$F$10))))</f>
        <v>1.01903220216575</v>
      </c>
      <c r="G620" s="38" t="n">
        <f aca="false">IF($G$11=$E$11,$F$11,IF(U620&lt;($F$11-$E$11)/($G$11-$E$11),$E$11+SQRT(U620*($G$11-$E$11)*($F$11-$E$11)),$G$11-SQRT((1-U620)*($G$11-$E$11)*($G$11-$F$11))))</f>
        <v>0.105910285970708</v>
      </c>
      <c r="H620" s="39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-2038064404.33151</v>
      </c>
      <c r="I620" s="39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-61522171.0171966</v>
      </c>
      <c r="J620" s="39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168107930.038871</v>
      </c>
      <c r="K620" s="39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448689641.203226</v>
      </c>
      <c r="L620" s="39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554368031.06256</v>
      </c>
      <c r="M620" s="39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714610656.686106</v>
      </c>
      <c r="N620" s="39" t="n">
        <f aca="false">IF(COUNT('Business Case'!B11:G11)=0,"",H620+NPV(G620,I620:M620))</f>
        <v>-821914798.286956</v>
      </c>
      <c r="P620" s="40" t="n">
        <f aca="true">RAND()</f>
        <v>0.273871567289159</v>
      </c>
      <c r="Q620" s="40" t="n">
        <f aca="true">RAND()</f>
        <v>0.225361315268961</v>
      </c>
      <c r="R620" s="40" t="n">
        <f aca="true">RAND()</f>
        <v>0.669269199893141</v>
      </c>
      <c r="S620" s="40" t="n">
        <f aca="true">RAND()</f>
        <v>0.573501873136841</v>
      </c>
      <c r="T620" s="40" t="n">
        <f aca="true">RAND()</f>
        <v>0.288718351514655</v>
      </c>
      <c r="U620" s="40" t="n">
        <f aca="true">RAND()</f>
        <v>0.613123785324605</v>
      </c>
    </row>
    <row r="621" customFormat="false" ht="15" hidden="false" customHeight="false" outlineLevel="0" collapsed="false">
      <c r="A621" s="36" t="n">
        <v>541</v>
      </c>
      <c r="B621" s="37" t="n">
        <f aca="false">1+IF($G$6=$E$6,$F$6,IF(P621&lt;($F$6-$E$6)/($G$6-$E$6),$E$6+SQRT(P621*($G$6-$E$6)*($F$6-$E$6)),$G$6-SQRT((1-P621)*($G$6-$E$6)*($G$6-$F$6))))</f>
        <v>0.962418061885662</v>
      </c>
      <c r="C621" s="37" t="n">
        <f aca="false">1+IF($G$7=$E$7,$F$7,IF(Q621&lt;($F$7-$E$7)/($G$7-$E$7),$E$7+SQRT(Q621*($G$7-$E$7)*($F$7-$E$7)),$G$7-SQRT((1-Q621)*($G$7-$E$7)*($G$7-$F$7))))</f>
        <v>1.06963372456729</v>
      </c>
      <c r="D621" s="37" t="n">
        <f aca="false">1+IF($G$8=$E$8,$F$8,IF(R621&lt;($F$8-$E$8)/($G$8-$E$8),$E$8+SQRT(R621*($G$8-$E$8)*($F$8-$E$8)),$G$8-SQRT((1-R621)*($G$8-$E$8)*($G$8-$F$8))))</f>
        <v>0.978297860143418</v>
      </c>
      <c r="E621" s="37" t="n">
        <f aca="false">1+IF($G$9=$E$9,$F$9,IF(S621&lt;($F$9-$E$9)/($G$9-$E$9),$E$9+SQRT(S621*($G$9-$E$9)*($F$9-$E$9)),$G$9-SQRT((1-S621)*($G$9-$E$9)*($G$9-$F$9))))</f>
        <v>1.04195021005919</v>
      </c>
      <c r="F621" s="37" t="n">
        <f aca="false">1+IF($G$10=$E$10,$F$10,IF(T621&lt;($F$10-$E$10)/($G$10-$E$10),$E$10+SQRT(T621*($G$10-$E$10)*($F$10-$E$10)),$G$10-SQRT((1-T621)*($G$10-$E$10)*($G$10-$F$10))))</f>
        <v>1.172340162256</v>
      </c>
      <c r="G621" s="38" t="n">
        <f aca="false">IF($G$11=$E$11,$F$11,IF(U621&lt;($F$11-$E$11)/($G$11-$E$11),$E$11+SQRT(U621*($G$11-$E$11)*($F$11-$E$11)),$G$11-SQRT((1-U621)*($G$11-$E$11)*($G$11-$F$11))))</f>
        <v>0.112689290143779</v>
      </c>
      <c r="H621" s="39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-2344680324.512</v>
      </c>
      <c r="I621" s="39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-11267526.1669192</v>
      </c>
      <c r="J621" s="39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296230184.630129</v>
      </c>
      <c r="K621" s="39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662344903.539978</v>
      </c>
      <c r="L621" s="39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800421407.717628</v>
      </c>
      <c r="M621" s="39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996096377.566781</v>
      </c>
      <c r="N621" s="39" t="n">
        <f aca="false">IF(COUNT('Business Case'!B11:G11)=0,"",H621+NPV(G621,I621:M621))</f>
        <v>-528533715.23037</v>
      </c>
      <c r="P621" s="40" t="n">
        <f aca="true">RAND()</f>
        <v>0.259734296637485</v>
      </c>
      <c r="Q621" s="40" t="n">
        <f aca="true">RAND()</f>
        <v>0.904314989230727</v>
      </c>
      <c r="R621" s="40" t="n">
        <f aca="true">RAND()</f>
        <v>0.106769185159527</v>
      </c>
      <c r="S621" s="40" t="n">
        <f aca="true">RAND()</f>
        <v>0.688673143833252</v>
      </c>
      <c r="T621" s="40" t="n">
        <f aca="true">RAND()</f>
        <v>0.919585994687675</v>
      </c>
      <c r="U621" s="40" t="n">
        <f aca="true">RAND()</f>
        <v>0.800226216182484</v>
      </c>
    </row>
    <row r="622" customFormat="false" ht="15" hidden="false" customHeight="false" outlineLevel="0" collapsed="false">
      <c r="A622" s="36" t="n">
        <v>542</v>
      </c>
      <c r="B622" s="37" t="n">
        <f aca="false">1+IF($G$6=$E$6,$F$6,IF(P622&lt;($F$6-$E$6)/($G$6-$E$6),$E$6+SQRT(P622*($G$6-$E$6)*($F$6-$E$6)),$G$6-SQRT((1-P622)*($G$6-$E$6)*($G$6-$F$6))))</f>
        <v>0.97549842742441</v>
      </c>
      <c r="C622" s="37" t="n">
        <f aca="false">1+IF($G$7=$E$7,$F$7,IF(Q622&lt;($F$7-$E$7)/($G$7-$E$7),$E$7+SQRT(Q622*($G$7-$E$7)*($F$7-$E$7)),$G$7-SQRT((1-Q622)*($G$7-$E$7)*($G$7-$F$7))))</f>
        <v>1.0763070098312</v>
      </c>
      <c r="D622" s="37" t="n">
        <f aca="false">1+IF($G$8=$E$8,$F$8,IF(R622&lt;($F$8-$E$8)/($G$8-$E$8),$E$8+SQRT(R622*($G$8-$E$8)*($F$8-$E$8)),$G$8-SQRT((1-R622)*($G$8-$E$8)*($G$8-$F$8))))</f>
        <v>0.985156818359929</v>
      </c>
      <c r="E622" s="37" t="n">
        <f aca="false">1+IF($G$9=$E$9,$F$9,IF(S622&lt;($F$9-$E$9)/($G$9-$E$9),$E$9+SQRT(S622*($G$9-$E$9)*($F$9-$E$9)),$G$9-SQRT((1-S622)*($G$9-$E$9)*($G$9-$F$9))))</f>
        <v>1.09404866701506</v>
      </c>
      <c r="F622" s="37" t="n">
        <f aca="false">1+IF($G$10=$E$10,$F$10,IF(T622&lt;($F$10-$E$10)/($G$10-$E$10),$E$10+SQRT(T622*($G$10-$E$10)*($F$10-$E$10)),$G$10-SQRT((1-T622)*($G$10-$E$10)*($G$10-$F$10))))</f>
        <v>1.0270263830684</v>
      </c>
      <c r="G622" s="38" t="n">
        <f aca="false">IF($G$11=$E$11,$F$11,IF(U622&lt;($F$11-$E$11)/($G$11-$E$11),$E$11+SQRT(U622*($G$11-$E$11)*($F$11-$E$11)),$G$11-SQRT((1-U622)*($G$11-$E$11)*($G$11-$F$11))))</f>
        <v>0.0995262233095331</v>
      </c>
      <c r="H622" s="39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-2054052766.13681</v>
      </c>
      <c r="I622" s="39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4463239.03975408</v>
      </c>
      <c r="J622" s="39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321631508.47545</v>
      </c>
      <c r="K622" s="39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690151097.064566</v>
      </c>
      <c r="L622" s="39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832159634.636172</v>
      </c>
      <c r="M622" s="39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1031731430.64789</v>
      </c>
      <c r="N622" s="39" t="n">
        <f aca="false">IF(COUNT('Business Case'!B11:G11)=0,"",H622+NPV(G622,I622:M622))</f>
        <v>-53400013.1324735</v>
      </c>
      <c r="P622" s="40" t="n">
        <f aca="true">RAND()</f>
        <v>0.380000836237257</v>
      </c>
      <c r="Q622" s="40" t="n">
        <f aca="true">RAND()</f>
        <v>0.919545825184898</v>
      </c>
      <c r="R622" s="40" t="n">
        <f aca="true">RAND()</f>
        <v>0.164800250292403</v>
      </c>
      <c r="S622" s="40" t="n">
        <f aca="true">RAND()</f>
        <v>0.916518622325557</v>
      </c>
      <c r="T622" s="40" t="n">
        <f aca="true">RAND()</f>
        <v>0.337103548699227</v>
      </c>
      <c r="U622" s="40" t="n">
        <f aca="true">RAND()</f>
        <v>0.381273396733754</v>
      </c>
    </row>
    <row r="623" customFormat="false" ht="15" hidden="false" customHeight="false" outlineLevel="0" collapsed="false">
      <c r="A623" s="36" t="n">
        <v>543</v>
      </c>
      <c r="B623" s="37" t="n">
        <f aca="false">1+IF($G$6=$E$6,$F$6,IF(P623&lt;($F$6-$E$6)/($G$6-$E$6),$E$6+SQRT(P623*($G$6-$E$6)*($F$6-$E$6)),$G$6-SQRT((1-P623)*($G$6-$E$6)*($G$6-$F$6))))</f>
        <v>0.927724458833846</v>
      </c>
      <c r="C623" s="37" t="n">
        <f aca="false">1+IF($G$7=$E$7,$F$7,IF(Q623&lt;($F$7-$E$7)/($G$7-$E$7),$E$7+SQRT(Q623*($G$7-$E$7)*($F$7-$E$7)),$G$7-SQRT((1-Q623)*($G$7-$E$7)*($G$7-$F$7))))</f>
        <v>0.793483163163156</v>
      </c>
      <c r="D623" s="37" t="n">
        <f aca="false">1+IF($G$8=$E$8,$F$8,IF(R623&lt;($F$8-$E$8)/($G$8-$E$8),$E$8+SQRT(R623*($G$8-$E$8)*($F$8-$E$8)),$G$8-SQRT((1-R623)*($G$8-$E$8)*($G$8-$F$8))))</f>
        <v>0.977571212549956</v>
      </c>
      <c r="E623" s="37" t="n">
        <f aca="false">1+IF($G$9=$E$9,$F$9,IF(S623&lt;($F$9-$E$9)/($G$9-$E$9),$E$9+SQRT(S623*($G$9-$E$9)*($F$9-$E$9)),$G$9-SQRT((1-S623)*($G$9-$E$9)*($G$9-$F$9))))</f>
        <v>0.996572718700245</v>
      </c>
      <c r="F623" s="37" t="n">
        <f aca="false">1+IF($G$10=$E$10,$F$10,IF(T623&lt;($F$10-$E$10)/($G$10-$E$10),$E$10+SQRT(T623*($G$10-$E$10)*($F$10-$E$10)),$G$10-SQRT((1-T623)*($G$10-$E$10)*($G$10-$F$10))))</f>
        <v>1.0310516567</v>
      </c>
      <c r="G623" s="38" t="n">
        <f aca="false">IF($G$11=$E$11,$F$11,IF(U623&lt;($F$11-$E$11)/($G$11-$E$11),$E$11+SQRT(U623*($G$11-$E$11)*($F$11-$E$11)),$G$11-SQRT((1-U623)*($G$11-$E$11)*($G$11-$F$11))))</f>
        <v>0.124026684948927</v>
      </c>
      <c r="H623" s="39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-2062103313.4</v>
      </c>
      <c r="I623" s="39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-77121775.7363489</v>
      </c>
      <c r="J623" s="39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128735427.781619</v>
      </c>
      <c r="K623" s="39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386145214.134586</v>
      </c>
      <c r="L623" s="39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480205063.964003</v>
      </c>
      <c r="M623" s="39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620129364.909523</v>
      </c>
      <c r="N623" s="39" t="n">
        <f aca="false">IF(COUNT('Business Case'!B11:G11)=0,"",H623+NPV(G623,I623:M623))</f>
        <v>-1110465360.43411</v>
      </c>
      <c r="P623" s="40" t="n">
        <f aca="true">RAND()</f>
        <v>0.0512430411753071</v>
      </c>
      <c r="Q623" s="40" t="n">
        <f aca="true">RAND()</f>
        <v>0.0647340873702912</v>
      </c>
      <c r="R623" s="40" t="n">
        <f aca="true">RAND()</f>
        <v>0.101356234863314</v>
      </c>
      <c r="S623" s="40" t="n">
        <f aca="true">RAND()</f>
        <v>0.373051599886267</v>
      </c>
      <c r="T623" s="40" t="n">
        <f aca="true">RAND()</f>
        <v>0.36082163954914</v>
      </c>
      <c r="U623" s="40" t="n">
        <f aca="true">RAND()</f>
        <v>0.976213004867087</v>
      </c>
    </row>
    <row r="624" customFormat="false" ht="15" hidden="false" customHeight="false" outlineLevel="0" collapsed="false">
      <c r="A624" s="36" t="n">
        <v>544</v>
      </c>
      <c r="B624" s="37" t="n">
        <f aca="false">1+IF($G$6=$E$6,$F$6,IF(P624&lt;($F$6-$E$6)/($G$6-$E$6),$E$6+SQRT(P624*($G$6-$E$6)*($F$6-$E$6)),$G$6-SQRT((1-P624)*($G$6-$E$6)*($G$6-$F$6))))</f>
        <v>1.03209019942171</v>
      </c>
      <c r="C624" s="37" t="n">
        <f aca="false">1+IF($G$7=$E$7,$F$7,IF(Q624&lt;($F$7-$E$7)/($G$7-$E$7),$E$7+SQRT(Q624*($G$7-$E$7)*($F$7-$E$7)),$G$7-SQRT((1-Q624)*($G$7-$E$7)*($G$7-$F$7))))</f>
        <v>0.775889518556313</v>
      </c>
      <c r="D624" s="37" t="n">
        <f aca="false">1+IF($G$8=$E$8,$F$8,IF(R624&lt;($F$8-$E$8)/($G$8-$E$8),$E$8+SQRT(R624*($G$8-$E$8)*($F$8-$E$8)),$G$8-SQRT((1-R624)*($G$8-$E$8)*($G$8-$F$8))))</f>
        <v>1.06157893470462</v>
      </c>
      <c r="E624" s="37" t="n">
        <f aca="false">1+IF($G$9=$E$9,$F$9,IF(S624&lt;($F$9-$E$9)/($G$9-$E$9),$E$9+SQRT(S624*($G$9-$E$9)*($F$9-$E$9)),$G$9-SQRT((1-S624)*($G$9-$E$9)*($G$9-$F$9))))</f>
        <v>1.0185070149872</v>
      </c>
      <c r="F624" s="37" t="n">
        <f aca="false">1+IF($G$10=$E$10,$F$10,IF(T624&lt;($F$10-$E$10)/($G$10-$E$10),$E$10+SQRT(T624*($G$10-$E$10)*($F$10-$E$10)),$G$10-SQRT((1-T624)*($G$10-$E$10)*($G$10-$F$10))))</f>
        <v>1.00607588007013</v>
      </c>
      <c r="G624" s="38" t="n">
        <f aca="false">IF($G$11=$E$11,$F$11,IF(U624&lt;($F$11-$E$11)/($G$11-$E$11),$E$11+SQRT(U624*($G$11-$E$11)*($F$11-$E$11)),$G$11-SQRT((1-U624)*($G$11-$E$11)*($G$11-$F$11))))</f>
        <v>0.0847015618790663</v>
      </c>
      <c r="H624" s="39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-2012151760.14026</v>
      </c>
      <c r="I624" s="39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-52701237.786674</v>
      </c>
      <c r="J624" s="39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181549658.222647</v>
      </c>
      <c r="K624" s="39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466104348.235473</v>
      </c>
      <c r="L624" s="39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571863212.410448</v>
      </c>
      <c r="M624" s="39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724076989.355723</v>
      </c>
      <c r="N624" s="39" t="n">
        <f aca="false">IF(COUNT('Business Case'!B11:G11)=0,"",H624+NPV(G624,I624:M624))</f>
        <v>-645913348.226002</v>
      </c>
      <c r="P624" s="40" t="n">
        <f aca="true">RAND()</f>
        <v>0.957231872432764</v>
      </c>
      <c r="Q624" s="40" t="n">
        <f aca="true">RAND()</f>
        <v>0.0426608816793252</v>
      </c>
      <c r="R624" s="40" t="n">
        <f aca="true">RAND()</f>
        <v>0.901588116104553</v>
      </c>
      <c r="S624" s="40" t="n">
        <f aca="true">RAND()</f>
        <v>0.538922530464613</v>
      </c>
      <c r="T624" s="40" t="n">
        <f aca="true">RAND()</f>
        <v>0.206680316219183</v>
      </c>
      <c r="U624" s="40" t="n">
        <f aca="true">RAND()</f>
        <v>0.0221046841026896</v>
      </c>
    </row>
    <row r="625" customFormat="false" ht="15" hidden="false" customHeight="false" outlineLevel="0" collapsed="false">
      <c r="A625" s="36" t="n">
        <v>545</v>
      </c>
      <c r="B625" s="37" t="n">
        <f aca="false">1+IF($G$6=$E$6,$F$6,IF(P625&lt;($F$6-$E$6)/($G$6-$E$6),$E$6+SQRT(P625*($G$6-$E$6)*($F$6-$E$6)),$G$6-SQRT((1-P625)*($G$6-$E$6)*($G$6-$F$6))))</f>
        <v>0.923739076015515</v>
      </c>
      <c r="C625" s="37" t="n">
        <f aca="false">1+IF($G$7=$E$7,$F$7,IF(Q625&lt;($F$7-$E$7)/($G$7-$E$7),$E$7+SQRT(Q625*($G$7-$E$7)*($F$7-$E$7)),$G$7-SQRT((1-Q625)*($G$7-$E$7)*($G$7-$F$7))))</f>
        <v>1.13880471732576</v>
      </c>
      <c r="D625" s="37" t="n">
        <f aca="false">1+IF($G$8=$E$8,$F$8,IF(R625&lt;($F$8-$E$8)/($G$8-$E$8),$E$8+SQRT(R625*($G$8-$E$8)*($F$8-$E$8)),$G$8-SQRT((1-R625)*($G$8-$E$8)*($G$8-$F$8))))</f>
        <v>1.07289029918571</v>
      </c>
      <c r="E625" s="37" t="n">
        <f aca="false">1+IF($G$9=$E$9,$F$9,IF(S625&lt;($F$9-$E$9)/($G$9-$E$9),$E$9+SQRT(S625*($G$9-$E$9)*($F$9-$E$9)),$G$9-SQRT((1-S625)*($G$9-$E$9)*($G$9-$F$9))))</f>
        <v>1.00346339415449</v>
      </c>
      <c r="F625" s="37" t="n">
        <f aca="false">1+IF($G$10=$E$10,$F$10,IF(T625&lt;($F$10-$E$10)/($G$10-$E$10),$E$10+SQRT(T625*($G$10-$E$10)*($F$10-$E$10)),$G$10-SQRT((1-T625)*($G$10-$E$10)*($G$10-$F$10))))</f>
        <v>1.215859017327</v>
      </c>
      <c r="G625" s="38" t="n">
        <f aca="false">IF($G$11=$E$11,$F$11,IF(U625&lt;($F$11-$E$11)/($G$11-$E$11),$E$11+SQRT(U625*($G$11-$E$11)*($F$11-$E$11)),$G$11-SQRT((1-U625)*($G$11-$E$11)*($G$11-$F$11))))</f>
        <v>0.0945694563565743</v>
      </c>
      <c r="H625" s="39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-2431718034.65399</v>
      </c>
      <c r="I625" s="39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-82652508.2721137</v>
      </c>
      <c r="J625" s="39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153506904.192385</v>
      </c>
      <c r="K625" s="39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450459267.523234</v>
      </c>
      <c r="L625" s="39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565534754.581496</v>
      </c>
      <c r="M625" s="39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765491010.550359</v>
      </c>
      <c r="N625" s="39" t="n">
        <f aca="false">IF(COUNT('Business Case'!B11:G11)=0,"",H625+NPV(G625,I625:M625))</f>
        <v>-1154394342.62764</v>
      </c>
      <c r="P625" s="40" t="n">
        <f aca="true">RAND()</f>
        <v>0.037569582004692</v>
      </c>
      <c r="Q625" s="40" t="n">
        <f aca="true">RAND()</f>
        <v>0.998143194753244</v>
      </c>
      <c r="R625" s="40" t="n">
        <f aca="true">RAND()</f>
        <v>0.951004274783978</v>
      </c>
      <c r="S625" s="40" t="n">
        <f aca="true">RAND()</f>
        <v>0.427387283927376</v>
      </c>
      <c r="T625" s="40" t="n">
        <f aca="true">RAND()</f>
        <v>0.984458577361622</v>
      </c>
      <c r="U625" s="40" t="n">
        <f aca="true">RAND()</f>
        <v>0.212269058526124</v>
      </c>
    </row>
    <row r="626" customFormat="false" ht="15" hidden="false" customHeight="false" outlineLevel="0" collapsed="false">
      <c r="A626" s="36" t="n">
        <v>546</v>
      </c>
      <c r="B626" s="37" t="n">
        <f aca="false">1+IF($G$6=$E$6,$F$6,IF(P626&lt;($F$6-$E$6)/($G$6-$E$6),$E$6+SQRT(P626*($G$6-$E$6)*($F$6-$E$6)),$G$6-SQRT((1-P626)*($G$6-$E$6)*($G$6-$F$6))))</f>
        <v>0.949064867230634</v>
      </c>
      <c r="C626" s="37" t="n">
        <f aca="false">1+IF($G$7=$E$7,$F$7,IF(Q626&lt;($F$7-$E$7)/($G$7-$E$7),$E$7+SQRT(Q626*($G$7-$E$7)*($F$7-$E$7)),$G$7-SQRT((1-Q626)*($G$7-$E$7)*($G$7-$F$7))))</f>
        <v>1.06732173319247</v>
      </c>
      <c r="D626" s="37" t="n">
        <f aca="false">1+IF($G$8=$E$8,$F$8,IF(R626&lt;($F$8-$E$8)/($G$8-$E$8),$E$8+SQRT(R626*($G$8-$E$8)*($F$8-$E$8)),$G$8-SQRT((1-R626)*($G$8-$E$8)*($G$8-$F$8))))</f>
        <v>0.979256416144247</v>
      </c>
      <c r="E626" s="37" t="n">
        <f aca="false">1+IF($G$9=$E$9,$F$9,IF(S626&lt;($F$9-$E$9)/($G$9-$E$9),$E$9+SQRT(S626*($G$9-$E$9)*($F$9-$E$9)),$G$9-SQRT((1-S626)*($G$9-$E$9)*($G$9-$F$9))))</f>
        <v>1.04453954446863</v>
      </c>
      <c r="F626" s="37" t="n">
        <f aca="false">1+IF($G$10=$E$10,$F$10,IF(T626&lt;($F$10-$E$10)/($G$10-$E$10),$E$10+SQRT(T626*($G$10-$E$10)*($F$10-$E$10)),$G$10-SQRT((1-T626)*($G$10-$E$10)*($G$10-$F$10))))</f>
        <v>1.11382384031505</v>
      </c>
      <c r="G626" s="38" t="n">
        <f aca="false">IF($G$11=$E$11,$F$11,IF(U626&lt;($F$11-$E$11)/($G$11-$E$11),$E$11+SQRT(U626*($G$11-$E$11)*($F$11-$E$11)),$G$11-SQRT((1-U626)*($G$11-$E$11)*($G$11-$F$11))))</f>
        <v>0.115468641104796</v>
      </c>
      <c r="H626" s="39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-2227647680.6301</v>
      </c>
      <c r="I626" s="39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-17791846.3355281</v>
      </c>
      <c r="J626" s="39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276843934.44269</v>
      </c>
      <c r="K626" s="39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627170907.236661</v>
      </c>
      <c r="L626" s="39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760390647.401935</v>
      </c>
      <c r="M626" s="39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952933620.217545</v>
      </c>
      <c r="N626" s="39" t="n">
        <f aca="false">IF(COUNT('Business Case'!B11:G11)=0,"",H626+NPV(G626,I626:M626))</f>
        <v>-526297669.856577</v>
      </c>
      <c r="P626" s="40" t="n">
        <f aca="true">RAND()</f>
        <v>0.160490746423981</v>
      </c>
      <c r="Q626" s="40" t="n">
        <f aca="true">RAND()</f>
        <v>0.898730432558559</v>
      </c>
      <c r="R626" s="40" t="n">
        <f aca="true">RAND()</f>
        <v>0.114125051414049</v>
      </c>
      <c r="S626" s="40" t="n">
        <f aca="true">RAND()</f>
        <v>0.703415795176409</v>
      </c>
      <c r="T626" s="40" t="n">
        <f aca="true">RAND()</f>
        <v>0.75274738044612</v>
      </c>
      <c r="U626" s="40" t="n">
        <f aca="true">RAND()</f>
        <v>0.859226405772521</v>
      </c>
    </row>
    <row r="627" customFormat="false" ht="15" hidden="false" customHeight="false" outlineLevel="0" collapsed="false">
      <c r="A627" s="36" t="n">
        <v>547</v>
      </c>
      <c r="B627" s="37" t="n">
        <f aca="false">1+IF($G$6=$E$6,$F$6,IF(P627&lt;($F$6-$E$6)/($G$6-$E$6),$E$6+SQRT(P627*($G$6-$E$6)*($F$6-$E$6)),$G$6-SQRT((1-P627)*($G$6-$E$6)*($G$6-$F$6))))</f>
        <v>0.991464265544866</v>
      </c>
      <c r="C627" s="37" t="n">
        <f aca="false">1+IF($G$7=$E$7,$F$7,IF(Q627&lt;($F$7-$E$7)/($G$7-$E$7),$E$7+SQRT(Q627*($G$7-$E$7)*($F$7-$E$7)),$G$7-SQRT((1-Q627)*($G$7-$E$7)*($G$7-$F$7))))</f>
        <v>1.05464766698832</v>
      </c>
      <c r="D627" s="37" t="n">
        <f aca="false">1+IF($G$8=$E$8,$F$8,IF(R627&lt;($F$8-$E$8)/($G$8-$E$8),$E$8+SQRT(R627*($G$8-$E$8)*($F$8-$E$8)),$G$8-SQRT((1-R627)*($G$8-$E$8)*($G$8-$F$8))))</f>
        <v>1.01456038562087</v>
      </c>
      <c r="E627" s="37" t="n">
        <f aca="false">1+IF($G$9=$E$9,$F$9,IF(S627&lt;($F$9-$E$9)/($G$9-$E$9),$E$9+SQRT(S627*($G$9-$E$9)*($F$9-$E$9)),$G$9-SQRT((1-S627)*($G$9-$E$9)*($G$9-$F$9))))</f>
        <v>1.03318860033957</v>
      </c>
      <c r="F627" s="37" t="n">
        <f aca="false">1+IF($G$10=$E$10,$F$10,IF(T627&lt;($F$10-$E$10)/($G$10-$E$10),$E$10+SQRT(T627*($G$10-$E$10)*($F$10-$E$10)),$G$10-SQRT((1-T627)*($G$10-$E$10)*($G$10-$F$10))))</f>
        <v>1.08023250475675</v>
      </c>
      <c r="G627" s="38" t="n">
        <f aca="false">IF($G$11=$E$11,$F$11,IF(U627&lt;($F$11-$E$11)/($G$11-$E$11),$E$11+SQRT(U627*($G$11-$E$11)*($F$11-$E$11)),$G$11-SQRT((1-U627)*($G$11-$E$11)*($G$11-$F$11))))</f>
        <v>0.0894733621303294</v>
      </c>
      <c r="H627" s="39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-2160465009.51349</v>
      </c>
      <c r="I627" s="39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-446317.188950911</v>
      </c>
      <c r="J627" s="39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308256296.467207</v>
      </c>
      <c r="K627" s="39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670970535.361202</v>
      </c>
      <c r="L627" s="39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810008914.180687</v>
      </c>
      <c r="M627" s="39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1008765205.9849</v>
      </c>
      <c r="N627" s="39" t="n">
        <f aca="false">IF(COUNT('Business Case'!B11:G11)=0,"",H627+NPV(G627,I627:M627))</f>
        <v>-150151162.971104</v>
      </c>
      <c r="P627" s="40" t="n">
        <f aca="true">RAND()</f>
        <v>0.557714124777455</v>
      </c>
      <c r="Q627" s="40" t="n">
        <f aca="true">RAND()</f>
        <v>0.865302705025622</v>
      </c>
      <c r="R627" s="40" t="n">
        <f aca="true">RAND()</f>
        <v>0.513338152983047</v>
      </c>
      <c r="S627" s="40" t="n">
        <f aca="true">RAND()</f>
        <v>0.636135917583217</v>
      </c>
      <c r="T627" s="40" t="n">
        <f aca="true">RAND()</f>
        <v>0.615719967451087</v>
      </c>
      <c r="U627" s="40" t="n">
        <f aca="true">RAND()</f>
        <v>0.0897445900523593</v>
      </c>
    </row>
    <row r="628" customFormat="false" ht="15" hidden="false" customHeight="false" outlineLevel="0" collapsed="false">
      <c r="A628" s="36" t="n">
        <v>548</v>
      </c>
      <c r="B628" s="37" t="n">
        <f aca="false">1+IF($G$6=$E$6,$F$6,IF(P628&lt;($F$6-$E$6)/($G$6-$E$6),$E$6+SQRT(P628*($G$6-$E$6)*($F$6-$E$6)),$G$6-SQRT((1-P628)*($G$6-$E$6)*($G$6-$F$6))))</f>
        <v>1.01297424537807</v>
      </c>
      <c r="C628" s="37" t="n">
        <f aca="false">1+IF($G$7=$E$7,$F$7,IF(Q628&lt;($F$7-$E$7)/($G$7-$E$7),$E$7+SQRT(Q628*($G$7-$E$7)*($F$7-$E$7)),$G$7-SQRT((1-Q628)*($G$7-$E$7)*($G$7-$F$7))))</f>
        <v>0.960704595749955</v>
      </c>
      <c r="D628" s="37" t="n">
        <f aca="false">1+IF($G$8=$E$8,$F$8,IF(R628&lt;($F$8-$E$8)/($G$8-$E$8),$E$8+SQRT(R628*($G$8-$E$8)*($F$8-$E$8)),$G$8-SQRT((1-R628)*($G$8-$E$8)*($G$8-$F$8))))</f>
        <v>1.0232703595638</v>
      </c>
      <c r="E628" s="37" t="n">
        <f aca="false">1+IF($G$9=$E$9,$F$9,IF(S628&lt;($F$9-$E$9)/($G$9-$E$9),$E$9+SQRT(S628*($G$9-$E$9)*($F$9-$E$9)),$G$9-SQRT((1-S628)*($G$9-$E$9)*($G$9-$F$9))))</f>
        <v>1.00103595095748</v>
      </c>
      <c r="F628" s="37" t="n">
        <f aca="false">1+IF($G$10=$E$10,$F$10,IF(T628&lt;($F$10-$E$10)/($G$10-$E$10),$E$10+SQRT(T628*($G$10-$E$10)*($F$10-$E$10)),$G$10-SQRT((1-T628)*($G$10-$E$10)*($G$10-$F$10))))</f>
        <v>1.10373903063</v>
      </c>
      <c r="G628" s="38" t="n">
        <f aca="false">IF($G$11=$E$11,$F$11,IF(U628&lt;($F$11-$E$11)/($G$11-$E$11),$E$11+SQRT(U628*($G$11-$E$11)*($F$11-$E$11)),$G$11-SQRT((1-U628)*($G$11-$E$11)*($G$11-$F$11))))</f>
        <v>0.100521352738112</v>
      </c>
      <c r="H628" s="39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-2207478061.26001</v>
      </c>
      <c r="I628" s="39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-9323157.34176554</v>
      </c>
      <c r="J628" s="39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284523982.234931</v>
      </c>
      <c r="K628" s="39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633558073.343129</v>
      </c>
      <c r="L628" s="39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765139840.9549</v>
      </c>
      <c r="M628" s="39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950119806.929034</v>
      </c>
      <c r="N628" s="39" t="n">
        <f aca="false">IF(COUNT('Business Case'!B11:G11)=0,"",H628+NPV(G628,I628:M628))</f>
        <v>-395538411.079599</v>
      </c>
      <c r="P628" s="40" t="n">
        <f aca="true">RAND()</f>
        <v>0.817212465956884</v>
      </c>
      <c r="Q628" s="40" t="n">
        <f aca="true">RAND()</f>
        <v>0.50345841663072</v>
      </c>
      <c r="R628" s="40" t="n">
        <f aca="true">RAND()</f>
        <v>0.607504151902072</v>
      </c>
      <c r="S628" s="40" t="n">
        <f aca="true">RAND()</f>
        <v>0.408258989142833</v>
      </c>
      <c r="T628" s="40" t="n">
        <f aca="true">RAND()</f>
        <v>0.714769717852658</v>
      </c>
      <c r="U628" s="40" t="n">
        <f aca="true">RAND()</f>
        <v>0.420672903739446</v>
      </c>
    </row>
    <row r="629" customFormat="false" ht="15" hidden="false" customHeight="false" outlineLevel="0" collapsed="false">
      <c r="A629" s="36" t="n">
        <v>549</v>
      </c>
      <c r="B629" s="37" t="n">
        <f aca="false">1+IF($G$6=$E$6,$F$6,IF(P629&lt;($F$6-$E$6)/($G$6-$E$6),$E$6+SQRT(P629*($G$6-$E$6)*($F$6-$E$6)),$G$6-SQRT((1-P629)*($G$6-$E$6)*($G$6-$F$6))))</f>
        <v>0.935872591157988</v>
      </c>
      <c r="C629" s="37" t="n">
        <f aca="false">1+IF($G$7=$E$7,$F$7,IF(Q629&lt;($F$7-$E$7)/($G$7-$E$7),$E$7+SQRT(Q629*($G$7-$E$7)*($F$7-$E$7)),$G$7-SQRT((1-Q629)*($G$7-$E$7)*($G$7-$F$7))))</f>
        <v>0.997738779748809</v>
      </c>
      <c r="D629" s="37" t="n">
        <f aca="false">1+IF($G$8=$E$8,$F$8,IF(R629&lt;($F$8-$E$8)/($G$8-$E$8),$E$8+SQRT(R629*($G$8-$E$8)*($F$8-$E$8)),$G$8-SQRT((1-R629)*($G$8-$E$8)*($G$8-$F$8))))</f>
        <v>1.00196207796061</v>
      </c>
      <c r="E629" s="37" t="n">
        <f aca="false">1+IF($G$9=$E$9,$F$9,IF(S629&lt;($F$9-$E$9)/($G$9-$E$9),$E$9+SQRT(S629*($G$9-$E$9)*($F$9-$E$9)),$G$9-SQRT((1-S629)*($G$9-$E$9)*($G$9-$F$9))))</f>
        <v>1.05729692290205</v>
      </c>
      <c r="F629" s="37" t="n">
        <f aca="false">1+IF($G$10=$E$10,$F$10,IF(T629&lt;($F$10-$E$10)/($G$10-$E$10),$E$10+SQRT(T629*($G$10-$E$10)*($F$10-$E$10)),$G$10-SQRT((1-T629)*($G$10-$E$10)*($G$10-$F$10))))</f>
        <v>1.00287636672298</v>
      </c>
      <c r="G629" s="38" t="n">
        <f aca="false">IF($G$11=$E$11,$F$11,IF(U629&lt;($F$11-$E$11)/($G$11-$E$11),$E$11+SQRT(U629*($G$11-$E$11)*($F$11-$E$11)),$G$11-SQRT((1-U629)*($G$11-$E$11)*($G$11-$F$11))))</f>
        <v>0.118811522803215</v>
      </c>
      <c r="H629" s="39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-2005752733.44597</v>
      </c>
      <c r="I629" s="39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-45992078.2400452</v>
      </c>
      <c r="J629" s="39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207057033.217865</v>
      </c>
      <c r="K629" s="39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510249963.011924</v>
      </c>
      <c r="L629" s="39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626870287.223883</v>
      </c>
      <c r="M629" s="39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804358699.383493</v>
      </c>
      <c r="N629" s="39" t="n">
        <f aca="false">IF(COUNT('Business Case'!B11:G11)=0,"",H629+NPV(G629,I629:M629))</f>
        <v>-658173830.922433</v>
      </c>
      <c r="P629" s="40" t="n">
        <f aca="true">RAND()</f>
        <v>0.0857895197592108</v>
      </c>
      <c r="Q629" s="40" t="n">
        <f aca="true">RAND()</f>
        <v>0.656654673824515</v>
      </c>
      <c r="R629" s="40" t="n">
        <f aca="true">RAND()</f>
        <v>0.359237722813257</v>
      </c>
      <c r="S629" s="40" t="n">
        <f aca="true">RAND()</f>
        <v>0.770830386575259</v>
      </c>
      <c r="T629" s="40" t="n">
        <f aca="true">RAND()</f>
        <v>0.185732131679551</v>
      </c>
      <c r="U629" s="40" t="n">
        <f aca="true">RAND()</f>
        <v>0.91654531867801</v>
      </c>
    </row>
    <row r="630" customFormat="false" ht="15" hidden="false" customHeight="false" outlineLevel="0" collapsed="false">
      <c r="A630" s="36" t="n">
        <v>550</v>
      </c>
      <c r="B630" s="37" t="n">
        <f aca="false">1+IF($G$6=$E$6,$F$6,IF(P630&lt;($F$6-$E$6)/($G$6-$E$6),$E$6+SQRT(P630*($G$6-$E$6)*($F$6-$E$6)),$G$6-SQRT((1-P630)*($G$6-$E$6)*($G$6-$F$6))))</f>
        <v>1.00540341425501</v>
      </c>
      <c r="C630" s="37" t="n">
        <f aca="false">1+IF($G$7=$E$7,$F$7,IF(Q630&lt;($F$7-$E$7)/($G$7-$E$7),$E$7+SQRT(Q630*($G$7-$E$7)*($F$7-$E$7)),$G$7-SQRT((1-Q630)*($G$7-$E$7)*($G$7-$F$7))))</f>
        <v>1.09052605468016</v>
      </c>
      <c r="D630" s="37" t="n">
        <f aca="false">1+IF($G$8=$E$8,$F$8,IF(R630&lt;($F$8-$E$8)/($G$8-$E$8),$E$8+SQRT(R630*($G$8-$E$8)*($F$8-$E$8)),$G$8-SQRT((1-R630)*($G$8-$E$8)*($G$8-$F$8))))</f>
        <v>1.04372664956635</v>
      </c>
      <c r="E630" s="37" t="n">
        <f aca="false">1+IF($G$9=$E$9,$F$9,IF(S630&lt;($F$9-$E$9)/($G$9-$E$9),$E$9+SQRT(S630*($G$9-$E$9)*($F$9-$E$9)),$G$9-SQRT((1-S630)*($G$9-$E$9)*($G$9-$F$9))))</f>
        <v>1.07161061470847</v>
      </c>
      <c r="F630" s="37" t="n">
        <f aca="false">1+IF($G$10=$E$10,$F$10,IF(T630&lt;($F$10-$E$10)/($G$10-$E$10),$E$10+SQRT(T630*($G$10-$E$10)*($F$10-$E$10)),$G$10-SQRT((1-T630)*($G$10-$E$10)*($G$10-$F$10))))</f>
        <v>1.09137341739908</v>
      </c>
      <c r="G630" s="38" t="n">
        <f aca="false">IF($G$11=$E$11,$F$11,IF(U630&lt;($F$11-$E$11)/($G$11-$E$11),$E$11+SQRT(U630*($G$11-$E$11)*($F$11-$E$11)),$G$11-SQRT((1-U630)*($G$11-$E$11)*($G$11-$F$11))))</f>
        <v>0.0987591847559031</v>
      </c>
      <c r="H630" s="39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-2182746834.79816</v>
      </c>
      <c r="I630" s="39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-2985950.51518074</v>
      </c>
      <c r="J630" s="39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312386811.31499</v>
      </c>
      <c r="K630" s="39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682328244.015116</v>
      </c>
      <c r="L630" s="39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825344725.421105</v>
      </c>
      <c r="M630" s="39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1033751976.4654</v>
      </c>
      <c r="N630" s="39" t="n">
        <f aca="false">IF(COUNT('Business Case'!B11:G11)=0,"",H630+NPV(G630,I630:M630))</f>
        <v>-200544565.227066</v>
      </c>
      <c r="P630" s="40" t="n">
        <f aca="true">RAND()</f>
        <v>0.734819271985248</v>
      </c>
      <c r="Q630" s="40" t="n">
        <f aca="true">RAND()</f>
        <v>0.947597775230999</v>
      </c>
      <c r="R630" s="40" t="n">
        <f aca="true">RAND()</f>
        <v>0.7888873353981</v>
      </c>
      <c r="S630" s="40" t="n">
        <f aca="true">RAND()</f>
        <v>0.8361361139631</v>
      </c>
      <c r="T630" s="40" t="n">
        <f aca="true">RAND()</f>
        <v>0.664501430564722</v>
      </c>
      <c r="U630" s="40" t="n">
        <f aca="true">RAND()</f>
        <v>0.351907012706106</v>
      </c>
    </row>
    <row r="631" customFormat="false" ht="15" hidden="false" customHeight="false" outlineLevel="0" collapsed="false">
      <c r="A631" s="36" t="n">
        <v>551</v>
      </c>
      <c r="B631" s="37" t="n">
        <f aca="false">1+IF($G$6=$E$6,$F$6,IF(P631&lt;($F$6-$E$6)/($G$6-$E$6),$E$6+SQRT(P631*($G$6-$E$6)*($F$6-$E$6)),$G$6-SQRT((1-P631)*($G$6-$E$6)*($G$6-$F$6))))</f>
        <v>1.00745693288498</v>
      </c>
      <c r="C631" s="37" t="n">
        <f aca="false">1+IF($G$7=$E$7,$F$7,IF(Q631&lt;($F$7-$E$7)/($G$7-$E$7),$E$7+SQRT(Q631*($G$7-$E$7)*($F$7-$E$7)),$G$7-SQRT((1-Q631)*($G$7-$E$7)*($G$7-$F$7))))</f>
        <v>1.07809012196279</v>
      </c>
      <c r="D631" s="37" t="n">
        <f aca="false">1+IF($G$8=$E$8,$F$8,IF(R631&lt;($F$8-$E$8)/($G$8-$E$8),$E$8+SQRT(R631*($G$8-$E$8)*($F$8-$E$8)),$G$8-SQRT((1-R631)*($G$8-$E$8)*($G$8-$F$8))))</f>
        <v>1.04417667179287</v>
      </c>
      <c r="E631" s="37" t="n">
        <f aca="false">1+IF($G$9=$E$9,$F$9,IF(S631&lt;($F$9-$E$9)/($G$9-$E$9),$E$9+SQRT(S631*($G$9-$E$9)*($F$9-$E$9)),$G$9-SQRT((1-S631)*($G$9-$E$9)*($G$9-$F$9))))</f>
        <v>0.929789977153746</v>
      </c>
      <c r="F631" s="37" t="n">
        <f aca="false">1+IF($G$10=$E$10,$F$10,IF(T631&lt;($F$10-$E$10)/($G$10-$E$10),$E$10+SQRT(T631*($G$10-$E$10)*($F$10-$E$10)),$G$10-SQRT((1-T631)*($G$10-$E$10)*($G$10-$F$10))))</f>
        <v>1.01868034890221</v>
      </c>
      <c r="G631" s="38" t="n">
        <f aca="false">IF($G$11=$E$11,$F$11,IF(U631&lt;($F$11-$E$11)/($G$11-$E$11),$E$11+SQRT(U631*($G$11-$E$11)*($F$11-$E$11)),$G$11-SQRT((1-U631)*($G$11-$E$11)*($G$11-$F$11))))</f>
        <v>0.110788234483626</v>
      </c>
      <c r="H631" s="39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-2037360697.80443</v>
      </c>
      <c r="I631" s="39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22952218.2936327</v>
      </c>
      <c r="J631" s="39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336293552.64753</v>
      </c>
      <c r="K631" s="39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700568904.446537</v>
      </c>
      <c r="L631" s="39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842552646.843689</v>
      </c>
      <c r="M631" s="39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1049004117.04588</v>
      </c>
      <c r="N631" s="39" t="n">
        <f aca="false">IF(COUNT('Business Case'!B11:G11)=0,"",H631+NPV(G631,I631:M631))</f>
        <v>-59212298.0251246</v>
      </c>
      <c r="P631" s="40" t="n">
        <f aca="true">RAND()</f>
        <v>0.758678325392893</v>
      </c>
      <c r="Q631" s="40" t="n">
        <f aca="true">RAND()</f>
        <v>0.923392139861827</v>
      </c>
      <c r="R631" s="40" t="n">
        <f aca="true">RAND()</f>
        <v>0.792250401858628</v>
      </c>
      <c r="S631" s="40" t="n">
        <f aca="true">RAND()</f>
        <v>0.0354977095528293</v>
      </c>
      <c r="T631" s="40" t="n">
        <f aca="true">RAND()</f>
        <v>0.286549586879973</v>
      </c>
      <c r="U631" s="40" t="n">
        <f aca="true">RAND()</f>
        <v>0.753938710495902</v>
      </c>
    </row>
    <row r="632" customFormat="false" ht="15" hidden="false" customHeight="false" outlineLevel="0" collapsed="false">
      <c r="A632" s="36" t="n">
        <v>552</v>
      </c>
      <c r="B632" s="37" t="n">
        <f aca="false">1+IF($G$6=$E$6,$F$6,IF(P632&lt;($F$6-$E$6)/($G$6-$E$6),$E$6+SQRT(P632*($G$6-$E$6)*($F$6-$E$6)),$G$6-SQRT((1-P632)*($G$6-$E$6)*($G$6-$F$6))))</f>
        <v>1.00788282059642</v>
      </c>
      <c r="C632" s="37" t="n">
        <f aca="false">1+IF($G$7=$E$7,$F$7,IF(Q632&lt;($F$7-$E$7)/($G$7-$E$7),$E$7+SQRT(Q632*($G$7-$E$7)*($F$7-$E$7)),$G$7-SQRT((1-Q632)*($G$7-$E$7)*($G$7-$F$7))))</f>
        <v>1.07311187437794</v>
      </c>
      <c r="D632" s="37" t="n">
        <f aca="false">1+IF($G$8=$E$8,$F$8,IF(R632&lt;($F$8-$E$8)/($G$8-$E$8),$E$8+SQRT(R632*($G$8-$E$8)*($F$8-$E$8)),$G$8-SQRT((1-R632)*($G$8-$E$8)*($G$8-$F$8))))</f>
        <v>1.05723806678248</v>
      </c>
      <c r="E632" s="37" t="n">
        <f aca="false">1+IF($G$9=$E$9,$F$9,IF(S632&lt;($F$9-$E$9)/($G$9-$E$9),$E$9+SQRT(S632*($G$9-$E$9)*($F$9-$E$9)),$G$9-SQRT((1-S632)*($G$9-$E$9)*($G$9-$F$9))))</f>
        <v>1.02863526454787</v>
      </c>
      <c r="F632" s="37" t="n">
        <f aca="false">1+IF($G$10=$E$10,$F$10,IF(T632&lt;($F$10-$E$10)/($G$10-$E$10),$E$10+SQRT(T632*($G$10-$E$10)*($F$10-$E$10)),$G$10-SQRT((1-T632)*($G$10-$E$10)*($G$10-$F$10))))</f>
        <v>1.1174615377145</v>
      </c>
      <c r="G632" s="38" t="n">
        <f aca="false">IF($G$11=$E$11,$F$11,IF(U632&lt;($F$11-$E$11)/($G$11-$E$11),$E$11+SQRT(U632*($G$11-$E$11)*($F$11-$E$11)),$G$11-SQRT((1-U632)*($G$11-$E$11)*($G$11-$F$11))))</f>
        <v>0.0961289452229711</v>
      </c>
      <c r="H632" s="39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-2234923075.429</v>
      </c>
      <c r="I632" s="39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-8993205.11178303</v>
      </c>
      <c r="J632" s="39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296100319.986654</v>
      </c>
      <c r="K632" s="39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657066921.970817</v>
      </c>
      <c r="L632" s="39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796143858.217005</v>
      </c>
      <c r="M632" s="39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1001728878.2239</v>
      </c>
      <c r="N632" s="39" t="n">
        <f aca="false">IF(COUNT('Business Case'!B11:G11)=0,"",H632+NPV(G632,I632:M632))</f>
        <v>-313217223.149935</v>
      </c>
      <c r="P632" s="40" t="n">
        <f aca="true">RAND()</f>
        <v>0.763485759878232</v>
      </c>
      <c r="Q632" s="40" t="n">
        <f aca="true">RAND()</f>
        <v>0.912418016864099</v>
      </c>
      <c r="R632" s="40" t="n">
        <f aca="true">RAND()</f>
        <v>0.878094471166674</v>
      </c>
      <c r="S632" s="40" t="n">
        <f aca="true">RAND()</f>
        <v>0.607216026363617</v>
      </c>
      <c r="T632" s="40" t="n">
        <f aca="true">RAND()</f>
        <v>0.765780746866605</v>
      </c>
      <c r="U632" s="40" t="n">
        <f aca="true">RAND()</f>
        <v>0.260142874005603</v>
      </c>
    </row>
    <row r="633" customFormat="false" ht="15" hidden="false" customHeight="false" outlineLevel="0" collapsed="false">
      <c r="A633" s="36" t="n">
        <v>553</v>
      </c>
      <c r="B633" s="37" t="n">
        <f aca="false">1+IF($G$6=$E$6,$F$6,IF(P633&lt;($F$6-$E$6)/($G$6-$E$6),$E$6+SQRT(P633*($G$6-$E$6)*($F$6-$E$6)),$G$6-SQRT((1-P633)*($G$6-$E$6)*($G$6-$F$6))))</f>
        <v>0.974209656871681</v>
      </c>
      <c r="C633" s="37" t="n">
        <f aca="false">1+IF($G$7=$E$7,$F$7,IF(Q633&lt;($F$7-$E$7)/($G$7-$E$7),$E$7+SQRT(Q633*($G$7-$E$7)*($F$7-$E$7)),$G$7-SQRT((1-Q633)*($G$7-$E$7)*($G$7-$F$7))))</f>
        <v>0.896251833127179</v>
      </c>
      <c r="D633" s="37" t="n">
        <f aca="false">1+IF($G$8=$E$8,$F$8,IF(R633&lt;($F$8-$E$8)/($G$8-$E$8),$E$8+SQRT(R633*($G$8-$E$8)*($F$8-$E$8)),$G$8-SQRT((1-R633)*($G$8-$E$8)*($G$8-$F$8))))</f>
        <v>1.01171924117116</v>
      </c>
      <c r="E633" s="37" t="n">
        <f aca="false">1+IF($G$9=$E$9,$F$9,IF(S633&lt;($F$9-$E$9)/($G$9-$E$9),$E$9+SQRT(S633*($G$9-$E$9)*($F$9-$E$9)),$G$9-SQRT((1-S633)*($G$9-$E$9)*($G$9-$F$9))))</f>
        <v>0.945096726203332</v>
      </c>
      <c r="F633" s="37" t="n">
        <f aca="false">1+IF($G$10=$E$10,$F$10,IF(T633&lt;($F$10-$E$10)/($G$10-$E$10),$E$10+SQRT(T633*($G$10-$E$10)*($F$10-$E$10)),$G$10-SQRT((1-T633)*($G$10-$E$10)*($G$10-$F$10))))</f>
        <v>1.01790262046425</v>
      </c>
      <c r="G633" s="38" t="n">
        <f aca="false">IF($G$11=$E$11,$F$11,IF(U633&lt;($F$11-$E$11)/($G$11-$E$11),$E$11+SQRT(U633*($G$11-$E$11)*($F$11-$E$11)),$G$11-SQRT((1-U633)*($G$11-$E$11)*($G$11-$F$11))))</f>
        <v>0.10311488480256</v>
      </c>
      <c r="H633" s="39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-2035805240.92851</v>
      </c>
      <c r="I633" s="39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-30470357.855223</v>
      </c>
      <c r="J633" s="39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220505732.774277</v>
      </c>
      <c r="K633" s="39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522376954.426989</v>
      </c>
      <c r="L633" s="39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636211272.618278</v>
      </c>
      <c r="M633" s="39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802177189.849618</v>
      </c>
      <c r="N633" s="39" t="n">
        <f aca="false">IF(COUNT('Business Case'!B11:G11)=0,"",H633+NPV(G633,I633:M633))</f>
        <v>-572314932.84712</v>
      </c>
      <c r="P633" s="40" t="n">
        <f aca="true">RAND()</f>
        <v>0.367138211534176</v>
      </c>
      <c r="Q633" s="40" t="n">
        <f aca="true">RAND()</f>
        <v>0.285294681524281</v>
      </c>
      <c r="R633" s="40" t="n">
        <f aca="true">RAND()</f>
        <v>0.480433841373644</v>
      </c>
      <c r="S633" s="40" t="n">
        <f aca="true">RAND()</f>
        <v>0.0813485885703319</v>
      </c>
      <c r="T633" s="40" t="n">
        <f aca="true">RAND()</f>
        <v>0.28174408550186</v>
      </c>
      <c r="U633" s="40" t="n">
        <f aca="true">RAND()</f>
        <v>0.518127053880261</v>
      </c>
    </row>
    <row r="634" customFormat="false" ht="15" hidden="false" customHeight="false" outlineLevel="0" collapsed="false">
      <c r="A634" s="36" t="n">
        <v>554</v>
      </c>
      <c r="B634" s="37" t="n">
        <f aca="false">1+IF($G$6=$E$6,$F$6,IF(P634&lt;($F$6-$E$6)/($G$6-$E$6),$E$6+SQRT(P634*($G$6-$E$6)*($F$6-$E$6)),$G$6-SQRT((1-P634)*($G$6-$E$6)*($G$6-$F$6))))</f>
        <v>1.00653330758995</v>
      </c>
      <c r="C634" s="37" t="n">
        <f aca="false">1+IF($G$7=$E$7,$F$7,IF(Q634&lt;($F$7-$E$7)/($G$7-$E$7),$E$7+SQRT(Q634*($G$7-$E$7)*($F$7-$E$7)),$G$7-SQRT((1-Q634)*($G$7-$E$7)*($G$7-$F$7))))</f>
        <v>0.876228778472052</v>
      </c>
      <c r="D634" s="37" t="n">
        <f aca="false">1+IF($G$8=$E$8,$F$8,IF(R634&lt;($F$8-$E$8)/($G$8-$E$8),$E$8+SQRT(R634*($G$8-$E$8)*($F$8-$E$8)),$G$8-SQRT((1-R634)*($G$8-$E$8)*($G$8-$F$8))))</f>
        <v>0.956212774605289</v>
      </c>
      <c r="E634" s="37" t="n">
        <f aca="false">1+IF($G$9=$E$9,$F$9,IF(S634&lt;($F$9-$E$9)/($G$9-$E$9),$E$9+SQRT(S634*($G$9-$E$9)*($F$9-$E$9)),$G$9-SQRT((1-S634)*($G$9-$E$9)*($G$9-$F$9))))</f>
        <v>0.961214816131285</v>
      </c>
      <c r="F634" s="37" t="n">
        <f aca="false">1+IF($G$10=$E$10,$F$10,IF(T634&lt;($F$10-$E$10)/($G$10-$E$10),$E$10+SQRT(T634*($G$10-$E$10)*($F$10-$E$10)),$G$10-SQRT((1-T634)*($G$10-$E$10)*($G$10-$F$10))))</f>
        <v>1.02940192282303</v>
      </c>
      <c r="G634" s="38" t="n">
        <f aca="false">IF($G$11=$E$11,$F$11,IF(U634&lt;($F$11-$E$11)/($G$11-$E$11),$E$11+SQRT(U634*($G$11-$E$11)*($F$11-$E$11)),$G$11-SQRT((1-U634)*($G$11-$E$11)*($G$11-$F$11))))</f>
        <v>0.126782719662438</v>
      </c>
      <c r="H634" s="39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-2058803845.64607</v>
      </c>
      <c r="I634" s="39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8120090.02412659</v>
      </c>
      <c r="J634" s="39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301585586.06358</v>
      </c>
      <c r="K634" s="39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646521178.244184</v>
      </c>
      <c r="L634" s="39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774823321.510105</v>
      </c>
      <c r="M634" s="39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942465033.400338</v>
      </c>
      <c r="N634" s="39" t="n">
        <f aca="false">IF(COUNT('Business Case'!B11:G11)=0,"",H634+NPV(G634,I634:M634))</f>
        <v>-362598951.52809</v>
      </c>
      <c r="P634" s="40" t="n">
        <f aca="true">RAND()</f>
        <v>0.748086220123968</v>
      </c>
      <c r="Q634" s="40" t="n">
        <f aca="true">RAND()</f>
        <v>0.230048758235197</v>
      </c>
      <c r="R634" s="40" t="n">
        <f aca="true">RAND()</f>
        <v>0.00514647577281576</v>
      </c>
      <c r="S634" s="40" t="n">
        <f aca="true">RAND()</f>
        <v>0.14989014855948</v>
      </c>
      <c r="T634" s="40" t="n">
        <f aca="true">RAND()</f>
        <v>0.351153177944335</v>
      </c>
      <c r="U634" s="40" t="n">
        <f aca="true">RAND()</f>
        <v>0.99309940481969</v>
      </c>
    </row>
    <row r="635" customFormat="false" ht="15" hidden="false" customHeight="false" outlineLevel="0" collapsed="false">
      <c r="A635" s="36" t="n">
        <v>555</v>
      </c>
      <c r="B635" s="37" t="n">
        <f aca="false">1+IF($G$6=$E$6,$F$6,IF(P635&lt;($F$6-$E$6)/($G$6-$E$6),$E$6+SQRT(P635*($G$6-$E$6)*($F$6-$E$6)),$G$6-SQRT((1-P635)*($G$6-$E$6)*($G$6-$F$6))))</f>
        <v>0.944453535596276</v>
      </c>
      <c r="C635" s="37" t="n">
        <f aca="false">1+IF($G$7=$E$7,$F$7,IF(Q635&lt;($F$7-$E$7)/($G$7-$E$7),$E$7+SQRT(Q635*($G$7-$E$7)*($F$7-$E$7)),$G$7-SQRT((1-Q635)*($G$7-$E$7)*($G$7-$F$7))))</f>
        <v>0.980823962724963</v>
      </c>
      <c r="D635" s="37" t="n">
        <f aca="false">1+IF($G$8=$E$8,$F$8,IF(R635&lt;($F$8-$E$8)/($G$8-$E$8),$E$8+SQRT(R635*($G$8-$E$8)*($F$8-$E$8)),$G$8-SQRT((1-R635)*($G$8-$E$8)*($G$8-$F$8))))</f>
        <v>1.0105882395762</v>
      </c>
      <c r="E635" s="37" t="n">
        <f aca="false">1+IF($G$9=$E$9,$F$9,IF(S635&lt;($F$9-$E$9)/($G$9-$E$9),$E$9+SQRT(S635*($G$9-$E$9)*($F$9-$E$9)),$G$9-SQRT((1-S635)*($G$9-$E$9)*($G$9-$F$9))))</f>
        <v>0.97555757834166</v>
      </c>
      <c r="F635" s="37" t="n">
        <f aca="false">1+IF($G$10=$E$10,$F$10,IF(T635&lt;($F$10-$E$10)/($G$10-$E$10),$E$10+SQRT(T635*($G$10-$E$10)*($F$10-$E$10)),$G$10-SQRT((1-T635)*($G$10-$E$10)*($G$10-$F$10))))</f>
        <v>0.997902953884517</v>
      </c>
      <c r="G635" s="38" t="n">
        <f aca="false">IF($G$11=$E$11,$F$11,IF(U635&lt;($F$11-$E$11)/($G$11-$E$11),$E$11+SQRT(U635*($G$11-$E$11)*($F$11-$E$11)),$G$11-SQRT((1-U635)*($G$11-$E$11)*($G$11-$F$11))))</f>
        <v>0.0869835439361585</v>
      </c>
      <c r="H635" s="39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-1995805907.76903</v>
      </c>
      <c r="I635" s="39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-35214645.8982479</v>
      </c>
      <c r="J635" s="39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216106894.69508</v>
      </c>
      <c r="K635" s="39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517323582.982634</v>
      </c>
      <c r="L635" s="39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633111832.155703</v>
      </c>
      <c r="M635" s="39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809191044.853152</v>
      </c>
      <c r="N635" s="39" t="n">
        <f aca="false">IF(COUNT('Business Case'!B11:G11)=0,"",H635+NPV(G635,I635:M635))</f>
        <v>-455726833.35482</v>
      </c>
      <c r="P635" s="40" t="n">
        <f aca="true">RAND()</f>
        <v>0.131741121800622</v>
      </c>
      <c r="Q635" s="40" t="n">
        <f aca="true">RAND()</f>
        <v>0.584163689189268</v>
      </c>
      <c r="R635" s="40" t="n">
        <f aca="true">RAND()</f>
        <v>0.467035806527743</v>
      </c>
      <c r="S635" s="40" t="n">
        <f aca="true">RAND()</f>
        <v>0.228357905794244</v>
      </c>
      <c r="T635" s="40" t="n">
        <f aca="true">RAND()</f>
        <v>0.152979532724141</v>
      </c>
      <c r="U635" s="40" t="n">
        <f aca="true">RAND()</f>
        <v>0.0487698859082554</v>
      </c>
    </row>
    <row r="636" customFormat="false" ht="15" hidden="false" customHeight="false" outlineLevel="0" collapsed="false">
      <c r="A636" s="36" t="n">
        <v>556</v>
      </c>
      <c r="B636" s="37" t="n">
        <f aca="false">1+IF($G$6=$E$6,$F$6,IF(P636&lt;($F$6-$E$6)/($G$6-$E$6),$E$6+SQRT(P636*($G$6-$E$6)*($F$6-$E$6)),$G$6-SQRT((1-P636)*($G$6-$E$6)*($G$6-$F$6))))</f>
        <v>1.02802071733899</v>
      </c>
      <c r="C636" s="37" t="n">
        <f aca="false">1+IF($G$7=$E$7,$F$7,IF(Q636&lt;($F$7-$E$7)/($G$7-$E$7),$E$7+SQRT(Q636*($G$7-$E$7)*($F$7-$E$7)),$G$7-SQRT((1-Q636)*($G$7-$E$7)*($G$7-$F$7))))</f>
        <v>0.801301500254969</v>
      </c>
      <c r="D636" s="37" t="n">
        <f aca="false">1+IF($G$8=$E$8,$F$8,IF(R636&lt;($F$8-$E$8)/($G$8-$E$8),$E$8+SQRT(R636*($G$8-$E$8)*($F$8-$E$8)),$G$8-SQRT((1-R636)*($G$8-$E$8)*($G$8-$F$8))))</f>
        <v>1.00015208237971</v>
      </c>
      <c r="E636" s="37" t="n">
        <f aca="false">1+IF($G$9=$E$9,$F$9,IF(S636&lt;($F$9-$E$9)/($G$9-$E$9),$E$9+SQRT(S636*($G$9-$E$9)*($F$9-$E$9)),$G$9-SQRT((1-S636)*($G$9-$E$9)*($G$9-$F$9))))</f>
        <v>1.08847037863376</v>
      </c>
      <c r="F636" s="37" t="n">
        <f aca="false">1+IF($G$10=$E$10,$F$10,IF(T636&lt;($F$10-$E$10)/($G$10-$E$10),$E$10+SQRT(T636*($G$10-$E$10)*($F$10-$E$10)),$G$10-SQRT((1-T636)*($G$10-$E$10)*($G$10-$F$10))))</f>
        <v>0.99003360297006</v>
      </c>
      <c r="G636" s="38" t="n">
        <f aca="false">IF($G$11=$E$11,$F$11,IF(U636&lt;($F$11-$E$11)/($G$11-$E$11),$E$11+SQRT(U636*($G$11-$E$11)*($F$11-$E$11)),$G$11-SQRT((1-U636)*($G$11-$E$11)*($G$11-$F$11))))</f>
        <v>0.0926480602580181</v>
      </c>
      <c r="H636" s="39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-1980067205.94012</v>
      </c>
      <c r="I636" s="39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-32037651.0763882</v>
      </c>
      <c r="J636" s="39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232411981.500095</v>
      </c>
      <c r="K636" s="39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546363294.225082</v>
      </c>
      <c r="L636" s="39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662982128.760006</v>
      </c>
      <c r="M636" s="39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819561392.311869</v>
      </c>
      <c r="N636" s="39" t="n">
        <f aca="false">IF(COUNT('Business Case'!B11:G11)=0,"",H636+NPV(G636,I636:M636))</f>
        <v>-404514035.562313</v>
      </c>
      <c r="P636" s="40" t="n">
        <f aca="true">RAND()</f>
        <v>0.935588151160977</v>
      </c>
      <c r="Q636" s="40" t="n">
        <f aca="true">RAND()</f>
        <v>0.0760147700289447</v>
      </c>
      <c r="R636" s="40" t="n">
        <f aca="true">RAND()</f>
        <v>0.335359556459465</v>
      </c>
      <c r="S636" s="40" t="n">
        <f aca="true">RAND()</f>
        <v>0.89904281852074</v>
      </c>
      <c r="T636" s="40" t="n">
        <f aca="true">RAND()</f>
        <v>0.106845957784292</v>
      </c>
      <c r="U636" s="40" t="n">
        <f aca="true">RAND()</f>
        <v>0.159973428290457</v>
      </c>
    </row>
    <row r="637" customFormat="false" ht="15" hidden="false" customHeight="false" outlineLevel="0" collapsed="false">
      <c r="A637" s="36" t="n">
        <v>557</v>
      </c>
      <c r="B637" s="37" t="n">
        <f aca="false">1+IF($G$6=$E$6,$F$6,IF(P637&lt;($F$6-$E$6)/($G$6-$E$6),$E$6+SQRT(P637*($G$6-$E$6)*($F$6-$E$6)),$G$6-SQRT((1-P637)*($G$6-$E$6)*($G$6-$F$6))))</f>
        <v>1.02550083767072</v>
      </c>
      <c r="C637" s="37" t="n">
        <f aca="false">1+IF($G$7=$E$7,$F$7,IF(Q637&lt;($F$7-$E$7)/($G$7-$E$7),$E$7+SQRT(Q637*($G$7-$E$7)*($F$7-$E$7)),$G$7-SQRT((1-Q637)*($G$7-$E$7)*($G$7-$F$7))))</f>
        <v>0.997349889585067</v>
      </c>
      <c r="D637" s="37" t="n">
        <f aca="false">1+IF($G$8=$E$8,$F$8,IF(R637&lt;($F$8-$E$8)/($G$8-$E$8),$E$8+SQRT(R637*($G$8-$E$8)*($F$8-$E$8)),$G$8-SQRT((1-R637)*($G$8-$E$8)*($G$8-$F$8))))</f>
        <v>0.995178499027108</v>
      </c>
      <c r="E637" s="37" t="n">
        <f aca="false">1+IF($G$9=$E$9,$F$9,IF(S637&lt;($F$9-$E$9)/($G$9-$E$9),$E$9+SQRT(S637*($G$9-$E$9)*($F$9-$E$9)),$G$9-SQRT((1-S637)*($G$9-$E$9)*($G$9-$F$9))))</f>
        <v>0.958842471616324</v>
      </c>
      <c r="F637" s="37" t="n">
        <f aca="false">1+IF($G$10=$E$10,$F$10,IF(T637&lt;($F$10-$E$10)/($G$10-$E$10),$E$10+SQRT(T637*($G$10-$E$10)*($F$10-$E$10)),$G$10-SQRT((1-T637)*($G$10-$E$10)*($G$10-$F$10))))</f>
        <v>1.11621975239136</v>
      </c>
      <c r="G637" s="38" t="n">
        <f aca="false">IF($G$11=$E$11,$F$11,IF(U637&lt;($F$11-$E$11)/($G$11-$E$11),$E$11+SQRT(U637*($G$11-$E$11)*($F$11-$E$11)),$G$11-SQRT((1-U637)*($G$11-$E$11)*($G$11-$F$11))))</f>
        <v>0.121225002659705</v>
      </c>
      <c r="H637" s="39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-2232439504.78272</v>
      </c>
      <c r="I637" s="39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28640911.1439018</v>
      </c>
      <c r="J637" s="39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358272275.342681</v>
      </c>
      <c r="K637" s="39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743714627.161028</v>
      </c>
      <c r="L637" s="39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888939134.128554</v>
      </c>
      <c r="M637" s="39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1083349754.75219</v>
      </c>
      <c r="N637" s="39" t="n">
        <f aca="false">IF(COUNT('Business Case'!B11:G11)=0,"",H637+NPV(G637,I637:M637))</f>
        <v>-220435278.480258</v>
      </c>
      <c r="P637" s="40" t="n">
        <f aca="true">RAND()</f>
        <v>0.91997213935514</v>
      </c>
      <c r="Q637" s="40" t="n">
        <f aca="true">RAND()</f>
        <v>0.654940421009272</v>
      </c>
      <c r="R637" s="40" t="n">
        <f aca="true">RAND()</f>
        <v>0.272146236578987</v>
      </c>
      <c r="S637" s="40" t="n">
        <f aca="true">RAND()</f>
        <v>0.138497458636714</v>
      </c>
      <c r="T637" s="40" t="n">
        <f aca="true">RAND()</f>
        <v>0.761371271330284</v>
      </c>
      <c r="U637" s="40" t="n">
        <f aca="true">RAND()</f>
        <v>0.948666281118547</v>
      </c>
    </row>
    <row r="638" customFormat="false" ht="15" hidden="false" customHeight="false" outlineLevel="0" collapsed="false">
      <c r="A638" s="36" t="n">
        <v>558</v>
      </c>
      <c r="B638" s="37" t="n">
        <f aca="false">1+IF($G$6=$E$6,$F$6,IF(P638&lt;($F$6-$E$6)/($G$6-$E$6),$E$6+SQRT(P638*($G$6-$E$6)*($F$6-$E$6)),$G$6-SQRT((1-P638)*($G$6-$E$6)*($G$6-$F$6))))</f>
        <v>0.980314073782472</v>
      </c>
      <c r="C638" s="37" t="n">
        <f aca="false">1+IF($G$7=$E$7,$F$7,IF(Q638&lt;($F$7-$E$7)/($G$7-$E$7),$E$7+SQRT(Q638*($G$7-$E$7)*($F$7-$E$7)),$G$7-SQRT((1-Q638)*($G$7-$E$7)*($G$7-$F$7))))</f>
        <v>0.954195868643706</v>
      </c>
      <c r="D638" s="37" t="n">
        <f aca="false">1+IF($G$8=$E$8,$F$8,IF(R638&lt;($F$8-$E$8)/($G$8-$E$8),$E$8+SQRT(R638*($G$8-$E$8)*($F$8-$E$8)),$G$8-SQRT((1-R638)*($G$8-$E$8)*($G$8-$F$8))))</f>
        <v>1.04164829610674</v>
      </c>
      <c r="E638" s="37" t="n">
        <f aca="false">1+IF($G$9=$E$9,$F$9,IF(S638&lt;($F$9-$E$9)/($G$9-$E$9),$E$9+SQRT(S638*($G$9-$E$9)*($F$9-$E$9)),$G$9-SQRT((1-S638)*($G$9-$E$9)*($G$9-$F$9))))</f>
        <v>0.978778277621953</v>
      </c>
      <c r="F638" s="37" t="n">
        <f aca="false">1+IF($G$10=$E$10,$F$10,IF(T638&lt;($F$10-$E$10)/($G$10-$E$10),$E$10+SQRT(T638*($G$10-$E$10)*($F$10-$E$10)),$G$10-SQRT((1-T638)*($G$10-$E$10)*($G$10-$F$10))))</f>
        <v>0.970765416553195</v>
      </c>
      <c r="G638" s="38" t="n">
        <f aca="false">IF($G$11=$E$11,$F$11,IF(U638&lt;($F$11-$E$11)/($G$11-$E$11),$E$11+SQRT(U638*($G$11-$E$11)*($F$11-$E$11)),$G$11-SQRT((1-U638)*($G$11-$E$11)*($G$11-$F$11))))</f>
        <v>0.085056568557836</v>
      </c>
      <c r="H638" s="39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-1941530833.10639</v>
      </c>
      <c r="I638" s="39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-27397043.4355294</v>
      </c>
      <c r="J638" s="39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229956465.237013</v>
      </c>
      <c r="K638" s="39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535848244.737215</v>
      </c>
      <c r="L638" s="39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653960573.878003</v>
      </c>
      <c r="M638" s="39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831763618.252675</v>
      </c>
      <c r="N638" s="39" t="n">
        <f aca="false">IF(COUNT('Business Case'!B11:G11)=0,"",H638+NPV(G638,I638:M638))</f>
        <v>-327209414.275964</v>
      </c>
      <c r="P638" s="40" t="n">
        <f aca="true">RAND()</f>
        <v>0.430023363169091</v>
      </c>
      <c r="Q638" s="40" t="n">
        <f aca="true">RAND()</f>
        <v>0.47863362692984</v>
      </c>
      <c r="R638" s="40" t="n">
        <f aca="true">RAND()</f>
        <v>0.773005243516917</v>
      </c>
      <c r="S638" s="40" t="n">
        <f aca="true">RAND()</f>
        <v>0.248240681003261</v>
      </c>
      <c r="T638" s="40" t="n">
        <f aca="true">RAND()</f>
        <v>0.0287468349751792</v>
      </c>
      <c r="U638" s="40" t="n">
        <f aca="true">RAND()</f>
        <v>0.0255688855800954</v>
      </c>
    </row>
    <row r="639" customFormat="false" ht="15" hidden="false" customHeight="false" outlineLevel="0" collapsed="false">
      <c r="A639" s="36" t="n">
        <v>559</v>
      </c>
      <c r="B639" s="37" t="n">
        <f aca="false">1+IF($G$6=$E$6,$F$6,IF(P639&lt;($F$6-$E$6)/($G$6-$E$6),$E$6+SQRT(P639*($G$6-$E$6)*($F$6-$E$6)),$G$6-SQRT((1-P639)*($G$6-$E$6)*($G$6-$F$6))))</f>
        <v>0.991978781233612</v>
      </c>
      <c r="C639" s="37" t="n">
        <f aca="false">1+IF($G$7=$E$7,$F$7,IF(Q639&lt;($F$7-$E$7)/($G$7-$E$7),$E$7+SQRT(Q639*($G$7-$E$7)*($F$7-$E$7)),$G$7-SQRT((1-Q639)*($G$7-$E$7)*($G$7-$F$7))))</f>
        <v>0.989394174078666</v>
      </c>
      <c r="D639" s="37" t="n">
        <f aca="false">1+IF($G$8=$E$8,$F$8,IF(R639&lt;($F$8-$E$8)/($G$8-$E$8),$E$8+SQRT(R639*($G$8-$E$8)*($F$8-$E$8)),$G$8-SQRT((1-R639)*($G$8-$E$8)*($G$8-$F$8))))</f>
        <v>0.997871194595704</v>
      </c>
      <c r="E639" s="37" t="n">
        <f aca="false">1+IF($G$9=$E$9,$F$9,IF(S639&lt;($F$9-$E$9)/($G$9-$E$9),$E$9+SQRT(S639*($G$9-$E$9)*($F$9-$E$9)),$G$9-SQRT((1-S639)*($G$9-$E$9)*($G$9-$F$9))))</f>
        <v>0.919884286228383</v>
      </c>
      <c r="F639" s="37" t="n">
        <f aca="false">1+IF($G$10=$E$10,$F$10,IF(T639&lt;($F$10-$E$10)/($G$10-$E$10),$E$10+SQRT(T639*($G$10-$E$10)*($F$10-$E$10)),$G$10-SQRT((1-T639)*($G$10-$E$10)*($G$10-$F$10))))</f>
        <v>1.0487321104741</v>
      </c>
      <c r="G639" s="38" t="n">
        <f aca="false">IF($G$11=$E$11,$F$11,IF(U639&lt;($F$11-$E$11)/($G$11-$E$11),$E$11+SQRT(U639*($G$11-$E$11)*($F$11-$E$11)),$G$11-SQRT((1-U639)*($G$11-$E$11)*($G$11-$F$11))))</f>
        <v>0.11370308021997</v>
      </c>
      <c r="H639" s="39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-2097464220.9482</v>
      </c>
      <c r="I639" s="39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11912802.8649621</v>
      </c>
      <c r="J639" s="39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310385146.39673</v>
      </c>
      <c r="K639" s="39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661294095.452203</v>
      </c>
      <c r="L639" s="39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794704066.041272</v>
      </c>
      <c r="M639" s="39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981259607.806245</v>
      </c>
      <c r="N639" s="39" t="n">
        <f aca="false">IF(COUNT('Business Case'!B11:G11)=0,"",H639+NPV(G639,I639:M639))</f>
        <v>-268518255.634434</v>
      </c>
      <c r="P639" s="40" t="n">
        <f aca="true">RAND()</f>
        <v>0.564006413148043</v>
      </c>
      <c r="Q639" s="40" t="n">
        <f aca="true">RAND()</f>
        <v>0.620362874004986</v>
      </c>
      <c r="R639" s="40" t="n">
        <f aca="true">RAND()</f>
        <v>0.305553502935969</v>
      </c>
      <c r="S639" s="40" t="n">
        <f aca="true">RAND()</f>
        <v>0.0158153935524896</v>
      </c>
      <c r="T639" s="40" t="n">
        <f aca="true">RAND()</f>
        <v>0.45988315527719</v>
      </c>
      <c r="U639" s="40" t="n">
        <f aca="true">RAND()</f>
        <v>0.822940270455509</v>
      </c>
    </row>
    <row r="640" customFormat="false" ht="15" hidden="false" customHeight="false" outlineLevel="0" collapsed="false">
      <c r="A640" s="36" t="n">
        <v>560</v>
      </c>
      <c r="B640" s="37" t="n">
        <f aca="false">1+IF($G$6=$E$6,$F$6,IF(P640&lt;($F$6-$E$6)/($G$6-$E$6),$E$6+SQRT(P640*($G$6-$E$6)*($F$6-$E$6)),$G$6-SQRT((1-P640)*($G$6-$E$6)*($G$6-$F$6))))</f>
        <v>1.01636347116243</v>
      </c>
      <c r="C640" s="37" t="n">
        <f aca="false">1+IF($G$7=$E$7,$F$7,IF(Q640&lt;($F$7-$E$7)/($G$7-$E$7),$E$7+SQRT(Q640*($G$7-$E$7)*($F$7-$E$7)),$G$7-SQRT((1-Q640)*($G$7-$E$7)*($G$7-$F$7))))</f>
        <v>0.945107462749869</v>
      </c>
      <c r="D640" s="37" t="n">
        <f aca="false">1+IF($G$8=$E$8,$F$8,IF(R640&lt;($F$8-$E$8)/($G$8-$E$8),$E$8+SQRT(R640*($G$8-$E$8)*($F$8-$E$8)),$G$8-SQRT((1-R640)*($G$8-$E$8)*($G$8-$F$8))))</f>
        <v>1.0116480935992</v>
      </c>
      <c r="E640" s="37" t="n">
        <f aca="false">1+IF($G$9=$E$9,$F$9,IF(S640&lt;($F$9-$E$9)/($G$9-$E$9),$E$9+SQRT(S640*($G$9-$E$9)*($F$9-$E$9)),$G$9-SQRT((1-S640)*($G$9-$E$9)*($G$9-$F$9))))</f>
        <v>1.01463269247731</v>
      </c>
      <c r="F640" s="37" t="n">
        <f aca="false">1+IF($G$10=$E$10,$F$10,IF(T640&lt;($F$10-$E$10)/($G$10-$E$10),$E$10+SQRT(T640*($G$10-$E$10)*($F$10-$E$10)),$G$10-SQRT((1-T640)*($G$10-$E$10)*($G$10-$F$10))))</f>
        <v>1.08184889581342</v>
      </c>
      <c r="G640" s="38" t="n">
        <f aca="false">IF($G$11=$E$11,$F$11,IF(U640&lt;($F$11-$E$11)/($G$11-$E$11),$E$11+SQRT(U640*($G$11-$E$11)*($F$11-$E$11)),$G$11-SQRT((1-U640)*($G$11-$E$11)*($G$11-$F$11))))</f>
        <v>0.11394897749508</v>
      </c>
      <c r="H640" s="39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-2163697791.62684</v>
      </c>
      <c r="I640" s="39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-4938529.69439831</v>
      </c>
      <c r="J640" s="39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292384687.906608</v>
      </c>
      <c r="K640" s="39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643800350.298285</v>
      </c>
      <c r="L640" s="39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776105482.061146</v>
      </c>
      <c r="M640" s="39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958691141.155037</v>
      </c>
      <c r="N640" s="39" t="n">
        <f aca="false">IF(COUNT('Business Case'!B11:G11)=0,"",H640+NPV(G640,I640:M640))</f>
        <v>-403795096.353574</v>
      </c>
      <c r="P640" s="40" t="n">
        <f aca="true">RAND()</f>
        <v>0.849144523701234</v>
      </c>
      <c r="Q640" s="40" t="n">
        <f aca="true">RAND()</f>
        <v>0.445019765153173</v>
      </c>
      <c r="R640" s="40" t="n">
        <f aca="true">RAND()</f>
        <v>0.479596042356327</v>
      </c>
      <c r="S640" s="40" t="n">
        <f aca="true">RAND()</f>
        <v>0.511351788108202</v>
      </c>
      <c r="T640" s="40" t="n">
        <f aca="true">RAND()</f>
        <v>0.623002748811119</v>
      </c>
      <c r="U640" s="40" t="n">
        <f aca="true">RAND()</f>
        <v>0.828243117697692</v>
      </c>
    </row>
    <row r="641" customFormat="false" ht="15" hidden="false" customHeight="false" outlineLevel="0" collapsed="false">
      <c r="A641" s="36" t="n">
        <v>561</v>
      </c>
      <c r="B641" s="37" t="n">
        <f aca="false">1+IF($G$6=$E$6,$F$6,IF(P641&lt;($F$6-$E$6)/($G$6-$E$6),$E$6+SQRT(P641*($G$6-$E$6)*($F$6-$E$6)),$G$6-SQRT((1-P641)*($G$6-$E$6)*($G$6-$F$6))))</f>
        <v>1.00872049479614</v>
      </c>
      <c r="C641" s="37" t="n">
        <f aca="false">1+IF($G$7=$E$7,$F$7,IF(Q641&lt;($F$7-$E$7)/($G$7-$E$7),$E$7+SQRT(Q641*($G$7-$E$7)*($F$7-$E$7)),$G$7-SQRT((1-Q641)*($G$7-$E$7)*($G$7-$F$7))))</f>
        <v>1.06334485645969</v>
      </c>
      <c r="D641" s="37" t="n">
        <f aca="false">1+IF($G$8=$E$8,$F$8,IF(R641&lt;($F$8-$E$8)/($G$8-$E$8),$E$8+SQRT(R641*($G$8-$E$8)*($F$8-$E$8)),$G$8-SQRT((1-R641)*($G$8-$E$8)*($G$8-$F$8))))</f>
        <v>0.998190980710502</v>
      </c>
      <c r="E641" s="37" t="n">
        <f aca="false">1+IF($G$9=$E$9,$F$9,IF(S641&lt;($F$9-$E$9)/($G$9-$E$9),$E$9+SQRT(S641*($G$9-$E$9)*($F$9-$E$9)),$G$9-SQRT((1-S641)*($G$9-$E$9)*($G$9-$F$9))))</f>
        <v>0.986749779689239</v>
      </c>
      <c r="F641" s="37" t="n">
        <f aca="false">1+IF($G$10=$E$10,$F$10,IF(T641&lt;($F$10-$E$10)/($G$10-$E$10),$E$10+SQRT(T641*($G$10-$E$10)*($F$10-$E$10)),$G$10-SQRT((1-T641)*($G$10-$E$10)*($G$10-$F$10))))</f>
        <v>1.18646901962284</v>
      </c>
      <c r="G641" s="38" t="n">
        <f aca="false">IF($G$11=$E$11,$F$11,IF(U641&lt;($F$11-$E$11)/($G$11-$E$11),$E$11+SQRT(U641*($G$11-$E$11)*($F$11-$E$11)),$G$11-SQRT((1-U641)*($G$11-$E$11)*($G$11-$F$11))))</f>
        <v>0.105917946272826</v>
      </c>
      <c r="H641" s="39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-2372938039.24568</v>
      </c>
      <c r="I641" s="39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20621176.9466427</v>
      </c>
      <c r="J641" s="39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355809578.674261</v>
      </c>
      <c r="K641" s="39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750321431.38302</v>
      </c>
      <c r="L641" s="39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899120568.056814</v>
      </c>
      <c r="M641" s="39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1103003749.92871</v>
      </c>
      <c r="N641" s="39" t="n">
        <f aca="false">IF(COUNT('Business Case'!B11:G11)=0,"",H641+NPV(G641,I641:M641))</f>
        <v>-240825986.483927</v>
      </c>
      <c r="P641" s="40" t="n">
        <f aca="true">RAND()</f>
        <v>0.772800326683216</v>
      </c>
      <c r="Q641" s="40" t="n">
        <f aca="true">RAND()</f>
        <v>0.888753868118634</v>
      </c>
      <c r="R641" s="40" t="n">
        <f aca="true">RAND()</f>
        <v>0.309649416245332</v>
      </c>
      <c r="S641" s="40" t="n">
        <f aca="true">RAND()</f>
        <v>0.30102097104526</v>
      </c>
      <c r="T641" s="40" t="n">
        <f aca="true">RAND()</f>
        <v>0.946184193764223</v>
      </c>
      <c r="U641" s="40" t="n">
        <f aca="true">RAND()</f>
        <v>0.613369792187669</v>
      </c>
    </row>
    <row r="642" customFormat="false" ht="15" hidden="false" customHeight="false" outlineLevel="0" collapsed="false">
      <c r="A642" s="36" t="n">
        <v>562</v>
      </c>
      <c r="B642" s="37" t="n">
        <f aca="false">1+IF($G$6=$E$6,$F$6,IF(P642&lt;($F$6-$E$6)/($G$6-$E$6),$E$6+SQRT(P642*($G$6-$E$6)*($F$6-$E$6)),$G$6-SQRT((1-P642)*($G$6-$E$6)*($G$6-$F$6))))</f>
        <v>0.938619183746871</v>
      </c>
      <c r="C642" s="37" t="n">
        <f aca="false">1+IF($G$7=$E$7,$F$7,IF(Q642&lt;($F$7-$E$7)/($G$7-$E$7),$E$7+SQRT(Q642*($G$7-$E$7)*($F$7-$E$7)),$G$7-SQRT((1-Q642)*($G$7-$E$7)*($G$7-$F$7))))</f>
        <v>0.875962306231773</v>
      </c>
      <c r="D642" s="37" t="n">
        <f aca="false">1+IF($G$8=$E$8,$F$8,IF(R642&lt;($F$8-$E$8)/($G$8-$E$8),$E$8+SQRT(R642*($G$8-$E$8)*($F$8-$E$8)),$G$8-SQRT((1-R642)*($G$8-$E$8)*($G$8-$F$8))))</f>
        <v>1.01498639737421</v>
      </c>
      <c r="E642" s="37" t="n">
        <f aca="false">1+IF($G$9=$E$9,$F$9,IF(S642&lt;($F$9-$E$9)/($G$9-$E$9),$E$9+SQRT(S642*($G$9-$E$9)*($F$9-$E$9)),$G$9-SQRT((1-S642)*($G$9-$E$9)*($G$9-$F$9))))</f>
        <v>1.05561157746474</v>
      </c>
      <c r="F642" s="37" t="n">
        <f aca="false">1+IF($G$10=$E$10,$F$10,IF(T642&lt;($F$10-$E$10)/($G$10-$E$10),$E$10+SQRT(T642*($G$10-$E$10)*($F$10-$E$10)),$G$10-SQRT((1-T642)*($G$10-$E$10)*($G$10-$F$10))))</f>
        <v>1.15788349167902</v>
      </c>
      <c r="G642" s="38" t="n">
        <f aca="false">IF($G$11=$E$11,$F$11,IF(U642&lt;($F$11-$E$11)/($G$11-$E$11),$E$11+SQRT(U642*($G$11-$E$11)*($F$11-$E$11)),$G$11-SQRT((1-U642)*($G$11-$E$11)*($G$11-$F$11))))</f>
        <v>0.103941360383364</v>
      </c>
      <c r="H642" s="39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-2315766983.35805</v>
      </c>
      <c r="I642" s="39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-90224845.6017523</v>
      </c>
      <c r="J642" s="39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128069214.369056</v>
      </c>
      <c r="K642" s="39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404257448.923816</v>
      </c>
      <c r="L642" s="39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505437195.6402</v>
      </c>
      <c r="M642" s="39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661720025.967165</v>
      </c>
      <c r="N642" s="39" t="n">
        <f aca="false">IF(COUNT('Business Case'!B11:G11)=0,"",H642+NPV(G642,I642:M642))</f>
        <v>-1248015527.71604</v>
      </c>
      <c r="P642" s="40" t="n">
        <f aca="true">RAND()</f>
        <v>0.099429423551637</v>
      </c>
      <c r="Q642" s="40" t="n">
        <f aca="true">RAND()</f>
        <v>0.229353579365956</v>
      </c>
      <c r="R642" s="40" t="n">
        <f aca="true">RAND()</f>
        <v>0.518179157905608</v>
      </c>
      <c r="S642" s="40" t="n">
        <f aca="true">RAND()</f>
        <v>0.762422018434811</v>
      </c>
      <c r="T642" s="40" t="n">
        <f aca="true">RAND()</f>
        <v>0.886860651930019</v>
      </c>
      <c r="U642" s="40" t="n">
        <f aca="true">RAND()</f>
        <v>0.54729820088685</v>
      </c>
    </row>
    <row r="643" customFormat="false" ht="15" hidden="false" customHeight="false" outlineLevel="0" collapsed="false">
      <c r="A643" s="36" t="n">
        <v>563</v>
      </c>
      <c r="B643" s="37" t="n">
        <f aca="false">1+IF($G$6=$E$6,$F$6,IF(P643&lt;($F$6-$E$6)/($G$6-$E$6),$E$6+SQRT(P643*($G$6-$E$6)*($F$6-$E$6)),$G$6-SQRT((1-P643)*($G$6-$E$6)*($G$6-$F$6))))</f>
        <v>0.970671144214487</v>
      </c>
      <c r="C643" s="37" t="n">
        <f aca="false">1+IF($G$7=$E$7,$F$7,IF(Q643&lt;($F$7-$E$7)/($G$7-$E$7),$E$7+SQRT(Q643*($G$7-$E$7)*($F$7-$E$7)),$G$7-SQRT((1-Q643)*($G$7-$E$7)*($G$7-$F$7))))</f>
        <v>0.818356848559782</v>
      </c>
      <c r="D643" s="37" t="n">
        <f aca="false">1+IF($G$8=$E$8,$F$8,IF(R643&lt;($F$8-$E$8)/($G$8-$E$8),$E$8+SQRT(R643*($G$8-$E$8)*($F$8-$E$8)),$G$8-SQRT((1-R643)*($G$8-$E$8)*($G$8-$F$8))))</f>
        <v>0.984288124907757</v>
      </c>
      <c r="E643" s="37" t="n">
        <f aca="false">1+IF($G$9=$E$9,$F$9,IF(S643&lt;($F$9-$E$9)/($G$9-$E$9),$E$9+SQRT(S643*($G$9-$E$9)*($F$9-$E$9)),$G$9-SQRT((1-S643)*($G$9-$E$9)*($G$9-$F$9))))</f>
        <v>0.953637297331924</v>
      </c>
      <c r="F643" s="37" t="n">
        <f aca="false">1+IF($G$10=$E$10,$F$10,IF(T643&lt;($F$10-$E$10)/($G$10-$E$10),$E$10+SQRT(T643*($G$10-$E$10)*($F$10-$E$10)),$G$10-SQRT((1-T643)*($G$10-$E$10)*($G$10-$F$10))))</f>
        <v>1.00634463863745</v>
      </c>
      <c r="G643" s="38" t="n">
        <f aca="false">IF($G$11=$E$11,$F$11,IF(U643&lt;($F$11-$E$11)/($G$11-$E$11),$E$11+SQRT(U643*($G$11-$E$11)*($F$11-$E$11)),$G$11-SQRT((1-U643)*($G$11-$E$11)*($G$11-$F$11))))</f>
        <v>0.107044481129015</v>
      </c>
      <c r="H643" s="39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-2012689277.27491</v>
      </c>
      <c r="I643" s="39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-39137832.9440287</v>
      </c>
      <c r="J643" s="39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199145404.481216</v>
      </c>
      <c r="K643" s="39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487745873.838333</v>
      </c>
      <c r="L643" s="39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594626541.530033</v>
      </c>
      <c r="M643" s="39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745617611.888102</v>
      </c>
      <c r="N643" s="39" t="n">
        <f aca="false">IF(COUNT('Business Case'!B11:G11)=0,"",H643+NPV(G643,I643:M643))</f>
        <v>-681723429.866608</v>
      </c>
      <c r="P643" s="40" t="n">
        <f aca="true">RAND()</f>
        <v>0.33296070830565</v>
      </c>
      <c r="Q643" s="40" t="n">
        <f aca="true">RAND()</f>
        <v>0.103765508155578</v>
      </c>
      <c r="R643" s="40" t="n">
        <f aca="true">RAND()</f>
        <v>0.156756734625329</v>
      </c>
      <c r="S643" s="40" t="n">
        <f aca="true">RAND()</f>
        <v>0.115078386602929</v>
      </c>
      <c r="T643" s="40" t="n">
        <f aca="true">RAND()</f>
        <v>0.208427531723823</v>
      </c>
      <c r="U643" s="40" t="n">
        <f aca="true">RAND()</f>
        <v>0.648696102242559</v>
      </c>
    </row>
    <row r="644" customFormat="false" ht="15" hidden="false" customHeight="false" outlineLevel="0" collapsed="false">
      <c r="A644" s="36" t="n">
        <v>564</v>
      </c>
      <c r="B644" s="37" t="n">
        <f aca="false">1+IF($G$6=$E$6,$F$6,IF(P644&lt;($F$6-$E$6)/($G$6-$E$6),$E$6+SQRT(P644*($G$6-$E$6)*($F$6-$E$6)),$G$6-SQRT((1-P644)*($G$6-$E$6)*($G$6-$F$6))))</f>
        <v>1.04180747882989</v>
      </c>
      <c r="C644" s="37" t="n">
        <f aca="false">1+IF($G$7=$E$7,$F$7,IF(Q644&lt;($F$7-$E$7)/($G$7-$E$7),$E$7+SQRT(Q644*($G$7-$E$7)*($F$7-$E$7)),$G$7-SQRT((1-Q644)*($G$7-$E$7)*($G$7-$F$7))))</f>
        <v>1.04302558055534</v>
      </c>
      <c r="D644" s="37" t="n">
        <f aca="false">1+IF($G$8=$E$8,$F$8,IF(R644&lt;($F$8-$E$8)/($G$8-$E$8),$E$8+SQRT(R644*($G$8-$E$8)*($F$8-$E$8)),$G$8-SQRT((1-R644)*($G$8-$E$8)*($G$8-$F$8))))</f>
        <v>1.03211145301855</v>
      </c>
      <c r="E644" s="37" t="n">
        <f aca="false">1+IF($G$9=$E$9,$F$9,IF(S644&lt;($F$9-$E$9)/($G$9-$E$9),$E$9+SQRT(S644*($G$9-$E$9)*($F$9-$E$9)),$G$9-SQRT((1-S644)*($G$9-$E$9)*($G$9-$F$9))))</f>
        <v>0.988277151105503</v>
      </c>
      <c r="F644" s="37" t="n">
        <f aca="false">1+IF($G$10=$E$10,$F$10,IF(T644&lt;($F$10-$E$10)/($G$10-$E$10),$E$10+SQRT(T644*($G$10-$E$10)*($F$10-$E$10)),$G$10-SQRT((1-T644)*($G$10-$E$10)*($G$10-$F$10))))</f>
        <v>1.00613308171705</v>
      </c>
      <c r="G644" s="38" t="n">
        <f aca="false">IF($G$11=$E$11,$F$11,IF(U644&lt;($F$11-$E$11)/($G$11-$E$11),$E$11+SQRT(U644*($G$11-$E$11)*($F$11-$E$11)),$G$11-SQRT((1-U644)*($G$11-$E$11)*($G$11-$F$11))))</f>
        <v>0.0980789271100874</v>
      </c>
      <c r="H644" s="39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-2012266163.4341</v>
      </c>
      <c r="I644" s="39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41460982.7936102</v>
      </c>
      <c r="J644" s="39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380399279.772597</v>
      </c>
      <c r="K644" s="39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769644230.837437</v>
      </c>
      <c r="L644" s="39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920177659.914746</v>
      </c>
      <c r="M644" s="39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1126724642.04514</v>
      </c>
      <c r="N644" s="39" t="n">
        <f aca="false">IF(COUNT('Business Case'!B11:G11)=0,"",H644+NPV(G644,I644:M644))</f>
        <v>260909435.856672</v>
      </c>
      <c r="P644" s="40" t="n">
        <f aca="true">RAND()</f>
        <v>0.991051012916983</v>
      </c>
      <c r="Q644" s="40" t="n">
        <f aca="true">RAND()</f>
        <v>0.830466275325597</v>
      </c>
      <c r="R644" s="40" t="n">
        <f aca="true">RAND()</f>
        <v>0.692743012583167</v>
      </c>
      <c r="S644" s="40" t="n">
        <f aca="true">RAND()</f>
        <v>0.311714216292152</v>
      </c>
      <c r="T644" s="40" t="n">
        <f aca="true">RAND()</f>
        <v>0.20705234889568</v>
      </c>
      <c r="U644" s="40" t="n">
        <f aca="true">RAND()</f>
        <v>0.326847605451853</v>
      </c>
    </row>
    <row r="645" customFormat="false" ht="15" hidden="false" customHeight="false" outlineLevel="0" collapsed="false">
      <c r="A645" s="36" t="n">
        <v>565</v>
      </c>
      <c r="B645" s="37" t="n">
        <f aca="false">1+IF($G$6=$E$6,$F$6,IF(P645&lt;($F$6-$E$6)/($G$6-$E$6),$E$6+SQRT(P645*($G$6-$E$6)*($F$6-$E$6)),$G$6-SQRT((1-P645)*($G$6-$E$6)*($G$6-$F$6))))</f>
        <v>0.99211627167062</v>
      </c>
      <c r="C645" s="37" t="n">
        <f aca="false">1+IF($G$7=$E$7,$F$7,IF(Q645&lt;($F$7-$E$7)/($G$7-$E$7),$E$7+SQRT(Q645*($G$7-$E$7)*($F$7-$E$7)),$G$7-SQRT((1-Q645)*($G$7-$E$7)*($G$7-$F$7))))</f>
        <v>0.992100348398668</v>
      </c>
      <c r="D645" s="37" t="n">
        <f aca="false">1+IF($G$8=$E$8,$F$8,IF(R645&lt;($F$8-$E$8)/($G$8-$E$8),$E$8+SQRT(R645*($G$8-$E$8)*($F$8-$E$8)),$G$8-SQRT((1-R645)*($G$8-$E$8)*($G$8-$F$8))))</f>
        <v>1.01770689697259</v>
      </c>
      <c r="E645" s="37" t="n">
        <f aca="false">1+IF($G$9=$E$9,$F$9,IF(S645&lt;($F$9-$E$9)/($G$9-$E$9),$E$9+SQRT(S645*($G$9-$E$9)*($F$9-$E$9)),$G$9-SQRT((1-S645)*($G$9-$E$9)*($G$9-$F$9))))</f>
        <v>1.02348926323828</v>
      </c>
      <c r="F645" s="37" t="n">
        <f aca="false">1+IF($G$10=$E$10,$F$10,IF(T645&lt;($F$10-$E$10)/($G$10-$E$10),$E$10+SQRT(T645*($G$10-$E$10)*($F$10-$E$10)),$G$10-SQRT((1-T645)*($G$10-$E$10)*($G$10-$F$10))))</f>
        <v>1.08056247033567</v>
      </c>
      <c r="G645" s="38" t="n">
        <f aca="false">IF($G$11=$E$11,$F$11,IF(U645&lt;($F$11-$E$11)/($G$11-$E$11),$E$11+SQRT(U645*($G$11-$E$11)*($F$11-$E$11)),$G$11-SQRT((1-U645)*($G$11-$E$11)*($G$11-$F$11))))</f>
        <v>0.106384172465305</v>
      </c>
      <c r="H645" s="39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-2161124940.67135</v>
      </c>
      <c r="I645" s="39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-15295070.7424306</v>
      </c>
      <c r="J645" s="39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274031296.893758</v>
      </c>
      <c r="K645" s="39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617385788.046731</v>
      </c>
      <c r="L645" s="39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747844589.33384</v>
      </c>
      <c r="M645" s="39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934936322.41326</v>
      </c>
      <c r="N645" s="39" t="n">
        <f aca="false">IF(COUNT('Business Case'!B11:G11)=0,"",H645+NPV(G645,I645:M645))</f>
        <v>-432150509.709892</v>
      </c>
      <c r="P645" s="40" t="n">
        <f aca="true">RAND()</f>
        <v>0.565693833766361</v>
      </c>
      <c r="Q645" s="40" t="n">
        <f aca="true">RAND()</f>
        <v>0.632019359515728</v>
      </c>
      <c r="R645" s="40" t="n">
        <f aca="true">RAND()</f>
        <v>0.548523012941311</v>
      </c>
      <c r="S645" s="40" t="n">
        <f aca="true">RAND()</f>
        <v>0.573200892906833</v>
      </c>
      <c r="T645" s="40" t="n">
        <f aca="true">RAND()</f>
        <v>0.617212313883344</v>
      </c>
      <c r="U645" s="40" t="n">
        <f aca="true">RAND()</f>
        <v>0.6281951265677</v>
      </c>
    </row>
    <row r="646" customFormat="false" ht="15" hidden="false" customHeight="false" outlineLevel="0" collapsed="false">
      <c r="A646" s="36" t="n">
        <v>566</v>
      </c>
      <c r="B646" s="37" t="n">
        <f aca="false">1+IF($G$6=$E$6,$F$6,IF(P646&lt;($F$6-$E$6)/($G$6-$E$6),$E$6+SQRT(P646*($G$6-$E$6)*($F$6-$E$6)),$G$6-SQRT((1-P646)*($G$6-$E$6)*($G$6-$F$6))))</f>
        <v>0.916655828720701</v>
      </c>
      <c r="C646" s="37" t="n">
        <f aca="false">1+IF($G$7=$E$7,$F$7,IF(Q646&lt;($F$7-$E$7)/($G$7-$E$7),$E$7+SQRT(Q646*($G$7-$E$7)*($F$7-$E$7)),$G$7-SQRT((1-Q646)*($G$7-$E$7)*($G$7-$F$7))))</f>
        <v>0.991568000948479</v>
      </c>
      <c r="D646" s="37" t="n">
        <f aca="false">1+IF($G$8=$E$8,$F$8,IF(R646&lt;($F$8-$E$8)/($G$8-$E$8),$E$8+SQRT(R646*($G$8-$E$8)*($F$8-$E$8)),$G$8-SQRT((1-R646)*($G$8-$E$8)*($G$8-$F$8))))</f>
        <v>1.02138715470005</v>
      </c>
      <c r="E646" s="37" t="n">
        <f aca="false">1+IF($G$9=$E$9,$F$9,IF(S646&lt;($F$9-$E$9)/($G$9-$E$9),$E$9+SQRT(S646*($G$9-$E$9)*($F$9-$E$9)),$G$9-SQRT((1-S646)*($G$9-$E$9)*($G$9-$F$9))))</f>
        <v>0.990557049325442</v>
      </c>
      <c r="F646" s="37" t="n">
        <f aca="false">1+IF($G$10=$E$10,$F$10,IF(T646&lt;($F$10-$E$10)/($G$10-$E$10),$E$10+SQRT(T646*($G$10-$E$10)*($F$10-$E$10)),$G$10-SQRT((1-T646)*($G$10-$E$10)*($G$10-$F$10))))</f>
        <v>1.03058486268405</v>
      </c>
      <c r="G646" s="38" t="n">
        <f aca="false">IF($G$11=$E$11,$F$11,IF(U646&lt;($F$11-$E$11)/($G$11-$E$11),$E$11+SQRT(U646*($G$11-$E$11)*($F$11-$E$11)),$G$11-SQRT((1-U646)*($G$11-$E$11)*($G$11-$F$11))))</f>
        <v>0.120359996244693</v>
      </c>
      <c r="H646" s="39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-2061169725.3681</v>
      </c>
      <c r="I646" s="39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-65017820.4272822</v>
      </c>
      <c r="J646" s="39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160998812.131298</v>
      </c>
      <c r="K646" s="39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438544687.824081</v>
      </c>
      <c r="L646" s="39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545296068.212528</v>
      </c>
      <c r="M646" s="39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718064833.991587</v>
      </c>
      <c r="N646" s="39" t="n">
        <f aca="false">IF(COUNT('Business Case'!B11:G11)=0,"",H646+NPV(G646,I646:M646))</f>
        <v>-926195861.789819</v>
      </c>
      <c r="P646" s="40" t="n">
        <f aca="true">RAND()</f>
        <v>0.0184944420248887</v>
      </c>
      <c r="Q646" s="40" t="n">
        <f aca="true">RAND()</f>
        <v>0.629717771682167</v>
      </c>
      <c r="R646" s="40" t="n">
        <f aca="true">RAND()</f>
        <v>0.588001370256373</v>
      </c>
      <c r="S646" s="40" t="n">
        <f aca="true">RAND()</f>
        <v>0.328023167301224</v>
      </c>
      <c r="T646" s="40" t="n">
        <f aca="true">RAND()</f>
        <v>0.358093300221638</v>
      </c>
      <c r="U646" s="40" t="n">
        <f aca="true">RAND()</f>
        <v>0.938046885065105</v>
      </c>
    </row>
    <row r="647" customFormat="false" ht="15" hidden="false" customHeight="false" outlineLevel="0" collapsed="false">
      <c r="A647" s="36" t="n">
        <v>567</v>
      </c>
      <c r="B647" s="37" t="n">
        <f aca="false">1+IF($G$6=$E$6,$F$6,IF(P647&lt;($F$6-$E$6)/($G$6-$E$6),$E$6+SQRT(P647*($G$6-$E$6)*($F$6-$E$6)),$G$6-SQRT((1-P647)*($G$6-$E$6)*($G$6-$F$6))))</f>
        <v>0.925675480880116</v>
      </c>
      <c r="C647" s="37" t="n">
        <f aca="false">1+IF($G$7=$E$7,$F$7,IF(Q647&lt;($F$7-$E$7)/($G$7-$E$7),$E$7+SQRT(Q647*($G$7-$E$7)*($F$7-$E$7)),$G$7-SQRT((1-Q647)*($G$7-$E$7)*($G$7-$F$7))))</f>
        <v>1.0544876514685</v>
      </c>
      <c r="D647" s="37" t="n">
        <f aca="false">1+IF($G$8=$E$8,$F$8,IF(R647&lt;($F$8-$E$8)/($G$8-$E$8),$E$8+SQRT(R647*($G$8-$E$8)*($F$8-$E$8)),$G$8-SQRT((1-R647)*($G$8-$E$8)*($G$8-$F$8))))</f>
        <v>0.965777321957718</v>
      </c>
      <c r="E647" s="37" t="n">
        <f aca="false">1+IF($G$9=$E$9,$F$9,IF(S647&lt;($F$9-$E$9)/($G$9-$E$9),$E$9+SQRT(S647*($G$9-$E$9)*($F$9-$E$9)),$G$9-SQRT((1-S647)*($G$9-$E$9)*($G$9-$F$9))))</f>
        <v>1.11205090225054</v>
      </c>
      <c r="F647" s="37" t="n">
        <f aca="false">1+IF($G$10=$E$10,$F$10,IF(T647&lt;($F$10-$E$10)/($G$10-$E$10),$E$10+SQRT(T647*($G$10-$E$10)*($F$10-$E$10)),$G$10-SQRT((1-T647)*($G$10-$E$10)*($G$10-$F$10))))</f>
        <v>1.08173079277582</v>
      </c>
      <c r="G647" s="38" t="n">
        <f aca="false">IF($G$11=$E$11,$F$11,IF(U647&lt;($F$11-$E$11)/($G$11-$E$11),$E$11+SQRT(U647*($G$11-$E$11)*($F$11-$E$11)),$G$11-SQRT((1-U647)*($G$11-$E$11)*($G$11-$F$11))))</f>
        <v>0.103142515764078</v>
      </c>
      <c r="H647" s="39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-2163461585.55163</v>
      </c>
      <c r="I647" s="39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-38740770.3366528</v>
      </c>
      <c r="J647" s="39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239426893.686559</v>
      </c>
      <c r="K647" s="39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571681097.348563</v>
      </c>
      <c r="L647" s="39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698138129.877804</v>
      </c>
      <c r="M647" s="39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883677758.079409</v>
      </c>
      <c r="N647" s="39" t="n">
        <f aca="false">IF(COUNT('Business Case'!B11:G11)=0,"",H647+NPV(G647,I647:M647))</f>
        <v>-563629262.41407</v>
      </c>
      <c r="P647" s="40" t="n">
        <f aca="true">RAND()</f>
        <v>0.0439486878950139</v>
      </c>
      <c r="Q647" s="40" t="n">
        <f aca="true">RAND()</f>
        <v>0.864850241155508</v>
      </c>
      <c r="R647" s="40" t="n">
        <f aca="true">RAND()</f>
        <v>0.0331898517543333</v>
      </c>
      <c r="S647" s="40" t="n">
        <f aca="true">RAND()</f>
        <v>0.961596426133394</v>
      </c>
      <c r="T647" s="40" t="n">
        <f aca="true">RAND()</f>
        <v>0.622472985335261</v>
      </c>
      <c r="U647" s="40" t="n">
        <f aca="true">RAND()</f>
        <v>0.519117027011453</v>
      </c>
    </row>
    <row r="648" customFormat="false" ht="15" hidden="false" customHeight="false" outlineLevel="0" collapsed="false">
      <c r="A648" s="36" t="n">
        <v>568</v>
      </c>
      <c r="B648" s="37" t="n">
        <f aca="false">1+IF($G$6=$E$6,$F$6,IF(P648&lt;($F$6-$E$6)/($G$6-$E$6),$E$6+SQRT(P648*($G$6-$E$6)*($F$6-$E$6)),$G$6-SQRT((1-P648)*($G$6-$E$6)*($G$6-$F$6))))</f>
        <v>0.993336113913549</v>
      </c>
      <c r="C648" s="37" t="n">
        <f aca="false">1+IF($G$7=$E$7,$F$7,IF(Q648&lt;($F$7-$E$7)/($G$7-$E$7),$E$7+SQRT(Q648*($G$7-$E$7)*($F$7-$E$7)),$G$7-SQRT((1-Q648)*($G$7-$E$7)*($G$7-$F$7))))</f>
        <v>0.968162346568616</v>
      </c>
      <c r="D648" s="37" t="n">
        <f aca="false">1+IF($G$8=$E$8,$F$8,IF(R648&lt;($F$8-$E$8)/($G$8-$E$8),$E$8+SQRT(R648*($G$8-$E$8)*($F$8-$E$8)),$G$8-SQRT((1-R648)*($G$8-$E$8)*($G$8-$F$8))))</f>
        <v>0.989001421328412</v>
      </c>
      <c r="E648" s="37" t="n">
        <f aca="false">1+IF($G$9=$E$9,$F$9,IF(S648&lt;($F$9-$E$9)/($G$9-$E$9),$E$9+SQRT(S648*($G$9-$E$9)*($F$9-$E$9)),$G$9-SQRT((1-S648)*($G$9-$E$9)*($G$9-$F$9))))</f>
        <v>0.988715586303339</v>
      </c>
      <c r="F648" s="37" t="n">
        <f aca="false">1+IF($G$10=$E$10,$F$10,IF(T648&lt;($F$10-$E$10)/($G$10-$E$10),$E$10+SQRT(T648*($G$10-$E$10)*($F$10-$E$10)),$G$10-SQRT((1-T648)*($G$10-$E$10)*($G$10-$F$10))))</f>
        <v>1.00746043202397</v>
      </c>
      <c r="G648" s="38" t="n">
        <f aca="false">IF($G$11=$E$11,$F$11,IF(U648&lt;($F$11-$E$11)/($G$11-$E$11),$E$11+SQRT(U648*($G$11-$E$11)*($F$11-$E$11)),$G$11-SQRT((1-U648)*($G$11-$E$11)*($G$11-$F$11))))</f>
        <v>0.121045407923998</v>
      </c>
      <c r="H648" s="39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-2014920864.04794</v>
      </c>
      <c r="I648" s="39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6343230.57028715</v>
      </c>
      <c r="J648" s="39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303882939.41048</v>
      </c>
      <c r="K648" s="39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651795669.851871</v>
      </c>
      <c r="L648" s="39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784212291.928718</v>
      </c>
      <c r="M648" s="39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967014247.144356</v>
      </c>
      <c r="N648" s="39" t="n">
        <f aca="false">IF(COUNT('Business Case'!B11:G11)=0,"",H648+NPV(G648,I648:M648))</f>
        <v>-262141093.753946</v>
      </c>
      <c r="P648" s="40" t="n">
        <f aca="true">RAND()</f>
        <v>0.580775344032204</v>
      </c>
      <c r="Q648" s="40" t="n">
        <f aca="true">RAND()</f>
        <v>0.53267440086805</v>
      </c>
      <c r="R648" s="40" t="n">
        <f aca="true">RAND()</f>
        <v>0.202814782084841</v>
      </c>
      <c r="S648" s="40" t="n">
        <f aca="true">RAND()</f>
        <v>0.314818210125809</v>
      </c>
      <c r="T648" s="40" t="n">
        <f aca="true">RAND()</f>
        <v>0.215660772880001</v>
      </c>
      <c r="U648" s="40" t="n">
        <f aca="true">RAND()</f>
        <v>0.946543520501601</v>
      </c>
    </row>
    <row r="649" customFormat="false" ht="15" hidden="false" customHeight="false" outlineLevel="0" collapsed="false">
      <c r="A649" s="36" t="n">
        <v>569</v>
      </c>
      <c r="B649" s="37" t="n">
        <f aca="false">1+IF($G$6=$E$6,$F$6,IF(P649&lt;($F$6-$E$6)/($G$6-$E$6),$E$6+SQRT(P649*($G$6-$E$6)*($F$6-$E$6)),$G$6-SQRT((1-P649)*($G$6-$E$6)*($G$6-$F$6))))</f>
        <v>1.00071822416123</v>
      </c>
      <c r="C649" s="37" t="n">
        <f aca="false">1+IF($G$7=$E$7,$F$7,IF(Q649&lt;($F$7-$E$7)/($G$7-$E$7),$E$7+SQRT(Q649*($G$7-$E$7)*($F$7-$E$7)),$G$7-SQRT((1-Q649)*($G$7-$E$7)*($G$7-$F$7))))</f>
        <v>0.971561799975486</v>
      </c>
      <c r="D649" s="37" t="n">
        <f aca="false">1+IF($G$8=$E$8,$F$8,IF(R649&lt;($F$8-$E$8)/($G$8-$E$8),$E$8+SQRT(R649*($G$8-$E$8)*($F$8-$E$8)),$G$8-SQRT((1-R649)*($G$8-$E$8)*($G$8-$F$8))))</f>
        <v>0.97947730152482</v>
      </c>
      <c r="E649" s="37" t="n">
        <f aca="false">1+IF($G$9=$E$9,$F$9,IF(S649&lt;($F$9-$E$9)/($G$9-$E$9),$E$9+SQRT(S649*($G$9-$E$9)*($F$9-$E$9)),$G$9-SQRT((1-S649)*($G$9-$E$9)*($G$9-$F$9))))</f>
        <v>1.06707902728251</v>
      </c>
      <c r="F649" s="37" t="n">
        <f aca="false">1+IF($G$10=$E$10,$F$10,IF(T649&lt;($F$10-$E$10)/($G$10-$E$10),$E$10+SQRT(T649*($G$10-$E$10)*($F$10-$E$10)),$G$10-SQRT((1-T649)*($G$10-$E$10)*($G$10-$F$10))))</f>
        <v>0.991038036383558</v>
      </c>
      <c r="G649" s="38" t="n">
        <f aca="false">IF($G$11=$E$11,$F$11,IF(U649&lt;($F$11-$E$11)/($G$11-$E$11),$E$11+SQRT(U649*($G$11-$E$11)*($F$11-$E$11)),$G$11-SQRT((1-U649)*($G$11-$E$11)*($G$11-$F$11))))</f>
        <v>0.0990355045514805</v>
      </c>
      <c r="H649" s="39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-1982076072.76712</v>
      </c>
      <c r="I649" s="39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7951527.44998187</v>
      </c>
      <c r="J649" s="39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317147433.837018</v>
      </c>
      <c r="K649" s="39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675895242.043231</v>
      </c>
      <c r="L649" s="39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812561835.918327</v>
      </c>
      <c r="M649" s="39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997368940.521785</v>
      </c>
      <c r="N649" s="39" t="n">
        <f aca="false">IF(COUNT('Business Case'!B11:G11)=0,"",H649+NPV(G649,I649:M649))</f>
        <v>-24176064.9522491</v>
      </c>
      <c r="P649" s="40" t="n">
        <f aca="true">RAND()</f>
        <v>0.676174209356955</v>
      </c>
      <c r="Q649" s="40" t="n">
        <f aca="true">RAND()</f>
        <v>0.546265268192044</v>
      </c>
      <c r="R649" s="40" t="n">
        <f aca="true">RAND()</f>
        <v>0.115854840691352</v>
      </c>
      <c r="S649" s="40" t="n">
        <f aca="true">RAND()</f>
        <v>0.816642994228942</v>
      </c>
      <c r="T649" s="40" t="n">
        <f aca="true">RAND()</f>
        <v>0.112274695347884</v>
      </c>
      <c r="U649" s="40" t="n">
        <f aca="true">RAND()</f>
        <v>0.362350433529433</v>
      </c>
    </row>
    <row r="650" customFormat="false" ht="15" hidden="false" customHeight="false" outlineLevel="0" collapsed="false">
      <c r="A650" s="36" t="n">
        <v>570</v>
      </c>
      <c r="B650" s="37" t="n">
        <f aca="false">1+IF($G$6=$E$6,$F$6,IF(P650&lt;($F$6-$E$6)/($G$6-$E$6),$E$6+SQRT(P650*($G$6-$E$6)*($F$6-$E$6)),$G$6-SQRT((1-P650)*($G$6-$E$6)*($G$6-$F$6))))</f>
        <v>0.971364546797883</v>
      </c>
      <c r="C650" s="37" t="n">
        <f aca="false">1+IF($G$7=$E$7,$F$7,IF(Q650&lt;($F$7-$E$7)/($G$7-$E$7),$E$7+SQRT(Q650*($G$7-$E$7)*($F$7-$E$7)),$G$7-SQRT((1-Q650)*($G$7-$E$7)*($G$7-$F$7))))</f>
        <v>0.74807574268518</v>
      </c>
      <c r="D650" s="37" t="n">
        <f aca="false">1+IF($G$8=$E$8,$F$8,IF(R650&lt;($F$8-$E$8)/($G$8-$E$8),$E$8+SQRT(R650*($G$8-$E$8)*($F$8-$E$8)),$G$8-SQRT((1-R650)*($G$8-$E$8)*($G$8-$F$8))))</f>
        <v>0.973665286928563</v>
      </c>
      <c r="E650" s="37" t="n">
        <f aca="false">1+IF($G$9=$E$9,$F$9,IF(S650&lt;($F$9-$E$9)/($G$9-$E$9),$E$9+SQRT(S650*($G$9-$E$9)*($F$9-$E$9)),$G$9-SQRT((1-S650)*($G$9-$E$9)*($G$9-$F$9))))</f>
        <v>0.997938750874459</v>
      </c>
      <c r="F650" s="37" t="n">
        <f aca="false">1+IF($G$10=$E$10,$F$10,IF(T650&lt;($F$10-$E$10)/($G$10-$E$10),$E$10+SQRT(T650*($G$10-$E$10)*($F$10-$E$10)),$G$10-SQRT((1-T650)*($G$10-$E$10)*($G$10-$F$10))))</f>
        <v>0.993415402614766</v>
      </c>
      <c r="G650" s="38" t="n">
        <f aca="false">IF($G$11=$E$11,$F$11,IF(U650&lt;($F$11-$E$11)/($G$11-$E$11),$E$11+SQRT(U650*($G$11-$E$11)*($F$11-$E$11)),$G$11-SQRT((1-U650)*($G$11-$E$11)*($G$11-$F$11))))</f>
        <v>0.107918231578777</v>
      </c>
      <c r="H650" s="39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-1986830805.22953</v>
      </c>
      <c r="I650" s="39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-56605959.3288942</v>
      </c>
      <c r="J650" s="39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165706268.544996</v>
      </c>
      <c r="K650" s="39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437689266.549624</v>
      </c>
      <c r="L650" s="39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536906513.552227</v>
      </c>
      <c r="M650" s="39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675028954.297746</v>
      </c>
      <c r="N650" s="39" t="n">
        <f aca="false">IF(COUNT('Business Case'!B11:G11)=0,"",H650+NPV(G650,I650:M650))</f>
        <v>-820366870.404524</v>
      </c>
      <c r="P650" s="40" t="n">
        <f aca="true">RAND()</f>
        <v>0.339526569311151</v>
      </c>
      <c r="Q650" s="40" t="n">
        <f aca="true">RAND()</f>
        <v>0.0171205706276416</v>
      </c>
      <c r="R650" s="40" t="n">
        <f aca="true">RAND()</f>
        <v>0.0746727740548288</v>
      </c>
      <c r="S650" s="40" t="n">
        <f aca="true">RAND()</f>
        <v>0.383679956913974</v>
      </c>
      <c r="T650" s="40" t="n">
        <f aca="true">RAND()</f>
        <v>0.125659812280147</v>
      </c>
      <c r="U650" s="40" t="n">
        <f aca="true">RAND()</f>
        <v>0.674930335594324</v>
      </c>
    </row>
    <row r="651" customFormat="false" ht="15" hidden="false" customHeight="false" outlineLevel="0" collapsed="false">
      <c r="A651" s="36" t="n">
        <v>571</v>
      </c>
      <c r="B651" s="37" t="n">
        <f aca="false">1+IF($G$6=$E$6,$F$6,IF(P651&lt;($F$6-$E$6)/($G$6-$E$6),$E$6+SQRT(P651*($G$6-$E$6)*($F$6-$E$6)),$G$6-SQRT((1-P651)*($G$6-$E$6)*($G$6-$F$6))))</f>
        <v>0.965775044010824</v>
      </c>
      <c r="C651" s="37" t="n">
        <f aca="false">1+IF($G$7=$E$7,$F$7,IF(Q651&lt;($F$7-$E$7)/($G$7-$E$7),$E$7+SQRT(Q651*($G$7-$E$7)*($F$7-$E$7)),$G$7-SQRT((1-Q651)*($G$7-$E$7)*($G$7-$F$7))))</f>
        <v>1.09040174270044</v>
      </c>
      <c r="D651" s="37" t="n">
        <f aca="false">1+IF($G$8=$E$8,$F$8,IF(R651&lt;($F$8-$E$8)/($G$8-$E$8),$E$8+SQRT(R651*($G$8-$E$8)*($F$8-$E$8)),$G$8-SQRT((1-R651)*($G$8-$E$8)*($G$8-$F$8))))</f>
        <v>1.01938212762985</v>
      </c>
      <c r="E651" s="37" t="n">
        <f aca="false">1+IF($G$9=$E$9,$F$9,IF(S651&lt;($F$9-$E$9)/($G$9-$E$9),$E$9+SQRT(S651*($G$9-$E$9)*($F$9-$E$9)),$G$9-SQRT((1-S651)*($G$9-$E$9)*($G$9-$F$9))))</f>
        <v>0.984789939789068</v>
      </c>
      <c r="F651" s="37" t="n">
        <f aca="false">1+IF($G$10=$E$10,$F$10,IF(T651&lt;($F$10-$E$10)/($G$10-$E$10),$E$10+SQRT(T651*($G$10-$E$10)*($F$10-$E$10)),$G$10-SQRT((1-T651)*($G$10-$E$10)*($G$10-$F$10))))</f>
        <v>1.08356969916409</v>
      </c>
      <c r="G651" s="38" t="n">
        <f aca="false">IF($G$11=$E$11,$F$11,IF(U651&lt;($F$11-$E$11)/($G$11-$E$11),$E$11+SQRT(U651*($G$11-$E$11)*($F$11-$E$11)),$G$11-SQRT((1-U651)*($G$11-$E$11)*($G$11-$F$11))))</f>
        <v>0.1252337930567</v>
      </c>
      <c r="H651" s="39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-2167139398.32818</v>
      </c>
      <c r="I651" s="39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-9452817.33471428</v>
      </c>
      <c r="J651" s="39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284080276.57281</v>
      </c>
      <c r="K651" s="39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631791855.438539</v>
      </c>
      <c r="L651" s="39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766030761.332931</v>
      </c>
      <c r="M651" s="39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966200738.254954</v>
      </c>
      <c r="N651" s="39" t="n">
        <f aca="false">IF(COUNT('Business Case'!B11:G11)=0,"",H651+NPV(G651,I651:M651))</f>
        <v>-494275949.253194</v>
      </c>
      <c r="P651" s="40" t="n">
        <f aca="true">RAND()</f>
        <v>0.288423760975053</v>
      </c>
      <c r="Q651" s="40" t="n">
        <f aca="true">RAND()</f>
        <v>0.9473784848423</v>
      </c>
      <c r="R651" s="40" t="n">
        <f aca="true">RAND()</f>
        <v>0.566717243633979</v>
      </c>
      <c r="S651" s="40" t="n">
        <f aca="true">RAND()</f>
        <v>0.28757335557735</v>
      </c>
      <c r="T651" s="40" t="n">
        <f aca="true">RAND()</f>
        <v>0.630679399515584</v>
      </c>
      <c r="U651" s="40" t="n">
        <f aca="true">RAND()</f>
        <v>0.984855514249094</v>
      </c>
    </row>
    <row r="652" customFormat="false" ht="15" hidden="false" customHeight="false" outlineLevel="0" collapsed="false">
      <c r="A652" s="36" t="n">
        <v>572</v>
      </c>
      <c r="B652" s="37" t="n">
        <f aca="false">1+IF($G$6=$E$6,$F$6,IF(P652&lt;($F$6-$E$6)/($G$6-$E$6),$E$6+SQRT(P652*($G$6-$E$6)*($F$6-$E$6)),$G$6-SQRT((1-P652)*($G$6-$E$6)*($G$6-$F$6))))</f>
        <v>0.997606111499329</v>
      </c>
      <c r="C652" s="37" t="n">
        <f aca="false">1+IF($G$7=$E$7,$F$7,IF(Q652&lt;($F$7-$E$7)/($G$7-$E$7),$E$7+SQRT(Q652*($G$7-$E$7)*($F$7-$E$7)),$G$7-SQRT((1-Q652)*($G$7-$E$7)*($G$7-$F$7))))</f>
        <v>0.9351388134936</v>
      </c>
      <c r="D652" s="37" t="n">
        <f aca="false">1+IF($G$8=$E$8,$F$8,IF(R652&lt;($F$8-$E$8)/($G$8-$E$8),$E$8+SQRT(R652*($G$8-$E$8)*($F$8-$E$8)),$G$8-SQRT((1-R652)*($G$8-$E$8)*($G$8-$F$8))))</f>
        <v>0.958924243668526</v>
      </c>
      <c r="E652" s="37" t="n">
        <f aca="false">1+IF($G$9=$E$9,$F$9,IF(S652&lt;($F$9-$E$9)/($G$9-$E$9),$E$9+SQRT(S652*($G$9-$E$9)*($F$9-$E$9)),$G$9-SQRT((1-S652)*($G$9-$E$9)*($G$9-$F$9))))</f>
        <v>1.05777054883915</v>
      </c>
      <c r="F652" s="37" t="n">
        <f aca="false">1+IF($G$10=$E$10,$F$10,IF(T652&lt;($F$10-$E$10)/($G$10-$E$10),$E$10+SQRT(T652*($G$10-$E$10)*($F$10-$E$10)),$G$10-SQRT((1-T652)*($G$10-$E$10)*($G$10-$F$10))))</f>
        <v>1.04451299608002</v>
      </c>
      <c r="G652" s="38" t="n">
        <f aca="false">IF($G$11=$E$11,$F$11,IF(U652&lt;($F$11-$E$11)/($G$11-$E$11),$E$11+SQRT(U652*($G$11-$E$11)*($F$11-$E$11)),$G$11-SQRT((1-U652)*($G$11-$E$11)*($G$11-$F$11))))</f>
        <v>0.0974040436877052</v>
      </c>
      <c r="H652" s="39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-2089025992.16004</v>
      </c>
      <c r="I652" s="39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1831982.19769037</v>
      </c>
      <c r="J652" s="39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306891782.179994</v>
      </c>
      <c r="K652" s="39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664177231.966298</v>
      </c>
      <c r="L652" s="39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798104862.714855</v>
      </c>
      <c r="M652" s="39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975430531.864366</v>
      </c>
      <c r="N652" s="39" t="n">
        <f aca="false">IF(COUNT('Business Case'!B11:G11)=0,"",H652+NPV(G652,I652:M652))</f>
        <v>-166813945.69385</v>
      </c>
      <c r="P652" s="40" t="n">
        <f aca="true">RAND()</f>
        <v>0.635130200134627</v>
      </c>
      <c r="Q652" s="40" t="n">
        <f aca="true">RAND()</f>
        <v>0.409557493416134</v>
      </c>
      <c r="R652" s="40" t="n">
        <f aca="true">RAND()</f>
        <v>0.0106189500073625</v>
      </c>
      <c r="S652" s="40" t="n">
        <f aca="true">RAND()</f>
        <v>0.773166089028469</v>
      </c>
      <c r="T652" s="40" t="n">
        <f aca="true">RAND()</f>
        <v>0.437001216266526</v>
      </c>
      <c r="U652" s="40" t="n">
        <f aca="true">RAND()</f>
        <v>0.302900736683552</v>
      </c>
    </row>
    <row r="653" customFormat="false" ht="15" hidden="false" customHeight="false" outlineLevel="0" collapsed="false">
      <c r="A653" s="36" t="n">
        <v>573</v>
      </c>
      <c r="B653" s="37" t="n">
        <f aca="false">1+IF($G$6=$E$6,$F$6,IF(P653&lt;($F$6-$E$6)/($G$6-$E$6),$E$6+SQRT(P653*($G$6-$E$6)*($F$6-$E$6)),$G$6-SQRT((1-P653)*($G$6-$E$6)*($G$6-$F$6))))</f>
        <v>0.986347138338715</v>
      </c>
      <c r="C653" s="37" t="n">
        <f aca="false">1+IF($G$7=$E$7,$F$7,IF(Q653&lt;($F$7-$E$7)/($G$7-$E$7),$E$7+SQRT(Q653*($G$7-$E$7)*($F$7-$E$7)),$G$7-SQRT((1-Q653)*($G$7-$E$7)*($G$7-$F$7))))</f>
        <v>1.05486897777218</v>
      </c>
      <c r="D653" s="37" t="n">
        <f aca="false">1+IF($G$8=$E$8,$F$8,IF(R653&lt;($F$8-$E$8)/($G$8-$E$8),$E$8+SQRT(R653*($G$8-$E$8)*($F$8-$E$8)),$G$8-SQRT((1-R653)*($G$8-$E$8)*($G$8-$F$8))))</f>
        <v>1.03241045420449</v>
      </c>
      <c r="E653" s="37" t="n">
        <f aca="false">1+IF($G$9=$E$9,$F$9,IF(S653&lt;($F$9-$E$9)/($G$9-$E$9),$E$9+SQRT(S653*($G$9-$E$9)*($F$9-$E$9)),$G$9-SQRT((1-S653)*($G$9-$E$9)*($G$9-$F$9))))</f>
        <v>0.92710590439473</v>
      </c>
      <c r="F653" s="37" t="n">
        <f aca="false">1+IF($G$10=$E$10,$F$10,IF(T653&lt;($F$10-$E$10)/($G$10-$E$10),$E$10+SQRT(T653*($G$10-$E$10)*($F$10-$E$10)),$G$10-SQRT((1-T653)*($G$10-$E$10)*($G$10-$F$10))))</f>
        <v>0.978382392956773</v>
      </c>
      <c r="G653" s="38" t="n">
        <f aca="false">IF($G$11=$E$11,$F$11,IF(U653&lt;($F$11-$E$11)/($G$11-$E$11),$E$11+SQRT(U653*($G$11-$E$11)*($F$11-$E$11)),$G$11-SQRT((1-U653)*($G$11-$E$11)*($G$11-$F$11))))</f>
        <v>0.0936351514082026</v>
      </c>
      <c r="H653" s="39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-1956764785.91355</v>
      </c>
      <c r="I653" s="39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11096427.8232626</v>
      </c>
      <c r="J653" s="39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305803363.700015</v>
      </c>
      <c r="K653" s="39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649429419.224607</v>
      </c>
      <c r="L653" s="39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783623603.952112</v>
      </c>
      <c r="M653" s="39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981395570.846013</v>
      </c>
      <c r="N653" s="39" t="n">
        <f aca="false">IF(COUNT('Business Case'!B11:G11)=0,"",H653+NPV(G653,I653:M653))</f>
        <v>-19339531.1038919</v>
      </c>
      <c r="P653" s="40" t="n">
        <f aca="true">RAND()</f>
        <v>0.497055219952343</v>
      </c>
      <c r="Q653" s="40" t="n">
        <f aca="true">RAND()</f>
        <v>0.86592723866505</v>
      </c>
      <c r="R653" s="40" t="n">
        <f aca="true">RAND()</f>
        <v>0.695443553277143</v>
      </c>
      <c r="S653" s="40" t="n">
        <f aca="true">RAND()</f>
        <v>0.0293892021222505</v>
      </c>
      <c r="T653" s="40" t="n">
        <f aca="true">RAND()</f>
        <v>0.0537040153301791</v>
      </c>
      <c r="U653" s="40" t="n">
        <f aca="true">RAND()</f>
        <v>0.185917353924608</v>
      </c>
    </row>
    <row r="654" customFormat="false" ht="15" hidden="false" customHeight="false" outlineLevel="0" collapsed="false">
      <c r="A654" s="36" t="n">
        <v>574</v>
      </c>
      <c r="B654" s="37" t="n">
        <f aca="false">1+IF($G$6=$E$6,$F$6,IF(P654&lt;($F$6-$E$6)/($G$6-$E$6),$E$6+SQRT(P654*($G$6-$E$6)*($F$6-$E$6)),$G$6-SQRT((1-P654)*($G$6-$E$6)*($G$6-$F$6))))</f>
        <v>0.942424261247541</v>
      </c>
      <c r="C654" s="37" t="n">
        <f aca="false">1+IF($G$7=$E$7,$F$7,IF(Q654&lt;($F$7-$E$7)/($G$7-$E$7),$E$7+SQRT(Q654*($G$7-$E$7)*($F$7-$E$7)),$G$7-SQRT((1-Q654)*($G$7-$E$7)*($G$7-$F$7))))</f>
        <v>1.01404155206358</v>
      </c>
      <c r="D654" s="37" t="n">
        <f aca="false">1+IF($G$8=$E$8,$F$8,IF(R654&lt;($F$8-$E$8)/($G$8-$E$8),$E$8+SQRT(R654*($G$8-$E$8)*($F$8-$E$8)),$G$8-SQRT((1-R654)*($G$8-$E$8)*($G$8-$F$8))))</f>
        <v>0.989898051871707</v>
      </c>
      <c r="E654" s="37" t="n">
        <f aca="false">1+IF($G$9=$E$9,$F$9,IF(S654&lt;($F$9-$E$9)/($G$9-$E$9),$E$9+SQRT(S654*($G$9-$E$9)*($F$9-$E$9)),$G$9-SQRT((1-S654)*($G$9-$E$9)*($G$9-$F$9))))</f>
        <v>0.964264196189296</v>
      </c>
      <c r="F654" s="37" t="n">
        <f aca="false">1+IF($G$10=$E$10,$F$10,IF(T654&lt;($F$10-$E$10)/($G$10-$E$10),$E$10+SQRT(T654*($G$10-$E$10)*($F$10-$E$10)),$G$10-SQRT((1-T654)*($G$10-$E$10)*($G$10-$F$10))))</f>
        <v>1.05442801376232</v>
      </c>
      <c r="G654" s="38" t="n">
        <f aca="false">IF($G$11=$E$11,$F$11,IF(U654&lt;($F$11-$E$11)/($G$11-$E$11),$E$11+SQRT(U654*($G$11-$E$11)*($F$11-$E$11)),$G$11-SQRT((1-U654)*($G$11-$E$11)*($G$11-$F$11))))</f>
        <v>0.11881988758671</v>
      </c>
      <c r="H654" s="39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-2108856027.52463</v>
      </c>
      <c r="I654" s="39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-23214409.7181537</v>
      </c>
      <c r="J654" s="39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245673628.210397</v>
      </c>
      <c r="K654" s="39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567283066.827064</v>
      </c>
      <c r="L654" s="39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689939931.184817</v>
      </c>
      <c r="M654" s="39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871591282.283452</v>
      </c>
      <c r="N654" s="39" t="n">
        <f aca="false">IF(COUNT('Business Case'!B11:G11)=0,"",H654+NPV(G654,I654:M654))</f>
        <v>-590781932.058242</v>
      </c>
      <c r="P654" s="40" t="n">
        <f aca="true">RAND()</f>
        <v>0.119987862826642</v>
      </c>
      <c r="Q654" s="40" t="n">
        <f aca="true">RAND()</f>
        <v>0.726152599032899</v>
      </c>
      <c r="R654" s="40" t="n">
        <f aca="true">RAND()</f>
        <v>0.212247272420988</v>
      </c>
      <c r="S654" s="40" t="n">
        <f aca="true">RAND()</f>
        <v>0.165195476474254</v>
      </c>
      <c r="T654" s="40" t="n">
        <f aca="true">RAND()</f>
        <v>0.490021309320637</v>
      </c>
      <c r="U654" s="40" t="n">
        <f aca="true">RAND()</f>
        <v>0.916670057617463</v>
      </c>
    </row>
    <row r="655" customFormat="false" ht="15" hidden="false" customHeight="false" outlineLevel="0" collapsed="false">
      <c r="A655" s="36" t="n">
        <v>575</v>
      </c>
      <c r="B655" s="37" t="n">
        <f aca="false">1+IF($G$6=$E$6,$F$6,IF(P655&lt;($F$6-$E$6)/($G$6-$E$6),$E$6+SQRT(P655*($G$6-$E$6)*($F$6-$E$6)),$G$6-SQRT((1-P655)*($G$6-$E$6)*($G$6-$F$6))))</f>
        <v>1.03021394998189</v>
      </c>
      <c r="C655" s="37" t="n">
        <f aca="false">1+IF($G$7=$E$7,$F$7,IF(Q655&lt;($F$7-$E$7)/($G$7-$E$7),$E$7+SQRT(Q655*($G$7-$E$7)*($F$7-$E$7)),$G$7-SQRT((1-Q655)*($G$7-$E$7)*($G$7-$F$7))))</f>
        <v>1.03275256119385</v>
      </c>
      <c r="D655" s="37" t="n">
        <f aca="false">1+IF($G$8=$E$8,$F$8,IF(R655&lt;($F$8-$E$8)/($G$8-$E$8),$E$8+SQRT(R655*($G$8-$E$8)*($F$8-$E$8)),$G$8-SQRT((1-R655)*($G$8-$E$8)*($G$8-$F$8))))</f>
        <v>1.01075981621165</v>
      </c>
      <c r="E655" s="37" t="n">
        <f aca="false">1+IF($G$9=$E$9,$F$9,IF(S655&lt;($F$9-$E$9)/($G$9-$E$9),$E$9+SQRT(S655*($G$9-$E$9)*($F$9-$E$9)),$G$9-SQRT((1-S655)*($G$9-$E$9)*($G$9-$F$9))))</f>
        <v>1.02368942902088</v>
      </c>
      <c r="F655" s="37" t="n">
        <f aca="false">1+IF($G$10=$E$10,$F$10,IF(T655&lt;($F$10-$E$10)/($G$10-$E$10),$E$10+SQRT(T655*($G$10-$E$10)*($F$10-$E$10)),$G$10-SQRT((1-T655)*($G$10-$E$10)*($G$10-$F$10))))</f>
        <v>1.21235734781954</v>
      </c>
      <c r="G655" s="38" t="n">
        <f aca="false">IF($G$11=$E$11,$F$11,IF(U655&lt;($F$11-$E$11)/($G$11-$E$11),$E$11+SQRT(U655*($G$11-$E$11)*($F$11-$E$11)),$G$11-SQRT((1-U655)*($G$11-$E$11)*($G$11-$F$11))))</f>
        <v>0.111608782838619</v>
      </c>
      <c r="H655" s="39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-2424714695.63908</v>
      </c>
      <c r="I655" s="39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15121528.6572326</v>
      </c>
      <c r="J655" s="39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352202912.889835</v>
      </c>
      <c r="K655" s="39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749902164.513415</v>
      </c>
      <c r="L655" s="39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899032948.582048</v>
      </c>
      <c r="M655" s="39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1101269723.19975</v>
      </c>
      <c r="N655" s="39" t="n">
        <f aca="false">IF(COUNT('Business Case'!B11:G11)=0,"",H655+NPV(G655,I655:M655))</f>
        <v>-342503405.040735</v>
      </c>
      <c r="P655" s="40" t="n">
        <f aca="true">RAND()</f>
        <v>0.947801629957457</v>
      </c>
      <c r="Q655" s="40" t="n">
        <f aca="true">RAND()</f>
        <v>0.796341305087369</v>
      </c>
      <c r="R655" s="40" t="n">
        <f aca="true">RAND()</f>
        <v>0.469079306494736</v>
      </c>
      <c r="S655" s="40" t="n">
        <f aca="true">RAND()</f>
        <v>0.574550390904766</v>
      </c>
      <c r="T655" s="40" t="n">
        <f aca="true">RAND()</f>
        <v>0.981107076490947</v>
      </c>
      <c r="U655" s="40" t="n">
        <f aca="true">RAND()</f>
        <v>0.774508754215279</v>
      </c>
    </row>
    <row r="656" customFormat="false" ht="15" hidden="false" customHeight="false" outlineLevel="0" collapsed="false">
      <c r="A656" s="36" t="n">
        <v>576</v>
      </c>
      <c r="B656" s="37" t="n">
        <f aca="false">1+IF($G$6=$E$6,$F$6,IF(P656&lt;($F$6-$E$6)/($G$6-$E$6),$E$6+SQRT(P656*($G$6-$E$6)*($F$6-$E$6)),$G$6-SQRT((1-P656)*($G$6-$E$6)*($G$6-$F$6))))</f>
        <v>0.954932788324077</v>
      </c>
      <c r="C656" s="37" t="n">
        <f aca="false">1+IF($G$7=$E$7,$F$7,IF(Q656&lt;($F$7-$E$7)/($G$7-$E$7),$E$7+SQRT(Q656*($G$7-$E$7)*($F$7-$E$7)),$G$7-SQRT((1-Q656)*($G$7-$E$7)*($G$7-$F$7))))</f>
        <v>1.03463225149167</v>
      </c>
      <c r="D656" s="37" t="n">
        <f aca="false">1+IF($G$8=$E$8,$F$8,IF(R656&lt;($F$8-$E$8)/($G$8-$E$8),$E$8+SQRT(R656*($G$8-$E$8)*($F$8-$E$8)),$G$8-SQRT((1-R656)*($G$8-$E$8)*($G$8-$F$8))))</f>
        <v>1.03225413056322</v>
      </c>
      <c r="E656" s="37" t="n">
        <f aca="false">1+IF($G$9=$E$9,$F$9,IF(S656&lt;($F$9-$E$9)/($G$9-$E$9),$E$9+SQRT(S656*($G$9-$E$9)*($F$9-$E$9)),$G$9-SQRT((1-S656)*($G$9-$E$9)*($G$9-$F$9))))</f>
        <v>1.00144991877961</v>
      </c>
      <c r="F656" s="37" t="n">
        <f aca="false">1+IF($G$10=$E$10,$F$10,IF(T656&lt;($F$10-$E$10)/($G$10-$E$10),$E$10+SQRT(T656*($G$10-$E$10)*($F$10-$E$10)),$G$10-SQRT((1-T656)*($G$10-$E$10)*($G$10-$F$10))))</f>
        <v>1.05785631343643</v>
      </c>
      <c r="G656" s="38" t="n">
        <f aca="false">IF($G$11=$E$11,$F$11,IF(U656&lt;($F$11-$E$11)/($G$11-$E$11),$E$11+SQRT(U656*($G$11-$E$11)*($F$11-$E$11)),$G$11-SQRT((1-U656)*($G$11-$E$11)*($G$11-$F$11))))</f>
        <v>0.112607885728051</v>
      </c>
      <c r="H656" s="39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-2115712626.87285</v>
      </c>
      <c r="I656" s="39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-36895633.0841341</v>
      </c>
      <c r="J656" s="39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225618684.506068</v>
      </c>
      <c r="K656" s="39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541025817.768092</v>
      </c>
      <c r="L656" s="39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662676017.551648</v>
      </c>
      <c r="M656" s="39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850475867.445835</v>
      </c>
      <c r="N656" s="39" t="n">
        <f aca="false">IF(COUNT('Business Case'!B11:G11)=0,"",H656+NPV(G656,I656:M656))</f>
        <v>-642520666.943318</v>
      </c>
      <c r="P656" s="40" t="n">
        <f aca="true">RAND()</f>
        <v>0.201174082203858</v>
      </c>
      <c r="Q656" s="40" t="n">
        <f aca="true">RAND()</f>
        <v>0.80281900154251</v>
      </c>
      <c r="R656" s="40" t="n">
        <f aca="true">RAND()</f>
        <v>0.694033144950282</v>
      </c>
      <c r="S656" s="40" t="n">
        <f aca="true">RAND()</f>
        <v>0.411543289851107</v>
      </c>
      <c r="T656" s="40" t="n">
        <f aca="true">RAND()</f>
        <v>0.507744049516792</v>
      </c>
      <c r="U656" s="40" t="n">
        <f aca="true">RAND()</f>
        <v>0.798342907434303</v>
      </c>
    </row>
    <row r="657" customFormat="false" ht="15" hidden="false" customHeight="false" outlineLevel="0" collapsed="false">
      <c r="A657" s="36" t="n">
        <v>577</v>
      </c>
      <c r="B657" s="37" t="n">
        <f aca="false">1+IF($G$6=$E$6,$F$6,IF(P657&lt;($F$6-$E$6)/($G$6-$E$6),$E$6+SQRT(P657*($G$6-$E$6)*($F$6-$E$6)),$G$6-SQRT((1-P657)*($G$6-$E$6)*($G$6-$F$6))))</f>
        <v>0.920047558160665</v>
      </c>
      <c r="C657" s="37" t="n">
        <f aca="false">1+IF($G$7=$E$7,$F$7,IF(Q657&lt;($F$7-$E$7)/($G$7-$E$7),$E$7+SQRT(Q657*($G$7-$E$7)*($F$7-$E$7)),$G$7-SQRT((1-Q657)*($G$7-$E$7)*($G$7-$F$7))))</f>
        <v>0.99178805919805</v>
      </c>
      <c r="D657" s="37" t="n">
        <f aca="false">1+IF($G$8=$E$8,$F$8,IF(R657&lt;($F$8-$E$8)/($G$8-$E$8),$E$8+SQRT(R657*($G$8-$E$8)*($F$8-$E$8)),$G$8-SQRT((1-R657)*($G$8-$E$8)*($G$8-$F$8))))</f>
        <v>1.0038303797312</v>
      </c>
      <c r="E657" s="37" t="n">
        <f aca="false">1+IF($G$9=$E$9,$F$9,IF(S657&lt;($F$9-$E$9)/($G$9-$E$9),$E$9+SQRT(S657*($G$9-$E$9)*($F$9-$E$9)),$G$9-SQRT((1-S657)*($G$9-$E$9)*($G$9-$F$9))))</f>
        <v>1.10718082293224</v>
      </c>
      <c r="F657" s="37" t="n">
        <f aca="false">1+IF($G$10=$E$10,$F$10,IF(T657&lt;($F$10-$E$10)/($G$10-$E$10),$E$10+SQRT(T657*($G$10-$E$10)*($F$10-$E$10)),$G$10-SQRT((1-T657)*($G$10-$E$10)*($G$10-$F$10))))</f>
        <v>1.07442945509121</v>
      </c>
      <c r="G657" s="38" t="n">
        <f aca="false">IF($G$11=$E$11,$F$11,IF(U657&lt;($F$11-$E$11)/($G$11-$E$11),$E$11+SQRT(U657*($G$11-$E$11)*($F$11-$E$11)),$G$11-SQRT((1-U657)*($G$11-$E$11)*($G$11-$F$11))))</f>
        <v>0.111193042817399</v>
      </c>
      <c r="H657" s="39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-2148858910.18243</v>
      </c>
      <c r="I657" s="39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-74451745.5789934</v>
      </c>
      <c r="J657" s="39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163284162.091027</v>
      </c>
      <c r="K657" s="39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454741542.515608</v>
      </c>
      <c r="L657" s="39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565522574.884899</v>
      </c>
      <c r="M657" s="39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738969088.854299</v>
      </c>
      <c r="N657" s="39" t="n">
        <f aca="false">IF(COUNT('Business Case'!B11:G11)=0,"",H657+NPV(G657,I657:M657))</f>
        <v>-945063657.270292</v>
      </c>
      <c r="P657" s="40" t="n">
        <f aca="true">RAND()</f>
        <v>0.0267936392136837</v>
      </c>
      <c r="Q657" s="40" t="n">
        <f aca="true">RAND()</f>
        <v>0.630668677707885</v>
      </c>
      <c r="R657" s="40" t="n">
        <f aca="true">RAND()</f>
        <v>0.383426942490321</v>
      </c>
      <c r="S657" s="40" t="n">
        <f aca="true">RAND()</f>
        <v>0.951107148673069</v>
      </c>
      <c r="T657" s="40" t="n">
        <f aca="true">RAND()</f>
        <v>0.588999783472421</v>
      </c>
      <c r="U657" s="40" t="n">
        <f aca="true">RAND()</f>
        <v>0.764198907687872</v>
      </c>
    </row>
    <row r="658" customFormat="false" ht="15" hidden="false" customHeight="false" outlineLevel="0" collapsed="false">
      <c r="A658" s="36" t="n">
        <v>578</v>
      </c>
      <c r="B658" s="37" t="n">
        <f aca="false">1+IF($G$6=$E$6,$F$6,IF(P658&lt;($F$6-$E$6)/($G$6-$E$6),$E$6+SQRT(P658*($G$6-$E$6)*($F$6-$E$6)),$G$6-SQRT((1-P658)*($G$6-$E$6)*($G$6-$F$6))))</f>
        <v>1.00022097760452</v>
      </c>
      <c r="C658" s="37" t="n">
        <f aca="false">1+IF($G$7=$E$7,$F$7,IF(Q658&lt;($F$7-$E$7)/($G$7-$E$7),$E$7+SQRT(Q658*($G$7-$E$7)*($F$7-$E$7)),$G$7-SQRT((1-Q658)*($G$7-$E$7)*($G$7-$F$7))))</f>
        <v>0.925896978244833</v>
      </c>
      <c r="D658" s="37" t="n">
        <f aca="false">1+IF($G$8=$E$8,$F$8,IF(R658&lt;($F$8-$E$8)/($G$8-$E$8),$E$8+SQRT(R658*($G$8-$E$8)*($F$8-$E$8)),$G$8-SQRT((1-R658)*($G$8-$E$8)*($G$8-$F$8))))</f>
        <v>1.04027283770464</v>
      </c>
      <c r="E658" s="37" t="n">
        <f aca="false">1+IF($G$9=$E$9,$F$9,IF(S658&lt;($F$9-$E$9)/($G$9-$E$9),$E$9+SQRT(S658*($G$9-$E$9)*($F$9-$E$9)),$G$9-SQRT((1-S658)*($G$9-$E$9)*($G$9-$F$9))))</f>
        <v>1.07120693223111</v>
      </c>
      <c r="F658" s="37" t="n">
        <f aca="false">1+IF($G$10=$E$10,$F$10,IF(T658&lt;($F$10-$E$10)/($G$10-$E$10),$E$10+SQRT(T658*($G$10-$E$10)*($F$10-$E$10)),$G$10-SQRT((1-T658)*($G$10-$E$10)*($G$10-$F$10))))</f>
        <v>0.993299050982477</v>
      </c>
      <c r="G658" s="38" t="n">
        <f aca="false">IF($G$11=$E$11,$F$11,IF(U658&lt;($F$11-$E$11)/($G$11-$E$11),$E$11+SQRT(U658*($G$11-$E$11)*($F$11-$E$11)),$G$11-SQRT((1-U658)*($G$11-$E$11)*($G$11-$F$11))))</f>
        <v>0.0947074971709487</v>
      </c>
      <c r="H658" s="39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-1986598101.96495</v>
      </c>
      <c r="I658" s="39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-34194672.2424017</v>
      </c>
      <c r="J658" s="39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231275292.322328</v>
      </c>
      <c r="K658" s="39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546410209.436182</v>
      </c>
      <c r="L658" s="39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666906268.254839</v>
      </c>
      <c r="M658" s="39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842939656.722111</v>
      </c>
      <c r="N658" s="39" t="n">
        <f aca="false">IF(COUNT('Business Case'!B11:G11)=0,"",H658+NPV(G658,I658:M658))</f>
        <v>-407782917.691265</v>
      </c>
      <c r="P658" s="40" t="n">
        <f aca="true">RAND()</f>
        <v>0.669606523913436</v>
      </c>
      <c r="Q658" s="40" t="n">
        <f aca="true">RAND()</f>
        <v>0.377995887260343</v>
      </c>
      <c r="R658" s="40" t="n">
        <f aca="true">RAND()</f>
        <v>0.762177738942883</v>
      </c>
      <c r="S658" s="40" t="n">
        <f aca="true">RAND()</f>
        <v>0.834444065908473</v>
      </c>
      <c r="T658" s="40" t="n">
        <f aca="true">RAND()</f>
        <v>0.124987187732209</v>
      </c>
      <c r="U658" s="40" t="n">
        <f aca="true">RAND()</f>
        <v>0.216310473033464</v>
      </c>
    </row>
    <row r="659" customFormat="false" ht="15" hidden="false" customHeight="false" outlineLevel="0" collapsed="false">
      <c r="A659" s="36" t="n">
        <v>579</v>
      </c>
      <c r="B659" s="37" t="n">
        <f aca="false">1+IF($G$6=$E$6,$F$6,IF(P659&lt;($F$6-$E$6)/($G$6-$E$6),$E$6+SQRT(P659*($G$6-$E$6)*($F$6-$E$6)),$G$6-SQRT((1-P659)*($G$6-$E$6)*($G$6-$F$6))))</f>
        <v>0.997314703345007</v>
      </c>
      <c r="C659" s="37" t="n">
        <f aca="false">1+IF($G$7=$E$7,$F$7,IF(Q659&lt;($F$7-$E$7)/($G$7-$E$7),$E$7+SQRT(Q659*($G$7-$E$7)*($F$7-$E$7)),$G$7-SQRT((1-Q659)*($G$7-$E$7)*($G$7-$F$7))))</f>
        <v>1.1408027151031</v>
      </c>
      <c r="D659" s="37" t="n">
        <f aca="false">1+IF($G$8=$E$8,$F$8,IF(R659&lt;($F$8-$E$8)/($G$8-$E$8),$E$8+SQRT(R659*($G$8-$E$8)*($F$8-$E$8)),$G$8-SQRT((1-R659)*($G$8-$E$8)*($G$8-$F$8))))</f>
        <v>0.982194106589321</v>
      </c>
      <c r="E659" s="37" t="n">
        <f aca="false">1+IF($G$9=$E$9,$F$9,IF(S659&lt;($F$9-$E$9)/($G$9-$E$9),$E$9+SQRT(S659*($G$9-$E$9)*($F$9-$E$9)),$G$9-SQRT((1-S659)*($G$9-$E$9)*($G$9-$F$9))))</f>
        <v>1.06658287423207</v>
      </c>
      <c r="F659" s="37" t="n">
        <f aca="false">1+IF($G$10=$E$10,$F$10,IF(T659&lt;($F$10-$E$10)/($G$10-$E$10),$E$10+SQRT(T659*($G$10-$E$10)*($F$10-$E$10)),$G$10-SQRT((1-T659)*($G$10-$E$10)*($G$10-$F$10))))</f>
        <v>1.06666940561502</v>
      </c>
      <c r="G659" s="38" t="n">
        <f aca="false">IF($G$11=$E$11,$F$11,IF(U659&lt;($F$11-$E$11)/($G$11-$E$11),$E$11+SQRT(U659*($G$11-$E$11)*($F$11-$E$11)),$G$11-SQRT((1-U659)*($G$11-$E$11)*($G$11-$F$11))))</f>
        <v>0.109126231158186</v>
      </c>
      <c r="H659" s="39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-2133338811.23004</v>
      </c>
      <c r="I659" s="39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40973900.7059697</v>
      </c>
      <c r="J659" s="39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399263233.110008</v>
      </c>
      <c r="K659" s="39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810886035.794797</v>
      </c>
      <c r="L659" s="39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969636084.209987</v>
      </c>
      <c r="M659" s="39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1185897574.41946</v>
      </c>
      <c r="N659" s="39" t="n">
        <f aca="false">IF(COUNT('Business Case'!B11:G11)=0,"",H659+NPV(G659,I659:M659))</f>
        <v>169774222.243334</v>
      </c>
      <c r="P659" s="40" t="n">
        <f aca="true">RAND()</f>
        <v>0.631343432475109</v>
      </c>
      <c r="Q659" s="40" t="n">
        <f aca="true">RAND()</f>
        <v>0.998746814081857</v>
      </c>
      <c r="R659" s="40" t="n">
        <f aca="true">RAND()</f>
        <v>0.138194733211279</v>
      </c>
      <c r="S659" s="40" t="n">
        <f aca="true">RAND()</f>
        <v>0.814442216763131</v>
      </c>
      <c r="T659" s="40" t="n">
        <f aca="true">RAND()</f>
        <v>0.551865242165998</v>
      </c>
      <c r="U659" s="40" t="n">
        <f aca="true">RAND()</f>
        <v>0.709523849559006</v>
      </c>
    </row>
    <row r="660" customFormat="false" ht="15" hidden="false" customHeight="false" outlineLevel="0" collapsed="false">
      <c r="A660" s="36" t="n">
        <v>580</v>
      </c>
      <c r="B660" s="37" t="n">
        <f aca="false">1+IF($G$6=$E$6,$F$6,IF(P660&lt;($F$6-$E$6)/($G$6-$E$6),$E$6+SQRT(P660*($G$6-$E$6)*($F$6-$E$6)),$G$6-SQRT((1-P660)*($G$6-$E$6)*($G$6-$F$6))))</f>
        <v>1.0234733231504</v>
      </c>
      <c r="C660" s="37" t="n">
        <f aca="false">1+IF($G$7=$E$7,$F$7,IF(Q660&lt;($F$7-$E$7)/($G$7-$E$7),$E$7+SQRT(Q660*($G$7-$E$7)*($F$7-$E$7)),$G$7-SQRT((1-Q660)*($G$7-$E$7)*($G$7-$F$7))))</f>
        <v>0.971071751980001</v>
      </c>
      <c r="D660" s="37" t="n">
        <f aca="false">1+IF($G$8=$E$8,$F$8,IF(R660&lt;($F$8-$E$8)/($G$8-$E$8),$E$8+SQRT(R660*($G$8-$E$8)*($F$8-$E$8)),$G$8-SQRT((1-R660)*($G$8-$E$8)*($G$8-$F$8))))</f>
        <v>1.00014585930355</v>
      </c>
      <c r="E660" s="37" t="n">
        <f aca="false">1+IF($G$9=$E$9,$F$9,IF(S660&lt;($F$9-$E$9)/($G$9-$E$9),$E$9+SQRT(S660*($G$9-$E$9)*($F$9-$E$9)),$G$9-SQRT((1-S660)*($G$9-$E$9)*($G$9-$F$9))))</f>
        <v>1.04239970671033</v>
      </c>
      <c r="F660" s="37" t="n">
        <f aca="false">1+IF($G$10=$E$10,$F$10,IF(T660&lt;($F$10-$E$10)/($G$10-$E$10),$E$10+SQRT(T660*($G$10-$E$10)*($F$10-$E$10)),$G$10-SQRT((1-T660)*($G$10-$E$10)*($G$10-$F$10))))</f>
        <v>1.19058930202281</v>
      </c>
      <c r="G660" s="38" t="n">
        <f aca="false">IF($G$11=$E$11,$F$11,IF(U660&lt;($F$11-$E$11)/($G$11-$E$11),$E$11+SQRT(U660*($G$11-$E$11)*($F$11-$E$11)),$G$11-SQRT((1-U660)*($G$11-$E$11)*($G$11-$F$11))))</f>
        <v>0.0966496101934573</v>
      </c>
      <c r="H660" s="39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-2381178604.04562</v>
      </c>
      <c r="I660" s="39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-1945903.79853942</v>
      </c>
      <c r="J660" s="39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314918376.050983</v>
      </c>
      <c r="K660" s="39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691312121.001647</v>
      </c>
      <c r="L660" s="39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831281557.719203</v>
      </c>
      <c r="M660" s="39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1020195613.27497</v>
      </c>
      <c r="N660" s="39" t="n">
        <f aca="false">IF(COUNT('Business Case'!B11:G11)=0,"",H660+NPV(G660,I660:M660))</f>
        <v>-378985355.98915</v>
      </c>
      <c r="P660" s="40" t="n">
        <f aca="true">RAND()</f>
        <v>0.906178055375574</v>
      </c>
      <c r="Q660" s="40" t="n">
        <f aca="true">RAND()</f>
        <v>0.544295516455611</v>
      </c>
      <c r="R660" s="40" t="n">
        <f aca="true">RAND()</f>
        <v>0.335276705718238</v>
      </c>
      <c r="S660" s="40" t="n">
        <f aca="true">RAND()</f>
        <v>0.691258050239372</v>
      </c>
      <c r="T660" s="40" t="n">
        <f aca="true">RAND()</f>
        <v>0.952938252878172</v>
      </c>
      <c r="U660" s="40" t="n">
        <f aca="true">RAND()</f>
        <v>0.277209519594076</v>
      </c>
    </row>
    <row r="661" customFormat="false" ht="15" hidden="false" customHeight="false" outlineLevel="0" collapsed="false">
      <c r="A661" s="36" t="n">
        <v>581</v>
      </c>
      <c r="B661" s="37" t="n">
        <f aca="false">1+IF($G$6=$E$6,$F$6,IF(P661&lt;($F$6-$E$6)/($G$6-$E$6),$E$6+SQRT(P661*($G$6-$E$6)*($F$6-$E$6)),$G$6-SQRT((1-P661)*($G$6-$E$6)*($G$6-$F$6))))</f>
        <v>0.968806188809932</v>
      </c>
      <c r="C661" s="37" t="n">
        <f aca="false">1+IF($G$7=$E$7,$F$7,IF(Q661&lt;($F$7-$E$7)/($G$7-$E$7),$E$7+SQRT(Q661*($G$7-$E$7)*($F$7-$E$7)),$G$7-SQRT((1-Q661)*($G$7-$E$7)*($G$7-$F$7))))</f>
        <v>1.032037714904</v>
      </c>
      <c r="D661" s="37" t="n">
        <f aca="false">1+IF($G$8=$E$8,$F$8,IF(R661&lt;($F$8-$E$8)/($G$8-$E$8),$E$8+SQRT(R661*($G$8-$E$8)*($F$8-$E$8)),$G$8-SQRT((1-R661)*($G$8-$E$8)*($G$8-$F$8))))</f>
        <v>1.04096769510589</v>
      </c>
      <c r="E661" s="37" t="n">
        <f aca="false">1+IF($G$9=$E$9,$F$9,IF(S661&lt;($F$9-$E$9)/($G$9-$E$9),$E$9+SQRT(S661*($G$9-$E$9)*($F$9-$E$9)),$G$9-SQRT((1-S661)*($G$9-$E$9)*($G$9-$F$9))))</f>
        <v>1.03473961619031</v>
      </c>
      <c r="F661" s="37" t="n">
        <f aca="false">1+IF($G$10=$E$10,$F$10,IF(T661&lt;($F$10-$E$10)/($G$10-$E$10),$E$10+SQRT(T661*($G$10-$E$10)*($F$10-$E$10)),$G$10-SQRT((1-T661)*($G$10-$E$10)*($G$10-$F$10))))</f>
        <v>1.06997644014548</v>
      </c>
      <c r="G661" s="38" t="n">
        <f aca="false">IF($G$11=$E$11,$F$11,IF(U661&lt;($F$11-$E$11)/($G$11-$E$11),$E$11+SQRT(U661*($G$11-$E$11)*($F$11-$E$11)),$G$11-SQRT((1-U661)*($G$11-$E$11)*($G$11-$F$11))))</f>
        <v>0.0975675507186333</v>
      </c>
      <c r="H661" s="39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-2139952880.29096</v>
      </c>
      <c r="I661" s="39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-36989732.9093462</v>
      </c>
      <c r="J661" s="39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231990091.808853</v>
      </c>
      <c r="K661" s="39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554468738.534326</v>
      </c>
      <c r="L661" s="39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678683306.900883</v>
      </c>
      <c r="M661" s="39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868733754.266913</v>
      </c>
      <c r="N661" s="39" t="n">
        <f aca="false">IF(COUNT('Business Case'!B11:G11)=0,"",H661+NPV(G661,I661:M661))</f>
        <v>-548627915.102063</v>
      </c>
      <c r="P661" s="40" t="n">
        <f aca="true">RAND()</f>
        <v>0.315619441236532</v>
      </c>
      <c r="Q661" s="40" t="n">
        <f aca="true">RAND()</f>
        <v>0.793850359924874</v>
      </c>
      <c r="R661" s="40" t="n">
        <f aca="true">RAND()</f>
        <v>0.767679131925895</v>
      </c>
      <c r="S661" s="40" t="n">
        <f aca="true">RAND()</f>
        <v>0.645734504641121</v>
      </c>
      <c r="T661" s="40" t="n">
        <f aca="true">RAND()</f>
        <v>0.567886905297419</v>
      </c>
      <c r="U661" s="40" t="n">
        <f aca="true">RAND()</f>
        <v>0.308618838251753</v>
      </c>
    </row>
    <row r="662" customFormat="false" ht="15" hidden="false" customHeight="false" outlineLevel="0" collapsed="false">
      <c r="A662" s="36" t="n">
        <v>582</v>
      </c>
      <c r="B662" s="37" t="n">
        <f aca="false">1+IF($G$6=$E$6,$F$6,IF(P662&lt;($F$6-$E$6)/($G$6-$E$6),$E$6+SQRT(P662*($G$6-$E$6)*($F$6-$E$6)),$G$6-SQRT((1-P662)*($G$6-$E$6)*($G$6-$F$6))))</f>
        <v>0.954698083096958</v>
      </c>
      <c r="C662" s="37" t="n">
        <f aca="false">1+IF($G$7=$E$7,$F$7,IF(Q662&lt;($F$7-$E$7)/($G$7-$E$7),$E$7+SQRT(Q662*($G$7-$E$7)*($F$7-$E$7)),$G$7-SQRT((1-Q662)*($G$7-$E$7)*($G$7-$F$7))))</f>
        <v>1.05024243672854</v>
      </c>
      <c r="D662" s="37" t="n">
        <f aca="false">1+IF($G$8=$E$8,$F$8,IF(R662&lt;($F$8-$E$8)/($G$8-$E$8),$E$8+SQRT(R662*($G$8-$E$8)*($F$8-$E$8)),$G$8-SQRT((1-R662)*($G$8-$E$8)*($G$8-$F$8))))</f>
        <v>1.00164715484066</v>
      </c>
      <c r="E662" s="37" t="n">
        <f aca="false">1+IF($G$9=$E$9,$F$9,IF(S662&lt;($F$9-$E$9)/($G$9-$E$9),$E$9+SQRT(S662*($G$9-$E$9)*($F$9-$E$9)),$G$9-SQRT((1-S662)*($G$9-$E$9)*($G$9-$F$9))))</f>
        <v>0.97869287543964</v>
      </c>
      <c r="F662" s="37" t="n">
        <f aca="false">1+IF($G$10=$E$10,$F$10,IF(T662&lt;($F$10-$E$10)/($G$10-$E$10),$E$10+SQRT(T662*($G$10-$E$10)*($F$10-$E$10)),$G$10-SQRT((1-T662)*($G$10-$E$10)*($G$10-$F$10))))</f>
        <v>1.0088841537162</v>
      </c>
      <c r="G662" s="38" t="n">
        <f aca="false">IF($G$11=$E$11,$F$11,IF(U662&lt;($F$11-$E$11)/($G$11-$E$11),$E$11+SQRT(U662*($G$11-$E$11)*($F$11-$E$11)),$G$11-SQRT((1-U662)*($G$11-$E$11)*($G$11-$F$11))))</f>
        <v>0.113504164165224</v>
      </c>
      <c r="H662" s="39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-2017768307.4324</v>
      </c>
      <c r="I662" s="39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-9307982.47753784</v>
      </c>
      <c r="J662" s="39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273420701.932335</v>
      </c>
      <c r="K662" s="39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606593594.028017</v>
      </c>
      <c r="L662" s="39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735488571.916823</v>
      </c>
      <c r="M662" s="39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926075028.887159</v>
      </c>
      <c r="N662" s="39" t="n">
        <f aca="false">IF(COUNT('Business Case'!B11:G11)=0,"",H662+NPV(G662,I662:M662))</f>
        <v>-346839555.438331</v>
      </c>
      <c r="P662" s="40" t="n">
        <f aca="true">RAND()</f>
        <v>0.199458686298781</v>
      </c>
      <c r="Q662" s="40" t="n">
        <f aca="true">RAND()</f>
        <v>0.852569312150233</v>
      </c>
      <c r="R662" s="40" t="n">
        <f aca="true">RAND()</f>
        <v>0.355114523270869</v>
      </c>
      <c r="S662" s="40" t="n">
        <f aca="true">RAND()</f>
        <v>0.247702745798349</v>
      </c>
      <c r="T662" s="40" t="n">
        <f aca="true">RAND()</f>
        <v>0.224841982277974</v>
      </c>
      <c r="U662" s="40" t="n">
        <f aca="true">RAND()</f>
        <v>0.818591600074754</v>
      </c>
    </row>
    <row r="663" customFormat="false" ht="15" hidden="false" customHeight="false" outlineLevel="0" collapsed="false">
      <c r="A663" s="36" t="n">
        <v>583</v>
      </c>
      <c r="B663" s="37" t="n">
        <f aca="false">1+IF($G$6=$E$6,$F$6,IF(P663&lt;($F$6-$E$6)/($G$6-$E$6),$E$6+SQRT(P663*($G$6-$E$6)*($F$6-$E$6)),$G$6-SQRT((1-P663)*($G$6-$E$6)*($G$6-$F$6))))</f>
        <v>1.00828318672002</v>
      </c>
      <c r="C663" s="37" t="n">
        <f aca="false">1+IF($G$7=$E$7,$F$7,IF(Q663&lt;($F$7-$E$7)/($G$7-$E$7),$E$7+SQRT(Q663*($G$7-$E$7)*($F$7-$E$7)),$G$7-SQRT((1-Q663)*($G$7-$E$7)*($G$7-$F$7))))</f>
        <v>0.898083399992666</v>
      </c>
      <c r="D663" s="37" t="n">
        <f aca="false">1+IF($G$8=$E$8,$F$8,IF(R663&lt;($F$8-$E$8)/($G$8-$E$8),$E$8+SQRT(R663*($G$8-$E$8)*($F$8-$E$8)),$G$8-SQRT((1-R663)*($G$8-$E$8)*($G$8-$F$8))))</f>
        <v>1.02173253604206</v>
      </c>
      <c r="E663" s="37" t="n">
        <f aca="false">1+IF($G$9=$E$9,$F$9,IF(S663&lt;($F$9-$E$9)/($G$9-$E$9),$E$9+SQRT(S663*($G$9-$E$9)*($F$9-$E$9)),$G$9-SQRT((1-S663)*($G$9-$E$9)*($G$9-$F$9))))</f>
        <v>0.97098010723065</v>
      </c>
      <c r="F663" s="37" t="n">
        <f aca="false">1+IF($G$10=$E$10,$F$10,IF(T663&lt;($F$10-$E$10)/($G$10-$E$10),$E$10+SQRT(T663*($G$10-$E$10)*($F$10-$E$10)),$G$10-SQRT((1-T663)*($G$10-$E$10)*($G$10-$F$10))))</f>
        <v>1.11650076091303</v>
      </c>
      <c r="G663" s="38" t="n">
        <f aca="false">IF($G$11=$E$11,$F$11,IF(U663&lt;($F$11-$E$11)/($G$11-$E$11),$E$11+SQRT(U663*($G$11-$E$11)*($F$11-$E$11)),$G$11-SQRT((1-U663)*($G$11-$E$11)*($G$11-$F$11))))</f>
        <v>0.106960884970291</v>
      </c>
      <c r="H663" s="39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-2233001521.82606</v>
      </c>
      <c r="I663" s="39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-24716010.3102097</v>
      </c>
      <c r="J663" s="39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247233707.545502</v>
      </c>
      <c r="K663" s="39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575008463.446865</v>
      </c>
      <c r="L663" s="39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696953223.28305</v>
      </c>
      <c r="M663" s="39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869074919.64659</v>
      </c>
      <c r="N663" s="39" t="n">
        <f aca="false">IF(COUNT('Business Case'!B11:G11)=0,"",H663+NPV(G663,I663:M663))</f>
        <v>-642612087.889964</v>
      </c>
      <c r="P663" s="40" t="n">
        <f aca="true">RAND()</f>
        <v>0.767960998635085</v>
      </c>
      <c r="Q663" s="40" t="n">
        <f aca="true">RAND()</f>
        <v>0.290644691501146</v>
      </c>
      <c r="R663" s="40" t="n">
        <f aca="true">RAND()</f>
        <v>0.59161360570617</v>
      </c>
      <c r="S663" s="40" t="n">
        <f aca="true">RAND()</f>
        <v>0.201527024898981</v>
      </c>
      <c r="T663" s="40" t="n">
        <f aca="true">RAND()</f>
        <v>0.762372708842671</v>
      </c>
      <c r="U663" s="40" t="n">
        <f aca="true">RAND()</f>
        <v>0.646132785765224</v>
      </c>
    </row>
    <row r="664" customFormat="false" ht="15" hidden="false" customHeight="false" outlineLevel="0" collapsed="false">
      <c r="A664" s="36" t="n">
        <v>584</v>
      </c>
      <c r="B664" s="37" t="n">
        <f aca="false">1+IF($G$6=$E$6,$F$6,IF(P664&lt;($F$6-$E$6)/($G$6-$E$6),$E$6+SQRT(P664*($G$6-$E$6)*($F$6-$E$6)),$G$6-SQRT((1-P664)*($G$6-$E$6)*($G$6-$F$6))))</f>
        <v>0.998271401466059</v>
      </c>
      <c r="C664" s="37" t="n">
        <f aca="false">1+IF($G$7=$E$7,$F$7,IF(Q664&lt;($F$7-$E$7)/($G$7-$E$7),$E$7+SQRT(Q664*($G$7-$E$7)*($F$7-$E$7)),$G$7-SQRT((1-Q664)*($G$7-$E$7)*($G$7-$F$7))))</f>
        <v>0.910753173393569</v>
      </c>
      <c r="D664" s="37" t="n">
        <f aca="false">1+IF($G$8=$E$8,$F$8,IF(R664&lt;($F$8-$E$8)/($G$8-$E$8),$E$8+SQRT(R664*($G$8-$E$8)*($F$8-$E$8)),$G$8-SQRT((1-R664)*($G$8-$E$8)*($G$8-$F$8))))</f>
        <v>0.962950768098865</v>
      </c>
      <c r="E664" s="37" t="n">
        <f aca="false">1+IF($G$9=$E$9,$F$9,IF(S664&lt;($F$9-$E$9)/($G$9-$E$9),$E$9+SQRT(S664*($G$9-$E$9)*($F$9-$E$9)),$G$9-SQRT((1-S664)*($G$9-$E$9)*($G$9-$F$9))))</f>
        <v>0.952152802705662</v>
      </c>
      <c r="F664" s="37" t="n">
        <f aca="false">1+IF($G$10=$E$10,$F$10,IF(T664&lt;($F$10-$E$10)/($G$10-$E$10),$E$10+SQRT(T664*($G$10-$E$10)*($F$10-$E$10)),$G$10-SQRT((1-T664)*($G$10-$E$10)*($G$10-$F$10))))</f>
        <v>1.07872714296168</v>
      </c>
      <c r="G664" s="38" t="n">
        <f aca="false">IF($G$11=$E$11,$F$11,IF(U664&lt;($F$11-$E$11)/($G$11-$E$11),$E$11+SQRT(U664*($G$11-$E$11)*($F$11-$E$11)),$G$11-SQRT((1-U664)*($G$11-$E$11)*($G$11-$F$11))))</f>
        <v>0.102315111313971</v>
      </c>
      <c r="H664" s="39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-2157454285.92335</v>
      </c>
      <c r="I664" s="39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5323063.4310807</v>
      </c>
      <c r="J664" s="39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301046801.120837</v>
      </c>
      <c r="K664" s="39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650706895.958676</v>
      </c>
      <c r="L664" s="39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780702696.13377</v>
      </c>
      <c r="M664" s="39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953519411.332233</v>
      </c>
      <c r="N664" s="39" t="n">
        <f aca="false">IF(COUNT('Business Case'!B11:G11)=0,"",H664+NPV(G664,I664:M664))</f>
        <v>-304424178.555793</v>
      </c>
      <c r="P664" s="40" t="n">
        <f aca="true">RAND()</f>
        <v>0.643817889740226</v>
      </c>
      <c r="Q664" s="40" t="n">
        <f aca="true">RAND()</f>
        <v>0.329014074781182</v>
      </c>
      <c r="R664" s="40" t="n">
        <f aca="true">RAND()</f>
        <v>0.0223629859134092</v>
      </c>
      <c r="S664" s="40" t="n">
        <f aca="true">RAND()</f>
        <v>0.108796593202228</v>
      </c>
      <c r="T664" s="40" t="n">
        <f aca="true">RAND()</f>
        <v>0.608874779225727</v>
      </c>
      <c r="U664" s="40" t="n">
        <f aca="true">RAND()</f>
        <v>0.489031292294786</v>
      </c>
    </row>
    <row r="665" customFormat="false" ht="15" hidden="false" customHeight="false" outlineLevel="0" collapsed="false">
      <c r="A665" s="36" t="n">
        <v>585</v>
      </c>
      <c r="B665" s="37" t="n">
        <f aca="false">1+IF($G$6=$E$6,$F$6,IF(P665&lt;($F$6-$E$6)/($G$6-$E$6),$E$6+SQRT(P665*($G$6-$E$6)*($F$6-$E$6)),$G$6-SQRT((1-P665)*($G$6-$E$6)*($G$6-$F$6))))</f>
        <v>1.03463151418492</v>
      </c>
      <c r="C665" s="37" t="n">
        <f aca="false">1+IF($G$7=$E$7,$F$7,IF(Q665&lt;($F$7-$E$7)/($G$7-$E$7),$E$7+SQRT(Q665*($G$7-$E$7)*($F$7-$E$7)),$G$7-SQRT((1-Q665)*($G$7-$E$7)*($G$7-$F$7))))</f>
        <v>1.02370427890852</v>
      </c>
      <c r="D665" s="37" t="n">
        <f aca="false">1+IF($G$8=$E$8,$F$8,IF(R665&lt;($F$8-$E$8)/($G$8-$E$8),$E$8+SQRT(R665*($G$8-$E$8)*($F$8-$E$8)),$G$8-SQRT((1-R665)*($G$8-$E$8)*($G$8-$F$8))))</f>
        <v>1.04839689641873</v>
      </c>
      <c r="E665" s="37" t="n">
        <f aca="false">1+IF($G$9=$E$9,$F$9,IF(S665&lt;($F$9-$E$9)/($G$9-$E$9),$E$9+SQRT(S665*($G$9-$E$9)*($F$9-$E$9)),$G$9-SQRT((1-S665)*($G$9-$E$9)*($G$9-$F$9))))</f>
        <v>0.954148310164037</v>
      </c>
      <c r="F665" s="37" t="n">
        <f aca="false">1+IF($G$10=$E$10,$F$10,IF(T665&lt;($F$10-$E$10)/($G$10-$E$10),$E$10+SQRT(T665*($G$10-$E$10)*($F$10-$E$10)),$G$10-SQRT((1-T665)*($G$10-$E$10)*($G$10-$F$10))))</f>
        <v>1.08076566853704</v>
      </c>
      <c r="G665" s="38" t="n">
        <f aca="false">IF($G$11=$E$11,$F$11,IF(U665&lt;($F$11-$E$11)/($G$11-$E$11),$E$11+SQRT(U665*($G$11-$E$11)*($F$11-$E$11)),$G$11-SQRT((1-U665)*($G$11-$E$11)*($G$11-$F$11))))</f>
        <v>0.0862528653992621</v>
      </c>
      <c r="H665" s="39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-2161531337.07408</v>
      </c>
      <c r="I665" s="39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19445147.7352685</v>
      </c>
      <c r="J665" s="39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337553435.780826</v>
      </c>
      <c r="K665" s="39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709700007.253234</v>
      </c>
      <c r="L665" s="39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852340559.102592</v>
      </c>
      <c r="M665" s="39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1053665066.19054</v>
      </c>
      <c r="N665" s="39" t="n">
        <f aca="false">IF(COUNT('Business Case'!B11:G11)=0,"",H665+NPV(G665,I665:M665))</f>
        <v>5052672.60150433</v>
      </c>
      <c r="P665" s="40" t="n">
        <f aca="true">RAND()</f>
        <v>0.968507952500233</v>
      </c>
      <c r="Q665" s="40" t="n">
        <f aca="true">RAND()</f>
        <v>0.763694679021983</v>
      </c>
      <c r="R665" s="40" t="n">
        <f aca="true">RAND()</f>
        <v>0.822474646718744</v>
      </c>
      <c r="S665" s="40" t="n">
        <f aca="true">RAND()</f>
        <v>0.117281579744832</v>
      </c>
      <c r="T665" s="40" t="n">
        <f aca="true">RAND()</f>
        <v>0.618129880723793</v>
      </c>
      <c r="U665" s="40" t="n">
        <f aca="true">RAND()</f>
        <v>0.0390983257012886</v>
      </c>
    </row>
    <row r="666" customFormat="false" ht="15" hidden="false" customHeight="false" outlineLevel="0" collapsed="false">
      <c r="A666" s="36" t="n">
        <v>586</v>
      </c>
      <c r="B666" s="37" t="n">
        <f aca="false">1+IF($G$6=$E$6,$F$6,IF(P666&lt;($F$6-$E$6)/($G$6-$E$6),$E$6+SQRT(P666*($G$6-$E$6)*($F$6-$E$6)),$G$6-SQRT((1-P666)*($G$6-$E$6)*($G$6-$F$6))))</f>
        <v>1.00737568850401</v>
      </c>
      <c r="C666" s="37" t="n">
        <f aca="false">1+IF($G$7=$E$7,$F$7,IF(Q666&lt;($F$7-$E$7)/($G$7-$E$7),$E$7+SQRT(Q666*($G$7-$E$7)*($F$7-$E$7)),$G$7-SQRT((1-Q666)*($G$7-$E$7)*($G$7-$F$7))))</f>
        <v>0.965385495000895</v>
      </c>
      <c r="D666" s="37" t="n">
        <f aca="false">1+IF($G$8=$E$8,$F$8,IF(R666&lt;($F$8-$E$8)/($G$8-$E$8),$E$8+SQRT(R666*($G$8-$E$8)*($F$8-$E$8)),$G$8-SQRT((1-R666)*($G$8-$E$8)*($G$8-$F$8))))</f>
        <v>1.07583453505795</v>
      </c>
      <c r="E666" s="37" t="n">
        <f aca="false">1+IF($G$9=$E$9,$F$9,IF(S666&lt;($F$9-$E$9)/($G$9-$E$9),$E$9+SQRT(S666*($G$9-$E$9)*($F$9-$E$9)),$G$9-SQRT((1-S666)*($G$9-$E$9)*($G$9-$F$9))))</f>
        <v>1.01944837113184</v>
      </c>
      <c r="F666" s="37" t="n">
        <f aca="false">1+IF($G$10=$E$10,$F$10,IF(T666&lt;($F$10-$E$10)/($G$10-$E$10),$E$10+SQRT(T666*($G$10-$E$10)*($F$10-$E$10)),$G$10-SQRT((1-T666)*($G$10-$E$10)*($G$10-$F$10))))</f>
        <v>0.9914566035737</v>
      </c>
      <c r="G666" s="38" t="n">
        <f aca="false">IF($G$11=$E$11,$F$11,IF(U666&lt;($F$11-$E$11)/($G$11-$E$11),$E$11+SQRT(U666*($G$11-$E$11)*($F$11-$E$11)),$G$11-SQRT((1-U666)*($G$11-$E$11)*($G$11-$F$11))))</f>
        <v>0.0962637264648661</v>
      </c>
      <c r="H666" s="39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-1982913207.1474</v>
      </c>
      <c r="I666" s="39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-29651169.8146535</v>
      </c>
      <c r="J666" s="39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235223583.802892</v>
      </c>
      <c r="K666" s="39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549671167.599122</v>
      </c>
      <c r="L666" s="39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671572555.271557</v>
      </c>
      <c r="M666" s="39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856426472.504452</v>
      </c>
      <c r="N666" s="39" t="n">
        <f aca="false">IF(COUNT('Business Case'!B11:G11)=0,"",H666+NPV(G666,I666:M666))</f>
        <v>-391144935.127623</v>
      </c>
      <c r="P666" s="40" t="n">
        <f aca="true">RAND()</f>
        <v>0.757755742599034</v>
      </c>
      <c r="Q666" s="40" t="n">
        <f aca="true">RAND()</f>
        <v>0.521699710791631</v>
      </c>
      <c r="R666" s="40" t="n">
        <f aca="true">RAND()</f>
        <v>0.961068686942295</v>
      </c>
      <c r="S666" s="40" t="n">
        <f aca="true">RAND()</f>
        <v>0.545500591996561</v>
      </c>
      <c r="T666" s="40" t="n">
        <f aca="true">RAND()</f>
        <v>0.114576665324459</v>
      </c>
      <c r="U666" s="40" t="n">
        <f aca="true">RAND()</f>
        <v>0.264508798523987</v>
      </c>
    </row>
    <row r="667" customFormat="false" ht="15" hidden="false" customHeight="false" outlineLevel="0" collapsed="false">
      <c r="A667" s="36" t="n">
        <v>587</v>
      </c>
      <c r="B667" s="37" t="n">
        <f aca="false">1+IF($G$6=$E$6,$F$6,IF(P667&lt;($F$6-$E$6)/($G$6-$E$6),$E$6+SQRT(P667*($G$6-$E$6)*($F$6-$E$6)),$G$6-SQRT((1-P667)*($G$6-$E$6)*($G$6-$F$6))))</f>
        <v>1.00667664436582</v>
      </c>
      <c r="C667" s="37" t="n">
        <f aca="false">1+IF($G$7=$E$7,$F$7,IF(Q667&lt;($F$7-$E$7)/($G$7-$E$7),$E$7+SQRT(Q667*($G$7-$E$7)*($F$7-$E$7)),$G$7-SQRT((1-Q667)*($G$7-$E$7)*($G$7-$F$7))))</f>
        <v>1.12601367397556</v>
      </c>
      <c r="D667" s="37" t="n">
        <f aca="false">1+IF($G$8=$E$8,$F$8,IF(R667&lt;($F$8-$E$8)/($G$8-$E$8),$E$8+SQRT(R667*($G$8-$E$8)*($F$8-$E$8)),$G$8-SQRT((1-R667)*($G$8-$E$8)*($G$8-$F$8))))</f>
        <v>1.07173570534081</v>
      </c>
      <c r="E667" s="37" t="n">
        <f aca="false">1+IF($G$9=$E$9,$F$9,IF(S667&lt;($F$9-$E$9)/($G$9-$E$9),$E$9+SQRT(S667*($G$9-$E$9)*($F$9-$E$9)),$G$9-SQRT((1-S667)*($G$9-$E$9)*($G$9-$F$9))))</f>
        <v>1.00928437777886</v>
      </c>
      <c r="F667" s="37" t="n">
        <f aca="false">1+IF($G$10=$E$10,$F$10,IF(T667&lt;($F$10-$E$10)/($G$10-$E$10),$E$10+SQRT(T667*($G$10-$E$10)*($F$10-$E$10)),$G$10-SQRT((1-T667)*($G$10-$E$10)*($G$10-$F$10))))</f>
        <v>1.22185257142789</v>
      </c>
      <c r="G667" s="38" t="n">
        <f aca="false">IF($G$11=$E$11,$F$11,IF(U667&lt;($F$11-$E$11)/($G$11-$E$11),$E$11+SQRT(U667*($G$11-$E$11)*($F$11-$E$11)),$G$11-SQRT((1-U667)*($G$11-$E$11)*($G$11-$F$11))))</f>
        <v>0.114490984556783</v>
      </c>
      <c r="H667" s="39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-2443705142.85579</v>
      </c>
      <c r="I667" s="39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-13803182.9946414</v>
      </c>
      <c r="J667" s="39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296861411.282011</v>
      </c>
      <c r="K667" s="39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668618634.130058</v>
      </c>
      <c r="L667" s="39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811348353.294509</v>
      </c>
      <c r="M667" s="39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1026810052.52513</v>
      </c>
      <c r="N667" s="39" t="n">
        <f aca="false">IF(COUNT('Business Case'!B11:G11)=0,"",H667+NPV(G667,I667:M667))</f>
        <v>-611006631.193933</v>
      </c>
      <c r="P667" s="40" t="n">
        <f aca="true">RAND()</f>
        <v>0.749744914212638</v>
      </c>
      <c r="Q667" s="40" t="n">
        <f aca="true">RAND()</f>
        <v>0.991476387612584</v>
      </c>
      <c r="R667" s="40" t="n">
        <f aca="true">RAND()</f>
        <v>0.946741976494566</v>
      </c>
      <c r="S667" s="40" t="n">
        <f aca="true">RAND()</f>
        <v>0.471976364344452</v>
      </c>
      <c r="T667" s="40" t="n">
        <f aca="true">RAND()</f>
        <v>0.989436296863709</v>
      </c>
      <c r="U667" s="40" t="n">
        <f aca="true">RAND()</f>
        <v>0.839646959988042</v>
      </c>
    </row>
    <row r="668" customFormat="false" ht="15" hidden="false" customHeight="false" outlineLevel="0" collapsed="false">
      <c r="A668" s="36" t="n">
        <v>588</v>
      </c>
      <c r="B668" s="37" t="n">
        <f aca="false">1+IF($G$6=$E$6,$F$6,IF(P668&lt;($F$6-$E$6)/($G$6-$E$6),$E$6+SQRT(P668*($G$6-$E$6)*($F$6-$E$6)),$G$6-SQRT((1-P668)*($G$6-$E$6)*($G$6-$F$6))))</f>
        <v>1.01797648935231</v>
      </c>
      <c r="C668" s="37" t="n">
        <f aca="false">1+IF($G$7=$E$7,$F$7,IF(Q668&lt;($F$7-$E$7)/($G$7-$E$7),$E$7+SQRT(Q668*($G$7-$E$7)*($F$7-$E$7)),$G$7-SQRT((1-Q668)*($G$7-$E$7)*($G$7-$F$7))))</f>
        <v>0.889449838883425</v>
      </c>
      <c r="D668" s="37" t="n">
        <f aca="false">1+IF($G$8=$E$8,$F$8,IF(R668&lt;($F$8-$E$8)/($G$8-$E$8),$E$8+SQRT(R668*($G$8-$E$8)*($F$8-$E$8)),$G$8-SQRT((1-R668)*($G$8-$E$8)*($G$8-$F$8))))</f>
        <v>1.02454837878152</v>
      </c>
      <c r="E668" s="37" t="n">
        <f aca="false">1+IF($G$9=$E$9,$F$9,IF(S668&lt;($F$9-$E$9)/($G$9-$E$9),$E$9+SQRT(S668*($G$9-$E$9)*($F$9-$E$9)),$G$9-SQRT((1-S668)*($G$9-$E$9)*($G$9-$F$9))))</f>
        <v>0.99436024937303</v>
      </c>
      <c r="F668" s="37" t="n">
        <f aca="false">1+IF($G$10=$E$10,$F$10,IF(T668&lt;($F$10-$E$10)/($G$10-$E$10),$E$10+SQRT(T668*($G$10-$E$10)*($F$10-$E$10)),$G$10-SQRT((1-T668)*($G$10-$E$10)*($G$10-$F$10))))</f>
        <v>0.989483274105103</v>
      </c>
      <c r="G668" s="38" t="n">
        <f aca="false">IF($G$11=$E$11,$F$11,IF(U668&lt;($F$11-$E$11)/($G$11-$E$11),$E$11+SQRT(U668*($G$11-$E$11)*($F$11-$E$11)),$G$11-SQRT((1-U668)*($G$11-$E$11)*($G$11-$F$11))))</f>
        <v>0.0954294900232618</v>
      </c>
      <c r="H668" s="39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-1978966548.21021</v>
      </c>
      <c r="I668" s="39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-12169266.4227756</v>
      </c>
      <c r="J668" s="39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262945781.052853</v>
      </c>
      <c r="K668" s="39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587534992.233736</v>
      </c>
      <c r="L668" s="39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710531980.743644</v>
      </c>
      <c r="M668" s="39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882637830.509489</v>
      </c>
      <c r="N668" s="39" t="n">
        <f aca="false">IF(COUNT('Business Case'!B11:G11)=0,"",H668+NPV(G668,I668:M668))</f>
        <v>-270944967.312274</v>
      </c>
      <c r="P668" s="40" t="n">
        <f aca="true">RAND()</f>
        <v>0.863265968772966</v>
      </c>
      <c r="Q668" s="40" t="n">
        <f aca="true">RAND()</f>
        <v>0.265861047799671</v>
      </c>
      <c r="R668" s="40" t="n">
        <f aca="true">RAND()</f>
        <v>0.620470190366905</v>
      </c>
      <c r="S668" s="40" t="n">
        <f aca="true">RAND()</f>
        <v>0.356154266469616</v>
      </c>
      <c r="T668" s="40" t="n">
        <f aca="true">RAND()</f>
        <v>0.103928595603912</v>
      </c>
      <c r="U668" s="40" t="n">
        <f aca="true">RAND()</f>
        <v>0.238069162377935</v>
      </c>
    </row>
    <row r="669" customFormat="false" ht="15" hidden="false" customHeight="false" outlineLevel="0" collapsed="false">
      <c r="A669" s="36" t="n">
        <v>589</v>
      </c>
      <c r="B669" s="37" t="n">
        <f aca="false">1+IF($G$6=$E$6,$F$6,IF(P669&lt;($F$6-$E$6)/($G$6-$E$6),$E$6+SQRT(P669*($G$6-$E$6)*($F$6-$E$6)),$G$6-SQRT((1-P669)*($G$6-$E$6)*($G$6-$F$6))))</f>
        <v>1.02184649623225</v>
      </c>
      <c r="C669" s="37" t="n">
        <f aca="false">1+IF($G$7=$E$7,$F$7,IF(Q669&lt;($F$7-$E$7)/($G$7-$E$7),$E$7+SQRT(Q669*($G$7-$E$7)*($F$7-$E$7)),$G$7-SQRT((1-Q669)*($G$7-$E$7)*($G$7-$F$7))))</f>
        <v>0.873492498952381</v>
      </c>
      <c r="D669" s="37" t="n">
        <f aca="false">1+IF($G$8=$E$8,$F$8,IF(R669&lt;($F$8-$E$8)/($G$8-$E$8),$E$8+SQRT(R669*($G$8-$E$8)*($F$8-$E$8)),$G$8-SQRT((1-R669)*($G$8-$E$8)*($G$8-$F$8))))</f>
        <v>0.970680221925624</v>
      </c>
      <c r="E669" s="37" t="n">
        <f aca="false">1+IF($G$9=$E$9,$F$9,IF(S669&lt;($F$9-$E$9)/($G$9-$E$9),$E$9+SQRT(S669*($G$9-$E$9)*($F$9-$E$9)),$G$9-SQRT((1-S669)*($G$9-$E$9)*($G$9-$F$9))))</f>
        <v>0.976271273357122</v>
      </c>
      <c r="F669" s="37" t="n">
        <f aca="false">1+IF($G$10=$E$10,$F$10,IF(T669&lt;($F$10-$E$10)/($G$10-$E$10),$E$10+SQRT(T669*($G$10-$E$10)*($F$10-$E$10)),$G$10-SQRT((1-T669)*($G$10-$E$10)*($G$10-$F$10))))</f>
        <v>0.988631288663769</v>
      </c>
      <c r="G669" s="38" t="n">
        <f aca="false">IF($G$11=$E$11,$F$11,IF(U669&lt;($F$11-$E$11)/($G$11-$E$11),$E$11+SQRT(U669*($G$11-$E$11)*($F$11-$E$11)),$G$11-SQRT((1-U669)*($G$11-$E$11)*($G$11-$F$11))))</f>
        <v>0.114248612737826</v>
      </c>
      <c r="H669" s="39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-1977262577.32754</v>
      </c>
      <c r="I669" s="39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13075691.3889245</v>
      </c>
      <c r="J669" s="39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310111387.651744</v>
      </c>
      <c r="K669" s="39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656578648.347752</v>
      </c>
      <c r="L669" s="39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786437947.726114</v>
      </c>
      <c r="M669" s="39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956098651.15861</v>
      </c>
      <c r="N669" s="39" t="n">
        <f aca="false">IF(COUNT('Business Case'!B11:G11)=0,"",H669+NPV(G669,I669:M669))</f>
        <v>-174278459.692778</v>
      </c>
      <c r="P669" s="40" t="n">
        <f aca="true">RAND()</f>
        <v>0.894317363413241</v>
      </c>
      <c r="Q669" s="40" t="n">
        <f aca="true">RAND()</f>
        <v>0.222960349575866</v>
      </c>
      <c r="R669" s="40" t="n">
        <f aca="true">RAND()</f>
        <v>0.0570228771857409</v>
      </c>
      <c r="S669" s="40" t="n">
        <f aca="true">RAND()</f>
        <v>0.232692285580674</v>
      </c>
      <c r="T669" s="40" t="n">
        <f aca="true">RAND()</f>
        <v>0.0994917642548961</v>
      </c>
      <c r="U669" s="40" t="n">
        <f aca="true">RAND()</f>
        <v>0.834595866211342</v>
      </c>
    </row>
    <row r="670" customFormat="false" ht="15" hidden="false" customHeight="false" outlineLevel="0" collapsed="false">
      <c r="A670" s="36" t="n">
        <v>590</v>
      </c>
      <c r="B670" s="37" t="n">
        <f aca="false">1+IF($G$6=$E$6,$F$6,IF(P670&lt;($F$6-$E$6)/($G$6-$E$6),$E$6+SQRT(P670*($G$6-$E$6)*($F$6-$E$6)),$G$6-SQRT((1-P670)*($G$6-$E$6)*($G$6-$F$6))))</f>
        <v>1.01670202246808</v>
      </c>
      <c r="C670" s="37" t="n">
        <f aca="false">1+IF($G$7=$E$7,$F$7,IF(Q670&lt;($F$7-$E$7)/($G$7-$E$7),$E$7+SQRT(Q670*($G$7-$E$7)*($F$7-$E$7)),$G$7-SQRT((1-Q670)*($G$7-$E$7)*($G$7-$F$7))))</f>
        <v>0.849190329090659</v>
      </c>
      <c r="D670" s="37" t="n">
        <f aca="false">1+IF($G$8=$E$8,$F$8,IF(R670&lt;($F$8-$E$8)/($G$8-$E$8),$E$8+SQRT(R670*($G$8-$E$8)*($F$8-$E$8)),$G$8-SQRT((1-R670)*($G$8-$E$8)*($G$8-$F$8))))</f>
        <v>1.00722688557798</v>
      </c>
      <c r="E670" s="37" t="n">
        <f aca="false">1+IF($G$9=$E$9,$F$9,IF(S670&lt;($F$9-$E$9)/($G$9-$E$9),$E$9+SQRT(S670*($G$9-$E$9)*($F$9-$E$9)),$G$9-SQRT((1-S670)*($G$9-$E$9)*($G$9-$F$9))))</f>
        <v>1.01006803262626</v>
      </c>
      <c r="F670" s="37" t="n">
        <f aca="false">1+IF($G$10=$E$10,$F$10,IF(T670&lt;($F$10-$E$10)/($G$10-$E$10),$E$10+SQRT(T670*($G$10-$E$10)*($F$10-$E$10)),$G$10-SQRT((1-T670)*($G$10-$E$10)*($G$10-$F$10))))</f>
        <v>1.08725943830575</v>
      </c>
      <c r="G670" s="38" t="n">
        <f aca="false">IF($G$11=$E$11,$F$11,IF(U670&lt;($F$11-$E$11)/($G$11-$E$11),$E$11+SQRT(U670*($G$11-$E$11)*($F$11-$E$11)),$G$11-SQRT((1-U670)*($G$11-$E$11)*($G$11-$F$11))))</f>
        <v>0.0997739434724447</v>
      </c>
      <c r="H670" s="39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-2174518876.61151</v>
      </c>
      <c r="I670" s="39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-27808988.6965384</v>
      </c>
      <c r="J670" s="39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241496924.215379</v>
      </c>
      <c r="K670" s="39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565165809.042584</v>
      </c>
      <c r="L670" s="39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684772635.705508</v>
      </c>
      <c r="M670" s="39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848882675.346406</v>
      </c>
      <c r="N670" s="39" t="n">
        <f aca="false">IF(COUNT('Business Case'!B11:G11)=0,"",H670+NPV(G670,I670:M670))</f>
        <v>-579534473.645665</v>
      </c>
      <c r="P670" s="40" t="n">
        <f aca="true">RAND()</f>
        <v>0.852165958971183</v>
      </c>
      <c r="Q670" s="40" t="n">
        <f aca="true">RAND()</f>
        <v>0.164872254030957</v>
      </c>
      <c r="R670" s="40" t="n">
        <f aca="true">RAND()</f>
        <v>0.426209949362577</v>
      </c>
      <c r="S670" s="40" t="n">
        <f aca="true">RAND()</f>
        <v>0.477841186851046</v>
      </c>
      <c r="T670" s="40" t="n">
        <f aca="true">RAND()</f>
        <v>0.646873461059215</v>
      </c>
      <c r="U670" s="40" t="n">
        <f aca="true">RAND()</f>
        <v>0.391008840451438</v>
      </c>
    </row>
    <row r="671" customFormat="false" ht="15" hidden="false" customHeight="false" outlineLevel="0" collapsed="false">
      <c r="A671" s="36" t="n">
        <v>591</v>
      </c>
      <c r="B671" s="37" t="n">
        <f aca="false">1+IF($G$6=$E$6,$F$6,IF(P671&lt;($F$6-$E$6)/($G$6-$E$6),$E$6+SQRT(P671*($G$6-$E$6)*($F$6-$E$6)),$G$6-SQRT((1-P671)*($G$6-$E$6)*($G$6-$F$6))))</f>
        <v>0.988025501885725</v>
      </c>
      <c r="C671" s="37" t="n">
        <f aca="false">1+IF($G$7=$E$7,$F$7,IF(Q671&lt;($F$7-$E$7)/($G$7-$E$7),$E$7+SQRT(Q671*($G$7-$E$7)*($F$7-$E$7)),$G$7-SQRT((1-Q671)*($G$7-$E$7)*($G$7-$F$7))))</f>
        <v>0.978571503930372</v>
      </c>
      <c r="D671" s="37" t="n">
        <f aca="false">1+IF($G$8=$E$8,$F$8,IF(R671&lt;($F$8-$E$8)/($G$8-$E$8),$E$8+SQRT(R671*($G$8-$E$8)*($F$8-$E$8)),$G$8-SQRT((1-R671)*($G$8-$E$8)*($G$8-$F$8))))</f>
        <v>1.07208428257229</v>
      </c>
      <c r="E671" s="37" t="n">
        <f aca="false">1+IF($G$9=$E$9,$F$9,IF(S671&lt;($F$9-$E$9)/($G$9-$E$9),$E$9+SQRT(S671*($G$9-$E$9)*($F$9-$E$9)),$G$9-SQRT((1-S671)*($G$9-$E$9)*($G$9-$F$9))))</f>
        <v>1.02335248591227</v>
      </c>
      <c r="F671" s="37" t="n">
        <f aca="false">1+IF($G$10=$E$10,$F$10,IF(T671&lt;($F$10-$E$10)/($G$10-$E$10),$E$10+SQRT(T671*($G$10-$E$10)*($F$10-$E$10)),$G$10-SQRT((1-T671)*($G$10-$E$10)*($G$10-$F$10))))</f>
        <v>1.12417073932481</v>
      </c>
      <c r="G671" s="38" t="n">
        <f aca="false">IF($G$11=$E$11,$F$11,IF(U671&lt;($F$11-$E$11)/($G$11-$E$11),$E$11+SQRT(U671*($G$11-$E$11)*($F$11-$E$11)),$G$11-SQRT((1-U671)*($G$11-$E$11)*($G$11-$F$11))))</f>
        <v>0.0960949788965749</v>
      </c>
      <c r="H671" s="39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-2248341478.64962</v>
      </c>
      <c r="I671" s="39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-53197744.2181495</v>
      </c>
      <c r="J671" s="39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201663999.684396</v>
      </c>
      <c r="K671" s="39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512734280.553182</v>
      </c>
      <c r="L671" s="39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631102655.648357</v>
      </c>
      <c r="M671" s="39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814882188.183817</v>
      </c>
      <c r="N671" s="39" t="n">
        <f aca="false">IF(COUNT('Business Case'!B11:G11)=0,"",H671+NPV(G671,I671:M671))</f>
        <v>-787381808.808683</v>
      </c>
      <c r="P671" s="40" t="n">
        <f aca="true">RAND()</f>
        <v>0.516565932148922</v>
      </c>
      <c r="Q671" s="40" t="n">
        <f aca="true">RAND()</f>
        <v>0.574830242977992</v>
      </c>
      <c r="R671" s="40" t="n">
        <f aca="true">RAND()</f>
        <v>0.948047514699752</v>
      </c>
      <c r="S671" s="40" t="n">
        <f aca="true">RAND()</f>
        <v>0.572277524677286</v>
      </c>
      <c r="T671" s="40" t="n">
        <f aca="true">RAND()</f>
        <v>0.788893295439131</v>
      </c>
      <c r="U671" s="40" t="n">
        <f aca="true">RAND()</f>
        <v>0.25904834568119</v>
      </c>
    </row>
    <row r="672" customFormat="false" ht="15" hidden="false" customHeight="false" outlineLevel="0" collapsed="false">
      <c r="A672" s="36" t="n">
        <v>592</v>
      </c>
      <c r="B672" s="37" t="n">
        <f aca="false">1+IF($G$6=$E$6,$F$6,IF(P672&lt;($F$6-$E$6)/($G$6-$E$6),$E$6+SQRT(P672*($G$6-$E$6)*($F$6-$E$6)),$G$6-SQRT((1-P672)*($G$6-$E$6)*($G$6-$F$6))))</f>
        <v>0.998407031469828</v>
      </c>
      <c r="C672" s="37" t="n">
        <f aca="false">1+IF($G$7=$E$7,$F$7,IF(Q672&lt;($F$7-$E$7)/($G$7-$E$7),$E$7+SQRT(Q672*($G$7-$E$7)*($F$7-$E$7)),$G$7-SQRT((1-Q672)*($G$7-$E$7)*($G$7-$F$7))))</f>
        <v>1.08446970735596</v>
      </c>
      <c r="D672" s="37" t="n">
        <f aca="false">1+IF($G$8=$E$8,$F$8,IF(R672&lt;($F$8-$E$8)/($G$8-$E$8),$E$8+SQRT(R672*($G$8-$E$8)*($F$8-$E$8)),$G$8-SQRT((1-R672)*($G$8-$E$8)*($G$8-$F$8))))</f>
        <v>1.02420321475312</v>
      </c>
      <c r="E672" s="37" t="n">
        <f aca="false">1+IF($G$9=$E$9,$F$9,IF(S672&lt;($F$9-$E$9)/($G$9-$E$9),$E$9+SQRT(S672*($G$9-$E$9)*($F$9-$E$9)),$G$9-SQRT((1-S672)*($G$9-$E$9)*($G$9-$F$9))))</f>
        <v>1.02292624436793</v>
      </c>
      <c r="F672" s="37" t="n">
        <f aca="false">1+IF($G$10=$E$10,$F$10,IF(T672&lt;($F$10-$E$10)/($G$10-$E$10),$E$10+SQRT(T672*($G$10-$E$10)*($F$10-$E$10)),$G$10-SQRT((1-T672)*($G$10-$E$10)*($G$10-$F$10))))</f>
        <v>0.988150560212274</v>
      </c>
      <c r="G672" s="38" t="n">
        <f aca="false">IF($G$11=$E$11,$F$11,IF(U672&lt;($F$11-$E$11)/($G$11-$E$11),$E$11+SQRT(U672*($G$11-$E$11)*($F$11-$E$11)),$G$11-SQRT((1-U672)*($G$11-$E$11)*($G$11-$F$11))))</f>
        <v>0.105260412142045</v>
      </c>
      <c r="H672" s="39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-1976301120.42455</v>
      </c>
      <c r="I672" s="39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17840850.0007036</v>
      </c>
      <c r="J672" s="39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336086222.647246</v>
      </c>
      <c r="K672" s="39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703739123.304403</v>
      </c>
      <c r="L672" s="39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847240483.970246</v>
      </c>
      <c r="M672" s="39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1053048117.78039</v>
      </c>
      <c r="N672" s="39" t="n">
        <f aca="false">IF(COUNT('Business Case'!B11:G11)=0,"",H672+NPV(G672,I672:M672))</f>
        <v>42362132.51246</v>
      </c>
      <c r="P672" s="40" t="n">
        <f aca="true">RAND()</f>
        <v>0.64559625618025</v>
      </c>
      <c r="Q672" s="40" t="n">
        <f aca="true">RAND()</f>
        <v>0.936381936977577</v>
      </c>
      <c r="R672" s="40" t="n">
        <f aca="true">RAND()</f>
        <v>0.616989823082547</v>
      </c>
      <c r="S672" s="40" t="n">
        <f aca="true">RAND()</f>
        <v>0.569393616788259</v>
      </c>
      <c r="T672" s="40" t="n">
        <f aca="true">RAND()</f>
        <v>0.0970310163006907</v>
      </c>
      <c r="U672" s="40" t="n">
        <f aca="true">RAND()</f>
        <v>0.591968528412341</v>
      </c>
    </row>
    <row r="673" customFormat="false" ht="15" hidden="false" customHeight="false" outlineLevel="0" collapsed="false">
      <c r="A673" s="36" t="n">
        <v>593</v>
      </c>
      <c r="B673" s="37" t="n">
        <f aca="false">1+IF($G$6=$E$6,$F$6,IF(P673&lt;($F$6-$E$6)/($G$6-$E$6),$E$6+SQRT(P673*($G$6-$E$6)*($F$6-$E$6)),$G$6-SQRT((1-P673)*($G$6-$E$6)*($G$6-$F$6))))</f>
        <v>0.988462329101921</v>
      </c>
      <c r="C673" s="37" t="n">
        <f aca="false">1+IF($G$7=$E$7,$F$7,IF(Q673&lt;($F$7-$E$7)/($G$7-$E$7),$E$7+SQRT(Q673*($G$7-$E$7)*($F$7-$E$7)),$G$7-SQRT((1-Q673)*($G$7-$E$7)*($G$7-$F$7))))</f>
        <v>0.865184944169805</v>
      </c>
      <c r="D673" s="37" t="n">
        <f aca="false">1+IF($G$8=$E$8,$F$8,IF(R673&lt;($F$8-$E$8)/($G$8-$E$8),$E$8+SQRT(R673*($G$8-$E$8)*($F$8-$E$8)),$G$8-SQRT((1-R673)*($G$8-$E$8)*($G$8-$F$8))))</f>
        <v>1.00280647377952</v>
      </c>
      <c r="E673" s="37" t="n">
        <f aca="false">1+IF($G$9=$E$9,$F$9,IF(S673&lt;($F$9-$E$9)/($G$9-$E$9),$E$9+SQRT(S673*($G$9-$E$9)*($F$9-$E$9)),$G$9-SQRT((1-S673)*($G$9-$E$9)*($G$9-$F$9))))</f>
        <v>0.996695141931996</v>
      </c>
      <c r="F673" s="37" t="n">
        <f aca="false">1+IF($G$10=$E$10,$F$10,IF(T673&lt;($F$10-$E$10)/($G$10-$E$10),$E$10+SQRT(T673*($G$10-$E$10)*($F$10-$E$10)),$G$10-SQRT((1-T673)*($G$10-$E$10)*($G$10-$F$10))))</f>
        <v>1.04428025182528</v>
      </c>
      <c r="G673" s="38" t="n">
        <f aca="false">IF($G$11=$E$11,$F$11,IF(U673&lt;($F$11-$E$11)/($G$11-$E$11),$E$11+SQRT(U673*($G$11-$E$11)*($F$11-$E$11)),$G$11-SQRT((1-U673)*($G$11-$E$11)*($G$11-$F$11))))</f>
        <v>0.107148811309405</v>
      </c>
      <c r="H673" s="39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-2088560503.65056</v>
      </c>
      <c r="I673" s="39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-34167656.4705922</v>
      </c>
      <c r="J673" s="39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222156470.689006</v>
      </c>
      <c r="K673" s="39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530694610.439869</v>
      </c>
      <c r="L673" s="39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645691792.336357</v>
      </c>
      <c r="M673" s="39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808248726.307779</v>
      </c>
      <c r="N673" s="39" t="n">
        <f aca="false">IF(COUNT('Business Case'!B11:G11)=0,"",H673+NPV(G673,I673:M673))</f>
        <v>-631539555.339976</v>
      </c>
      <c r="P673" s="40" t="n">
        <f aca="true">RAND()</f>
        <v>0.521705578009108</v>
      </c>
      <c r="Q673" s="40" t="n">
        <f aca="true">RAND()</f>
        <v>0.202119005780604</v>
      </c>
      <c r="R673" s="40" t="n">
        <f aca="true">RAND()</f>
        <v>0.370227897388617</v>
      </c>
      <c r="S673" s="40" t="n">
        <f aca="true">RAND()</f>
        <v>0.373998018929952</v>
      </c>
      <c r="T673" s="40" t="n">
        <f aca="true">RAND()</f>
        <v>0.435725136145716</v>
      </c>
      <c r="U673" s="40" t="n">
        <f aca="true">RAND()</f>
        <v>0.651882116951219</v>
      </c>
    </row>
    <row r="674" customFormat="false" ht="15" hidden="false" customHeight="false" outlineLevel="0" collapsed="false">
      <c r="A674" s="36" t="n">
        <v>594</v>
      </c>
      <c r="B674" s="37" t="n">
        <f aca="false">1+IF($G$6=$E$6,$F$6,IF(P674&lt;($F$6-$E$6)/($G$6-$E$6),$E$6+SQRT(P674*($G$6-$E$6)*($F$6-$E$6)),$G$6-SQRT((1-P674)*($G$6-$E$6)*($G$6-$F$6))))</f>
        <v>0.93834432470303</v>
      </c>
      <c r="C674" s="37" t="n">
        <f aca="false">1+IF($G$7=$E$7,$F$7,IF(Q674&lt;($F$7-$E$7)/($G$7-$E$7),$E$7+SQRT(Q674*($G$7-$E$7)*($F$7-$E$7)),$G$7-SQRT((1-Q674)*($G$7-$E$7)*($G$7-$F$7))))</f>
        <v>1.06123852151806</v>
      </c>
      <c r="D674" s="37" t="n">
        <f aca="false">1+IF($G$8=$E$8,$F$8,IF(R674&lt;($F$8-$E$8)/($G$8-$E$8),$E$8+SQRT(R674*($G$8-$E$8)*($F$8-$E$8)),$G$8-SQRT((1-R674)*($G$8-$E$8)*($G$8-$F$8))))</f>
        <v>0.96499653484818</v>
      </c>
      <c r="E674" s="37" t="n">
        <f aca="false">1+IF($G$9=$E$9,$F$9,IF(S674&lt;($F$9-$E$9)/($G$9-$E$9),$E$9+SQRT(S674*($G$9-$E$9)*($F$9-$E$9)),$G$9-SQRT((1-S674)*($G$9-$E$9)*($G$9-$F$9))))</f>
        <v>1.0836615645358</v>
      </c>
      <c r="F674" s="37" t="n">
        <f aca="false">1+IF($G$10=$E$10,$F$10,IF(T674&lt;($F$10-$E$10)/($G$10-$E$10),$E$10+SQRT(T674*($G$10-$E$10)*($F$10-$E$10)),$G$10-SQRT((1-T674)*($G$10-$E$10)*($G$10-$F$10))))</f>
        <v>1.00395558453536</v>
      </c>
      <c r="G674" s="38" t="n">
        <f aca="false">IF($G$11=$E$11,$F$11,IF(U674&lt;($F$11-$E$11)/($G$11-$E$11),$E$11+SQRT(U674*($G$11-$E$11)*($F$11-$E$11)),$G$11-SQRT((1-U674)*($G$11-$E$11)*($G$11-$F$11))))</f>
        <v>0.101157527016019</v>
      </c>
      <c r="H674" s="39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-2007911169.07072</v>
      </c>
      <c r="I674" s="39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-14730044.9485855</v>
      </c>
      <c r="J674" s="39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276654785.369126</v>
      </c>
      <c r="K674" s="39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618237394.913604</v>
      </c>
      <c r="L674" s="39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749780766.576687</v>
      </c>
      <c r="M674" s="39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939063788.474508</v>
      </c>
      <c r="N674" s="39" t="n">
        <f aca="false">IF(COUNT('Business Case'!B11:G11)=0,"",H674+NPV(G674,I674:M674))</f>
        <v>-240113581.915147</v>
      </c>
      <c r="P674" s="40" t="n">
        <f aca="true">RAND()</f>
        <v>0.0980191491287598</v>
      </c>
      <c r="Q674" s="40" t="n">
        <f aca="true">RAND()</f>
        <v>0.883279999077048</v>
      </c>
      <c r="R674" s="40" t="n">
        <f aca="true">RAND()</f>
        <v>0.029986140993688</v>
      </c>
      <c r="S674" s="40" t="n">
        <f aca="true">RAND()</f>
        <v>0.882645652804339</v>
      </c>
      <c r="T674" s="40" t="n">
        <f aca="true">RAND()</f>
        <v>0.192828608248836</v>
      </c>
      <c r="U674" s="40" t="n">
        <f aca="true">RAND()</f>
        <v>0.445407834778877</v>
      </c>
    </row>
    <row r="675" customFormat="false" ht="15" hidden="false" customHeight="false" outlineLevel="0" collapsed="false">
      <c r="A675" s="36" t="n">
        <v>595</v>
      </c>
      <c r="B675" s="37" t="n">
        <f aca="false">1+IF($G$6=$E$6,$F$6,IF(P675&lt;($F$6-$E$6)/($G$6-$E$6),$E$6+SQRT(P675*($G$6-$E$6)*($F$6-$E$6)),$G$6-SQRT((1-P675)*($G$6-$E$6)*($G$6-$F$6))))</f>
        <v>0.974204511790473</v>
      </c>
      <c r="C675" s="37" t="n">
        <f aca="false">1+IF($G$7=$E$7,$F$7,IF(Q675&lt;($F$7-$E$7)/($G$7-$E$7),$E$7+SQRT(Q675*($G$7-$E$7)*($F$7-$E$7)),$G$7-SQRT((1-Q675)*($G$7-$E$7)*($G$7-$F$7))))</f>
        <v>1.00918495787169</v>
      </c>
      <c r="D675" s="37" t="n">
        <f aca="false">1+IF($G$8=$E$8,$F$8,IF(R675&lt;($F$8-$E$8)/($G$8-$E$8),$E$8+SQRT(R675*($G$8-$E$8)*($F$8-$E$8)),$G$8-SQRT((1-R675)*($G$8-$E$8)*($G$8-$F$8))))</f>
        <v>0.993454175391446</v>
      </c>
      <c r="E675" s="37" t="n">
        <f aca="false">1+IF($G$9=$E$9,$F$9,IF(S675&lt;($F$9-$E$9)/($G$9-$E$9),$E$9+SQRT(S675*($G$9-$E$9)*($F$9-$E$9)),$G$9-SQRT((1-S675)*($G$9-$E$9)*($G$9-$F$9))))</f>
        <v>1.03270149254863</v>
      </c>
      <c r="F675" s="37" t="n">
        <f aca="false">1+IF($G$10=$E$10,$F$10,IF(T675&lt;($F$10-$E$10)/($G$10-$E$10),$E$10+SQRT(T675*($G$10-$E$10)*($F$10-$E$10)),$G$10-SQRT((1-T675)*($G$10-$E$10)*($G$10-$F$10))))</f>
        <v>1.0563208790978</v>
      </c>
      <c r="G675" s="38" t="n">
        <f aca="false">IF($G$11=$E$11,$F$11,IF(U675&lt;($F$11-$E$11)/($G$11-$E$11),$E$11+SQRT(U675*($G$11-$E$11)*($F$11-$E$11)),$G$11-SQRT((1-U675)*($G$11-$E$11)*($G$11-$F$11))))</f>
        <v>0.0989298963115841</v>
      </c>
      <c r="H675" s="39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-2112641758.1956</v>
      </c>
      <c r="I675" s="39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-11416398.0734213</v>
      </c>
      <c r="J675" s="39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280616071.634945</v>
      </c>
      <c r="K675" s="39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625464585.298201</v>
      </c>
      <c r="L675" s="39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756786493.622052</v>
      </c>
      <c r="M675" s="39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943664128.271227</v>
      </c>
      <c r="N675" s="39" t="n">
        <f aca="false">IF(COUNT('Business Case'!B11:G11)=0,"",H675+NPV(G675,I675:M675))</f>
        <v>-311658253.888257</v>
      </c>
      <c r="P675" s="40" t="n">
        <f aca="true">RAND()</f>
        <v>0.367087304670827</v>
      </c>
      <c r="Q675" s="40" t="n">
        <f aca="true">RAND()</f>
        <v>0.706238872746708</v>
      </c>
      <c r="R675" s="40" t="n">
        <f aca="true">RAND()</f>
        <v>0.251768714526739</v>
      </c>
      <c r="S675" s="40" t="n">
        <f aca="true">RAND()</f>
        <v>0.633094937324798</v>
      </c>
      <c r="T675" s="40" t="n">
        <f aca="true">RAND()</f>
        <v>0.49984530835401</v>
      </c>
      <c r="U675" s="40" t="n">
        <f aca="true">RAND()</f>
        <v>0.358340974367325</v>
      </c>
    </row>
    <row r="676" customFormat="false" ht="15" hidden="false" customHeight="false" outlineLevel="0" collapsed="false">
      <c r="A676" s="36" t="n">
        <v>596</v>
      </c>
      <c r="B676" s="37" t="n">
        <f aca="false">1+IF($G$6=$E$6,$F$6,IF(P676&lt;($F$6-$E$6)/($G$6-$E$6),$E$6+SQRT(P676*($G$6-$E$6)*($F$6-$E$6)),$G$6-SQRT((1-P676)*($G$6-$E$6)*($G$6-$F$6))))</f>
        <v>1.02194655811754</v>
      </c>
      <c r="C676" s="37" t="n">
        <f aca="false">1+IF($G$7=$E$7,$F$7,IF(Q676&lt;($F$7-$E$7)/($G$7-$E$7),$E$7+SQRT(Q676*($G$7-$E$7)*($F$7-$E$7)),$G$7-SQRT((1-Q676)*($G$7-$E$7)*($G$7-$F$7))))</f>
        <v>0.80158957181711</v>
      </c>
      <c r="D676" s="37" t="n">
        <f aca="false">1+IF($G$8=$E$8,$F$8,IF(R676&lt;($F$8-$E$8)/($G$8-$E$8),$E$8+SQRT(R676*($G$8-$E$8)*($F$8-$E$8)),$G$8-SQRT((1-R676)*($G$8-$E$8)*($G$8-$F$8))))</f>
        <v>0.966417092893525</v>
      </c>
      <c r="E676" s="37" t="n">
        <f aca="false">1+IF($G$9=$E$9,$F$9,IF(S676&lt;($F$9-$E$9)/($G$9-$E$9),$E$9+SQRT(S676*($G$9-$E$9)*($F$9-$E$9)),$G$9-SQRT((1-S676)*($G$9-$E$9)*($G$9-$F$9))))</f>
        <v>1.04947268782723</v>
      </c>
      <c r="F676" s="37" t="n">
        <f aca="false">1+IF($G$10=$E$10,$F$10,IF(T676&lt;($F$10-$E$10)/($G$10-$E$10),$E$10+SQRT(T676*($G$10-$E$10)*($F$10-$E$10)),$G$10-SQRT((1-T676)*($G$10-$E$10)*($G$10-$F$10))))</f>
        <v>1.04820928658817</v>
      </c>
      <c r="G676" s="38" t="n">
        <f aca="false">IF($G$11=$E$11,$F$11,IF(U676&lt;($F$11-$E$11)/($G$11-$E$11),$E$11+SQRT(U676*($G$11-$E$11)*($F$11-$E$11)),$G$11-SQRT((1-U676)*($G$11-$E$11)*($G$11-$F$11))))</f>
        <v>0.0907234506022134</v>
      </c>
      <c r="H676" s="39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-2096418573.17633</v>
      </c>
      <c r="I676" s="39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-22122524.4092804</v>
      </c>
      <c r="J676" s="39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252277275.581611</v>
      </c>
      <c r="K676" s="39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579087539.901911</v>
      </c>
      <c r="L676" s="39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698865059.58709</v>
      </c>
      <c r="M676" s="39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854575117.872273</v>
      </c>
      <c r="N676" s="39" t="n">
        <f aca="false">IF(COUNT('Business Case'!B11:G11)=0,"",H676+NPV(G676,I676:M676))</f>
        <v>-411016141.006648</v>
      </c>
      <c r="P676" s="40" t="n">
        <f aca="true">RAND()</f>
        <v>0.895067253139646</v>
      </c>
      <c r="Q676" s="40" t="n">
        <f aca="true">RAND()</f>
        <v>0.0764477118665468</v>
      </c>
      <c r="R676" s="40" t="n">
        <f aca="true">RAND()</f>
        <v>0.0359361252099509</v>
      </c>
      <c r="S676" s="40" t="n">
        <f aca="true">RAND()</f>
        <v>0.730513586861847</v>
      </c>
      <c r="T676" s="40" t="n">
        <f aca="true">RAND()</f>
        <v>0.457073439743246</v>
      </c>
      <c r="U676" s="40" t="n">
        <f aca="true">RAND()</f>
        <v>0.114992392818112</v>
      </c>
    </row>
    <row r="677" customFormat="false" ht="15" hidden="false" customHeight="false" outlineLevel="0" collapsed="false">
      <c r="A677" s="36" t="n">
        <v>597</v>
      </c>
      <c r="B677" s="37" t="n">
        <f aca="false">1+IF($G$6=$E$6,$F$6,IF(P677&lt;($F$6-$E$6)/($G$6-$E$6),$E$6+SQRT(P677*($G$6-$E$6)*($F$6-$E$6)),$G$6-SQRT((1-P677)*($G$6-$E$6)*($G$6-$F$6))))</f>
        <v>0.99535137209963</v>
      </c>
      <c r="C677" s="37" t="n">
        <f aca="false">1+IF($G$7=$E$7,$F$7,IF(Q677&lt;($F$7-$E$7)/($G$7-$E$7),$E$7+SQRT(Q677*($G$7-$E$7)*($F$7-$E$7)),$G$7-SQRT((1-Q677)*($G$7-$E$7)*($G$7-$F$7))))</f>
        <v>0.818117832316626</v>
      </c>
      <c r="D677" s="37" t="n">
        <f aca="false">1+IF($G$8=$E$8,$F$8,IF(R677&lt;($F$8-$E$8)/($G$8-$E$8),$E$8+SQRT(R677*($G$8-$E$8)*($F$8-$E$8)),$G$8-SQRT((1-R677)*($G$8-$E$8)*($G$8-$F$8))))</f>
        <v>1.06106044890587</v>
      </c>
      <c r="E677" s="37" t="n">
        <f aca="false">1+IF($G$9=$E$9,$F$9,IF(S677&lt;($F$9-$E$9)/($G$9-$E$9),$E$9+SQRT(S677*($G$9-$E$9)*($F$9-$E$9)),$G$9-SQRT((1-S677)*($G$9-$E$9)*($G$9-$F$9))))</f>
        <v>0.904939780969193</v>
      </c>
      <c r="F677" s="37" t="n">
        <f aca="false">1+IF($G$10=$E$10,$F$10,IF(T677&lt;($F$10-$E$10)/($G$10-$E$10),$E$10+SQRT(T677*($G$10-$E$10)*($F$10-$E$10)),$G$10-SQRT((1-T677)*($G$10-$E$10)*($G$10-$F$10))))</f>
        <v>1.03473566119938</v>
      </c>
      <c r="G677" s="38" t="n">
        <f aca="false">IF($G$11=$E$11,$F$11,IF(U677&lt;($F$11-$E$11)/($G$11-$E$11),$E$11+SQRT(U677*($G$11-$E$11)*($F$11-$E$11)),$G$11-SQRT((1-U677)*($G$11-$E$11)*($G$11-$F$11))))</f>
        <v>0.104357771900092</v>
      </c>
      <c r="H677" s="39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-2069471322.39876</v>
      </c>
      <c r="I677" s="39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-51771362.8451225</v>
      </c>
      <c r="J677" s="39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170827351.69105</v>
      </c>
      <c r="K677" s="39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445162849.287191</v>
      </c>
      <c r="L677" s="39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547505137.07094</v>
      </c>
      <c r="M677" s="39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702290076.565246</v>
      </c>
      <c r="N677" s="39" t="n">
        <f aca="false">IF(COUNT('Business Case'!B11:G11)=0,"",H677+NPV(G677,I677:M677))</f>
        <v>-850152346.949774</v>
      </c>
      <c r="P677" s="40" t="n">
        <f aca="true">RAND()</f>
        <v>0.606125610752134</v>
      </c>
      <c r="Q677" s="40" t="n">
        <f aca="true">RAND()</f>
        <v>0.103346831934656</v>
      </c>
      <c r="R677" s="40" t="n">
        <f aca="true">RAND()</f>
        <v>0.898914090705848</v>
      </c>
      <c r="S677" s="40" t="n">
        <f aca="true">RAND()</f>
        <v>0.00097605744094388</v>
      </c>
      <c r="T677" s="40" t="n">
        <f aca="true">RAND()</f>
        <v>0.38215019254308</v>
      </c>
      <c r="U677" s="40" t="n">
        <f aca="true">RAND()</f>
        <v>0.561650758714872</v>
      </c>
    </row>
    <row r="678" customFormat="false" ht="15" hidden="false" customHeight="false" outlineLevel="0" collapsed="false">
      <c r="A678" s="36" t="n">
        <v>598</v>
      </c>
      <c r="B678" s="37" t="n">
        <f aca="false">1+IF($G$6=$E$6,$F$6,IF(P678&lt;($F$6-$E$6)/($G$6-$E$6),$E$6+SQRT(P678*($G$6-$E$6)*($F$6-$E$6)),$G$6-SQRT((1-P678)*($G$6-$E$6)*($G$6-$F$6))))</f>
        <v>0.998680451277334</v>
      </c>
      <c r="C678" s="37" t="n">
        <f aca="false">1+IF($G$7=$E$7,$F$7,IF(Q678&lt;($F$7-$E$7)/($G$7-$E$7),$E$7+SQRT(Q678*($G$7-$E$7)*($F$7-$E$7)),$G$7-SQRT((1-Q678)*($G$7-$E$7)*($G$7-$F$7))))</f>
        <v>0.818219586310698</v>
      </c>
      <c r="D678" s="37" t="n">
        <f aca="false">1+IF($G$8=$E$8,$F$8,IF(R678&lt;($F$8-$E$8)/($G$8-$E$8),$E$8+SQRT(R678*($G$8-$E$8)*($F$8-$E$8)),$G$8-SQRT((1-R678)*($G$8-$E$8)*($G$8-$F$8))))</f>
        <v>1.02653948120526</v>
      </c>
      <c r="E678" s="37" t="n">
        <f aca="false">1+IF($G$9=$E$9,$F$9,IF(S678&lt;($F$9-$E$9)/($G$9-$E$9),$E$9+SQRT(S678*($G$9-$E$9)*($F$9-$E$9)),$G$9-SQRT((1-S678)*($G$9-$E$9)*($G$9-$F$9))))</f>
        <v>1.09462150924735</v>
      </c>
      <c r="F678" s="37" t="n">
        <f aca="false">1+IF($G$10=$E$10,$F$10,IF(T678&lt;($F$10-$E$10)/($G$10-$E$10),$E$10+SQRT(T678*($G$10-$E$10)*($F$10-$E$10)),$G$10-SQRT((1-T678)*($G$10-$E$10)*($G$10-$F$10))))</f>
        <v>1.02755854202238</v>
      </c>
      <c r="G678" s="38" t="n">
        <f aca="false">IF($G$11=$E$11,$F$11,IF(U678&lt;($F$11-$E$11)/($G$11-$E$11),$E$11+SQRT(U678*($G$11-$E$11)*($F$11-$E$11)),$G$11-SQRT((1-U678)*($G$11-$E$11)*($G$11-$F$11))))</f>
        <v>0.125523520314593</v>
      </c>
      <c r="H678" s="39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-2055117084.04476</v>
      </c>
      <c r="I678" s="39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-61454525.2472676</v>
      </c>
      <c r="J678" s="39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177862515.034202</v>
      </c>
      <c r="K678" s="39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468557482.41679</v>
      </c>
      <c r="L678" s="39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576570184.318297</v>
      </c>
      <c r="M678" s="39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731892137.59389</v>
      </c>
      <c r="N678" s="39" t="n">
        <f aca="false">IF(COUNT('Business Case'!B11:G11)=0,"",H678+NPV(G678,I678:M678))</f>
        <v>-876206228.841312</v>
      </c>
      <c r="P678" s="40" t="n">
        <f aca="true">RAND()</f>
        <v>0.649188764286551</v>
      </c>
      <c r="Q678" s="40" t="n">
        <f aca="true">RAND()</f>
        <v>0.103524967314612</v>
      </c>
      <c r="R678" s="40" t="n">
        <f aca="true">RAND()</f>
        <v>0.640236811893839</v>
      </c>
      <c r="S678" s="40" t="n">
        <f aca="true">RAND()</f>
        <v>0.918219273652242</v>
      </c>
      <c r="T678" s="40" t="n">
        <f aca="true">RAND()</f>
        <v>0.34026397030387</v>
      </c>
      <c r="U678" s="40" t="n">
        <f aca="true">RAND()</f>
        <v>0.986640753084093</v>
      </c>
    </row>
    <row r="679" customFormat="false" ht="15" hidden="false" customHeight="false" outlineLevel="0" collapsed="false">
      <c r="A679" s="36" t="n">
        <v>599</v>
      </c>
      <c r="B679" s="37" t="n">
        <f aca="false">1+IF($G$6=$E$6,$F$6,IF(P679&lt;($F$6-$E$6)/($G$6-$E$6),$E$6+SQRT(P679*($G$6-$E$6)*($F$6-$E$6)),$G$6-SQRT((1-P679)*($G$6-$E$6)*($G$6-$F$6))))</f>
        <v>0.987749839240752</v>
      </c>
      <c r="C679" s="37" t="n">
        <f aca="false">1+IF($G$7=$E$7,$F$7,IF(Q679&lt;($F$7-$E$7)/($G$7-$E$7),$E$7+SQRT(Q679*($G$7-$E$7)*($F$7-$E$7)),$G$7-SQRT((1-Q679)*($G$7-$E$7)*($G$7-$F$7))))</f>
        <v>0.982736904805602</v>
      </c>
      <c r="D679" s="37" t="n">
        <f aca="false">1+IF($G$8=$E$8,$F$8,IF(R679&lt;($F$8-$E$8)/($G$8-$E$8),$E$8+SQRT(R679*($G$8-$E$8)*($F$8-$E$8)),$G$8-SQRT((1-R679)*($G$8-$E$8)*($G$8-$F$8))))</f>
        <v>1.00794404009985</v>
      </c>
      <c r="E679" s="37" t="n">
        <f aca="false">1+IF($G$9=$E$9,$F$9,IF(S679&lt;($F$9-$E$9)/($G$9-$E$9),$E$9+SQRT(S679*($G$9-$E$9)*($F$9-$E$9)),$G$9-SQRT((1-S679)*($G$9-$E$9)*($G$9-$F$9))))</f>
        <v>0.955153314512435</v>
      </c>
      <c r="F679" s="37" t="n">
        <f aca="false">1+IF($G$10=$E$10,$F$10,IF(T679&lt;($F$10-$E$10)/($G$10-$E$10),$E$10+SQRT(T679*($G$10-$E$10)*($F$10-$E$10)),$G$10-SQRT((1-T679)*($G$10-$E$10)*($G$10-$F$10))))</f>
        <v>1.13943112685261</v>
      </c>
      <c r="G679" s="38" t="n">
        <f aca="false">IF($G$11=$E$11,$F$11,IF(U679&lt;($F$11-$E$11)/($G$11-$E$11),$E$11+SQRT(U679*($G$11-$E$11)*($F$11-$E$11)),$G$11-SQRT((1-U679)*($G$11-$E$11)*($G$11-$F$11))))</f>
        <v>0.0964849682162516</v>
      </c>
      <c r="H679" s="39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-2278862253.70521</v>
      </c>
      <c r="I679" s="39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-12094362.7453586</v>
      </c>
      <c r="J679" s="39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275898184.229413</v>
      </c>
      <c r="K679" s="39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620862287.546816</v>
      </c>
      <c r="L679" s="39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750407133.679208</v>
      </c>
      <c r="M679" s="39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934917451.286948</v>
      </c>
      <c r="N679" s="39" t="n">
        <f aca="false">IF(COUNT('Business Case'!B11:G11)=0,"",H679+NPV(G679,I679:M679))</f>
        <v>-480432727.153851</v>
      </c>
      <c r="P679" s="40" t="n">
        <f aca="true">RAND()</f>
        <v>0.513335619118516</v>
      </c>
      <c r="Q679" s="40" t="n">
        <f aca="true">RAND()</f>
        <v>0.592149313622608</v>
      </c>
      <c r="R679" s="40" t="n">
        <f aca="true">RAND()</f>
        <v>0.435046683124123</v>
      </c>
      <c r="S679" s="40" t="n">
        <f aca="true">RAND()</f>
        <v>0.121675524068304</v>
      </c>
      <c r="T679" s="40" t="n">
        <f aca="true">RAND()</f>
        <v>0.83699365721221</v>
      </c>
      <c r="U679" s="40" t="n">
        <f aca="true">RAND()</f>
        <v>0.271754177090825</v>
      </c>
    </row>
    <row r="680" customFormat="false" ht="15" hidden="false" customHeight="false" outlineLevel="0" collapsed="false">
      <c r="A680" s="36" t="n">
        <v>600</v>
      </c>
      <c r="B680" s="37" t="n">
        <f aca="false">1+IF($G$6=$E$6,$F$6,IF(P680&lt;($F$6-$E$6)/($G$6-$E$6),$E$6+SQRT(P680*($G$6-$E$6)*($F$6-$E$6)),$G$6-SQRT((1-P680)*($G$6-$E$6)*($G$6-$F$6))))</f>
        <v>0.95095810241735</v>
      </c>
      <c r="C680" s="37" t="n">
        <f aca="false">1+IF($G$7=$E$7,$F$7,IF(Q680&lt;($F$7-$E$7)/($G$7-$E$7),$E$7+SQRT(Q680*($G$7-$E$7)*($F$7-$E$7)),$G$7-SQRT((1-Q680)*($G$7-$E$7)*($G$7-$F$7))))</f>
        <v>0.937048511674278</v>
      </c>
      <c r="D680" s="37" t="n">
        <f aca="false">1+IF($G$8=$E$8,$F$8,IF(R680&lt;($F$8-$E$8)/($G$8-$E$8),$E$8+SQRT(R680*($G$8-$E$8)*($F$8-$E$8)),$G$8-SQRT((1-R680)*($G$8-$E$8)*($G$8-$F$8))))</f>
        <v>0.96938399541907</v>
      </c>
      <c r="E680" s="37" t="n">
        <f aca="false">1+IF($G$9=$E$9,$F$9,IF(S680&lt;($F$9-$E$9)/($G$9-$E$9),$E$9+SQRT(S680*($G$9-$E$9)*($F$9-$E$9)),$G$9-SQRT((1-S680)*($G$9-$E$9)*($G$9-$F$9))))</f>
        <v>1.00495082626093</v>
      </c>
      <c r="F680" s="37" t="n">
        <f aca="false">1+IF($G$10=$E$10,$F$10,IF(T680&lt;($F$10-$E$10)/($G$10-$E$10),$E$10+SQRT(T680*($G$10-$E$10)*($F$10-$E$10)),$G$10-SQRT((1-T680)*($G$10-$E$10)*($G$10-$F$10))))</f>
        <v>1.0016756712431</v>
      </c>
      <c r="G680" s="38" t="n">
        <f aca="false">IF($G$11=$E$11,$F$11,IF(U680&lt;($F$11-$E$11)/($G$11-$E$11),$E$11+SQRT(U680*($G$11-$E$11)*($F$11-$E$11)),$G$11-SQRT((1-U680)*($G$11-$E$11)*($G$11-$F$11))))</f>
        <v>0.105428171941817</v>
      </c>
      <c r="H680" s="39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-2003351342.48619</v>
      </c>
      <c r="I680" s="39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-24403403.3210709</v>
      </c>
      <c r="J680" s="39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240459074.432355</v>
      </c>
      <c r="K680" s="39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555405335.747936</v>
      </c>
      <c r="L680" s="39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674489032.636333</v>
      </c>
      <c r="M680" s="39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843868156.307903</v>
      </c>
      <c r="N680" s="39" t="n">
        <f aca="false">IF(COUNT('Business Case'!B11:G11)=0,"",H680+NPV(G680,I680:M680))</f>
        <v>-454541079.696686</v>
      </c>
      <c r="P680" s="40" t="n">
        <f aca="true">RAND()</f>
        <v>0.173115213465141</v>
      </c>
      <c r="Q680" s="40" t="n">
        <f aca="true">RAND()</f>
        <v>0.416237013977706</v>
      </c>
      <c r="R680" s="40" t="n">
        <f aca="true">RAND()</f>
        <v>0.0500985704542014</v>
      </c>
      <c r="S680" s="40" t="n">
        <f aca="true">RAND()</f>
        <v>0.438952991936363</v>
      </c>
      <c r="T680" s="40" t="n">
        <f aca="true">RAND()</f>
        <v>0.177800369965769</v>
      </c>
      <c r="U680" s="40" t="n">
        <f aca="true">RAND()</f>
        <v>0.597483510586069</v>
      </c>
    </row>
    <row r="681" customFormat="false" ht="15" hidden="false" customHeight="false" outlineLevel="0" collapsed="false">
      <c r="A681" s="36" t="n">
        <v>601</v>
      </c>
      <c r="B681" s="37" t="n">
        <f aca="false">1+IF($G$6=$E$6,$F$6,IF(P681&lt;($F$6-$E$6)/($G$6-$E$6),$E$6+SQRT(P681*($G$6-$E$6)*($F$6-$E$6)),$G$6-SQRT((1-P681)*($G$6-$E$6)*($G$6-$F$6))))</f>
        <v>0.9364938439234</v>
      </c>
      <c r="C681" s="37" t="n">
        <f aca="false">1+IF($G$7=$E$7,$F$7,IF(Q681&lt;($F$7-$E$7)/($G$7-$E$7),$E$7+SQRT(Q681*($G$7-$E$7)*($F$7-$E$7)),$G$7-SQRT((1-Q681)*($G$7-$E$7)*($G$7-$F$7))))</f>
        <v>0.888002755423048</v>
      </c>
      <c r="D681" s="37" t="n">
        <f aca="false">1+IF($G$8=$E$8,$F$8,IF(R681&lt;($F$8-$E$8)/($G$8-$E$8),$E$8+SQRT(R681*($G$8-$E$8)*($F$8-$E$8)),$G$8-SQRT((1-R681)*($G$8-$E$8)*($G$8-$F$8))))</f>
        <v>1.06607178656696</v>
      </c>
      <c r="E681" s="37" t="n">
        <f aca="false">1+IF($G$9=$E$9,$F$9,IF(S681&lt;($F$9-$E$9)/($G$9-$E$9),$E$9+SQRT(S681*($G$9-$E$9)*($F$9-$E$9)),$G$9-SQRT((1-S681)*($G$9-$E$9)*($G$9-$F$9))))</f>
        <v>1.01686441307587</v>
      </c>
      <c r="F681" s="37" t="n">
        <f aca="false">1+IF($G$10=$E$10,$F$10,IF(T681&lt;($F$10-$E$10)/($G$10-$E$10),$E$10+SQRT(T681*($G$10-$E$10)*($F$10-$E$10)),$G$10-SQRT((1-T681)*($G$10-$E$10)*($G$10-$F$10))))</f>
        <v>1.0394986403449</v>
      </c>
      <c r="G681" s="38" t="n">
        <f aca="false">IF($G$11=$E$11,$F$11,IF(U681&lt;($F$11-$E$11)/($G$11-$E$11),$E$11+SQRT(U681*($G$11-$E$11)*($F$11-$E$11)),$G$11-SQRT((1-U681)*($G$11-$E$11)*($G$11-$F$11))))</f>
        <v>0.100742137073451</v>
      </c>
      <c r="H681" s="39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-2078997280.6898</v>
      </c>
      <c r="I681" s="39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-95132564.1514532</v>
      </c>
      <c r="J681" s="39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101393471.732475</v>
      </c>
      <c r="K681" s="39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349894439.633647</v>
      </c>
      <c r="L681" s="39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444143529.235958</v>
      </c>
      <c r="M681" s="39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602215789.594799</v>
      </c>
      <c r="N681" s="39" t="n">
        <f aca="false">IF(COUNT('Business Case'!B11:G11)=0,"",H681+NPV(G681,I681:M681))</f>
        <v>-1144181797.54874</v>
      </c>
      <c r="P681" s="40" t="n">
        <f aca="true">RAND()</f>
        <v>0.0887867096203645</v>
      </c>
      <c r="Q681" s="40" t="n">
        <f aca="true">RAND()</f>
        <v>0.261815081827099</v>
      </c>
      <c r="R681" s="40" t="n">
        <f aca="true">RAND()</f>
        <v>0.923258422216138</v>
      </c>
      <c r="S681" s="40" t="n">
        <f aca="true">RAND()</f>
        <v>0.527331079849822</v>
      </c>
      <c r="T681" s="40" t="n">
        <f aca="true">RAND()</f>
        <v>0.409189034444726</v>
      </c>
      <c r="U681" s="40" t="n">
        <f aca="true">RAND()</f>
        <v>0.429318304647509</v>
      </c>
    </row>
    <row r="682" customFormat="false" ht="15" hidden="false" customHeight="false" outlineLevel="0" collapsed="false">
      <c r="A682" s="36" t="n">
        <v>602</v>
      </c>
      <c r="B682" s="37" t="n">
        <f aca="false">1+IF($G$6=$E$6,$F$6,IF(P682&lt;($F$6-$E$6)/($G$6-$E$6),$E$6+SQRT(P682*($G$6-$E$6)*($F$6-$E$6)),$G$6-SQRT((1-P682)*($G$6-$E$6)*($G$6-$F$6))))</f>
        <v>0.968854475110216</v>
      </c>
      <c r="C682" s="37" t="n">
        <f aca="false">1+IF($G$7=$E$7,$F$7,IF(Q682&lt;($F$7-$E$7)/($G$7-$E$7),$E$7+SQRT(Q682*($G$7-$E$7)*($F$7-$E$7)),$G$7-SQRT((1-Q682)*($G$7-$E$7)*($G$7-$F$7))))</f>
        <v>1.00964540383451</v>
      </c>
      <c r="D682" s="37" t="n">
        <f aca="false">1+IF($G$8=$E$8,$F$8,IF(R682&lt;($F$8-$E$8)/($G$8-$E$8),$E$8+SQRT(R682*($G$8-$E$8)*($F$8-$E$8)),$G$8-SQRT((1-R682)*($G$8-$E$8)*($G$8-$F$8))))</f>
        <v>1.01971587685227</v>
      </c>
      <c r="E682" s="37" t="n">
        <f aca="false">1+IF($G$9=$E$9,$F$9,IF(S682&lt;($F$9-$E$9)/($G$9-$E$9),$E$9+SQRT(S682*($G$9-$E$9)*($F$9-$E$9)),$G$9-SQRT((1-S682)*($G$9-$E$9)*($G$9-$F$9))))</f>
        <v>0.975450527716497</v>
      </c>
      <c r="F682" s="37" t="n">
        <f aca="false">1+IF($G$10=$E$10,$F$10,IF(T682&lt;($F$10-$E$10)/($G$10-$E$10),$E$10+SQRT(T682*($G$10-$E$10)*($F$10-$E$10)),$G$10-SQRT((1-T682)*($G$10-$E$10)*($G$10-$F$10))))</f>
        <v>1.10997995887085</v>
      </c>
      <c r="G682" s="38" t="n">
        <f aca="false">IF($G$11=$E$11,$F$11,IF(U682&lt;($F$11-$E$11)/($G$11-$E$11),$E$11+SQRT(U682*($G$11-$E$11)*($F$11-$E$11)),$G$11-SQRT((1-U682)*($G$11-$E$11)*($G$11-$F$11))))</f>
        <v>0.0983621982531892</v>
      </c>
      <c r="H682" s="39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-2219959917.74171</v>
      </c>
      <c r="I682" s="39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-26249104.268945</v>
      </c>
      <c r="J682" s="39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247918712.800172</v>
      </c>
      <c r="K682" s="39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577585527.812832</v>
      </c>
      <c r="L682" s="39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702781373.775665</v>
      </c>
      <c r="M682" s="39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888717528.611198</v>
      </c>
      <c r="N682" s="39" t="n">
        <f aca="false">IF(COUNT('Business Case'!B11:G11)=0,"",H682+NPV(G682,I682:M682))</f>
        <v>-563633926.162375</v>
      </c>
      <c r="P682" s="40" t="n">
        <f aca="true">RAND()</f>
        <v>0.316062582846891</v>
      </c>
      <c r="Q682" s="40" t="n">
        <f aca="true">RAND()</f>
        <v>0.708156849410715</v>
      </c>
      <c r="R682" s="40" t="n">
        <f aca="true">RAND()</f>
        <v>0.570297304693365</v>
      </c>
      <c r="S682" s="40" t="n">
        <f aca="true">RAND()</f>
        <v>0.227711285307915</v>
      </c>
      <c r="T682" s="40" t="n">
        <f aca="true">RAND()</f>
        <v>0.738591841095899</v>
      </c>
      <c r="U682" s="40" t="n">
        <f aca="true">RAND()</f>
        <v>0.337170324689423</v>
      </c>
    </row>
    <row r="683" customFormat="false" ht="15" hidden="false" customHeight="false" outlineLevel="0" collapsed="false">
      <c r="A683" s="36" t="n">
        <v>603</v>
      </c>
      <c r="B683" s="37" t="n">
        <f aca="false">1+IF($G$6=$E$6,$F$6,IF(P683&lt;($F$6-$E$6)/($G$6-$E$6),$E$6+SQRT(P683*($G$6-$E$6)*($F$6-$E$6)),$G$6-SQRT((1-P683)*($G$6-$E$6)*($G$6-$F$6))))</f>
        <v>0.996677161333128</v>
      </c>
      <c r="C683" s="37" t="n">
        <f aca="false">1+IF($G$7=$E$7,$F$7,IF(Q683&lt;($F$7-$E$7)/($G$7-$E$7),$E$7+SQRT(Q683*($G$7-$E$7)*($F$7-$E$7)),$G$7-SQRT((1-Q683)*($G$7-$E$7)*($G$7-$F$7))))</f>
        <v>0.812166766547544</v>
      </c>
      <c r="D683" s="37" t="n">
        <f aca="false">1+IF($G$8=$E$8,$F$8,IF(R683&lt;($F$8-$E$8)/($G$8-$E$8),$E$8+SQRT(R683*($G$8-$E$8)*($F$8-$E$8)),$G$8-SQRT((1-R683)*($G$8-$E$8)*($G$8-$F$8))))</f>
        <v>1.02342945135117</v>
      </c>
      <c r="E683" s="37" t="n">
        <f aca="false">1+IF($G$9=$E$9,$F$9,IF(S683&lt;($F$9-$E$9)/($G$9-$E$9),$E$9+SQRT(S683*($G$9-$E$9)*($F$9-$E$9)),$G$9-SQRT((1-S683)*($G$9-$E$9)*($G$9-$F$9))))</f>
        <v>1.04612572855825</v>
      </c>
      <c r="F683" s="37" t="n">
        <f aca="false">1+IF($G$10=$E$10,$F$10,IF(T683&lt;($F$10-$E$10)/($G$10-$E$10),$E$10+SQRT(T683*($G$10-$E$10)*($F$10-$E$10)),$G$10-SQRT((1-T683)*($G$10-$E$10)*($G$10-$F$10))))</f>
        <v>1.01895088343012</v>
      </c>
      <c r="G683" s="38" t="n">
        <f aca="false">IF($G$11=$E$11,$F$11,IF(U683&lt;($F$11-$E$11)/($G$11-$E$11),$E$11+SQRT(U683*($G$11-$E$11)*($F$11-$E$11)),$G$11-SQRT((1-U683)*($G$11-$E$11)*($G$11-$F$11))))</f>
        <v>0.0911167324175742</v>
      </c>
      <c r="H683" s="39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-2037901766.86023</v>
      </c>
      <c r="I683" s="39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-55109905.8227361</v>
      </c>
      <c r="J683" s="39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182397179.913146</v>
      </c>
      <c r="K683" s="39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470851809.820535</v>
      </c>
      <c r="L683" s="39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577996054.808911</v>
      </c>
      <c r="M683" s="39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731859745.062529</v>
      </c>
      <c r="N683" s="39" t="n">
        <f aca="false">IF(COUNT('Business Case'!B11:G11)=0,"",H683+NPV(G683,I683:M683))</f>
        <v>-691712126.87898</v>
      </c>
      <c r="P683" s="40" t="n">
        <f aca="true">RAND()</f>
        <v>0.623098234895443</v>
      </c>
      <c r="Q683" s="40" t="n">
        <f aca="true">RAND()</f>
        <v>0.0931954334646753</v>
      </c>
      <c r="R683" s="40" t="n">
        <f aca="true">RAND()</f>
        <v>0.609130071974524</v>
      </c>
      <c r="S683" s="40" t="n">
        <f aca="true">RAND()</f>
        <v>0.712270286198573</v>
      </c>
      <c r="T683" s="40" t="n">
        <f aca="true">RAND()</f>
        <v>0.288217409763691</v>
      </c>
      <c r="U683" s="40" t="n">
        <f aca="true">RAND()</f>
        <v>0.123581739643946</v>
      </c>
    </row>
    <row r="684" customFormat="false" ht="15" hidden="false" customHeight="false" outlineLevel="0" collapsed="false">
      <c r="A684" s="36" t="n">
        <v>604</v>
      </c>
      <c r="B684" s="37" t="n">
        <f aca="false">1+IF($G$6=$E$6,$F$6,IF(P684&lt;($F$6-$E$6)/($G$6-$E$6),$E$6+SQRT(P684*($G$6-$E$6)*($F$6-$E$6)),$G$6-SQRT((1-P684)*($G$6-$E$6)*($G$6-$F$6))))</f>
        <v>1.03145722207145</v>
      </c>
      <c r="C684" s="37" t="n">
        <f aca="false">1+IF($G$7=$E$7,$F$7,IF(Q684&lt;($F$7-$E$7)/($G$7-$E$7),$E$7+SQRT(Q684*($G$7-$E$7)*($F$7-$E$7)),$G$7-SQRT((1-Q684)*($G$7-$E$7)*($G$7-$F$7))))</f>
        <v>0.928334490082172</v>
      </c>
      <c r="D684" s="37" t="n">
        <f aca="false">1+IF($G$8=$E$8,$F$8,IF(R684&lt;($F$8-$E$8)/($G$8-$E$8),$E$8+SQRT(R684*($G$8-$E$8)*($F$8-$E$8)),$G$8-SQRT((1-R684)*($G$8-$E$8)*($G$8-$F$8))))</f>
        <v>1.01402228558068</v>
      </c>
      <c r="E684" s="37" t="n">
        <f aca="false">1+IF($G$9=$E$9,$F$9,IF(S684&lt;($F$9-$E$9)/($G$9-$E$9),$E$9+SQRT(S684*($G$9-$E$9)*($F$9-$E$9)),$G$9-SQRT((1-S684)*($G$9-$E$9)*($G$9-$F$9))))</f>
        <v>1.10179094169143</v>
      </c>
      <c r="F684" s="37" t="n">
        <f aca="false">1+IF($G$10=$E$10,$F$10,IF(T684&lt;($F$10-$E$10)/($G$10-$E$10),$E$10+SQRT(T684*($G$10-$E$10)*($F$10-$E$10)),$G$10-SQRT((1-T684)*($G$10-$E$10)*($G$10-$F$10))))</f>
        <v>1.10743716593262</v>
      </c>
      <c r="G684" s="38" t="n">
        <f aca="false">IF($G$11=$E$11,$F$11,IF(U684&lt;($F$11-$E$11)/($G$11-$E$11),$E$11+SQRT(U684*($G$11-$E$11)*($F$11-$E$11)),$G$11-SQRT((1-U684)*($G$11-$E$11)*($G$11-$F$11))))</f>
        <v>0.0977233532910789</v>
      </c>
      <c r="H684" s="39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-2214874331.86525</v>
      </c>
      <c r="I684" s="39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-14661964.6782606</v>
      </c>
      <c r="J684" s="39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287733193.518226</v>
      </c>
      <c r="K684" s="39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645500210.011344</v>
      </c>
      <c r="L684" s="39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779391085.658815</v>
      </c>
      <c r="M684" s="39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961399778.35968</v>
      </c>
      <c r="N684" s="39" t="n">
        <f aca="false">IF(COUNT('Business Case'!B11:G11)=0,"",H684+NPV(G684,I684:M684))</f>
        <v>-361515811.253786</v>
      </c>
      <c r="P684" s="40" t="n">
        <f aca="true">RAND()</f>
        <v>0.954155384892324</v>
      </c>
      <c r="Q684" s="40" t="n">
        <f aca="true">RAND()</f>
        <v>0.386197328600632</v>
      </c>
      <c r="R684" s="40" t="n">
        <f aca="true">RAND()</f>
        <v>0.507188841548605</v>
      </c>
      <c r="S684" s="40" t="n">
        <f aca="true">RAND()</f>
        <v>0.938023645253359</v>
      </c>
      <c r="T684" s="40" t="n">
        <f aca="true">RAND()</f>
        <v>0.729011177902374</v>
      </c>
      <c r="U684" s="40" t="n">
        <f aca="true">RAND()</f>
        <v>0.314117251880395</v>
      </c>
    </row>
    <row r="685" customFormat="false" ht="15" hidden="false" customHeight="false" outlineLevel="0" collapsed="false">
      <c r="A685" s="36" t="n">
        <v>605</v>
      </c>
      <c r="B685" s="37" t="n">
        <f aca="false">1+IF($G$6=$E$6,$F$6,IF(P685&lt;($F$6-$E$6)/($G$6-$E$6),$E$6+SQRT(P685*($G$6-$E$6)*($F$6-$E$6)),$G$6-SQRT((1-P685)*($G$6-$E$6)*($G$6-$F$6))))</f>
        <v>0.966332756058202</v>
      </c>
      <c r="C685" s="37" t="n">
        <f aca="false">1+IF($G$7=$E$7,$F$7,IF(Q685&lt;($F$7-$E$7)/($G$7-$E$7),$E$7+SQRT(Q685*($G$7-$E$7)*($F$7-$E$7)),$G$7-SQRT((1-Q685)*($G$7-$E$7)*($G$7-$F$7))))</f>
        <v>0.929663104560654</v>
      </c>
      <c r="D685" s="37" t="n">
        <f aca="false">1+IF($G$8=$E$8,$F$8,IF(R685&lt;($F$8-$E$8)/($G$8-$E$8),$E$8+SQRT(R685*($G$8-$E$8)*($F$8-$E$8)),$G$8-SQRT((1-R685)*($G$8-$E$8)*($G$8-$F$8))))</f>
        <v>1.00568812653048</v>
      </c>
      <c r="E685" s="37" t="n">
        <f aca="false">1+IF($G$9=$E$9,$F$9,IF(S685&lt;($F$9-$E$9)/($G$9-$E$9),$E$9+SQRT(S685*($G$9-$E$9)*($F$9-$E$9)),$G$9-SQRT((1-S685)*($G$9-$E$9)*($G$9-$F$9))))</f>
        <v>1.10272103899168</v>
      </c>
      <c r="F685" s="37" t="n">
        <f aca="false">1+IF($G$10=$E$10,$F$10,IF(T685&lt;($F$10-$E$10)/($G$10-$E$10),$E$10+SQRT(T685*($G$10-$E$10)*($F$10-$E$10)),$G$10-SQRT((1-T685)*($G$10-$E$10)*($G$10-$F$10))))</f>
        <v>1.06974342241334</v>
      </c>
      <c r="G685" s="38" t="n">
        <f aca="false">IF($G$11=$E$11,$F$11,IF(U685&lt;($F$11-$E$11)/($G$11-$E$11),$E$11+SQRT(U685*($G$11-$E$11)*($F$11-$E$11)),$G$11-SQRT((1-U685)*($G$11-$E$11)*($G$11-$F$11))))</f>
        <v>0.0983191070533682</v>
      </c>
      <c r="H685" s="39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-2139486844.82668</v>
      </c>
      <c r="I685" s="39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-53147925.1859674</v>
      </c>
      <c r="J685" s="39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204056608.710268</v>
      </c>
      <c r="K685" s="39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514748313.727171</v>
      </c>
      <c r="L685" s="39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631530615.090084</v>
      </c>
      <c r="M685" s="39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802291627.109674</v>
      </c>
      <c r="N685" s="39" t="n">
        <f aca="false">IF(COUNT('Business Case'!B11:G11)=0,"",H685+NPV(G685,I685:M685))</f>
        <v>-694228141.319833</v>
      </c>
      <c r="P685" s="40" t="n">
        <f aca="true">RAND()</f>
        <v>0.293335635085124</v>
      </c>
      <c r="Q685" s="40" t="n">
        <f aca="true">RAND()</f>
        <v>0.390704752566205</v>
      </c>
      <c r="R685" s="40" t="n">
        <f aca="true">RAND()</f>
        <v>0.407018034844565</v>
      </c>
      <c r="S685" s="40" t="n">
        <f aca="true">RAND()</f>
        <v>0.94039199589264</v>
      </c>
      <c r="T685" s="40" t="n">
        <f aca="true">RAND()</f>
        <v>0.566767549823266</v>
      </c>
      <c r="U685" s="40" t="n">
        <f aca="true">RAND()</f>
        <v>0.335589683232766</v>
      </c>
    </row>
    <row r="686" customFormat="false" ht="15" hidden="false" customHeight="false" outlineLevel="0" collapsed="false">
      <c r="A686" s="36" t="n">
        <v>606</v>
      </c>
      <c r="B686" s="37" t="n">
        <f aca="false">1+IF($G$6=$E$6,$F$6,IF(P686&lt;($F$6-$E$6)/($G$6-$E$6),$E$6+SQRT(P686*($G$6-$E$6)*($F$6-$E$6)),$G$6-SQRT((1-P686)*($G$6-$E$6)*($G$6-$F$6))))</f>
        <v>0.985327679619641</v>
      </c>
      <c r="C686" s="37" t="n">
        <f aca="false">1+IF($G$7=$E$7,$F$7,IF(Q686&lt;($F$7-$E$7)/($G$7-$E$7),$E$7+SQRT(Q686*($G$7-$E$7)*($F$7-$E$7)),$G$7-SQRT((1-Q686)*($G$7-$E$7)*($G$7-$F$7))))</f>
        <v>0.800037064448564</v>
      </c>
      <c r="D686" s="37" t="n">
        <f aca="false">1+IF($G$8=$E$8,$F$8,IF(R686&lt;($F$8-$E$8)/($G$8-$E$8),$E$8+SQRT(R686*($G$8-$E$8)*($F$8-$E$8)),$G$8-SQRT((1-R686)*($G$8-$E$8)*($G$8-$F$8))))</f>
        <v>0.975754349834066</v>
      </c>
      <c r="E686" s="37" t="n">
        <f aca="false">1+IF($G$9=$E$9,$F$9,IF(S686&lt;($F$9-$E$9)/($G$9-$E$9),$E$9+SQRT(S686*($G$9-$E$9)*($F$9-$E$9)),$G$9-SQRT((1-S686)*($G$9-$E$9)*($G$9-$F$9))))</f>
        <v>1.11011970625476</v>
      </c>
      <c r="F686" s="37" t="n">
        <f aca="false">1+IF($G$10=$E$10,$F$10,IF(T686&lt;($F$10-$E$10)/($G$10-$E$10),$E$10+SQRT(T686*($G$10-$E$10)*($F$10-$E$10)),$G$10-SQRT((1-T686)*($G$10-$E$10)*($G$10-$F$10))))</f>
        <v>1.23244404652992</v>
      </c>
      <c r="G686" s="38" t="n">
        <f aca="false">IF($G$11=$E$11,$F$11,IF(U686&lt;($F$11-$E$11)/($G$11-$E$11),$E$11+SQRT(U686*($G$11-$E$11)*($F$11-$E$11)),$G$11-SQRT((1-U686)*($G$11-$E$11)*($G$11-$F$11))))</f>
        <v>0.0909191809382904</v>
      </c>
      <c r="H686" s="39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-2464888093.05983</v>
      </c>
      <c r="I686" s="39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-75920513.4650959</v>
      </c>
      <c r="J686" s="39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170127802.710721</v>
      </c>
      <c r="K686" s="39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477798321.213034</v>
      </c>
      <c r="L686" s="39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587058028.443969</v>
      </c>
      <c r="M686" s="39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736897838.558449</v>
      </c>
      <c r="N686" s="39" t="n">
        <f aca="false">IF(COUNT('Business Case'!B11:G11)=0,"",H686+NPV(G686,I686:M686))</f>
        <v>-1132107566.15348</v>
      </c>
      <c r="P686" s="40" t="n">
        <f aca="true">RAND()</f>
        <v>0.48538752728481</v>
      </c>
      <c r="Q686" s="40" t="n">
        <f aca="true">RAND()</f>
        <v>0.0741289945443417</v>
      </c>
      <c r="R686" s="40" t="n">
        <f aca="true">RAND()</f>
        <v>0.0884382047167247</v>
      </c>
      <c r="S686" s="40" t="n">
        <f aca="true">RAND()</f>
        <v>0.957588324554482</v>
      </c>
      <c r="T686" s="40" t="n">
        <f aca="true">RAND()</f>
        <v>0.995890513303417</v>
      </c>
      <c r="U686" s="40" t="n">
        <f aca="true">RAND()</f>
        <v>0.119228512363124</v>
      </c>
    </row>
    <row r="687" customFormat="false" ht="15" hidden="false" customHeight="false" outlineLevel="0" collapsed="false">
      <c r="A687" s="36" t="n">
        <v>607</v>
      </c>
      <c r="B687" s="37" t="n">
        <f aca="false">1+IF($G$6=$E$6,$F$6,IF(P687&lt;($F$6-$E$6)/($G$6-$E$6),$E$6+SQRT(P687*($G$6-$E$6)*($F$6-$E$6)),$G$6-SQRT((1-P687)*($G$6-$E$6)*($G$6-$F$6))))</f>
        <v>0.938471063014463</v>
      </c>
      <c r="C687" s="37" t="n">
        <f aca="false">1+IF($G$7=$E$7,$F$7,IF(Q687&lt;($F$7-$E$7)/($G$7-$E$7),$E$7+SQRT(Q687*($G$7-$E$7)*($F$7-$E$7)),$G$7-SQRT((1-Q687)*($G$7-$E$7)*($G$7-$F$7))))</f>
        <v>0.749482686876821</v>
      </c>
      <c r="D687" s="37" t="n">
        <f aca="false">1+IF($G$8=$E$8,$F$8,IF(R687&lt;($F$8-$E$8)/($G$8-$E$8),$E$8+SQRT(R687*($G$8-$E$8)*($F$8-$E$8)),$G$8-SQRT((1-R687)*($G$8-$E$8)*($G$8-$F$8))))</f>
        <v>0.984430596142529</v>
      </c>
      <c r="E687" s="37" t="n">
        <f aca="false">1+IF($G$9=$E$9,$F$9,IF(S687&lt;($F$9-$E$9)/($G$9-$E$9),$E$9+SQRT(S687*($G$9-$E$9)*($F$9-$E$9)),$G$9-SQRT((1-S687)*($G$9-$E$9)*($G$9-$F$9))))</f>
        <v>1.01042077672231</v>
      </c>
      <c r="F687" s="37" t="n">
        <f aca="false">1+IF($G$10=$E$10,$F$10,IF(T687&lt;($F$10-$E$10)/($G$10-$E$10),$E$10+SQRT(T687*($G$10-$E$10)*($F$10-$E$10)),$G$10-SQRT((1-T687)*($G$10-$E$10)*($G$10-$F$10))))</f>
        <v>0.999890119494238</v>
      </c>
      <c r="G687" s="38" t="n">
        <f aca="false">IF($G$11=$E$11,$F$11,IF(U687&lt;($F$11-$E$11)/($G$11-$E$11),$E$11+SQRT(U687*($G$11-$E$11)*($F$11-$E$11)),$G$11-SQRT((1-U687)*($G$11-$E$11)*($G$11-$F$11))))</f>
        <v>0.0957516642594544</v>
      </c>
      <c r="H687" s="39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-1999780238.98848</v>
      </c>
      <c r="I687" s="39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-81726135.1168132</v>
      </c>
      <c r="J687" s="39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116681163.636431</v>
      </c>
      <c r="K687" s="39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365082968.364387</v>
      </c>
      <c r="L687" s="39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455527126.262616</v>
      </c>
      <c r="M687" s="39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589223280.321929</v>
      </c>
      <c r="N687" s="39" t="n">
        <f aca="false">IF(COUNT('Business Case'!B11:G11)=0,"",H687+NPV(G687,I687:M687))</f>
        <v>-1010696537.44865</v>
      </c>
      <c r="P687" s="40" t="n">
        <f aca="true">RAND()</f>
        <v>0.0986681792975208</v>
      </c>
      <c r="Q687" s="40" t="n">
        <f aca="true">RAND()</f>
        <v>0.018137305929996</v>
      </c>
      <c r="R687" s="40" t="n">
        <f aca="true">RAND()</f>
        <v>0.158062126763989</v>
      </c>
      <c r="S687" s="40" t="n">
        <f aca="true">RAND()</f>
        <v>0.480470411445236</v>
      </c>
      <c r="T687" s="40" t="n">
        <f aca="true">RAND()</f>
        <v>0.165934934876622</v>
      </c>
      <c r="U687" s="40" t="n">
        <f aca="true">RAND()</f>
        <v>0.248114926942574</v>
      </c>
    </row>
    <row r="688" customFormat="false" ht="15" hidden="false" customHeight="false" outlineLevel="0" collapsed="false">
      <c r="A688" s="36" t="n">
        <v>608</v>
      </c>
      <c r="B688" s="37" t="n">
        <f aca="false">1+IF($G$6=$E$6,$F$6,IF(P688&lt;($F$6-$E$6)/($G$6-$E$6),$E$6+SQRT(P688*($G$6-$E$6)*($F$6-$E$6)),$G$6-SQRT((1-P688)*($G$6-$E$6)*($G$6-$F$6))))</f>
        <v>0.965186464003989</v>
      </c>
      <c r="C688" s="37" t="n">
        <f aca="false">1+IF($G$7=$E$7,$F$7,IF(Q688&lt;($F$7-$E$7)/($G$7-$E$7),$E$7+SQRT(Q688*($G$7-$E$7)*($F$7-$E$7)),$G$7-SQRT((1-Q688)*($G$7-$E$7)*($G$7-$F$7))))</f>
        <v>0.960357721034352</v>
      </c>
      <c r="D688" s="37" t="n">
        <f aca="false">1+IF($G$8=$E$8,$F$8,IF(R688&lt;($F$8-$E$8)/($G$8-$E$8),$E$8+SQRT(R688*($G$8-$E$8)*($F$8-$E$8)),$G$8-SQRT((1-R688)*($G$8-$E$8)*($G$8-$F$8))))</f>
        <v>1.03333338188344</v>
      </c>
      <c r="E688" s="37" t="n">
        <f aca="false">1+IF($G$9=$E$9,$F$9,IF(S688&lt;($F$9-$E$9)/($G$9-$E$9),$E$9+SQRT(S688*($G$9-$E$9)*($F$9-$E$9)),$G$9-SQRT((1-S688)*($G$9-$E$9)*($G$9-$F$9))))</f>
        <v>0.960194999263198</v>
      </c>
      <c r="F688" s="37" t="n">
        <f aca="false">1+IF($G$10=$E$10,$F$10,IF(T688&lt;($F$10-$E$10)/($G$10-$E$10),$E$10+SQRT(T688*($G$10-$E$10)*($F$10-$E$10)),$G$10-SQRT((1-T688)*($G$10-$E$10)*($G$10-$F$10))))</f>
        <v>0.982815552879622</v>
      </c>
      <c r="G688" s="38" t="n">
        <f aca="false">IF($G$11=$E$11,$F$11,IF(U688&lt;($F$11-$E$11)/($G$11-$E$11),$E$11+SQRT(U688*($G$11-$E$11)*($F$11-$E$11)),$G$11-SQRT((1-U688)*($G$11-$E$11)*($G$11-$F$11))))</f>
        <v>0.0908972020866771</v>
      </c>
      <c r="H688" s="39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-1965631105.75924</v>
      </c>
      <c r="I688" s="39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-31669212.9759084</v>
      </c>
      <c r="J688" s="39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219534612.540793</v>
      </c>
      <c r="K688" s="39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519879215.701476</v>
      </c>
      <c r="L688" s="39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635648327.07999</v>
      </c>
      <c r="M688" s="39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811838092.8812</v>
      </c>
      <c r="N688" s="39" t="n">
        <f aca="false">IF(COUNT('Business Case'!B11:G11)=0,"",H688+NPV(G688,I688:M688))</f>
        <v>-435432427.198933</v>
      </c>
      <c r="P688" s="40" t="n">
        <f aca="true">RAND()</f>
        <v>0.283285005956223</v>
      </c>
      <c r="Q688" s="40" t="n">
        <f aca="true">RAND()</f>
        <v>0.502119577053344</v>
      </c>
      <c r="R688" s="40" t="n">
        <f aca="true">RAND()</f>
        <v>0.703704135260089</v>
      </c>
      <c r="S688" s="40" t="n">
        <f aca="true">RAND()</f>
        <v>0.144937517451855</v>
      </c>
      <c r="T688" s="40" t="n">
        <f aca="true">RAND()</f>
        <v>0.0717907007196835</v>
      </c>
      <c r="U688" s="40" t="n">
        <f aca="true">RAND()</f>
        <v>0.118749013317879</v>
      </c>
    </row>
    <row r="689" customFormat="false" ht="15" hidden="false" customHeight="false" outlineLevel="0" collapsed="false">
      <c r="A689" s="36" t="n">
        <v>609</v>
      </c>
      <c r="B689" s="37" t="n">
        <f aca="false">1+IF($G$6=$E$6,$F$6,IF(P689&lt;($F$6-$E$6)/($G$6-$E$6),$E$6+SQRT(P689*($G$6-$E$6)*($F$6-$E$6)),$G$6-SQRT((1-P689)*($G$6-$E$6)*($G$6-$F$6))))</f>
        <v>1.01158029488869</v>
      </c>
      <c r="C689" s="37" t="n">
        <f aca="false">1+IF($G$7=$E$7,$F$7,IF(Q689&lt;($F$7-$E$7)/($G$7-$E$7),$E$7+SQRT(Q689*($G$7-$E$7)*($F$7-$E$7)),$G$7-SQRT((1-Q689)*($G$7-$E$7)*($G$7-$F$7))))</f>
        <v>0.875501845822733</v>
      </c>
      <c r="D689" s="37" t="n">
        <f aca="false">1+IF($G$8=$E$8,$F$8,IF(R689&lt;($F$8-$E$8)/($G$8-$E$8),$E$8+SQRT(R689*($G$8-$E$8)*($F$8-$E$8)),$G$8-SQRT((1-R689)*($G$8-$E$8)*($G$8-$F$8))))</f>
        <v>0.982558005931054</v>
      </c>
      <c r="E689" s="37" t="n">
        <f aca="false">1+IF($G$9=$E$9,$F$9,IF(S689&lt;($F$9-$E$9)/($G$9-$E$9),$E$9+SQRT(S689*($G$9-$E$9)*($F$9-$E$9)),$G$9-SQRT((1-S689)*($G$9-$E$9)*($G$9-$F$9))))</f>
        <v>0.95450249383086</v>
      </c>
      <c r="F689" s="37" t="n">
        <f aca="false">1+IF($G$10=$E$10,$F$10,IF(T689&lt;($F$10-$E$10)/($G$10-$E$10),$E$10+SQRT(T689*($G$10-$E$10)*($F$10-$E$10)),$G$10-SQRT((1-T689)*($G$10-$E$10)*($G$10-$F$10))))</f>
        <v>1.10644304378966</v>
      </c>
      <c r="G689" s="38" t="n">
        <f aca="false">IF($G$11=$E$11,$F$11,IF(U689&lt;($F$11-$E$11)/($G$11-$E$11),$E$11+SQRT(U689*($G$11-$E$11)*($F$11-$E$11)),$G$11-SQRT((1-U689)*($G$11-$E$11)*($G$11-$F$11))))</f>
        <v>0.108276716905873</v>
      </c>
      <c r="H689" s="39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-2212886087.57932</v>
      </c>
      <c r="I689" s="39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-7252523.41058725</v>
      </c>
      <c r="J689" s="39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277781111.313474</v>
      </c>
      <c r="K689" s="39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618136898.227018</v>
      </c>
      <c r="L689" s="39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743755842.556994</v>
      </c>
      <c r="M689" s="39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912098372.711084</v>
      </c>
      <c r="N689" s="39" t="n">
        <f aca="false">IF(COUNT('Business Case'!B11:G11)=0,"",H689+NPV(G689,I689:M689))</f>
        <v>-500690234.645505</v>
      </c>
      <c r="P689" s="40" t="n">
        <f aca="true">RAND()</f>
        <v>0.803190167887956</v>
      </c>
      <c r="Q689" s="40" t="n">
        <f aca="true">RAND()</f>
        <v>0.228154799164343</v>
      </c>
      <c r="R689" s="40" t="n">
        <f aca="true">RAND()</f>
        <v>0.141336500027535</v>
      </c>
      <c r="S689" s="40" t="n">
        <f aca="true">RAND()</f>
        <v>0.118820873351315</v>
      </c>
      <c r="T689" s="40" t="n">
        <f aca="true">RAND()</f>
        <v>0.72521867098164</v>
      </c>
      <c r="U689" s="40" t="n">
        <f aca="true">RAND()</f>
        <v>0.685399314408269</v>
      </c>
    </row>
    <row r="690" customFormat="false" ht="15" hidden="false" customHeight="false" outlineLevel="0" collapsed="false">
      <c r="A690" s="36" t="n">
        <v>610</v>
      </c>
      <c r="B690" s="37" t="n">
        <f aca="false">1+IF($G$6=$E$6,$F$6,IF(P690&lt;($F$6-$E$6)/($G$6-$E$6),$E$6+SQRT(P690*($G$6-$E$6)*($F$6-$E$6)),$G$6-SQRT((1-P690)*($G$6-$E$6)*($G$6-$F$6))))</f>
        <v>0.940085907755893</v>
      </c>
      <c r="C690" s="37" t="n">
        <f aca="false">1+IF($G$7=$E$7,$F$7,IF(Q690&lt;($F$7-$E$7)/($G$7-$E$7),$E$7+SQRT(Q690*($G$7-$E$7)*($F$7-$E$7)),$G$7-SQRT((1-Q690)*($G$7-$E$7)*($G$7-$F$7))))</f>
        <v>1.11962585982614</v>
      </c>
      <c r="D690" s="37" t="n">
        <f aca="false">1+IF($G$8=$E$8,$F$8,IF(R690&lt;($F$8-$E$8)/($G$8-$E$8),$E$8+SQRT(R690*($G$8-$E$8)*($F$8-$E$8)),$G$8-SQRT((1-R690)*($G$8-$E$8)*($G$8-$F$8))))</f>
        <v>1.00680681119492</v>
      </c>
      <c r="E690" s="37" t="n">
        <f aca="false">1+IF($G$9=$E$9,$F$9,IF(S690&lt;($F$9-$E$9)/($G$9-$E$9),$E$9+SQRT(S690*($G$9-$E$9)*($F$9-$E$9)),$G$9-SQRT((1-S690)*($G$9-$E$9)*($G$9-$F$9))))</f>
        <v>1.06711445102104</v>
      </c>
      <c r="F690" s="37" t="n">
        <f aca="false">1+IF($G$10=$E$10,$F$10,IF(T690&lt;($F$10-$E$10)/($G$10-$E$10),$E$10+SQRT(T690*($G$10-$E$10)*($F$10-$E$10)),$G$10-SQRT((1-T690)*($G$10-$E$10)*($G$10-$F$10))))</f>
        <v>0.984620523659027</v>
      </c>
      <c r="G690" s="38" t="n">
        <f aca="false">IF($G$11=$E$11,$F$11,IF(U690&lt;($F$11-$E$11)/($G$11-$E$11),$E$11+SQRT(U690*($G$11-$E$11)*($F$11-$E$11)),$G$11-SQRT((1-U690)*($G$11-$E$11)*($G$11-$F$11))))</f>
        <v>0.11748920706405</v>
      </c>
      <c r="H690" s="39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-1969241047.31805</v>
      </c>
      <c r="I690" s="39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-19720165.3913471</v>
      </c>
      <c r="J690" s="39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265329303.024199</v>
      </c>
      <c r="K690" s="39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599609797.622697</v>
      </c>
      <c r="L690" s="39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731002224.76508</v>
      </c>
      <c r="M690" s="39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931069881.953011</v>
      </c>
      <c r="N690" s="39" t="n">
        <f aca="false">IF(COUNT('Business Case'!B11:G11)=0,"",H690+NPV(G690,I690:M690))</f>
        <v>-341713508.232914</v>
      </c>
      <c r="P690" s="40" t="n">
        <f aca="true">RAND()</f>
        <v>0.107125333374265</v>
      </c>
      <c r="Q690" s="40" t="n">
        <f aca="true">RAND()</f>
        <v>0.986332023832572</v>
      </c>
      <c r="R690" s="40" t="n">
        <f aca="true">RAND()</f>
        <v>0.421001970689436</v>
      </c>
      <c r="S690" s="40" t="n">
        <f aca="true">RAND()</f>
        <v>0.816799620545487</v>
      </c>
      <c r="T690" s="40" t="n">
        <f aca="true">RAND()</f>
        <v>0.0799053772283486</v>
      </c>
      <c r="U690" s="40" t="n">
        <f aca="true">RAND()</f>
        <v>0.895653373409187</v>
      </c>
    </row>
    <row r="691" customFormat="false" ht="15" hidden="false" customHeight="false" outlineLevel="0" collapsed="false">
      <c r="A691" s="36" t="n">
        <v>611</v>
      </c>
      <c r="B691" s="37" t="n">
        <f aca="false">1+IF($G$6=$E$6,$F$6,IF(P691&lt;($F$6-$E$6)/($G$6-$E$6),$E$6+SQRT(P691*($G$6-$E$6)*($F$6-$E$6)),$G$6-SQRT((1-P691)*($G$6-$E$6)*($G$6-$F$6))))</f>
        <v>0.963161384814793</v>
      </c>
      <c r="C691" s="37" t="n">
        <f aca="false">1+IF($G$7=$E$7,$F$7,IF(Q691&lt;($F$7-$E$7)/($G$7-$E$7),$E$7+SQRT(Q691*($G$7-$E$7)*($F$7-$E$7)),$G$7-SQRT((1-Q691)*($G$7-$E$7)*($G$7-$F$7))))</f>
        <v>0.825406833495601</v>
      </c>
      <c r="D691" s="37" t="n">
        <f aca="false">1+IF($G$8=$E$8,$F$8,IF(R691&lt;($F$8-$E$8)/($G$8-$E$8),$E$8+SQRT(R691*($G$8-$E$8)*($F$8-$E$8)),$G$8-SQRT((1-R691)*($G$8-$E$8)*($G$8-$F$8))))</f>
        <v>0.996184632017016</v>
      </c>
      <c r="E691" s="37" t="n">
        <f aca="false">1+IF($G$9=$E$9,$F$9,IF(S691&lt;($F$9-$E$9)/($G$9-$E$9),$E$9+SQRT(S691*($G$9-$E$9)*($F$9-$E$9)),$G$9-SQRT((1-S691)*($G$9-$E$9)*($G$9-$F$9))))</f>
        <v>0.999466505356297</v>
      </c>
      <c r="F691" s="37" t="n">
        <f aca="false">1+IF($G$10=$E$10,$F$10,IF(T691&lt;($F$10-$E$10)/($G$10-$E$10),$E$10+SQRT(T691*($G$10-$E$10)*($F$10-$E$10)),$G$10-SQRT((1-T691)*($G$10-$E$10)*($G$10-$F$10))))</f>
        <v>1.14915016646488</v>
      </c>
      <c r="G691" s="38" t="n">
        <f aca="false">IF($G$11=$E$11,$F$11,IF(U691&lt;($F$11-$E$11)/($G$11-$E$11),$E$11+SQRT(U691*($G$11-$E$11)*($F$11-$E$11)),$G$11-SQRT((1-U691)*($G$11-$E$11)*($G$11-$F$11))))</f>
        <v>0.0969377569647774</v>
      </c>
      <c r="H691" s="39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-2298300332.92975</v>
      </c>
      <c r="I691" s="39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-68019834.2816338</v>
      </c>
      <c r="J691" s="39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162212284.563511</v>
      </c>
      <c r="K691" s="39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449901911.7319</v>
      </c>
      <c r="L691" s="39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554121150.959365</v>
      </c>
      <c r="M691" s="39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705234748.827659</v>
      </c>
      <c r="N691" s="39" t="n">
        <f aca="false">IF(COUNT('Business Case'!B11:G11)=0,"",H691+NPV(G691,I691:M691))</f>
        <v>-1057885290.28377</v>
      </c>
      <c r="P691" s="40" t="n">
        <f aca="true">RAND()</f>
        <v>0.265957368781488</v>
      </c>
      <c r="Q691" s="40" t="n">
        <f aca="true">RAND()</f>
        <v>0.116495362128839</v>
      </c>
      <c r="R691" s="40" t="n">
        <f aca="true">RAND()</f>
        <v>0.284402697939628</v>
      </c>
      <c r="S691" s="40" t="n">
        <f aca="true">RAND()</f>
        <v>0.395743427511774</v>
      </c>
      <c r="T691" s="40" t="n">
        <f aca="true">RAND()</f>
        <v>0.864390814345838</v>
      </c>
      <c r="U691" s="40" t="n">
        <f aca="true">RAND()</f>
        <v>0.286887610997865</v>
      </c>
    </row>
    <row r="692" customFormat="false" ht="15" hidden="false" customHeight="false" outlineLevel="0" collapsed="false">
      <c r="A692" s="36" t="n">
        <v>612</v>
      </c>
      <c r="B692" s="37" t="n">
        <f aca="false">1+IF($G$6=$E$6,$F$6,IF(P692&lt;($F$6-$E$6)/($G$6-$E$6),$E$6+SQRT(P692*($G$6-$E$6)*($F$6-$E$6)),$G$6-SQRT((1-P692)*($G$6-$E$6)*($G$6-$F$6))))</f>
        <v>1.03214210479774</v>
      </c>
      <c r="C692" s="37" t="n">
        <f aca="false">1+IF($G$7=$E$7,$F$7,IF(Q692&lt;($F$7-$E$7)/($G$7-$E$7),$E$7+SQRT(Q692*($G$7-$E$7)*($F$7-$E$7)),$G$7-SQRT((1-Q692)*($G$7-$E$7)*($G$7-$F$7))))</f>
        <v>0.953159594382891</v>
      </c>
      <c r="D692" s="37" t="n">
        <f aca="false">1+IF($G$8=$E$8,$F$8,IF(R692&lt;($F$8-$E$8)/($G$8-$E$8),$E$8+SQRT(R692*($G$8-$E$8)*($F$8-$E$8)),$G$8-SQRT((1-R692)*($G$8-$E$8)*($G$8-$F$8))))</f>
        <v>1.00079885535401</v>
      </c>
      <c r="E692" s="37" t="n">
        <f aca="false">1+IF($G$9=$E$9,$F$9,IF(S692&lt;($F$9-$E$9)/($G$9-$E$9),$E$9+SQRT(S692*($G$9-$E$9)*($F$9-$E$9)),$G$9-SQRT((1-S692)*($G$9-$E$9)*($G$9-$F$9))))</f>
        <v>0.969529123003846</v>
      </c>
      <c r="F692" s="37" t="n">
        <f aca="false">1+IF($G$10=$E$10,$F$10,IF(T692&lt;($F$10-$E$10)/($G$10-$E$10),$E$10+SQRT(T692*($G$10-$E$10)*($F$10-$E$10)),$G$10-SQRT((1-T692)*($G$10-$E$10)*($G$10-$F$10))))</f>
        <v>1.06852509741011</v>
      </c>
      <c r="G692" s="38" t="n">
        <f aca="false">IF($G$11=$E$11,$F$11,IF(U692&lt;($F$11-$E$11)/($G$11-$E$11),$E$11+SQRT(U692*($G$11-$E$11)*($F$11-$E$11)),$G$11-SQRT((1-U692)*($G$11-$E$11)*($G$11-$F$11))))</f>
        <v>0.0960556390295936</v>
      </c>
      <c r="H692" s="39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-2137050194.82022</v>
      </c>
      <c r="I692" s="39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21749082.485847</v>
      </c>
      <c r="J692" s="39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339217708.417494</v>
      </c>
      <c r="K692" s="39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710112589.219647</v>
      </c>
      <c r="L692" s="39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849935459.472625</v>
      </c>
      <c r="M692" s="39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1036935431.65598</v>
      </c>
      <c r="N692" s="39" t="n">
        <f aca="false">IF(COUNT('Business Case'!B11:G11)=0,"",H692+NPV(G692,I692:M692))</f>
        <v>-51098666.4207578</v>
      </c>
      <c r="P692" s="40" t="n">
        <f aca="true">RAND()</f>
        <v>0.957479410526024</v>
      </c>
      <c r="Q692" s="40" t="n">
        <f aca="true">RAND()</f>
        <v>0.474739112800815</v>
      </c>
      <c r="R692" s="40" t="n">
        <f aca="true">RAND()</f>
        <v>0.343942193395054</v>
      </c>
      <c r="S692" s="40" t="n">
        <f aca="true">RAND()</f>
        <v>0.193371957827358</v>
      </c>
      <c r="T692" s="40" t="n">
        <f aca="true">RAND()</f>
        <v>0.560891463066539</v>
      </c>
      <c r="U692" s="40" t="n">
        <f aca="true">RAND()</f>
        <v>0.25778354464861</v>
      </c>
    </row>
    <row r="693" customFormat="false" ht="15" hidden="false" customHeight="false" outlineLevel="0" collapsed="false">
      <c r="A693" s="36" t="n">
        <v>613</v>
      </c>
      <c r="B693" s="37" t="n">
        <f aca="false">1+IF($G$6=$E$6,$F$6,IF(P693&lt;($F$6-$E$6)/($G$6-$E$6),$E$6+SQRT(P693*($G$6-$E$6)*($F$6-$E$6)),$G$6-SQRT((1-P693)*($G$6-$E$6)*($G$6-$F$6))))</f>
        <v>1.01434919965575</v>
      </c>
      <c r="C693" s="37" t="n">
        <f aca="false">1+IF($G$7=$E$7,$F$7,IF(Q693&lt;($F$7-$E$7)/($G$7-$E$7),$E$7+SQRT(Q693*($G$7-$E$7)*($F$7-$E$7)),$G$7-SQRT((1-Q693)*($G$7-$E$7)*($G$7-$F$7))))</f>
        <v>0.823741642665114</v>
      </c>
      <c r="D693" s="37" t="n">
        <f aca="false">1+IF($G$8=$E$8,$F$8,IF(R693&lt;($F$8-$E$8)/($G$8-$E$8),$E$8+SQRT(R693*($G$8-$E$8)*($F$8-$E$8)),$G$8-SQRT((1-R693)*($G$8-$E$8)*($G$8-$F$8))))</f>
        <v>1.02749521947209</v>
      </c>
      <c r="E693" s="37" t="n">
        <f aca="false">1+IF($G$9=$E$9,$F$9,IF(S693&lt;($F$9-$E$9)/($G$9-$E$9),$E$9+SQRT(S693*($G$9-$E$9)*($F$9-$E$9)),$G$9-SQRT((1-S693)*($G$9-$E$9)*($G$9-$F$9))))</f>
        <v>0.948124775525989</v>
      </c>
      <c r="F693" s="37" t="n">
        <f aca="false">1+IF($G$10=$E$10,$F$10,IF(T693&lt;($F$10-$E$10)/($G$10-$E$10),$E$10+SQRT(T693*($G$10-$E$10)*($F$10-$E$10)),$G$10-SQRT((1-T693)*($G$10-$E$10)*($G$10-$F$10))))</f>
        <v>1.09768014510237</v>
      </c>
      <c r="G693" s="38" t="n">
        <f aca="false">IF($G$11=$E$11,$F$11,IF(U693&lt;($F$11-$E$11)/($G$11-$E$11),$E$11+SQRT(U693*($G$11-$E$11)*($F$11-$E$11)),$G$11-SQRT((1-U693)*($G$11-$E$11)*($G$11-$F$11))))</f>
        <v>0.101919124713878</v>
      </c>
      <c r="H693" s="39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-2195360290.20474</v>
      </c>
      <c r="I693" s="39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-36805977.7297995</v>
      </c>
      <c r="J693" s="39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214294919.412225</v>
      </c>
      <c r="K693" s="39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520279823.809367</v>
      </c>
      <c r="L693" s="39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632857134.377903</v>
      </c>
      <c r="M693" s="39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791680697.744469</v>
      </c>
      <c r="N693" s="39" t="n">
        <f aca="false">IF(COUNT('Business Case'!B11:G11)=0,"",H693+NPV(G693,I693:M693))</f>
        <v>-746867799.772952</v>
      </c>
      <c r="P693" s="40" t="n">
        <f aca="true">RAND()</f>
        <v>0.83053605797527</v>
      </c>
      <c r="Q693" s="40" t="n">
        <f aca="true">RAND()</f>
        <v>0.113422178736746</v>
      </c>
      <c r="R693" s="40" t="n">
        <f aca="true">RAND()</f>
        <v>0.649537120039926</v>
      </c>
      <c r="S693" s="40" t="n">
        <f aca="true">RAND()</f>
        <v>0.0926397607770739</v>
      </c>
      <c r="T693" s="40" t="n">
        <f aca="true">RAND()</f>
        <v>0.690648824052872</v>
      </c>
      <c r="U693" s="40" t="n">
        <f aca="true">RAND()</f>
        <v>0.474309628776835</v>
      </c>
    </row>
    <row r="694" customFormat="false" ht="15" hidden="false" customHeight="false" outlineLevel="0" collapsed="false">
      <c r="A694" s="36" t="n">
        <v>614</v>
      </c>
      <c r="B694" s="37" t="n">
        <f aca="false">1+IF($G$6=$E$6,$F$6,IF(P694&lt;($F$6-$E$6)/($G$6-$E$6),$E$6+SQRT(P694*($G$6-$E$6)*($F$6-$E$6)),$G$6-SQRT((1-P694)*($G$6-$E$6)*($G$6-$F$6))))</f>
        <v>0.970373069618599</v>
      </c>
      <c r="C694" s="37" t="n">
        <f aca="false">1+IF($G$7=$E$7,$F$7,IF(Q694&lt;($F$7-$E$7)/($G$7-$E$7),$E$7+SQRT(Q694*($G$7-$E$7)*($F$7-$E$7)),$G$7-SQRT((1-Q694)*($G$7-$E$7)*($G$7-$F$7))))</f>
        <v>0.909965330235836</v>
      </c>
      <c r="D694" s="37" t="n">
        <f aca="false">1+IF($G$8=$E$8,$F$8,IF(R694&lt;($F$8-$E$8)/($G$8-$E$8),$E$8+SQRT(R694*($G$8-$E$8)*($F$8-$E$8)),$G$8-SQRT((1-R694)*($G$8-$E$8)*($G$8-$F$8))))</f>
        <v>1.01297795388246</v>
      </c>
      <c r="E694" s="37" t="n">
        <f aca="false">1+IF($G$9=$E$9,$F$9,IF(S694&lt;($F$9-$E$9)/($G$9-$E$9),$E$9+SQRT(S694*($G$9-$E$9)*($F$9-$E$9)),$G$9-SQRT((1-S694)*($G$9-$E$9)*($G$9-$F$9))))</f>
        <v>1.07208108834249</v>
      </c>
      <c r="F694" s="37" t="n">
        <f aca="false">1+IF($G$10=$E$10,$F$10,IF(T694&lt;($F$10-$E$10)/($G$10-$E$10),$E$10+SQRT(T694*($G$10-$E$10)*($F$10-$E$10)),$G$10-SQRT((1-T694)*($G$10-$E$10)*($G$10-$F$10))))</f>
        <v>1.16240119883374</v>
      </c>
      <c r="G694" s="38" t="n">
        <f aca="false">IF($G$11=$E$11,$F$11,IF(U694&lt;($F$11-$E$11)/($G$11-$E$11),$E$11+SQRT(U694*($G$11-$E$11)*($F$11-$E$11)),$G$11-SQRT((1-U694)*($G$11-$E$11)*($G$11-$F$11))))</f>
        <v>0.103007580490971</v>
      </c>
      <c r="H694" s="39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-2324802397.66748</v>
      </c>
      <c r="I694" s="39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-63094670.7625916</v>
      </c>
      <c r="J694" s="39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188275732.42324</v>
      </c>
      <c r="K694" s="39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497766195.550758</v>
      </c>
      <c r="L694" s="39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612073012.147867</v>
      </c>
      <c r="M694" s="39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779914764.257942</v>
      </c>
      <c r="N694" s="39" t="n">
        <f aca="false">IF(COUNT('Business Case'!B11:G11)=0,"",H694+NPV(G694,I694:M694))</f>
        <v>-965111728.364651</v>
      </c>
      <c r="P694" s="40" t="n">
        <f aca="true">RAND()</f>
        <v>0.330157928502945</v>
      </c>
      <c r="Q694" s="40" t="n">
        <f aca="true">RAND()</f>
        <v>0.326558814081805</v>
      </c>
      <c r="R694" s="40" t="n">
        <f aca="true">RAND()</f>
        <v>0.4951442326344</v>
      </c>
      <c r="S694" s="40" t="n">
        <f aca="true">RAND()</f>
        <v>0.838097152162891</v>
      </c>
      <c r="T694" s="40" t="n">
        <f aca="true">RAND()</f>
        <v>0.89768600045645</v>
      </c>
      <c r="U694" s="40" t="n">
        <f aca="true">RAND()</f>
        <v>0.514272859365715</v>
      </c>
    </row>
    <row r="695" customFormat="false" ht="15" hidden="false" customHeight="false" outlineLevel="0" collapsed="false">
      <c r="A695" s="36" t="n">
        <v>615</v>
      </c>
      <c r="B695" s="37" t="n">
        <f aca="false">1+IF($G$6=$E$6,$F$6,IF(P695&lt;($F$6-$E$6)/($G$6-$E$6),$E$6+SQRT(P695*($G$6-$E$6)*($F$6-$E$6)),$G$6-SQRT((1-P695)*($G$6-$E$6)*($G$6-$F$6))))</f>
        <v>1.0088395943513</v>
      </c>
      <c r="C695" s="37" t="n">
        <f aca="false">1+IF($G$7=$E$7,$F$7,IF(Q695&lt;($F$7-$E$7)/($G$7-$E$7),$E$7+SQRT(Q695*($G$7-$E$7)*($F$7-$E$7)),$G$7-SQRT((1-Q695)*($G$7-$E$7)*($G$7-$F$7))))</f>
        <v>1.08604851696345</v>
      </c>
      <c r="D695" s="37" t="n">
        <f aca="false">1+IF($G$8=$E$8,$F$8,IF(R695&lt;($F$8-$E$8)/($G$8-$E$8),$E$8+SQRT(R695*($G$8-$E$8)*($F$8-$E$8)),$G$8-SQRT((1-R695)*($G$8-$E$8)*($G$8-$F$8))))</f>
        <v>1.00217655879351</v>
      </c>
      <c r="E695" s="37" t="n">
        <f aca="false">1+IF($G$9=$E$9,$F$9,IF(S695&lt;($F$9-$E$9)/($G$9-$E$9),$E$9+SQRT(S695*($G$9-$E$9)*($F$9-$E$9)),$G$9-SQRT((1-S695)*($G$9-$E$9)*($G$9-$F$9))))</f>
        <v>0.952837405664086</v>
      </c>
      <c r="F695" s="37" t="n">
        <f aca="false">1+IF($G$10=$E$10,$F$10,IF(T695&lt;($F$10-$E$10)/($G$10-$E$10),$E$10+SQRT(T695*($G$10-$E$10)*($F$10-$E$10)),$G$10-SQRT((1-T695)*($G$10-$E$10)*($G$10-$F$10))))</f>
        <v>1.10216176693909</v>
      </c>
      <c r="G695" s="38" t="n">
        <f aca="false">IF($G$11=$E$11,$F$11,IF(U695&lt;($F$11-$E$11)/($G$11-$E$11),$E$11+SQRT(U695*($G$11-$E$11)*($F$11-$E$11)),$G$11-SQRT((1-U695)*($G$11-$E$11)*($G$11-$F$11))))</f>
        <v>0.0992600964779758</v>
      </c>
      <c r="H695" s="39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-2204323533.87818</v>
      </c>
      <c r="I695" s="39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37727064.2717488</v>
      </c>
      <c r="J695" s="39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377962215.279152</v>
      </c>
      <c r="K695" s="39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773305454.63351</v>
      </c>
      <c r="L695" s="39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924582792.27352</v>
      </c>
      <c r="M695" s="39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1132843705.78</v>
      </c>
      <c r="N695" s="39" t="n">
        <f aca="false">IF(COUNT('Business Case'!B11:G11)=0,"",H695+NPV(G695,I695:M695))</f>
        <v>63934541.0091805</v>
      </c>
      <c r="P695" s="40" t="n">
        <f aca="true">RAND()</f>
        <v>0.774109467577951</v>
      </c>
      <c r="Q695" s="40" t="n">
        <f aca="true">RAND()</f>
        <v>0.939410486184096</v>
      </c>
      <c r="R695" s="40" t="n">
        <f aca="true">RAND()</f>
        <v>0.362038290034667</v>
      </c>
      <c r="S695" s="40" t="n">
        <f aca="true">RAND()</f>
        <v>0.111671657492448</v>
      </c>
      <c r="T695" s="40" t="n">
        <f aca="true">RAND()</f>
        <v>0.708584757939035</v>
      </c>
      <c r="U695" s="40" t="n">
        <f aca="true">RAND()</f>
        <v>0.370951316340936</v>
      </c>
    </row>
    <row r="696" customFormat="false" ht="15" hidden="false" customHeight="false" outlineLevel="0" collapsed="false">
      <c r="A696" s="36" t="n">
        <v>616</v>
      </c>
      <c r="B696" s="37" t="n">
        <f aca="false">1+IF($G$6=$E$6,$F$6,IF(P696&lt;($F$6-$E$6)/($G$6-$E$6),$E$6+SQRT(P696*($G$6-$E$6)*($F$6-$E$6)),$G$6-SQRT((1-P696)*($G$6-$E$6)*($G$6-$F$6))))</f>
        <v>1.01318191811053</v>
      </c>
      <c r="C696" s="37" t="n">
        <f aca="false">1+IF($G$7=$E$7,$F$7,IF(Q696&lt;($F$7-$E$7)/($G$7-$E$7),$E$7+SQRT(Q696*($G$7-$E$7)*($F$7-$E$7)),$G$7-SQRT((1-Q696)*($G$7-$E$7)*($G$7-$F$7))))</f>
        <v>1.01146761104532</v>
      </c>
      <c r="D696" s="37" t="n">
        <f aca="false">1+IF($G$8=$E$8,$F$8,IF(R696&lt;($F$8-$E$8)/($G$8-$E$8),$E$8+SQRT(R696*($G$8-$E$8)*($F$8-$E$8)),$G$8-SQRT((1-R696)*($G$8-$E$8)*($G$8-$F$8))))</f>
        <v>1.03327860252808</v>
      </c>
      <c r="E696" s="37" t="n">
        <f aca="false">1+IF($G$9=$E$9,$F$9,IF(S696&lt;($F$9-$E$9)/($G$9-$E$9),$E$9+SQRT(S696*($G$9-$E$9)*($F$9-$E$9)),$G$9-SQRT((1-S696)*($G$9-$E$9)*($G$9-$F$9))))</f>
        <v>0.98135431896331</v>
      </c>
      <c r="F696" s="37" t="n">
        <f aca="false">1+IF($G$10=$E$10,$F$10,IF(T696&lt;($F$10-$E$10)/($G$10-$E$10),$E$10+SQRT(T696*($G$10-$E$10)*($F$10-$E$10)),$G$10-SQRT((1-T696)*($G$10-$E$10)*($G$10-$F$10))))</f>
        <v>1.06411441298896</v>
      </c>
      <c r="G696" s="38" t="n">
        <f aca="false">IF($G$11=$E$11,$F$11,IF(U696&lt;($F$11-$E$11)/($G$11-$E$11),$E$11+SQRT(U696*($G$11-$E$11)*($F$11-$E$11)),$G$11-SQRT((1-U696)*($G$11-$E$11)*($G$11-$F$11))))</f>
        <v>0.111775906956086</v>
      </c>
      <c r="H696" s="39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-2128228825.97792</v>
      </c>
      <c r="I696" s="39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5278017.1370706</v>
      </c>
      <c r="J696" s="39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309641727.720347</v>
      </c>
      <c r="K696" s="39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667211158.95307</v>
      </c>
      <c r="L696" s="39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804082841.141314</v>
      </c>
      <c r="M696" s="39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998876957.107312</v>
      </c>
      <c r="N696" s="39" t="n">
        <f aca="false">IF(COUNT('Business Case'!B11:G11)=0,"",H696+NPV(G696,I696:M696))</f>
        <v>-273083035.899878</v>
      </c>
      <c r="P696" s="40" t="n">
        <f aca="true">RAND()</f>
        <v>0.819257179464003</v>
      </c>
      <c r="Q696" s="40" t="n">
        <f aca="true">RAND()</f>
        <v>0.715685588303825</v>
      </c>
      <c r="R696" s="40" t="n">
        <f aca="true">RAND()</f>
        <v>0.703217007959616</v>
      </c>
      <c r="S696" s="40" t="n">
        <f aca="true">RAND()</f>
        <v>0.264741008559358</v>
      </c>
      <c r="T696" s="40" t="n">
        <f aca="true">RAND()</f>
        <v>0.539287313887482</v>
      </c>
      <c r="U696" s="40" t="n">
        <f aca="true">RAND()</f>
        <v>0.778588288484518</v>
      </c>
    </row>
    <row r="697" customFormat="false" ht="15" hidden="false" customHeight="false" outlineLevel="0" collapsed="false">
      <c r="A697" s="36" t="n">
        <v>617</v>
      </c>
      <c r="B697" s="37" t="n">
        <f aca="false">1+IF($G$6=$E$6,$F$6,IF(P697&lt;($F$6-$E$6)/($G$6-$E$6),$E$6+SQRT(P697*($G$6-$E$6)*($F$6-$E$6)),$G$6-SQRT((1-P697)*($G$6-$E$6)*($G$6-$F$6))))</f>
        <v>1.02949188813028</v>
      </c>
      <c r="C697" s="37" t="n">
        <f aca="false">1+IF($G$7=$E$7,$F$7,IF(Q697&lt;($F$7-$E$7)/($G$7-$E$7),$E$7+SQRT(Q697*($G$7-$E$7)*($F$7-$E$7)),$G$7-SQRT((1-Q697)*($G$7-$E$7)*($G$7-$F$7))))</f>
        <v>1.06936663894564</v>
      </c>
      <c r="D697" s="37" t="n">
        <f aca="false">1+IF($G$8=$E$8,$F$8,IF(R697&lt;($F$8-$E$8)/($G$8-$E$8),$E$8+SQRT(R697*($G$8-$E$8)*($F$8-$E$8)),$G$8-SQRT((1-R697)*($G$8-$E$8)*($G$8-$F$8))))</f>
        <v>1.03407203761688</v>
      </c>
      <c r="E697" s="37" t="n">
        <f aca="false">1+IF($G$9=$E$9,$F$9,IF(S697&lt;($F$9-$E$9)/($G$9-$E$9),$E$9+SQRT(S697*($G$9-$E$9)*($F$9-$E$9)),$G$9-SQRT((1-S697)*($G$9-$E$9)*($G$9-$F$9))))</f>
        <v>0.957156433081905</v>
      </c>
      <c r="F697" s="37" t="n">
        <f aca="false">1+IF($G$10=$E$10,$F$10,IF(T697&lt;($F$10-$E$10)/($G$10-$E$10),$E$10+SQRT(T697*($G$10-$E$10)*($F$10-$E$10)),$G$10-SQRT((1-T697)*($G$10-$E$10)*($G$10-$F$10))))</f>
        <v>1.00600894907889</v>
      </c>
      <c r="G697" s="38" t="n">
        <f aca="false">IF($G$11=$E$11,$F$11,IF(U697&lt;($F$11-$E$11)/($G$11-$E$11),$E$11+SQRT(U697*($G$11-$E$11)*($F$11-$E$11)),$G$11-SQRT((1-U697)*($G$11-$E$11)*($G$11-$F$11))))</f>
        <v>0.0922771504637551</v>
      </c>
      <c r="H697" s="39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-2012017898.15779</v>
      </c>
      <c r="I697" s="39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41858221.8911784</v>
      </c>
      <c r="J697" s="39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377495861.361703</v>
      </c>
      <c r="K697" s="39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763433948.286173</v>
      </c>
      <c r="L697" s="39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913360413.367822</v>
      </c>
      <c r="M697" s="39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1122620298.95426</v>
      </c>
      <c r="N697" s="39" t="n">
        <f aca="false">IF(COUNT('Business Case'!B11:G11)=0,"",H697+NPV(G697,I697:M697))</f>
        <v>292264045.1038</v>
      </c>
      <c r="P697" s="40" t="n">
        <f aca="true">RAND()</f>
        <v>0.943922313005228</v>
      </c>
      <c r="Q697" s="40" t="n">
        <f aca="true">RAND()</f>
        <v>0.903677942001144</v>
      </c>
      <c r="R697" s="40" t="n">
        <f aca="true">RAND()</f>
        <v>0.710233585067303</v>
      </c>
      <c r="S697" s="40" t="n">
        <f aca="true">RAND()</f>
        <v>0.130674313705851</v>
      </c>
      <c r="T697" s="40" t="n">
        <f aca="true">RAND()</f>
        <v>0.20624489427219</v>
      </c>
      <c r="U697" s="40" t="n">
        <f aca="true">RAND()</f>
        <v>0.150728423509681</v>
      </c>
    </row>
    <row r="698" customFormat="false" ht="15" hidden="false" customHeight="false" outlineLevel="0" collapsed="false">
      <c r="A698" s="36" t="n">
        <v>618</v>
      </c>
      <c r="B698" s="37" t="n">
        <f aca="false">1+IF($G$6=$E$6,$F$6,IF(P698&lt;($F$6-$E$6)/($G$6-$E$6),$E$6+SQRT(P698*($G$6-$E$6)*($F$6-$E$6)),$G$6-SQRT((1-P698)*($G$6-$E$6)*($G$6-$F$6))))</f>
        <v>0.985293276510206</v>
      </c>
      <c r="C698" s="37" t="n">
        <f aca="false">1+IF($G$7=$E$7,$F$7,IF(Q698&lt;($F$7-$E$7)/($G$7-$E$7),$E$7+SQRT(Q698*($G$7-$E$7)*($F$7-$E$7)),$G$7-SQRT((1-Q698)*($G$7-$E$7)*($G$7-$F$7))))</f>
        <v>0.965995726365626</v>
      </c>
      <c r="D698" s="37" t="n">
        <f aca="false">1+IF($G$8=$E$8,$F$8,IF(R698&lt;($F$8-$E$8)/($G$8-$E$8),$E$8+SQRT(R698*($G$8-$E$8)*($F$8-$E$8)),$G$8-SQRT((1-R698)*($G$8-$E$8)*($G$8-$F$8))))</f>
        <v>1.09296714804677</v>
      </c>
      <c r="E698" s="37" t="n">
        <f aca="false">1+IF($G$9=$E$9,$F$9,IF(S698&lt;($F$9-$E$9)/($G$9-$E$9),$E$9+SQRT(S698*($G$9-$E$9)*($F$9-$E$9)),$G$9-SQRT((1-S698)*($G$9-$E$9)*($G$9-$F$9))))</f>
        <v>0.918722335869088</v>
      </c>
      <c r="F698" s="37" t="n">
        <f aca="false">1+IF($G$10=$E$10,$F$10,IF(T698&lt;($F$10-$E$10)/($G$10-$E$10),$E$10+SQRT(T698*($G$10-$E$10)*($F$10-$E$10)),$G$10-SQRT((1-T698)*($G$10-$E$10)*($G$10-$F$10))))</f>
        <v>1.21669334167081</v>
      </c>
      <c r="G698" s="38" t="n">
        <f aca="false">IF($G$11=$E$11,$F$11,IF(U698&lt;($F$11-$E$11)/($G$11-$E$11),$E$11+SQRT(U698*($G$11-$E$11)*($F$11-$E$11)),$G$11-SQRT((1-U698)*($G$11-$E$11)*($G$11-$F$11))))</f>
        <v>0.122553518339425</v>
      </c>
      <c r="H698" s="39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-2433386683.34162</v>
      </c>
      <c r="I698" s="39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-62554551.9469429</v>
      </c>
      <c r="J698" s="39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176543293.083621</v>
      </c>
      <c r="K698" s="39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476475805.197725</v>
      </c>
      <c r="L698" s="39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589068917.974474</v>
      </c>
      <c r="M698" s="39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769984989.023892</v>
      </c>
      <c r="N698" s="39" t="n">
        <f aca="false">IF(COUNT('Business Case'!B11:G11)=0,"",H698+NPV(G698,I698:M698))</f>
        <v>-1209242664.46284</v>
      </c>
      <c r="P698" s="40" t="n">
        <f aca="true">RAND()</f>
        <v>0.484996201189764</v>
      </c>
      <c r="Q698" s="40" t="n">
        <f aca="true">RAND()</f>
        <v>0.524101677368717</v>
      </c>
      <c r="R698" s="40" t="n">
        <f aca="true">RAND()</f>
        <v>0.99670259956026</v>
      </c>
      <c r="S698" s="40" t="n">
        <f aca="true">RAND()</f>
        <v>0.0140210344157975</v>
      </c>
      <c r="T698" s="40" t="n">
        <f aca="true">RAND()</f>
        <v>0.985208886812567</v>
      </c>
      <c r="U698" s="40" t="n">
        <f aca="true">RAND()</f>
        <v>0.963033273919151</v>
      </c>
    </row>
    <row r="699" customFormat="false" ht="15" hidden="false" customHeight="false" outlineLevel="0" collapsed="false">
      <c r="A699" s="36" t="n">
        <v>619</v>
      </c>
      <c r="B699" s="37" t="n">
        <f aca="false">1+IF($G$6=$E$6,$F$6,IF(P699&lt;($F$6-$E$6)/($G$6-$E$6),$E$6+SQRT(P699*($G$6-$E$6)*($F$6-$E$6)),$G$6-SQRT((1-P699)*($G$6-$E$6)*($G$6-$F$6))))</f>
        <v>0.980351519815473</v>
      </c>
      <c r="C699" s="37" t="n">
        <f aca="false">1+IF($G$7=$E$7,$F$7,IF(Q699&lt;($F$7-$E$7)/($G$7-$E$7),$E$7+SQRT(Q699*($G$7-$E$7)*($F$7-$E$7)),$G$7-SQRT((1-Q699)*($G$7-$E$7)*($G$7-$F$7))))</f>
        <v>0.955513189737656</v>
      </c>
      <c r="D699" s="37" t="n">
        <f aca="false">1+IF($G$8=$E$8,$F$8,IF(R699&lt;($F$8-$E$8)/($G$8-$E$8),$E$8+SQRT(R699*($G$8-$E$8)*($F$8-$E$8)),$G$8-SQRT((1-R699)*($G$8-$E$8)*($G$8-$F$8))))</f>
        <v>0.998521104925788</v>
      </c>
      <c r="E699" s="37" t="n">
        <f aca="false">1+IF($G$9=$E$9,$F$9,IF(S699&lt;($F$9-$E$9)/($G$9-$E$9),$E$9+SQRT(S699*($G$9-$E$9)*($F$9-$E$9)),$G$9-SQRT((1-S699)*($G$9-$E$9)*($G$9-$F$9))))</f>
        <v>1.12076208885681</v>
      </c>
      <c r="F699" s="37" t="n">
        <f aca="false">1+IF($G$10=$E$10,$F$10,IF(T699&lt;($F$10-$E$10)/($G$10-$E$10),$E$10+SQRT(T699*($G$10-$E$10)*($F$10-$E$10)),$G$10-SQRT((1-T699)*($G$10-$E$10)*($G$10-$F$10))))</f>
        <v>1.08262698826053</v>
      </c>
      <c r="G699" s="38" t="n">
        <f aca="false">IF($G$11=$E$11,$F$11,IF(U699&lt;($F$11-$E$11)/($G$11-$E$11),$E$11+SQRT(U699*($G$11-$E$11)*($F$11-$E$11)),$G$11-SQRT((1-U699)*($G$11-$E$11)*($G$11-$F$11))))</f>
        <v>0.114511116753285</v>
      </c>
      <c r="H699" s="39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-2165253976.52105</v>
      </c>
      <c r="I699" s="39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-37361994.9228188</v>
      </c>
      <c r="J699" s="39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241471617.81029</v>
      </c>
      <c r="K699" s="39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574436579.956425</v>
      </c>
      <c r="L699" s="39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699754810.730419</v>
      </c>
      <c r="M699" s="39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877810123.310018</v>
      </c>
      <c r="N699" s="39" t="n">
        <f aca="false">IF(COUNT('Business Case'!B11:G11)=0,"",H699+NPV(G699,I699:M699))</f>
        <v>-625421167.763269</v>
      </c>
      <c r="P699" s="40" t="n">
        <f aca="true">RAND()</f>
        <v>0.430424449110422</v>
      </c>
      <c r="Q699" s="40" t="n">
        <f aca="true">RAND()</f>
        <v>0.483607334295641</v>
      </c>
      <c r="R699" s="40" t="n">
        <f aca="true">RAND()</f>
        <v>0.313906349762573</v>
      </c>
      <c r="S699" s="40" t="n">
        <f aca="true">RAND()</f>
        <v>0.97720385471955</v>
      </c>
      <c r="T699" s="40" t="n">
        <f aca="true">RAND()</f>
        <v>0.62648366588344</v>
      </c>
      <c r="U699" s="40" t="n">
        <f aca="true">RAND()</f>
        <v>0.840062997179763</v>
      </c>
    </row>
    <row r="700" customFormat="false" ht="15" hidden="false" customHeight="false" outlineLevel="0" collapsed="false">
      <c r="A700" s="36" t="n">
        <v>620</v>
      </c>
      <c r="B700" s="37" t="n">
        <f aca="false">1+IF($G$6=$E$6,$F$6,IF(P700&lt;($F$6-$E$6)/($G$6-$E$6),$E$6+SQRT(P700*($G$6-$E$6)*($F$6-$E$6)),$G$6-SQRT((1-P700)*($G$6-$E$6)*($G$6-$F$6))))</f>
        <v>0.984484222759425</v>
      </c>
      <c r="C700" s="37" t="n">
        <f aca="false">1+IF($G$7=$E$7,$F$7,IF(Q700&lt;($F$7-$E$7)/($G$7-$E$7),$E$7+SQRT(Q700*($G$7-$E$7)*($F$7-$E$7)),$G$7-SQRT((1-Q700)*($G$7-$E$7)*($G$7-$F$7))))</f>
        <v>0.938659512438539</v>
      </c>
      <c r="D700" s="37" t="n">
        <f aca="false">1+IF($G$8=$E$8,$F$8,IF(R700&lt;($F$8-$E$8)/($G$8-$E$8),$E$8+SQRT(R700*($G$8-$E$8)*($F$8-$E$8)),$G$8-SQRT((1-R700)*($G$8-$E$8)*($G$8-$F$8))))</f>
        <v>1.03240995239438</v>
      </c>
      <c r="E700" s="37" t="n">
        <f aca="false">1+IF($G$9=$E$9,$F$9,IF(S700&lt;($F$9-$E$9)/($G$9-$E$9),$E$9+SQRT(S700*($G$9-$E$9)*($F$9-$E$9)),$G$9-SQRT((1-S700)*($G$9-$E$9)*($G$9-$F$9))))</f>
        <v>0.973437441262312</v>
      </c>
      <c r="F700" s="37" t="n">
        <f aca="false">1+IF($G$10=$E$10,$F$10,IF(T700&lt;($F$10-$E$10)/($G$10-$E$10),$E$10+SQRT(T700*($G$10-$E$10)*($F$10-$E$10)),$G$10-SQRT((1-T700)*($G$10-$E$10)*($G$10-$F$10))))</f>
        <v>1.0461190532323</v>
      </c>
      <c r="G700" s="38" t="n">
        <f aca="false">IF($G$11=$E$11,$F$11,IF(U700&lt;($F$11-$E$11)/($G$11-$E$11),$E$11+SQRT(U700*($G$11-$E$11)*($F$11-$E$11)),$G$11-SQRT((1-U700)*($G$11-$E$11)*($G$11-$F$11))))</f>
        <v>0.0831227196650085</v>
      </c>
      <c r="H700" s="39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-2092238106.4646</v>
      </c>
      <c r="I700" s="39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-30131247.5783999</v>
      </c>
      <c r="J700" s="39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230677324.025062</v>
      </c>
      <c r="K700" s="39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543791848.290139</v>
      </c>
      <c r="L700" s="39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662664778.632048</v>
      </c>
      <c r="M700" s="39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838316847.572862</v>
      </c>
      <c r="N700" s="39" t="n">
        <f aca="false">IF(COUNT('Business Case'!B11:G11)=0,"",H700+NPV(G700,I700:M700))</f>
        <v>-451617937.42464</v>
      </c>
      <c r="P700" s="40" t="n">
        <f aca="true">RAND()</f>
        <v>0.475838926350945</v>
      </c>
      <c r="Q700" s="40" t="n">
        <f aca="true">RAND()</f>
        <v>0.421913799091859</v>
      </c>
      <c r="R700" s="40" t="n">
        <f aca="true">RAND()</f>
        <v>0.695439030977968</v>
      </c>
      <c r="S700" s="40" t="n">
        <f aca="true">RAND()</f>
        <v>0.215722311166219</v>
      </c>
      <c r="T700" s="40" t="n">
        <f aca="true">RAND()</f>
        <v>0.445767460601427</v>
      </c>
      <c r="U700" s="40" t="n">
        <f aca="true">RAND()</f>
        <v>0.00975137810623076</v>
      </c>
    </row>
    <row r="701" customFormat="false" ht="15" hidden="false" customHeight="false" outlineLevel="0" collapsed="false">
      <c r="A701" s="36" t="n">
        <v>621</v>
      </c>
      <c r="B701" s="37" t="n">
        <f aca="false">1+IF($G$6=$E$6,$F$6,IF(P701&lt;($F$6-$E$6)/($G$6-$E$6),$E$6+SQRT(P701*($G$6-$E$6)*($F$6-$E$6)),$G$6-SQRT((1-P701)*($G$6-$E$6)*($G$6-$F$6))))</f>
        <v>0.995816901091031</v>
      </c>
      <c r="C701" s="37" t="n">
        <f aca="false">1+IF($G$7=$E$7,$F$7,IF(Q701&lt;($F$7-$E$7)/($G$7-$E$7),$E$7+SQRT(Q701*($G$7-$E$7)*($F$7-$E$7)),$G$7-SQRT((1-Q701)*($G$7-$E$7)*($G$7-$F$7))))</f>
        <v>0.902790316789446</v>
      </c>
      <c r="D701" s="37" t="n">
        <f aca="false">1+IF($G$8=$E$8,$F$8,IF(R701&lt;($F$8-$E$8)/($G$8-$E$8),$E$8+SQRT(R701*($G$8-$E$8)*($F$8-$E$8)),$G$8-SQRT((1-R701)*($G$8-$E$8)*($G$8-$F$8))))</f>
        <v>0.984800260806639</v>
      </c>
      <c r="E701" s="37" t="n">
        <f aca="false">1+IF($G$9=$E$9,$F$9,IF(S701&lt;($F$9-$E$9)/($G$9-$E$9),$E$9+SQRT(S701*($G$9-$E$9)*($F$9-$E$9)),$G$9-SQRT((1-S701)*($G$9-$E$9)*($G$9-$F$9))))</f>
        <v>0.983396200747388</v>
      </c>
      <c r="F701" s="37" t="n">
        <f aca="false">1+IF($G$10=$E$10,$F$10,IF(T701&lt;($F$10-$E$10)/($G$10-$E$10),$E$10+SQRT(T701*($G$10-$E$10)*($F$10-$E$10)),$G$10-SQRT((1-T701)*($G$10-$E$10)*($G$10-$F$10))))</f>
        <v>1.04418849217683</v>
      </c>
      <c r="G701" s="38" t="n">
        <f aca="false">IF($G$11=$E$11,$F$11,IF(U701&lt;($F$11-$E$11)/($G$11-$E$11),$E$11+SQRT(U701*($G$11-$E$11)*($F$11-$E$11)),$G$11-SQRT((1-U701)*($G$11-$E$11)*($G$11-$F$11))))</f>
        <v>0.0952050920186083</v>
      </c>
      <c r="H701" s="39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-2088376984.35367</v>
      </c>
      <c r="I701" s="39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-9637352.44002506</v>
      </c>
      <c r="J701" s="39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271587962.358229</v>
      </c>
      <c r="K701" s="39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605022701.765325</v>
      </c>
      <c r="L701" s="39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729834392.214288</v>
      </c>
      <c r="M701" s="39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900718945.886785</v>
      </c>
      <c r="N701" s="39" t="n">
        <f aca="false">IF(COUNT('Business Case'!B11:G11)=0,"",H701+NPV(G701,I701:M701))</f>
        <v>-331295064.456143</v>
      </c>
      <c r="P701" s="40" t="n">
        <f aca="true">RAND()</f>
        <v>0.612058568979222</v>
      </c>
      <c r="Q701" s="40" t="n">
        <f aca="true">RAND()</f>
        <v>0.304621574693066</v>
      </c>
      <c r="R701" s="40" t="n">
        <f aca="true">RAND()</f>
        <v>0.161474420294681</v>
      </c>
      <c r="S701" s="40" t="n">
        <f aca="true">RAND()</f>
        <v>0.278197051963943</v>
      </c>
      <c r="T701" s="40" t="n">
        <f aca="true">RAND()</f>
        <v>0.435221643300729</v>
      </c>
      <c r="U701" s="40" t="n">
        <f aca="true">RAND()</f>
        <v>0.231194823294346</v>
      </c>
    </row>
    <row r="702" customFormat="false" ht="15" hidden="false" customHeight="false" outlineLevel="0" collapsed="false">
      <c r="A702" s="36" t="n">
        <v>622</v>
      </c>
      <c r="B702" s="37" t="n">
        <f aca="false">1+IF($G$6=$E$6,$F$6,IF(P702&lt;($F$6-$E$6)/($G$6-$E$6),$E$6+SQRT(P702*($G$6-$E$6)*($F$6-$E$6)),$G$6-SQRT((1-P702)*($G$6-$E$6)*($G$6-$F$6))))</f>
        <v>0.92605331690188</v>
      </c>
      <c r="C702" s="37" t="n">
        <f aca="false">1+IF($G$7=$E$7,$F$7,IF(Q702&lt;($F$7-$E$7)/($G$7-$E$7),$E$7+SQRT(Q702*($G$7-$E$7)*($F$7-$E$7)),$G$7-SQRT((1-Q702)*($G$7-$E$7)*($G$7-$F$7))))</f>
        <v>0.751253387191064</v>
      </c>
      <c r="D702" s="37" t="n">
        <f aca="false">1+IF($G$8=$E$8,$F$8,IF(R702&lt;($F$8-$E$8)/($G$8-$E$8),$E$8+SQRT(R702*($G$8-$E$8)*($F$8-$E$8)),$G$8-SQRT((1-R702)*($G$8-$E$8)*($G$8-$F$8))))</f>
        <v>1.02077209146817</v>
      </c>
      <c r="E702" s="37" t="n">
        <f aca="false">1+IF($G$9=$E$9,$F$9,IF(S702&lt;($F$9-$E$9)/($G$9-$E$9),$E$9+SQRT(S702*($G$9-$E$9)*($F$9-$E$9)),$G$9-SQRT((1-S702)*($G$9-$E$9)*($G$9-$F$9))))</f>
        <v>0.997495649327359</v>
      </c>
      <c r="F702" s="37" t="n">
        <f aca="false">1+IF($G$10=$E$10,$F$10,IF(T702&lt;($F$10-$E$10)/($G$10-$E$10),$E$10+SQRT(T702*($G$10-$E$10)*($F$10-$E$10)),$G$10-SQRT((1-T702)*($G$10-$E$10)*($G$10-$F$10))))</f>
        <v>1.09533870036591</v>
      </c>
      <c r="G702" s="38" t="n">
        <f aca="false">IF($G$11=$E$11,$F$11,IF(U702&lt;($F$11-$E$11)/($G$11-$E$11),$E$11+SQRT(U702*($G$11-$E$11)*($F$11-$E$11)),$G$11-SQRT((1-U702)*($G$11-$E$11)*($G$11-$F$11))))</f>
        <v>0.116111642605802</v>
      </c>
      <c r="H702" s="39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-2190677400.73182</v>
      </c>
      <c r="I702" s="39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-110184117.630033</v>
      </c>
      <c r="J702" s="39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67074639.9344963</v>
      </c>
      <c r="K702" s="39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299100332.517321</v>
      </c>
      <c r="L702" s="39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382230000.921244</v>
      </c>
      <c r="M702" s="39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514468788.274518</v>
      </c>
      <c r="N702" s="39" t="n">
        <f aca="false">IF(COUNT('Business Case'!B11:G11)=0,"",H702+NPV(G702,I702:M702))</f>
        <v>-1477066622.88911</v>
      </c>
      <c r="P702" s="40" t="n">
        <f aca="true">RAND()</f>
        <v>0.0452516881059849</v>
      </c>
      <c r="Q702" s="40" t="n">
        <f aca="true">RAND()</f>
        <v>0.0194585903596826</v>
      </c>
      <c r="R702" s="40" t="n">
        <f aca="true">RAND()</f>
        <v>0.581529233978148</v>
      </c>
      <c r="S702" s="40" t="n">
        <f aca="true">RAND()</f>
        <v>0.380216065510533</v>
      </c>
      <c r="T702" s="40" t="n">
        <f aca="true">RAND()</f>
        <v>0.681065098606583</v>
      </c>
      <c r="U702" s="40" t="n">
        <f aca="true">RAND()</f>
        <v>0.87140901926068</v>
      </c>
    </row>
    <row r="703" customFormat="false" ht="15" hidden="false" customHeight="false" outlineLevel="0" collapsed="false">
      <c r="A703" s="36" t="n">
        <v>623</v>
      </c>
      <c r="B703" s="37" t="n">
        <f aca="false">1+IF($G$6=$E$6,$F$6,IF(P703&lt;($F$6-$E$6)/($G$6-$E$6),$E$6+SQRT(P703*($G$6-$E$6)*($F$6-$E$6)),$G$6-SQRT((1-P703)*($G$6-$E$6)*($G$6-$F$6))))</f>
        <v>0.957297222613887</v>
      </c>
      <c r="C703" s="37" t="n">
        <f aca="false">1+IF($G$7=$E$7,$F$7,IF(Q703&lt;($F$7-$E$7)/($G$7-$E$7),$E$7+SQRT(Q703*($G$7-$E$7)*($F$7-$E$7)),$G$7-SQRT((1-Q703)*($G$7-$E$7)*($G$7-$F$7))))</f>
        <v>1.00498562477821</v>
      </c>
      <c r="D703" s="37" t="n">
        <f aca="false">1+IF($G$8=$E$8,$F$8,IF(R703&lt;($F$8-$E$8)/($G$8-$E$8),$E$8+SQRT(R703*($G$8-$E$8)*($F$8-$E$8)),$G$8-SQRT((1-R703)*($G$8-$E$8)*($G$8-$F$8))))</f>
        <v>1.03815353622391</v>
      </c>
      <c r="E703" s="37" t="n">
        <f aca="false">1+IF($G$9=$E$9,$F$9,IF(S703&lt;($F$9-$E$9)/($G$9-$E$9),$E$9+SQRT(S703*($G$9-$E$9)*($F$9-$E$9)),$G$9-SQRT((1-S703)*($G$9-$E$9)*($G$9-$F$9))))</f>
        <v>0.970767500064194</v>
      </c>
      <c r="F703" s="37" t="n">
        <f aca="false">1+IF($G$10=$E$10,$F$10,IF(T703&lt;($F$10-$E$10)/($G$10-$E$10),$E$10+SQRT(T703*($G$10-$E$10)*($F$10-$E$10)),$G$10-SQRT((1-T703)*($G$10-$E$10)*($G$10-$F$10))))</f>
        <v>1.16522708872086</v>
      </c>
      <c r="G703" s="38" t="n">
        <f aca="false">IF($G$11=$E$11,$F$11,IF(U703&lt;($F$11-$E$11)/($G$11-$E$11),$E$11+SQRT(U703*($G$11-$E$11)*($F$11-$E$11)),$G$11-SQRT((1-U703)*($G$11-$E$11)*($G$11-$F$11))))</f>
        <v>0.0853669979713138</v>
      </c>
      <c r="H703" s="39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-2330454177.44171</v>
      </c>
      <c r="I703" s="39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-50536173.843932</v>
      </c>
      <c r="J703" s="39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203367205.764859</v>
      </c>
      <c r="K703" s="39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515531939.809692</v>
      </c>
      <c r="L703" s="39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633415537.060294</v>
      </c>
      <c r="M703" s="39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816285792.655826</v>
      </c>
      <c r="N703" s="39" t="n">
        <f aca="false">IF(COUNT('Business Case'!B11:G11)=0,"",H703+NPV(G703,I703:M703))</f>
        <v>-802787721.801659</v>
      </c>
      <c r="P703" s="40" t="n">
        <f aca="true">RAND()</f>
        <v>0.218864781284351</v>
      </c>
      <c r="Q703" s="40" t="n">
        <f aca="true">RAND()</f>
        <v>0.688456755244949</v>
      </c>
      <c r="R703" s="40" t="n">
        <f aca="true">RAND()</f>
        <v>0.745000994559545</v>
      </c>
      <c r="S703" s="40" t="n">
        <f aca="true">RAND()</f>
        <v>0.200321562613427</v>
      </c>
      <c r="T703" s="40" t="n">
        <f aca="true">RAND()</f>
        <v>0.904180713510114</v>
      </c>
      <c r="U703" s="40" t="n">
        <f aca="true">RAND()</f>
        <v>0.0288046672240865</v>
      </c>
    </row>
    <row r="704" customFormat="false" ht="15" hidden="false" customHeight="false" outlineLevel="0" collapsed="false">
      <c r="A704" s="36" t="n">
        <v>624</v>
      </c>
      <c r="B704" s="37" t="n">
        <f aca="false">1+IF($G$6=$E$6,$F$6,IF(P704&lt;($F$6-$E$6)/($G$6-$E$6),$E$6+SQRT(P704*($G$6-$E$6)*($F$6-$E$6)),$G$6-SQRT((1-P704)*($G$6-$E$6)*($G$6-$F$6))))</f>
        <v>0.96092347902771</v>
      </c>
      <c r="C704" s="37" t="n">
        <f aca="false">1+IF($G$7=$E$7,$F$7,IF(Q704&lt;($F$7-$E$7)/($G$7-$E$7),$E$7+SQRT(Q704*($G$7-$E$7)*($F$7-$E$7)),$G$7-SQRT((1-Q704)*($G$7-$E$7)*($G$7-$F$7))))</f>
        <v>0.810934292695168</v>
      </c>
      <c r="D704" s="37" t="n">
        <f aca="false">1+IF($G$8=$E$8,$F$8,IF(R704&lt;($F$8-$E$8)/($G$8-$E$8),$E$8+SQRT(R704*($G$8-$E$8)*($F$8-$E$8)),$G$8-SQRT((1-R704)*($G$8-$E$8)*($G$8-$F$8))))</f>
        <v>1.00564314470953</v>
      </c>
      <c r="E704" s="37" t="n">
        <f aca="false">1+IF($G$9=$E$9,$F$9,IF(S704&lt;($F$9-$E$9)/($G$9-$E$9),$E$9+SQRT(S704*($G$9-$E$9)*($F$9-$E$9)),$G$9-SQRT((1-S704)*($G$9-$E$9)*($G$9-$F$9))))</f>
        <v>1.04240915103718</v>
      </c>
      <c r="F704" s="37" t="n">
        <f aca="false">1+IF($G$10=$E$10,$F$10,IF(T704&lt;($F$10-$E$10)/($G$10-$E$10),$E$10+SQRT(T704*($G$10-$E$10)*($F$10-$E$10)),$G$10-SQRT((1-T704)*($G$10-$E$10)*($G$10-$F$10))))</f>
        <v>1.15596376219726</v>
      </c>
      <c r="G704" s="38" t="n">
        <f aca="false">IF($G$11=$E$11,$F$11,IF(U704&lt;($F$11-$E$11)/($G$11-$E$11),$E$11+SQRT(U704*($G$11-$E$11)*($F$11-$E$11)),$G$11-SQRT((1-U704)*($G$11-$E$11)*($G$11-$F$11))))</f>
        <v>0.103183790241113</v>
      </c>
      <c r="H704" s="39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-2311927524.39453</v>
      </c>
      <c r="I704" s="39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-83440783.9264778</v>
      </c>
      <c r="J704" s="39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137341492.009545</v>
      </c>
      <c r="K704" s="39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415921956.055431</v>
      </c>
      <c r="L704" s="39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516446782.944297</v>
      </c>
      <c r="M704" s="39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664565824.950349</v>
      </c>
      <c r="N704" s="39" t="n">
        <f aca="false">IF(COUNT('Business Case'!B11:G11)=0,"",H704+NPV(G704,I704:M704))</f>
        <v>-1209513530.25039</v>
      </c>
      <c r="P704" s="40" t="n">
        <f aca="true">RAND()</f>
        <v>0.247444686455985</v>
      </c>
      <c r="Q704" s="40" t="n">
        <f aca="true">RAND()</f>
        <v>0.091158646635386</v>
      </c>
      <c r="R704" s="40" t="n">
        <f aca="true">RAND()</f>
        <v>0.406452257312941</v>
      </c>
      <c r="S704" s="40" t="n">
        <f aca="true">RAND()</f>
        <v>0.691312245852279</v>
      </c>
      <c r="T704" s="40" t="n">
        <f aca="true">RAND()</f>
        <v>0.88209581306543</v>
      </c>
      <c r="U704" s="40" t="n">
        <f aca="true">RAND()</f>
        <v>0.520593929444931</v>
      </c>
    </row>
    <row r="705" customFormat="false" ht="15" hidden="false" customHeight="false" outlineLevel="0" collapsed="false">
      <c r="A705" s="36" t="n">
        <v>625</v>
      </c>
      <c r="B705" s="37" t="n">
        <f aca="false">1+IF($G$6=$E$6,$F$6,IF(P705&lt;($F$6-$E$6)/($G$6-$E$6),$E$6+SQRT(P705*($G$6-$E$6)*($F$6-$E$6)),$G$6-SQRT((1-P705)*($G$6-$E$6)*($G$6-$F$6))))</f>
        <v>0.976329879404716</v>
      </c>
      <c r="C705" s="37" t="n">
        <f aca="false">1+IF($G$7=$E$7,$F$7,IF(Q705&lt;($F$7-$E$7)/($G$7-$E$7),$E$7+SQRT(Q705*($G$7-$E$7)*($F$7-$E$7)),$G$7-SQRT((1-Q705)*($G$7-$E$7)*($G$7-$F$7))))</f>
        <v>0.807086343267726</v>
      </c>
      <c r="D705" s="37" t="n">
        <f aca="false">1+IF($G$8=$E$8,$F$8,IF(R705&lt;($F$8-$E$8)/($G$8-$E$8),$E$8+SQRT(R705*($G$8-$E$8)*($F$8-$E$8)),$G$8-SQRT((1-R705)*($G$8-$E$8)*($G$8-$F$8))))</f>
        <v>1.00366384015213</v>
      </c>
      <c r="E705" s="37" t="n">
        <f aca="false">1+IF($G$9=$E$9,$F$9,IF(S705&lt;($F$9-$E$9)/($G$9-$E$9),$E$9+SQRT(S705*($G$9-$E$9)*($F$9-$E$9)),$G$9-SQRT((1-S705)*($G$9-$E$9)*($G$9-$F$9))))</f>
        <v>1.03915802740774</v>
      </c>
      <c r="F705" s="37" t="n">
        <f aca="false">1+IF($G$10=$E$10,$F$10,IF(T705&lt;($F$10-$E$10)/($G$10-$E$10),$E$10+SQRT(T705*($G$10-$E$10)*($F$10-$E$10)),$G$10-SQRT((1-T705)*($G$10-$E$10)*($G$10-$F$10))))</f>
        <v>1.0359335464013</v>
      </c>
      <c r="G705" s="38" t="n">
        <f aca="false">IF($G$11=$E$11,$F$11,IF(U705&lt;($F$11-$E$11)/($G$11-$E$11),$E$11+SQRT(U705*($G$11-$E$11)*($F$11-$E$11)),$G$11-SQRT((1-U705)*($G$11-$E$11)*($G$11-$F$11))))</f>
        <v>0.104389853711383</v>
      </c>
      <c r="H705" s="39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-2071867092.80261</v>
      </c>
      <c r="I705" s="39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-61473633.7259368</v>
      </c>
      <c r="J705" s="39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169263372.117658</v>
      </c>
      <c r="K705" s="39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451797055.281318</v>
      </c>
      <c r="L705" s="39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555942066.183864</v>
      </c>
      <c r="M705" s="39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705721782.101276</v>
      </c>
      <c r="N705" s="39" t="n">
        <f aca="false">IF(COUNT('Business Case'!B11:G11)=0,"",H705+NPV(G705,I705:M705))</f>
        <v>-850070595.466154</v>
      </c>
      <c r="P705" s="40" t="n">
        <f aca="true">RAND()</f>
        <v>0.388416699329227</v>
      </c>
      <c r="Q705" s="40" t="n">
        <f aca="true">RAND()</f>
        <v>0.0849443326996536</v>
      </c>
      <c r="R705" s="40" t="n">
        <f aca="true">RAND()</f>
        <v>0.381289620384358</v>
      </c>
      <c r="S705" s="40" t="n">
        <f aca="true">RAND()</f>
        <v>0.67237485631615</v>
      </c>
      <c r="T705" s="40" t="n">
        <f aca="true">RAND()</f>
        <v>0.389007379249026</v>
      </c>
      <c r="U705" s="40" t="n">
        <f aca="true">RAND()</f>
        <v>0.562746938050438</v>
      </c>
    </row>
    <row r="706" customFormat="false" ht="15" hidden="false" customHeight="false" outlineLevel="0" collapsed="false">
      <c r="A706" s="36" t="n">
        <v>626</v>
      </c>
      <c r="B706" s="37" t="n">
        <f aca="false">1+IF($G$6=$E$6,$F$6,IF(P706&lt;($F$6-$E$6)/($G$6-$E$6),$E$6+SQRT(P706*($G$6-$E$6)*($F$6-$E$6)),$G$6-SQRT((1-P706)*($G$6-$E$6)*($G$6-$F$6))))</f>
        <v>1.01946437007301</v>
      </c>
      <c r="C706" s="37" t="n">
        <f aca="false">1+IF($G$7=$E$7,$F$7,IF(Q706&lt;($F$7-$E$7)/($G$7-$E$7),$E$7+SQRT(Q706*($G$7-$E$7)*($F$7-$E$7)),$G$7-SQRT((1-Q706)*($G$7-$E$7)*($G$7-$F$7))))</f>
        <v>0.942197881199678</v>
      </c>
      <c r="D706" s="37" t="n">
        <f aca="false">1+IF($G$8=$E$8,$F$8,IF(R706&lt;($F$8-$E$8)/($G$8-$E$8),$E$8+SQRT(R706*($G$8-$E$8)*($F$8-$E$8)),$G$8-SQRT((1-R706)*($G$8-$E$8)*($G$8-$F$8))))</f>
        <v>0.995531857176428</v>
      </c>
      <c r="E706" s="37" t="n">
        <f aca="false">1+IF($G$9=$E$9,$F$9,IF(S706&lt;($F$9-$E$9)/($G$9-$E$9),$E$9+SQRT(S706*($G$9-$E$9)*($F$9-$E$9)),$G$9-SQRT((1-S706)*($G$9-$E$9)*($G$9-$F$9))))</f>
        <v>0.992126324688073</v>
      </c>
      <c r="F706" s="37" t="n">
        <f aca="false">1+IF($G$10=$E$10,$F$10,IF(T706&lt;($F$10-$E$10)/($G$10-$E$10),$E$10+SQRT(T706*($G$10-$E$10)*($F$10-$E$10)),$G$10-SQRT((1-T706)*($G$10-$E$10)*($G$10-$F$10))))</f>
        <v>1.10456370411594</v>
      </c>
      <c r="G706" s="38" t="n">
        <f aca="false">IF($G$11=$E$11,$F$11,IF(U706&lt;($F$11-$E$11)/($G$11-$E$11),$E$11+SQRT(U706*($G$11-$E$11)*($F$11-$E$11)),$G$11-SQRT((1-U706)*($G$11-$E$11)*($G$11-$F$11))))</f>
        <v>0.099473786530566</v>
      </c>
      <c r="H706" s="39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-2209127408.23188</v>
      </c>
      <c r="I706" s="39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5243299.51592588</v>
      </c>
      <c r="J706" s="39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311817579.677929</v>
      </c>
      <c r="K706" s="39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673620045.04573</v>
      </c>
      <c r="L706" s="39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809007636.342291</v>
      </c>
      <c r="M706" s="39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991586541.509704</v>
      </c>
      <c r="N706" s="39" t="n">
        <f aca="false">IF(COUNT('Business Case'!B11:G11)=0,"",H706+NPV(G706,I706:M706))</f>
        <v>-268789839.964472</v>
      </c>
      <c r="P706" s="40" t="n">
        <f aca="true">RAND()</f>
        <v>0.875676707328265</v>
      </c>
      <c r="Q706" s="40" t="n">
        <f aca="true">RAND()</f>
        <v>0.434517138204543</v>
      </c>
      <c r="R706" s="40" t="n">
        <f aca="true">RAND()</f>
        <v>0.276420002391286</v>
      </c>
      <c r="S706" s="40" t="n">
        <f aca="true">RAND()</f>
        <v>0.339490388021289</v>
      </c>
      <c r="T706" s="40" t="n">
        <f aca="true">RAND()</f>
        <v>0.717977117860315</v>
      </c>
      <c r="U706" s="40" t="n">
        <f aca="true">RAND()</f>
        <v>0.379228361838052</v>
      </c>
    </row>
    <row r="707" customFormat="false" ht="15" hidden="false" customHeight="false" outlineLevel="0" collapsed="false">
      <c r="A707" s="36" t="n">
        <v>627</v>
      </c>
      <c r="B707" s="37" t="n">
        <f aca="false">1+IF($G$6=$E$6,$F$6,IF(P707&lt;($F$6-$E$6)/($G$6-$E$6),$E$6+SQRT(P707*($G$6-$E$6)*($F$6-$E$6)),$G$6-SQRT((1-P707)*($G$6-$E$6)*($G$6-$F$6))))</f>
        <v>0.991262163307111</v>
      </c>
      <c r="C707" s="37" t="n">
        <f aca="false">1+IF($G$7=$E$7,$F$7,IF(Q707&lt;($F$7-$E$7)/($G$7-$E$7),$E$7+SQRT(Q707*($G$7-$E$7)*($F$7-$E$7)),$G$7-SQRT((1-Q707)*($G$7-$E$7)*($G$7-$F$7))))</f>
        <v>1.07934939590012</v>
      </c>
      <c r="D707" s="37" t="n">
        <f aca="false">1+IF($G$8=$E$8,$F$8,IF(R707&lt;($F$8-$E$8)/($G$8-$E$8),$E$8+SQRT(R707*($G$8-$E$8)*($F$8-$E$8)),$G$8-SQRT((1-R707)*($G$8-$E$8)*($G$8-$F$8))))</f>
        <v>1.04537524180132</v>
      </c>
      <c r="E707" s="37" t="n">
        <f aca="false">1+IF($G$9=$E$9,$F$9,IF(S707&lt;($F$9-$E$9)/($G$9-$E$9),$E$9+SQRT(S707*($G$9-$E$9)*($F$9-$E$9)),$G$9-SQRT((1-S707)*($G$9-$E$9)*($G$9-$F$9))))</f>
        <v>1.00997176296671</v>
      </c>
      <c r="F707" s="37" t="n">
        <f aca="false">1+IF($G$10=$E$10,$F$10,IF(T707&lt;($F$10-$E$10)/($G$10-$E$10),$E$10+SQRT(T707*($G$10-$E$10)*($F$10-$E$10)),$G$10-SQRT((1-T707)*($G$10-$E$10)*($G$10-$F$10))))</f>
        <v>1.02709824912026</v>
      </c>
      <c r="G707" s="38" t="n">
        <f aca="false">IF($G$11=$E$11,$F$11,IF(U707&lt;($F$11-$E$11)/($G$11-$E$11),$E$11+SQRT(U707*($G$11-$E$11)*($F$11-$E$11)),$G$11-SQRT((1-U707)*($G$11-$E$11)*($G$11-$F$11))))</f>
        <v>0.101998503551656</v>
      </c>
      <c r="H707" s="39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-2054196498.24052</v>
      </c>
      <c r="I707" s="39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-3064519.51139435</v>
      </c>
      <c r="J707" s="39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295663330.959857</v>
      </c>
      <c r="K707" s="39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645746093.887123</v>
      </c>
      <c r="L707" s="39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782298417.628709</v>
      </c>
      <c r="M707" s="39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985668472.343475</v>
      </c>
      <c r="N707" s="39" t="n">
        <f aca="false">IF(COUNT('Business Case'!B11:G11)=0,"",H707+NPV(G707,I707:M707))</f>
        <v>-194041212.588329</v>
      </c>
      <c r="P707" s="40" t="n">
        <f aca="true">RAND()</f>
        <v>0.555252163432924</v>
      </c>
      <c r="Q707" s="40" t="n">
        <f aca="true">RAND()</f>
        <v>0.926051735412182</v>
      </c>
      <c r="R707" s="40" t="n">
        <f aca="true">RAND()</f>
        <v>0.801075719449014</v>
      </c>
      <c r="S707" s="40" t="n">
        <f aca="true">RAND()</f>
        <v>0.477122475555944</v>
      </c>
      <c r="T707" s="40" t="n">
        <f aca="true">RAND()</f>
        <v>0.337530792729959</v>
      </c>
      <c r="U707" s="40" t="n">
        <f aca="true">RAND()</f>
        <v>0.477277464435574</v>
      </c>
    </row>
    <row r="708" customFormat="false" ht="15" hidden="false" customHeight="false" outlineLevel="0" collapsed="false">
      <c r="A708" s="36" t="n">
        <v>628</v>
      </c>
      <c r="B708" s="37" t="n">
        <f aca="false">1+IF($G$6=$E$6,$F$6,IF(P708&lt;($F$6-$E$6)/($G$6-$E$6),$E$6+SQRT(P708*($G$6-$E$6)*($F$6-$E$6)),$G$6-SQRT((1-P708)*($G$6-$E$6)*($G$6-$F$6))))</f>
        <v>1.00456454063958</v>
      </c>
      <c r="C708" s="37" t="n">
        <f aca="false">1+IF($G$7=$E$7,$F$7,IF(Q708&lt;($F$7-$E$7)/($G$7-$E$7),$E$7+SQRT(Q708*($G$7-$E$7)*($F$7-$E$7)),$G$7-SQRT((1-Q708)*($G$7-$E$7)*($G$7-$F$7))))</f>
        <v>0.927898852694408</v>
      </c>
      <c r="D708" s="37" t="n">
        <f aca="false">1+IF($G$8=$E$8,$F$8,IF(R708&lt;($F$8-$E$8)/($G$8-$E$8),$E$8+SQRT(R708*($G$8-$E$8)*($F$8-$E$8)),$G$8-SQRT((1-R708)*($G$8-$E$8)*($G$8-$F$8))))</f>
        <v>1.01728099846519</v>
      </c>
      <c r="E708" s="37" t="n">
        <f aca="false">1+IF($G$9=$E$9,$F$9,IF(S708&lt;($F$9-$E$9)/($G$9-$E$9),$E$9+SQRT(S708*($G$9-$E$9)*($F$9-$E$9)),$G$9-SQRT((1-S708)*($G$9-$E$9)*($G$9-$F$9))))</f>
        <v>0.982015789576439</v>
      </c>
      <c r="F708" s="37" t="n">
        <f aca="false">1+IF($G$10=$E$10,$F$10,IF(T708&lt;($F$10-$E$10)/($G$10-$E$10),$E$10+SQRT(T708*($G$10-$E$10)*($F$10-$E$10)),$G$10-SQRT((1-T708)*($G$10-$E$10)*($G$10-$F$10))))</f>
        <v>1.00268554966992</v>
      </c>
      <c r="G708" s="38" t="n">
        <f aca="false">IF($G$11=$E$11,$F$11,IF(U708&lt;($F$11-$E$11)/($G$11-$E$11),$E$11+SQRT(U708*($G$11-$E$11)*($F$11-$E$11)),$G$11-SQRT((1-U708)*($G$11-$E$11)*($G$11-$F$11))))</f>
        <v>0.12400492435409</v>
      </c>
      <c r="H708" s="39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-2005371099.33984</v>
      </c>
      <c r="I708" s="39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-7966576.13105387</v>
      </c>
      <c r="J708" s="39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272299889.302381</v>
      </c>
      <c r="K708" s="39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602700632.219312</v>
      </c>
      <c r="L708" s="39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728337348.243608</v>
      </c>
      <c r="M708" s="39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905517433.082606</v>
      </c>
      <c r="N708" s="39" t="n">
        <f aca="false">IF(COUNT('Business Case'!B11:G11)=0,"",H708+NPV(G708,I708:M708))</f>
        <v>-411470184.43483</v>
      </c>
      <c r="P708" s="40" t="n">
        <f aca="true">RAND()</f>
        <v>0.724749204361051</v>
      </c>
      <c r="Q708" s="40" t="n">
        <f aca="true">RAND()</f>
        <v>0.384725089329093</v>
      </c>
      <c r="R708" s="40" t="n">
        <f aca="true">RAND()</f>
        <v>0.543837785672226</v>
      </c>
      <c r="S708" s="40" t="n">
        <f aca="true">RAND()</f>
        <v>0.269063589593868</v>
      </c>
      <c r="T708" s="40" t="n">
        <f aca="true">RAND()</f>
        <v>0.184474168772415</v>
      </c>
      <c r="U708" s="40" t="n">
        <f aca="true">RAND()</f>
        <v>0.976039378666546</v>
      </c>
    </row>
    <row r="709" customFormat="false" ht="15" hidden="false" customHeight="false" outlineLevel="0" collapsed="false">
      <c r="A709" s="36" t="n">
        <v>629</v>
      </c>
      <c r="B709" s="37" t="n">
        <f aca="false">1+IF($G$6=$E$6,$F$6,IF(P709&lt;($F$6-$E$6)/($G$6-$E$6),$E$6+SQRT(P709*($G$6-$E$6)*($F$6-$E$6)),$G$6-SQRT((1-P709)*($G$6-$E$6)*($G$6-$F$6))))</f>
        <v>0.973102736730945</v>
      </c>
      <c r="C709" s="37" t="n">
        <f aca="false">1+IF($G$7=$E$7,$F$7,IF(Q709&lt;($F$7-$E$7)/($G$7-$E$7),$E$7+SQRT(Q709*($G$7-$E$7)*($F$7-$E$7)),$G$7-SQRT((1-Q709)*($G$7-$E$7)*($G$7-$F$7))))</f>
        <v>1.04215777414999</v>
      </c>
      <c r="D709" s="37" t="n">
        <f aca="false">1+IF($G$8=$E$8,$F$8,IF(R709&lt;($F$8-$E$8)/($G$8-$E$8),$E$8+SQRT(R709*($G$8-$E$8)*($F$8-$E$8)),$G$8-SQRT((1-R709)*($G$8-$E$8)*($G$8-$F$8))))</f>
        <v>1.00511457630374</v>
      </c>
      <c r="E709" s="37" t="n">
        <f aca="false">1+IF($G$9=$E$9,$F$9,IF(S709&lt;($F$9-$E$9)/($G$9-$E$9),$E$9+SQRT(S709*($G$9-$E$9)*($F$9-$E$9)),$G$9-SQRT((1-S709)*($G$9-$E$9)*($G$9-$F$9))))</f>
        <v>1.0733667782736</v>
      </c>
      <c r="F709" s="37" t="n">
        <f aca="false">1+IF($G$10=$E$10,$F$10,IF(T709&lt;($F$10-$E$10)/($G$10-$E$10),$E$10+SQRT(T709*($G$10-$E$10)*($F$10-$E$10)),$G$10-SQRT((1-T709)*($G$10-$E$10)*($G$10-$F$10))))</f>
        <v>0.975434920996571</v>
      </c>
      <c r="G709" s="38" t="n">
        <f aca="false">IF($G$11=$E$11,$F$11,IF(U709&lt;($F$11-$E$11)/($G$11-$E$11),$E$11+SQRT(U709*($G$11-$E$11)*($F$11-$E$11)),$G$11-SQRT((1-U709)*($G$11-$E$11)*($G$11-$F$11))))</f>
        <v>0.0980277600023448</v>
      </c>
      <c r="H709" s="39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-1950869841.99314</v>
      </c>
      <c r="I709" s="39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-8335923.50971374</v>
      </c>
      <c r="J709" s="39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286076722.968396</v>
      </c>
      <c r="K709" s="39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629261115.496335</v>
      </c>
      <c r="L709" s="39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762446879.000812</v>
      </c>
      <c r="M709" s="39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955212059.732232</v>
      </c>
      <c r="N709" s="39" t="n">
        <f aca="false">IF(COUNT('Business Case'!B11:G11)=0,"",H709+NPV(G709,I709:M709))</f>
        <v>-122888724.613779</v>
      </c>
      <c r="P709" s="40" t="n">
        <f aca="true">RAND()</f>
        <v>0.356267341170259</v>
      </c>
      <c r="Q709" s="40" t="n">
        <f aca="true">RAND()</f>
        <v>0.827704508499499</v>
      </c>
      <c r="R709" s="40" t="n">
        <f aca="true">RAND()</f>
        <v>0.399783757998784</v>
      </c>
      <c r="S709" s="40" t="n">
        <f aca="true">RAND()</f>
        <v>0.843395982075547</v>
      </c>
      <c r="T709" s="40" t="n">
        <f aca="true">RAND()</f>
        <v>0.0431290137401209</v>
      </c>
      <c r="U709" s="40" t="n">
        <f aca="true">RAND()</f>
        <v>0.325000130702142</v>
      </c>
    </row>
    <row r="710" customFormat="false" ht="15" hidden="false" customHeight="false" outlineLevel="0" collapsed="false">
      <c r="A710" s="36" t="n">
        <v>630</v>
      </c>
      <c r="B710" s="37" t="n">
        <f aca="false">1+IF($G$6=$E$6,$F$6,IF(P710&lt;($F$6-$E$6)/($G$6-$E$6),$E$6+SQRT(P710*($G$6-$E$6)*($F$6-$E$6)),$G$6-SQRT((1-P710)*($G$6-$E$6)*($G$6-$F$6))))</f>
        <v>0.933528026723005</v>
      </c>
      <c r="C710" s="37" t="n">
        <f aca="false">1+IF($G$7=$E$7,$F$7,IF(Q710&lt;($F$7-$E$7)/($G$7-$E$7),$E$7+SQRT(Q710*($G$7-$E$7)*($F$7-$E$7)),$G$7-SQRT((1-Q710)*($G$7-$E$7)*($G$7-$F$7))))</f>
        <v>1.02363272890966</v>
      </c>
      <c r="D710" s="37" t="n">
        <f aca="false">1+IF($G$8=$E$8,$F$8,IF(R710&lt;($F$8-$E$8)/($G$8-$E$8),$E$8+SQRT(R710*($G$8-$E$8)*($F$8-$E$8)),$G$8-SQRT((1-R710)*($G$8-$E$8)*($G$8-$F$8))))</f>
        <v>1.04013953687427</v>
      </c>
      <c r="E710" s="37" t="n">
        <f aca="false">1+IF($G$9=$E$9,$F$9,IF(S710&lt;($F$9-$E$9)/($G$9-$E$9),$E$9+SQRT(S710*($G$9-$E$9)*($F$9-$E$9)),$G$9-SQRT((1-S710)*($G$9-$E$9)*($G$9-$F$9))))</f>
        <v>0.999766710420453</v>
      </c>
      <c r="F710" s="37" t="n">
        <f aca="false">1+IF($G$10=$E$10,$F$10,IF(T710&lt;($F$10-$E$10)/($G$10-$E$10),$E$10+SQRT(T710*($G$10-$E$10)*($F$10-$E$10)),$G$10-SQRT((1-T710)*($G$10-$E$10)*($G$10-$F$10))))</f>
        <v>1.02049686868659</v>
      </c>
      <c r="G710" s="38" t="n">
        <f aca="false">IF($G$11=$E$11,$F$11,IF(U710&lt;($F$11-$E$11)/($G$11-$E$11),$E$11+SQRT(U710*($G$11-$E$11)*($F$11-$E$11)),$G$11-SQRT((1-U710)*($G$11-$E$11)*($G$11-$F$11))))</f>
        <v>0.116384085818778</v>
      </c>
      <c r="H710" s="39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-2040993737.37319</v>
      </c>
      <c r="I710" s="39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-56109316.9003321</v>
      </c>
      <c r="J710" s="39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181535656.673565</v>
      </c>
      <c r="K710" s="39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470205473.681791</v>
      </c>
      <c r="L710" s="39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582445649.79561</v>
      </c>
      <c r="M710" s="39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764084166.869474</v>
      </c>
      <c r="N710" s="39" t="n">
        <f aca="false">IF(COUNT('Business Case'!B11:G11)=0,"",H710+NPV(G710,I710:M710))</f>
        <v>-792047236.373373</v>
      </c>
      <c r="P710" s="40" t="n">
        <f aca="true">RAND()</f>
        <v>0.07494190506257</v>
      </c>
      <c r="Q710" s="40" t="n">
        <f aca="true">RAND()</f>
        <v>0.763426856254528</v>
      </c>
      <c r="R710" s="40" t="n">
        <f aca="true">RAND()</f>
        <v>0.761114996958205</v>
      </c>
      <c r="S710" s="40" t="n">
        <f aca="true">RAND()</f>
        <v>0.39813586032474</v>
      </c>
      <c r="T710" s="40" t="n">
        <f aca="true">RAND()</f>
        <v>0.297710836231211</v>
      </c>
      <c r="U710" s="40" t="n">
        <f aca="true">RAND()</f>
        <v>0.876404587339737</v>
      </c>
    </row>
    <row r="711" customFormat="false" ht="15" hidden="false" customHeight="false" outlineLevel="0" collapsed="false">
      <c r="A711" s="36" t="n">
        <v>631</v>
      </c>
      <c r="B711" s="37" t="n">
        <f aca="false">1+IF($G$6=$E$6,$F$6,IF(P711&lt;($F$6-$E$6)/($G$6-$E$6),$E$6+SQRT(P711*($G$6-$E$6)*($F$6-$E$6)),$G$6-SQRT((1-P711)*($G$6-$E$6)*($G$6-$F$6))))</f>
        <v>0.922822795604245</v>
      </c>
      <c r="C711" s="37" t="n">
        <f aca="false">1+IF($G$7=$E$7,$F$7,IF(Q711&lt;($F$7-$E$7)/($G$7-$E$7),$E$7+SQRT(Q711*($G$7-$E$7)*($F$7-$E$7)),$G$7-SQRT((1-Q711)*($G$7-$E$7)*($G$7-$F$7))))</f>
        <v>1.0716393679148</v>
      </c>
      <c r="D711" s="37" t="n">
        <f aca="false">1+IF($G$8=$E$8,$F$8,IF(R711&lt;($F$8-$E$8)/($G$8-$E$8),$E$8+SQRT(R711*($G$8-$E$8)*($F$8-$E$8)),$G$8-SQRT((1-R711)*($G$8-$E$8)*($G$8-$F$8))))</f>
        <v>0.97656861348646</v>
      </c>
      <c r="E711" s="37" t="n">
        <f aca="false">1+IF($G$9=$E$9,$F$9,IF(S711&lt;($F$9-$E$9)/($G$9-$E$9),$E$9+SQRT(S711*($G$9-$E$9)*($F$9-$E$9)),$G$9-SQRT((1-S711)*($G$9-$E$9)*($G$9-$F$9))))</f>
        <v>1.07433354174646</v>
      </c>
      <c r="F711" s="37" t="n">
        <f aca="false">1+IF($G$10=$E$10,$F$10,IF(T711&lt;($F$10-$E$10)/($G$10-$E$10),$E$10+SQRT(T711*($G$10-$E$10)*($F$10-$E$10)),$G$10-SQRT((1-T711)*($G$10-$E$10)*($G$10-$F$10))))</f>
        <v>0.999361325942878</v>
      </c>
      <c r="G711" s="38" t="n">
        <f aca="false">IF($G$11=$E$11,$F$11,IF(U711&lt;($F$11-$E$11)/($G$11-$E$11),$E$11+SQRT(U711*($G$11-$E$11)*($F$11-$E$11)),$G$11-SQRT((1-U711)*($G$11-$E$11)*($G$11-$F$11))))</f>
        <v>0.117463916922393</v>
      </c>
      <c r="H711" s="39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-1998722651.88576</v>
      </c>
      <c r="I711" s="39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-29704452.6015813</v>
      </c>
      <c r="J711" s="39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244563756.053184</v>
      </c>
      <c r="K711" s="39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568800031.005094</v>
      </c>
      <c r="L711" s="39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694400299.907157</v>
      </c>
      <c r="M711" s="39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882376729.6681</v>
      </c>
      <c r="N711" s="39" t="n">
        <f aca="false">IF(COUNT('Business Case'!B11:G11)=0,"",H711+NPV(G711,I711:M711))</f>
        <v>-470115248.447636</v>
      </c>
      <c r="P711" s="40" t="n">
        <f aca="true">RAND()</f>
        <v>0.0347253332795427</v>
      </c>
      <c r="Q711" s="40" t="n">
        <f aca="true">RAND()</f>
        <v>0.909031279099367</v>
      </c>
      <c r="R711" s="40" t="n">
        <f aca="true">RAND()</f>
        <v>0.0941188296790526</v>
      </c>
      <c r="S711" s="40" t="n">
        <f aca="true">RAND()</f>
        <v>0.847322322543092</v>
      </c>
      <c r="T711" s="40" t="n">
        <f aca="true">RAND()</f>
        <v>0.162436033255937</v>
      </c>
      <c r="U711" s="40" t="n">
        <f aca="true">RAND()</f>
        <v>0.895231080714216</v>
      </c>
    </row>
    <row r="712" customFormat="false" ht="15" hidden="false" customHeight="false" outlineLevel="0" collapsed="false">
      <c r="A712" s="36" t="n">
        <v>632</v>
      </c>
      <c r="B712" s="37" t="n">
        <f aca="false">1+IF($G$6=$E$6,$F$6,IF(P712&lt;($F$6-$E$6)/($G$6-$E$6),$E$6+SQRT(P712*($G$6-$E$6)*($F$6-$E$6)),$G$6-SQRT((1-P712)*($G$6-$E$6)*($G$6-$F$6))))</f>
        <v>0.956104203436719</v>
      </c>
      <c r="C712" s="37" t="n">
        <f aca="false">1+IF($G$7=$E$7,$F$7,IF(Q712&lt;($F$7-$E$7)/($G$7-$E$7),$E$7+SQRT(Q712*($G$7-$E$7)*($F$7-$E$7)),$G$7-SQRT((1-Q712)*($G$7-$E$7)*($G$7-$F$7))))</f>
        <v>0.962114221999652</v>
      </c>
      <c r="D712" s="37" t="n">
        <f aca="false">1+IF($G$8=$E$8,$F$8,IF(R712&lt;($F$8-$E$8)/($G$8-$E$8),$E$8+SQRT(R712*($G$8-$E$8)*($F$8-$E$8)),$G$8-SQRT((1-R712)*($G$8-$E$8)*($G$8-$F$8))))</f>
        <v>1.01968952100934</v>
      </c>
      <c r="E712" s="37" t="n">
        <f aca="false">1+IF($G$9=$E$9,$F$9,IF(S712&lt;($F$9-$E$9)/($G$9-$E$9),$E$9+SQRT(S712*($G$9-$E$9)*($F$9-$E$9)),$G$9-SQRT((1-S712)*($G$9-$E$9)*($G$9-$F$9))))</f>
        <v>1.05373168162268</v>
      </c>
      <c r="F712" s="37" t="n">
        <f aca="false">1+IF($G$10=$E$10,$F$10,IF(T712&lt;($F$10-$E$10)/($G$10-$E$10),$E$10+SQRT(T712*($G$10-$E$10)*($F$10-$E$10)),$G$10-SQRT((1-T712)*($G$10-$E$10)*($G$10-$F$10))))</f>
        <v>1.18413408809247</v>
      </c>
      <c r="G712" s="38" t="n">
        <f aca="false">IF($G$11=$E$11,$F$11,IF(U712&lt;($F$11-$E$11)/($G$11-$E$11),$E$11+SQRT(U712*($G$11-$E$11)*($F$11-$E$11)),$G$11-SQRT((1-U712)*($G$11-$E$11)*($G$11-$F$11))))</f>
        <v>0.105420252366768</v>
      </c>
      <c r="H712" s="39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-2368268176.18494</v>
      </c>
      <c r="I712" s="39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-64714671.8303767</v>
      </c>
      <c r="J712" s="39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186511364.738631</v>
      </c>
      <c r="K712" s="39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496944105.712262</v>
      </c>
      <c r="L712" s="39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612477220.877526</v>
      </c>
      <c r="M712" s="39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787328287.243295</v>
      </c>
      <c r="N712" s="39" t="n">
        <f aca="false">IF(COUNT('Business Case'!B11:G11)=0,"",H712+NPV(G712,I712:M712))</f>
        <v>-1019095420.80808</v>
      </c>
      <c r="P712" s="40" t="n">
        <f aca="true">RAND()</f>
        <v>0.20984544288458</v>
      </c>
      <c r="Q712" s="40" t="n">
        <f aca="true">RAND()</f>
        <v>0.508917521292464</v>
      </c>
      <c r="R712" s="40" t="n">
        <f aca="true">RAND()</f>
        <v>0.570015130952707</v>
      </c>
      <c r="S712" s="40" t="n">
        <f aca="true">RAND()</f>
        <v>0.7528642900481</v>
      </c>
      <c r="T712" s="40" t="n">
        <f aca="true">RAND()</f>
        <v>0.942155755314528</v>
      </c>
      <c r="U712" s="40" t="n">
        <f aca="true">RAND()</f>
        <v>0.597224004191097</v>
      </c>
    </row>
    <row r="713" customFormat="false" ht="15" hidden="false" customHeight="false" outlineLevel="0" collapsed="false">
      <c r="A713" s="36" t="n">
        <v>633</v>
      </c>
      <c r="B713" s="37" t="n">
        <f aca="false">1+IF($G$6=$E$6,$F$6,IF(P713&lt;($F$6-$E$6)/($G$6-$E$6),$E$6+SQRT(P713*($G$6-$E$6)*($F$6-$E$6)),$G$6-SQRT((1-P713)*($G$6-$E$6)*($G$6-$F$6))))</f>
        <v>1.02718896360578</v>
      </c>
      <c r="C713" s="37" t="n">
        <f aca="false">1+IF($G$7=$E$7,$F$7,IF(Q713&lt;($F$7-$E$7)/($G$7-$E$7),$E$7+SQRT(Q713*($G$7-$E$7)*($F$7-$E$7)),$G$7-SQRT((1-Q713)*($G$7-$E$7)*($G$7-$F$7))))</f>
        <v>0.937622788172468</v>
      </c>
      <c r="D713" s="37" t="n">
        <f aca="false">1+IF($G$8=$E$8,$F$8,IF(R713&lt;($F$8-$E$8)/($G$8-$E$8),$E$8+SQRT(R713*($G$8-$E$8)*($F$8-$E$8)),$G$8-SQRT((1-R713)*($G$8-$E$8)*($G$8-$F$8))))</f>
        <v>1.0268663952375</v>
      </c>
      <c r="E713" s="37" t="n">
        <f aca="false">1+IF($G$9=$E$9,$F$9,IF(S713&lt;($F$9-$E$9)/($G$9-$E$9),$E$9+SQRT(S713*($G$9-$E$9)*($F$9-$E$9)),$G$9-SQRT((1-S713)*($G$9-$E$9)*($G$9-$F$9))))</f>
        <v>1.13576709691207</v>
      </c>
      <c r="F713" s="37" t="n">
        <f aca="false">1+IF($G$10=$E$10,$F$10,IF(T713&lt;($F$10-$E$10)/($G$10-$E$10),$E$10+SQRT(T713*($G$10-$E$10)*($F$10-$E$10)),$G$10-SQRT((1-T713)*($G$10-$E$10)*($G$10-$F$10))))</f>
        <v>1.03647027560913</v>
      </c>
      <c r="G713" s="38" t="n">
        <f aca="false">IF($G$11=$E$11,$F$11,IF(U713&lt;($F$11-$E$11)/($G$11-$E$11),$E$11+SQRT(U713*($G$11-$E$11)*($F$11-$E$11)),$G$11-SQRT((1-U713)*($G$11-$E$11)*($G$11-$F$11))))</f>
        <v>0.112029728798192</v>
      </c>
      <c r="H713" s="39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-2072940551.21826</v>
      </c>
      <c r="I713" s="39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-19103263.8091888</v>
      </c>
      <c r="J713" s="39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276874503.1605</v>
      </c>
      <c r="K713" s="39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624675783.910646</v>
      </c>
      <c r="L713" s="39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756620320.925254</v>
      </c>
      <c r="M713" s="39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939689368.394505</v>
      </c>
      <c r="N713" s="39" t="n">
        <f aca="false">IF(COUNT('Business Case'!B11:G11)=0,"",H713+NPV(G713,I713:M713))</f>
        <v>-364590858.318324</v>
      </c>
      <c r="P713" s="40" t="n">
        <f aca="true">RAND()</f>
        <v>0.930620882482878</v>
      </c>
      <c r="Q713" s="40" t="n">
        <f aca="true">RAND()</f>
        <v>0.418256218213761</v>
      </c>
      <c r="R713" s="40" t="n">
        <f aca="true">RAND()</f>
        <v>0.643431723629499</v>
      </c>
      <c r="S713" s="40" t="n">
        <f aca="true">RAND()</f>
        <v>0.994597985858392</v>
      </c>
      <c r="T713" s="40" t="n">
        <f aca="true">RAND()</f>
        <v>0.392067424020774</v>
      </c>
      <c r="U713" s="40" t="n">
        <f aca="true">RAND()</f>
        <v>0.784712901955654</v>
      </c>
    </row>
    <row r="714" customFormat="false" ht="15" hidden="false" customHeight="false" outlineLevel="0" collapsed="false">
      <c r="A714" s="36" t="n">
        <v>634</v>
      </c>
      <c r="B714" s="37" t="n">
        <f aca="false">1+IF($G$6=$E$6,$F$6,IF(P714&lt;($F$6-$E$6)/($G$6-$E$6),$E$6+SQRT(P714*($G$6-$E$6)*($F$6-$E$6)),$G$6-SQRT((1-P714)*($G$6-$E$6)*($G$6-$F$6))))</f>
        <v>0.978985875685578</v>
      </c>
      <c r="C714" s="37" t="n">
        <f aca="false">1+IF($G$7=$E$7,$F$7,IF(Q714&lt;($F$7-$E$7)/($G$7-$E$7),$E$7+SQRT(Q714*($G$7-$E$7)*($F$7-$E$7)),$G$7-SQRT((1-Q714)*($G$7-$E$7)*($G$7-$F$7))))</f>
        <v>1.07548422759236</v>
      </c>
      <c r="D714" s="37" t="n">
        <f aca="false">1+IF($G$8=$E$8,$F$8,IF(R714&lt;($F$8-$E$8)/($G$8-$E$8),$E$8+SQRT(R714*($G$8-$E$8)*($F$8-$E$8)),$G$8-SQRT((1-R714)*($G$8-$E$8)*($G$8-$F$8))))</f>
        <v>1.06159815476973</v>
      </c>
      <c r="E714" s="37" t="n">
        <f aca="false">1+IF($G$9=$E$9,$F$9,IF(S714&lt;($F$9-$E$9)/($G$9-$E$9),$E$9+SQRT(S714*($G$9-$E$9)*($F$9-$E$9)),$G$9-SQRT((1-S714)*($G$9-$E$9)*($G$9-$F$9))))</f>
        <v>0.984009341466595</v>
      </c>
      <c r="F714" s="37" t="n">
        <f aca="false">1+IF($G$10=$E$10,$F$10,IF(T714&lt;($F$10-$E$10)/($G$10-$E$10),$E$10+SQRT(T714*($G$10-$E$10)*($F$10-$E$10)),$G$10-SQRT((1-T714)*($G$10-$E$10)*($G$10-$F$10))))</f>
        <v>1.0116400423776</v>
      </c>
      <c r="G714" s="38" t="n">
        <f aca="false">IF($G$11=$E$11,$F$11,IF(U714&lt;($F$11-$E$11)/($G$11-$E$11),$E$11+SQRT(U714*($G$11-$E$11)*($F$11-$E$11)),$G$11-SQRT((1-U714)*($G$11-$E$11)*($G$11-$F$11))))</f>
        <v>0.0927409122304544</v>
      </c>
      <c r="H714" s="39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-2023280084.75521</v>
      </c>
      <c r="I714" s="39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-17759418.563736</v>
      </c>
      <c r="J714" s="39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260152795.201352</v>
      </c>
      <c r="K714" s="39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588647011.085321</v>
      </c>
      <c r="L714" s="39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717672082.163359</v>
      </c>
      <c r="M714" s="39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917804247.856577</v>
      </c>
      <c r="N714" s="39" t="n">
        <f aca="false">IF(COUNT('Business Case'!B11:G11)=0,"",H714+NPV(G714,I714:M714))</f>
        <v>-278131004.136092</v>
      </c>
      <c r="P714" s="40" t="n">
        <f aca="true">RAND()</f>
        <v>0.415917903854508</v>
      </c>
      <c r="Q714" s="40" t="n">
        <f aca="true">RAND()</f>
        <v>0.917739254259144</v>
      </c>
      <c r="R714" s="40" t="n">
        <f aca="true">RAND()</f>
        <v>0.90168655219405</v>
      </c>
      <c r="S714" s="40" t="n">
        <f aca="true">RAND()</f>
        <v>0.282302778146036</v>
      </c>
      <c r="T714" s="40" t="n">
        <f aca="true">RAND()</f>
        <v>0.24246040802999</v>
      </c>
      <c r="U714" s="40" t="n">
        <f aca="true">RAND()</f>
        <v>0.162330844464143</v>
      </c>
    </row>
    <row r="715" customFormat="false" ht="15" hidden="false" customHeight="false" outlineLevel="0" collapsed="false">
      <c r="A715" s="36" t="n">
        <v>635</v>
      </c>
      <c r="B715" s="37" t="n">
        <f aca="false">1+IF($G$6=$E$6,$F$6,IF(P715&lt;($F$6-$E$6)/($G$6-$E$6),$E$6+SQRT(P715*($G$6-$E$6)*($F$6-$E$6)),$G$6-SQRT((1-P715)*($G$6-$E$6)*($G$6-$F$6))))</f>
        <v>1.00232521178307</v>
      </c>
      <c r="C715" s="37" t="n">
        <f aca="false">1+IF($G$7=$E$7,$F$7,IF(Q715&lt;($F$7-$E$7)/($G$7-$E$7),$E$7+SQRT(Q715*($G$7-$E$7)*($F$7-$E$7)),$G$7-SQRT((1-Q715)*($G$7-$E$7)*($G$7-$F$7))))</f>
        <v>1.11175453702474</v>
      </c>
      <c r="D715" s="37" t="n">
        <f aca="false">1+IF($G$8=$E$8,$F$8,IF(R715&lt;($F$8-$E$8)/($G$8-$E$8),$E$8+SQRT(R715*($G$8-$E$8)*($F$8-$E$8)),$G$8-SQRT((1-R715)*($G$8-$E$8)*($G$8-$F$8))))</f>
        <v>0.978737086666702</v>
      </c>
      <c r="E715" s="37" t="n">
        <f aca="false">1+IF($G$9=$E$9,$F$9,IF(S715&lt;($F$9-$E$9)/($G$9-$E$9),$E$9+SQRT(S715*($G$9-$E$9)*($F$9-$E$9)),$G$9-SQRT((1-S715)*($G$9-$E$9)*($G$9-$F$9))))</f>
        <v>1.02516344801534</v>
      </c>
      <c r="F715" s="37" t="n">
        <f aca="false">1+IF($G$10=$E$10,$F$10,IF(T715&lt;($F$10-$E$10)/($G$10-$E$10),$E$10+SQRT(T715*($G$10-$E$10)*($F$10-$E$10)),$G$10-SQRT((1-T715)*($G$10-$E$10)*($G$10-$F$10))))</f>
        <v>1.11938733951176</v>
      </c>
      <c r="G715" s="38" t="n">
        <f aca="false">IF($G$11=$E$11,$F$11,IF(U715&lt;($F$11-$E$11)/($G$11-$E$11),$E$11+SQRT(U715*($G$11-$E$11)*($F$11-$E$11)),$G$11-SQRT((1-U715)*($G$11-$E$11)*($G$11-$F$11))))</f>
        <v>0.119450081055943</v>
      </c>
      <c r="H715" s="39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-2238774679.02353</v>
      </c>
      <c r="I715" s="39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40211991.2332176</v>
      </c>
      <c r="J715" s="39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395908323.681363</v>
      </c>
      <c r="K715" s="39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807574023.105097</v>
      </c>
      <c r="L715" s="39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964651043.891793</v>
      </c>
      <c r="M715" s="39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1176464715.39702</v>
      </c>
      <c r="N715" s="39" t="n">
        <f aca="false">IF(COUNT('Business Case'!B11:G11)=0,"",H715+NPV(G715,I715:M715))</f>
        <v>-27807219.0207996</v>
      </c>
      <c r="P715" s="40" t="n">
        <f aca="true">RAND()</f>
        <v>0.696948609129471</v>
      </c>
      <c r="Q715" s="40" t="n">
        <f aca="true">RAND()</f>
        <v>0.978330141656417</v>
      </c>
      <c r="R715" s="40" t="n">
        <f aca="true">RAND()</f>
        <v>0.110109353345273</v>
      </c>
      <c r="S715" s="40" t="n">
        <f aca="true">RAND()</f>
        <v>0.58442227436216</v>
      </c>
      <c r="T715" s="40" t="n">
        <f aca="true">RAND()</f>
        <v>0.772537772269132</v>
      </c>
      <c r="U715" s="40" t="n">
        <f aca="true">RAND()</f>
        <v>0.925799473515887</v>
      </c>
    </row>
    <row r="716" customFormat="false" ht="15" hidden="false" customHeight="false" outlineLevel="0" collapsed="false">
      <c r="A716" s="36" t="n">
        <v>636</v>
      </c>
      <c r="B716" s="37" t="n">
        <f aca="false">1+IF($G$6=$E$6,$F$6,IF(P716&lt;($F$6-$E$6)/($G$6-$E$6),$E$6+SQRT(P716*($G$6-$E$6)*($F$6-$E$6)),$G$6-SQRT((1-P716)*($G$6-$E$6)*($G$6-$F$6))))</f>
        <v>0.981273432596196</v>
      </c>
      <c r="C716" s="37" t="n">
        <f aca="false">1+IF($G$7=$E$7,$F$7,IF(Q716&lt;($F$7-$E$7)/($G$7-$E$7),$E$7+SQRT(Q716*($G$7-$E$7)*($F$7-$E$7)),$G$7-SQRT((1-Q716)*($G$7-$E$7)*($G$7-$F$7))))</f>
        <v>1.11587136801487</v>
      </c>
      <c r="D716" s="37" t="n">
        <f aca="false">1+IF($G$8=$E$8,$F$8,IF(R716&lt;($F$8-$E$8)/($G$8-$E$8),$E$8+SQRT(R716*($G$8-$E$8)*($F$8-$E$8)),$G$8-SQRT((1-R716)*($G$8-$E$8)*($G$8-$F$8))))</f>
        <v>0.985926021794129</v>
      </c>
      <c r="E716" s="37" t="n">
        <f aca="false">1+IF($G$9=$E$9,$F$9,IF(S716&lt;($F$9-$E$9)/($G$9-$E$9),$E$9+SQRT(S716*($G$9-$E$9)*($F$9-$E$9)),$G$9-SQRT((1-S716)*($G$9-$E$9)*($G$9-$F$9))))</f>
        <v>1.13154031673679</v>
      </c>
      <c r="F716" s="37" t="n">
        <f aca="false">1+IF($G$10=$E$10,$F$10,IF(T716&lt;($F$10-$E$10)/($G$10-$E$10),$E$10+SQRT(T716*($G$10-$E$10)*($F$10-$E$10)),$G$10-SQRT((1-T716)*($G$10-$E$10)*($G$10-$F$10))))</f>
        <v>1.02166569080377</v>
      </c>
      <c r="G716" s="38" t="n">
        <f aca="false">IF($G$11=$E$11,$F$11,IF(U716&lt;($F$11-$E$11)/($G$11-$E$11),$E$11+SQRT(U716*($G$11-$E$11)*($F$11-$E$11)),$G$11-SQRT((1-U716)*($G$11-$E$11)*($G$11-$F$11))))</f>
        <v>0.112879852512279</v>
      </c>
      <c r="H716" s="39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-2043331381.60754</v>
      </c>
      <c r="I716" s="39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13830906.1080049</v>
      </c>
      <c r="J716" s="39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347496914.584582</v>
      </c>
      <c r="K716" s="39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732246207.601349</v>
      </c>
      <c r="L716" s="39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881310543.92569</v>
      </c>
      <c r="M716" s="39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1089443378.16918</v>
      </c>
      <c r="N716" s="39" t="n">
        <f aca="false">IF(COUNT('Business Case'!B11:G11)=0,"",H716+NPV(G716,I716:M716))</f>
        <v>-6288415.46343827</v>
      </c>
      <c r="P716" s="40" t="n">
        <f aca="true">RAND()</f>
        <v>0.440358056397893</v>
      </c>
      <c r="Q716" s="40" t="n">
        <f aca="true">RAND()</f>
        <v>0.98274424413072</v>
      </c>
      <c r="R716" s="40" t="n">
        <f aca="true">RAND()</f>
        <v>0.172090538926963</v>
      </c>
      <c r="S716" s="40" t="n">
        <f aca="true">RAND()</f>
        <v>0.990913069168588</v>
      </c>
      <c r="T716" s="40" t="n">
        <f aca="true">RAND()</f>
        <v>0.304845909918417</v>
      </c>
      <c r="U716" s="40" t="n">
        <f aca="true">RAND()</f>
        <v>0.804600366665794</v>
      </c>
    </row>
    <row r="717" customFormat="false" ht="15" hidden="false" customHeight="false" outlineLevel="0" collapsed="false">
      <c r="A717" s="36" t="n">
        <v>637</v>
      </c>
      <c r="B717" s="37" t="n">
        <f aca="false">1+IF($G$6=$E$6,$F$6,IF(P717&lt;($F$6-$E$6)/($G$6-$E$6),$E$6+SQRT(P717*($G$6-$E$6)*($F$6-$E$6)),$G$6-SQRT((1-P717)*($G$6-$E$6)*($G$6-$F$6))))</f>
        <v>0.952816271382292</v>
      </c>
      <c r="C717" s="37" t="n">
        <f aca="false">1+IF($G$7=$E$7,$F$7,IF(Q717&lt;($F$7-$E$7)/($G$7-$E$7),$E$7+SQRT(Q717*($G$7-$E$7)*($F$7-$E$7)),$G$7-SQRT((1-Q717)*($G$7-$E$7)*($G$7-$F$7))))</f>
        <v>0.938060776739625</v>
      </c>
      <c r="D717" s="37" t="n">
        <f aca="false">1+IF($G$8=$E$8,$F$8,IF(R717&lt;($F$8-$E$8)/($G$8-$E$8),$E$8+SQRT(R717*($G$8-$E$8)*($F$8-$E$8)),$G$8-SQRT((1-R717)*($G$8-$E$8)*($G$8-$F$8))))</f>
        <v>1.00677725504331</v>
      </c>
      <c r="E717" s="37" t="n">
        <f aca="false">1+IF($G$9=$E$9,$F$9,IF(S717&lt;($F$9-$E$9)/($G$9-$E$9),$E$9+SQRT(S717*($G$9-$E$9)*($F$9-$E$9)),$G$9-SQRT((1-S717)*($G$9-$E$9)*($G$9-$F$9))))</f>
        <v>1.08327045134613</v>
      </c>
      <c r="F717" s="37" t="n">
        <f aca="false">1+IF($G$10=$E$10,$F$10,IF(T717&lt;($F$10-$E$10)/($G$10-$E$10),$E$10+SQRT(T717*($G$10-$E$10)*($F$10-$E$10)),$G$10-SQRT((1-T717)*($G$10-$E$10)*($G$10-$F$10))))</f>
        <v>1.08745952751354</v>
      </c>
      <c r="G717" s="38" t="n">
        <f aca="false">IF($G$11=$E$11,$F$11,IF(U717&lt;($F$11-$E$11)/($G$11-$E$11),$E$11+SQRT(U717*($G$11-$E$11)*($F$11-$E$11)),$G$11-SQRT((1-U717)*($G$11-$E$11)*($G$11-$F$11))))</f>
        <v>0.0938237139273204</v>
      </c>
      <c r="H717" s="39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-2174919055.02707</v>
      </c>
      <c r="I717" s="39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-60501970.5182793</v>
      </c>
      <c r="J717" s="39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188117639.689152</v>
      </c>
      <c r="K717" s="39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491110226.27226</v>
      </c>
      <c r="L717" s="39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604873142.870029</v>
      </c>
      <c r="M717" s="39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774766565.444134</v>
      </c>
      <c r="N717" s="39" t="n">
        <f aca="false">IF(COUNT('Business Case'!B11:G11)=0,"",H717+NPV(G717,I717:M717))</f>
        <v>-780385480.336287</v>
      </c>
      <c r="P717" s="40" t="n">
        <f aca="true">RAND()</f>
        <v>0.18597056818186</v>
      </c>
      <c r="Q717" s="40" t="n">
        <f aca="true">RAND()</f>
        <v>0.419799506828694</v>
      </c>
      <c r="R717" s="40" t="n">
        <f aca="true">RAND()</f>
        <v>0.420634654849318</v>
      </c>
      <c r="S717" s="40" t="n">
        <f aca="true">RAND()</f>
        <v>0.881257795638677</v>
      </c>
      <c r="T717" s="40" t="n">
        <f aca="true">RAND()</f>
        <v>0.647741264051695</v>
      </c>
      <c r="U717" s="40" t="n">
        <f aca="true">RAND()</f>
        <v>0.191095066744391</v>
      </c>
    </row>
    <row r="718" customFormat="false" ht="15" hidden="false" customHeight="false" outlineLevel="0" collapsed="false">
      <c r="A718" s="36" t="n">
        <v>638</v>
      </c>
      <c r="B718" s="37" t="n">
        <f aca="false">1+IF($G$6=$E$6,$F$6,IF(P718&lt;($F$6-$E$6)/($G$6-$E$6),$E$6+SQRT(P718*($G$6-$E$6)*($F$6-$E$6)),$G$6-SQRT((1-P718)*($G$6-$E$6)*($G$6-$F$6))))</f>
        <v>1.02405159656732</v>
      </c>
      <c r="C718" s="37" t="n">
        <f aca="false">1+IF($G$7=$E$7,$F$7,IF(Q718&lt;($F$7-$E$7)/($G$7-$E$7),$E$7+SQRT(Q718*($G$7-$E$7)*($F$7-$E$7)),$G$7-SQRT((1-Q718)*($G$7-$E$7)*($G$7-$F$7))))</f>
        <v>0.843217888675683</v>
      </c>
      <c r="D718" s="37" t="n">
        <f aca="false">1+IF($G$8=$E$8,$F$8,IF(R718&lt;($F$8-$E$8)/($G$8-$E$8),$E$8+SQRT(R718*($G$8-$E$8)*($F$8-$E$8)),$G$8-SQRT((1-R718)*($G$8-$E$8)*($G$8-$F$8))))</f>
        <v>0.999217674558382</v>
      </c>
      <c r="E718" s="37" t="n">
        <f aca="false">1+IF($G$9=$E$9,$F$9,IF(S718&lt;($F$9-$E$9)/($G$9-$E$9),$E$9+SQRT(S718*($G$9-$E$9)*($F$9-$E$9)),$G$9-SQRT((1-S718)*($G$9-$E$9)*($G$9-$F$9))))</f>
        <v>1.06254197861923</v>
      </c>
      <c r="F718" s="37" t="n">
        <f aca="false">1+IF($G$10=$E$10,$F$10,IF(T718&lt;($F$10-$E$10)/($G$10-$E$10),$E$10+SQRT(T718*($G$10-$E$10)*($F$10-$E$10)),$G$10-SQRT((1-T718)*($G$10-$E$10)*($G$10-$F$10))))</f>
        <v>1.1544490655628</v>
      </c>
      <c r="G718" s="38" t="n">
        <f aca="false">IF($G$11=$E$11,$F$11,IF(U718&lt;($F$11-$E$11)/($G$11-$E$11),$E$11+SQRT(U718*($G$11-$E$11)*($F$11-$E$11)),$G$11-SQRT((1-U718)*($G$11-$E$11)*($G$11-$F$11))))</f>
        <v>0.111318733650179</v>
      </c>
      <c r="H718" s="39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-2308898131.12561</v>
      </c>
      <c r="I718" s="39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-35357001.6342334</v>
      </c>
      <c r="J718" s="39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240588141.375372</v>
      </c>
      <c r="K718" s="39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574255737.663117</v>
      </c>
      <c r="L718" s="39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696079964.48492</v>
      </c>
      <c r="M718" s="39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860213783.153899</v>
      </c>
      <c r="N718" s="39" t="n">
        <f aca="false">IF(COUNT('Business Case'!B11:G11)=0,"",H718+NPV(G718,I718:M718))</f>
        <v>-763681863.142866</v>
      </c>
      <c r="P718" s="40" t="n">
        <f aca="true">RAND()</f>
        <v>0.91022404790595</v>
      </c>
      <c r="Q718" s="40" t="n">
        <f aca="true">RAND()</f>
        <v>0.151936026938668</v>
      </c>
      <c r="R718" s="40" t="n">
        <f aca="true">RAND()</f>
        <v>0.322983931857976</v>
      </c>
      <c r="S718" s="40" t="n">
        <f aca="true">RAND()</f>
        <v>0.796029186564297</v>
      </c>
      <c r="T718" s="40" t="n">
        <f aca="true">RAND()</f>
        <v>0.878266919042379</v>
      </c>
      <c r="U718" s="40" t="n">
        <f aca="true">RAND()</f>
        <v>0.767340191711373</v>
      </c>
    </row>
    <row r="719" customFormat="false" ht="15" hidden="false" customHeight="false" outlineLevel="0" collapsed="false">
      <c r="A719" s="36" t="n">
        <v>639</v>
      </c>
      <c r="B719" s="37" t="n">
        <f aca="false">1+IF($G$6=$E$6,$F$6,IF(P719&lt;($F$6-$E$6)/($G$6-$E$6),$E$6+SQRT(P719*($G$6-$E$6)*($F$6-$E$6)),$G$6-SQRT((1-P719)*($G$6-$E$6)*($G$6-$F$6))))</f>
        <v>0.992620304268905</v>
      </c>
      <c r="C719" s="37" t="n">
        <f aca="false">1+IF($G$7=$E$7,$F$7,IF(Q719&lt;($F$7-$E$7)/($G$7-$E$7),$E$7+SQRT(Q719*($G$7-$E$7)*($F$7-$E$7)),$G$7-SQRT((1-Q719)*($G$7-$E$7)*($G$7-$F$7))))</f>
        <v>1.09998063439048</v>
      </c>
      <c r="D719" s="37" t="n">
        <f aca="false">1+IF($G$8=$E$8,$F$8,IF(R719&lt;($F$8-$E$8)/($G$8-$E$8),$E$8+SQRT(R719*($G$8-$E$8)*($F$8-$E$8)),$G$8-SQRT((1-R719)*($G$8-$E$8)*($G$8-$F$8))))</f>
        <v>1.0293043167906</v>
      </c>
      <c r="E719" s="37" t="n">
        <f aca="false">1+IF($G$9=$E$9,$F$9,IF(S719&lt;($F$9-$E$9)/($G$9-$E$9),$E$9+SQRT(S719*($G$9-$E$9)*($F$9-$E$9)),$G$9-SQRT((1-S719)*($G$9-$E$9)*($G$9-$F$9))))</f>
        <v>1.04031347469725</v>
      </c>
      <c r="F719" s="37" t="n">
        <f aca="false">1+IF($G$10=$E$10,$F$10,IF(T719&lt;($F$10-$E$10)/($G$10-$E$10),$E$10+SQRT(T719*($G$10-$E$10)*($F$10-$E$10)),$G$10-SQRT((1-T719)*($G$10-$E$10)*($G$10-$F$10))))</f>
        <v>1.11716149587823</v>
      </c>
      <c r="G719" s="38" t="n">
        <f aca="false">IF($G$11=$E$11,$F$11,IF(U719&lt;($F$11-$E$11)/($G$11-$E$11),$E$11+SQRT(U719*($G$11-$E$11)*($F$11-$E$11)),$G$11-SQRT((1-U719)*($G$11-$E$11)*($G$11-$F$11))))</f>
        <v>0.081906942744731</v>
      </c>
      <c r="H719" s="39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-2234322991.75646</v>
      </c>
      <c r="I719" s="39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-1539814.82610954</v>
      </c>
      <c r="J719" s="39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313171279.76356</v>
      </c>
      <c r="K719" s="39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683740449.147141</v>
      </c>
      <c r="L719" s="39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826378936.494368</v>
      </c>
      <c r="M719" s="39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1033920276.82306</v>
      </c>
      <c r="N719" s="39" t="n">
        <f aca="false">IF(COUNT('Business Case'!B11:G11)=0,"",H719+NPV(G719,I719:M719))</f>
        <v>-127656470.236268</v>
      </c>
      <c r="P719" s="40" t="n">
        <f aca="true">RAND()</f>
        <v>0.571901384190971</v>
      </c>
      <c r="Q719" s="40" t="n">
        <f aca="true">RAND()</f>
        <v>0.962934267615132</v>
      </c>
      <c r="R719" s="40" t="n">
        <f aca="true">RAND()</f>
        <v>0.666808025037088</v>
      </c>
      <c r="S719" s="40" t="n">
        <f aca="true">RAND()</f>
        <v>0.679169764453583</v>
      </c>
      <c r="T719" s="40" t="n">
        <f aca="true">RAND()</f>
        <v>0.76471909096921</v>
      </c>
      <c r="U719" s="40" t="n">
        <f aca="true">RAND()</f>
        <v>0.00363643063168217</v>
      </c>
    </row>
    <row r="720" customFormat="false" ht="15" hidden="false" customHeight="false" outlineLevel="0" collapsed="false">
      <c r="A720" s="36" t="n">
        <v>640</v>
      </c>
      <c r="B720" s="37" t="n">
        <f aca="false">1+IF($G$6=$E$6,$F$6,IF(P720&lt;($F$6-$E$6)/($G$6-$E$6),$E$6+SQRT(P720*($G$6-$E$6)*($F$6-$E$6)),$G$6-SQRT((1-P720)*($G$6-$E$6)*($G$6-$F$6))))</f>
        <v>0.987420294123345</v>
      </c>
      <c r="C720" s="37" t="n">
        <f aca="false">1+IF($G$7=$E$7,$F$7,IF(Q720&lt;($F$7-$E$7)/($G$7-$E$7),$E$7+SQRT(Q720*($G$7-$E$7)*($F$7-$E$7)),$G$7-SQRT((1-Q720)*($G$7-$E$7)*($G$7-$F$7))))</f>
        <v>0.880385673368774</v>
      </c>
      <c r="D720" s="37" t="n">
        <f aca="false">1+IF($G$8=$E$8,$F$8,IF(R720&lt;($F$8-$E$8)/($G$8-$E$8),$E$8+SQRT(R720*($G$8-$E$8)*($F$8-$E$8)),$G$8-SQRT((1-R720)*($G$8-$E$8)*($G$8-$F$8))))</f>
        <v>0.997422088520636</v>
      </c>
      <c r="E720" s="37" t="n">
        <f aca="false">1+IF($G$9=$E$9,$F$9,IF(S720&lt;($F$9-$E$9)/($G$9-$E$9),$E$9+SQRT(S720*($G$9-$E$9)*($F$9-$E$9)),$G$9-SQRT((1-S720)*($G$9-$E$9)*($G$9-$F$9))))</f>
        <v>0.92496011881327</v>
      </c>
      <c r="F720" s="37" t="n">
        <f aca="false">1+IF($G$10=$E$10,$F$10,IF(T720&lt;($F$10-$E$10)/($G$10-$E$10),$E$10+SQRT(T720*($G$10-$E$10)*($F$10-$E$10)),$G$10-SQRT((1-T720)*($G$10-$E$10)*($G$10-$F$10))))</f>
        <v>0.997442389853181</v>
      </c>
      <c r="G720" s="38" t="n">
        <f aca="false">IF($G$11=$E$11,$F$11,IF(U720&lt;($F$11-$E$11)/($G$11-$E$11),$E$11+SQRT(U720*($G$11-$E$11)*($F$11-$E$11)),$G$11-SQRT((1-U720)*($G$11-$E$11)*($G$11-$F$11))))</f>
        <v>0.111671981282664</v>
      </c>
      <c r="H720" s="39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-1994884779.70636</v>
      </c>
      <c r="I720" s="39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-13835798.4612961</v>
      </c>
      <c r="J720" s="39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248667036.637155</v>
      </c>
      <c r="K720" s="39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561041991.228265</v>
      </c>
      <c r="L720" s="39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678586313.380537</v>
      </c>
      <c r="M720" s="39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843824887.537537</v>
      </c>
      <c r="N720" s="39" t="n">
        <f aca="false">IF(COUNT('Business Case'!B11:G11)=0,"",H720+NPV(G720,I720:M720))</f>
        <v>-456395618.953902</v>
      </c>
      <c r="P720" s="40" t="n">
        <f aca="true">RAND()</f>
        <v>0.509487188307482</v>
      </c>
      <c r="Q720" s="40" t="n">
        <f aca="true">RAND()</f>
        <v>0.241029564123749</v>
      </c>
      <c r="R720" s="40" t="n">
        <f aca="true">RAND()</f>
        <v>0.299847263954533</v>
      </c>
      <c r="S720" s="40" t="n">
        <f aca="true">RAND()</f>
        <v>0.0249203012469024</v>
      </c>
      <c r="T720" s="40" t="n">
        <f aca="true">RAND()</f>
        <v>0.150052023665415</v>
      </c>
      <c r="U720" s="40" t="n">
        <f aca="true">RAND()</f>
        <v>0.77605581993132</v>
      </c>
    </row>
    <row r="721" customFormat="false" ht="15" hidden="false" customHeight="false" outlineLevel="0" collapsed="false">
      <c r="A721" s="36" t="n">
        <v>641</v>
      </c>
      <c r="B721" s="37" t="n">
        <f aca="false">1+IF($G$6=$E$6,$F$6,IF(P721&lt;($F$6-$E$6)/($G$6-$E$6),$E$6+SQRT(P721*($G$6-$E$6)*($F$6-$E$6)),$G$6-SQRT((1-P721)*($G$6-$E$6)*($G$6-$F$6))))</f>
        <v>0.958698973155071</v>
      </c>
      <c r="C721" s="37" t="n">
        <f aca="false">1+IF($G$7=$E$7,$F$7,IF(Q721&lt;($F$7-$E$7)/($G$7-$E$7),$E$7+SQRT(Q721*($G$7-$E$7)*($F$7-$E$7)),$G$7-SQRT((1-Q721)*($G$7-$E$7)*($G$7-$F$7))))</f>
        <v>0.954699271000764</v>
      </c>
      <c r="D721" s="37" t="n">
        <f aca="false">1+IF($G$8=$E$8,$F$8,IF(R721&lt;($F$8-$E$8)/($G$8-$E$8),$E$8+SQRT(R721*($G$8-$E$8)*($F$8-$E$8)),$G$8-SQRT((1-R721)*($G$8-$E$8)*($G$8-$F$8))))</f>
        <v>1.06703818766898</v>
      </c>
      <c r="E721" s="37" t="n">
        <f aca="false">1+IF($G$9=$E$9,$F$9,IF(S721&lt;($F$9-$E$9)/($G$9-$E$9),$E$9+SQRT(S721*($G$9-$E$9)*($F$9-$E$9)),$G$9-SQRT((1-S721)*($G$9-$E$9)*($G$9-$F$9))))</f>
        <v>1.01183688943882</v>
      </c>
      <c r="F721" s="37" t="n">
        <f aca="false">1+IF($G$10=$E$10,$F$10,IF(T721&lt;($F$10-$E$10)/($G$10-$E$10),$E$10+SQRT(T721*($G$10-$E$10)*($F$10-$E$10)),$G$10-SQRT((1-T721)*($G$10-$E$10)*($G$10-$F$10))))</f>
        <v>1.19531404649614</v>
      </c>
      <c r="G721" s="38" t="n">
        <f aca="false">IF($G$11=$E$11,$F$11,IF(U721&lt;($F$11-$E$11)/($G$11-$E$11),$E$11+SQRT(U721*($G$11-$E$11)*($F$11-$E$11)),$G$11-SQRT((1-U721)*($G$11-$E$11)*($G$11-$F$11))))</f>
        <v>0.094732608705298</v>
      </c>
      <c r="H721" s="39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-2390628092.99229</v>
      </c>
      <c r="I721" s="39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-82683984.0635568</v>
      </c>
      <c r="J721" s="39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145494198.087553</v>
      </c>
      <c r="K721" s="39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433438082.563471</v>
      </c>
      <c r="L721" s="39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541129180.538409</v>
      </c>
      <c r="M721" s="39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715103552.123534</v>
      </c>
      <c r="N721" s="39" t="n">
        <f aca="false">IF(COUNT('Business Case'!B11:G11)=0,"",H721+NPV(G721,I721:M721))</f>
        <v>-1182810215.42398</v>
      </c>
      <c r="P721" s="40" t="n">
        <f aca="true">RAND()</f>
        <v>0.229704629963983</v>
      </c>
      <c r="Q721" s="40" t="n">
        <f aca="true">RAND()</f>
        <v>0.480531249246818</v>
      </c>
      <c r="R721" s="40" t="n">
        <f aca="true">RAND()</f>
        <v>0.927567928523635</v>
      </c>
      <c r="S721" s="40" t="n">
        <f aca="true">RAND()</f>
        <v>0.490958796801594</v>
      </c>
      <c r="T721" s="40" t="n">
        <f aca="true">RAND()</f>
        <v>0.960125953191653</v>
      </c>
      <c r="U721" s="40" t="n">
        <f aca="true">RAND()</f>
        <v>0.217049759263421</v>
      </c>
    </row>
    <row r="722" customFormat="false" ht="15" hidden="false" customHeight="false" outlineLevel="0" collapsed="false">
      <c r="A722" s="36" t="n">
        <v>642</v>
      </c>
      <c r="B722" s="37" t="n">
        <f aca="false">1+IF($G$6=$E$6,$F$6,IF(P722&lt;($F$6-$E$6)/($G$6-$E$6),$E$6+SQRT(P722*($G$6-$E$6)*($F$6-$E$6)),$G$6-SQRT((1-P722)*($G$6-$E$6)*($G$6-$F$6))))</f>
        <v>0.922312706296586</v>
      </c>
      <c r="C722" s="37" t="n">
        <f aca="false">1+IF($G$7=$E$7,$F$7,IF(Q722&lt;($F$7-$E$7)/($G$7-$E$7),$E$7+SQRT(Q722*($G$7-$E$7)*($F$7-$E$7)),$G$7-SQRT((1-Q722)*($G$7-$E$7)*($G$7-$F$7))))</f>
        <v>0.761793069893263</v>
      </c>
      <c r="D722" s="37" t="n">
        <f aca="false">1+IF($G$8=$E$8,$F$8,IF(R722&lt;($F$8-$E$8)/($G$8-$E$8),$E$8+SQRT(R722*($G$8-$E$8)*($F$8-$E$8)),$G$8-SQRT((1-R722)*($G$8-$E$8)*($G$8-$F$8))))</f>
        <v>1.0219411994357</v>
      </c>
      <c r="E722" s="37" t="n">
        <f aca="false">1+IF($G$9=$E$9,$F$9,IF(S722&lt;($F$9-$E$9)/($G$9-$E$9),$E$9+SQRT(S722*($G$9-$E$9)*($F$9-$E$9)),$G$9-SQRT((1-S722)*($G$9-$E$9)*($G$9-$F$9))))</f>
        <v>0.974794231328866</v>
      </c>
      <c r="F722" s="37" t="n">
        <f aca="false">1+IF($G$10=$E$10,$F$10,IF(T722&lt;($F$10-$E$10)/($G$10-$E$10),$E$10+SQRT(T722*($G$10-$E$10)*($F$10-$E$10)),$G$10-SQRT((1-T722)*($G$10-$E$10)*($G$10-$F$10))))</f>
        <v>1.11284805250416</v>
      </c>
      <c r="G722" s="38" t="n">
        <f aca="false">IF($G$11=$E$11,$F$11,IF(U722&lt;($F$11-$E$11)/($G$11-$E$11),$E$11+SQRT(U722*($G$11-$E$11)*($F$11-$E$11)),$G$11-SQRT((1-U722)*($G$11-$E$11)*($G$11-$F$11))))</f>
        <v>0.100821376442971</v>
      </c>
      <c r="H722" s="39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-2225696105.00832</v>
      </c>
      <c r="I722" s="39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-109368247.720038</v>
      </c>
      <c r="J722" s="39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67587425.9292604</v>
      </c>
      <c r="K722" s="39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300185502.203766</v>
      </c>
      <c r="L722" s="39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383452977.702836</v>
      </c>
      <c r="M722" s="39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517005357.924006</v>
      </c>
      <c r="N722" s="39" t="n">
        <f aca="false">IF(COUNT('Business Case'!B11:G11)=0,"",H722+NPV(G722,I722:M722))</f>
        <v>-1463297667.65292</v>
      </c>
      <c r="P722" s="40" t="n">
        <f aca="true">RAND()</f>
        <v>0.0331904574851792</v>
      </c>
      <c r="Q722" s="40" t="n">
        <f aca="true">RAND()</f>
        <v>0.0282843221246939</v>
      </c>
      <c r="R722" s="40" t="n">
        <f aca="true">RAND()</f>
        <v>0.593788243630811</v>
      </c>
      <c r="S722" s="40" t="n">
        <f aca="true">RAND()</f>
        <v>0.223767081603039</v>
      </c>
      <c r="T722" s="40" t="n">
        <f aca="true">RAND()</f>
        <v>0.749191243974647</v>
      </c>
      <c r="U722" s="40" t="n">
        <f aca="true">RAND()</f>
        <v>0.432405284878122</v>
      </c>
    </row>
    <row r="723" customFormat="false" ht="15" hidden="false" customHeight="false" outlineLevel="0" collapsed="false">
      <c r="A723" s="36" t="n">
        <v>643</v>
      </c>
      <c r="B723" s="37" t="n">
        <f aca="false">1+IF($G$6=$E$6,$F$6,IF(P723&lt;($F$6-$E$6)/($G$6-$E$6),$E$6+SQRT(P723*($G$6-$E$6)*($F$6-$E$6)),$G$6-SQRT((1-P723)*($G$6-$E$6)*($G$6-$F$6))))</f>
        <v>0.955001221760248</v>
      </c>
      <c r="C723" s="37" t="n">
        <f aca="false">1+IF($G$7=$E$7,$F$7,IF(Q723&lt;($F$7-$E$7)/($G$7-$E$7),$E$7+SQRT(Q723*($G$7-$E$7)*($F$7-$E$7)),$G$7-SQRT((1-Q723)*($G$7-$E$7)*($G$7-$F$7))))</f>
        <v>0.845800100258525</v>
      </c>
      <c r="D723" s="37" t="n">
        <f aca="false">1+IF($G$8=$E$8,$F$8,IF(R723&lt;($F$8-$E$8)/($G$8-$E$8),$E$8+SQRT(R723*($G$8-$E$8)*($F$8-$E$8)),$G$8-SQRT((1-R723)*($G$8-$E$8)*($G$8-$F$8))))</f>
        <v>0.981143132797814</v>
      </c>
      <c r="E723" s="37" t="n">
        <f aca="false">1+IF($G$9=$E$9,$F$9,IF(S723&lt;($F$9-$E$9)/($G$9-$E$9),$E$9+SQRT(S723*($G$9-$E$9)*($F$9-$E$9)),$G$9-SQRT((1-S723)*($G$9-$E$9)*($G$9-$F$9))))</f>
        <v>1.04022983458638</v>
      </c>
      <c r="F723" s="37" t="n">
        <f aca="false">1+IF($G$10=$E$10,$F$10,IF(T723&lt;($F$10-$E$10)/($G$10-$E$10),$E$10+SQRT(T723*($G$10-$E$10)*($F$10-$E$10)),$G$10-SQRT((1-T723)*($G$10-$E$10)*($G$10-$F$10))))</f>
        <v>1.0518345828143</v>
      </c>
      <c r="G723" s="38" t="n">
        <f aca="false">IF($G$11=$E$11,$F$11,IF(U723&lt;($F$11-$E$11)/($G$11-$E$11),$E$11+SQRT(U723*($G$11-$E$11)*($F$11-$E$11)),$G$11-SQRT((1-U723)*($G$11-$E$11)*($G$11-$F$11))))</f>
        <v>0.103002184489048</v>
      </c>
      <c r="H723" s="39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-2103669165.6286</v>
      </c>
      <c r="I723" s="39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-58197369.5093154</v>
      </c>
      <c r="J723" s="39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178582650.03414</v>
      </c>
      <c r="K723" s="39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467954398.718311</v>
      </c>
      <c r="L723" s="39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574796570.761567</v>
      </c>
      <c r="M723" s="39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728331814.503144</v>
      </c>
      <c r="N723" s="39" t="n">
        <f aca="false">IF(COUNT('Business Case'!B11:G11)=0,"",H723+NPV(G723,I723:M723))</f>
        <v>-826474659.910137</v>
      </c>
      <c r="P723" s="40" t="n">
        <f aca="true">RAND()</f>
        <v>0.201675626341329</v>
      </c>
      <c r="Q723" s="40" t="n">
        <f aca="true">RAND()</f>
        <v>0.157464216558488</v>
      </c>
      <c r="R723" s="40" t="n">
        <f aca="true">RAND()</f>
        <v>0.129319296061637</v>
      </c>
      <c r="S723" s="40" t="n">
        <f aca="true">RAND()</f>
        <v>0.678680287601788</v>
      </c>
      <c r="T723" s="40" t="n">
        <f aca="true">RAND()</f>
        <v>0.476406232421563</v>
      </c>
      <c r="U723" s="40" t="n">
        <f aca="true">RAND()</f>
        <v>0.514078638424408</v>
      </c>
    </row>
    <row r="724" customFormat="false" ht="15" hidden="false" customHeight="false" outlineLevel="0" collapsed="false">
      <c r="A724" s="36" t="n">
        <v>644</v>
      </c>
      <c r="B724" s="37" t="n">
        <f aca="false">1+IF($G$6=$E$6,$F$6,IF(P724&lt;($F$6-$E$6)/($G$6-$E$6),$E$6+SQRT(P724*($G$6-$E$6)*($F$6-$E$6)),$G$6-SQRT((1-P724)*($G$6-$E$6)*($G$6-$F$6))))</f>
        <v>1.02276206636494</v>
      </c>
      <c r="C724" s="37" t="n">
        <f aca="false">1+IF($G$7=$E$7,$F$7,IF(Q724&lt;($F$7-$E$7)/($G$7-$E$7),$E$7+SQRT(Q724*($G$7-$E$7)*($F$7-$E$7)),$G$7-SQRT((1-Q724)*($G$7-$E$7)*($G$7-$F$7))))</f>
        <v>1.04625428747923</v>
      </c>
      <c r="D724" s="37" t="n">
        <f aca="false">1+IF($G$8=$E$8,$F$8,IF(R724&lt;($F$8-$E$8)/($G$8-$E$8),$E$8+SQRT(R724*($G$8-$E$8)*($F$8-$E$8)),$G$8-SQRT((1-R724)*($G$8-$E$8)*($G$8-$F$8))))</f>
        <v>0.989969718834517</v>
      </c>
      <c r="E724" s="37" t="n">
        <f aca="false">1+IF($G$9=$E$9,$F$9,IF(S724&lt;($F$9-$E$9)/($G$9-$E$9),$E$9+SQRT(S724*($G$9-$E$9)*($F$9-$E$9)),$G$9-SQRT((1-S724)*($G$9-$E$9)*($G$9-$F$9))))</f>
        <v>1.08140728585055</v>
      </c>
      <c r="F724" s="37" t="n">
        <f aca="false">1+IF($G$10=$E$10,$F$10,IF(T724&lt;($F$10-$E$10)/($G$10-$E$10),$E$10+SQRT(T724*($G$10-$E$10)*($F$10-$E$10)),$G$10-SQRT((1-T724)*($G$10-$E$10)*($G$10-$F$10))))</f>
        <v>1.01537461881447</v>
      </c>
      <c r="G724" s="38" t="n">
        <f aca="false">IF($G$11=$E$11,$F$11,IF(U724&lt;($F$11-$E$11)/($G$11-$E$11),$E$11+SQRT(U724*($G$11-$E$11)*($F$11-$E$11)),$G$11-SQRT((1-U724)*($G$11-$E$11)*($G$11-$F$11))))</f>
        <v>0.105711178662741</v>
      </c>
      <c r="H724" s="39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-2030749237.62894</v>
      </c>
      <c r="I724" s="39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35451460.8762284</v>
      </c>
      <c r="J724" s="39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381688886.854614</v>
      </c>
      <c r="K724" s="39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778695043.773722</v>
      </c>
      <c r="L724" s="39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931089110.548359</v>
      </c>
      <c r="M724" s="39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1134487863.51515</v>
      </c>
      <c r="N724" s="39" t="n">
        <f aca="false">IF(COUNT('Business Case'!B11:G11)=0,"",H724+NPV(G724,I724:M724))</f>
        <v>198865337.910016</v>
      </c>
      <c r="P724" s="40" t="n">
        <f aca="true">RAND()</f>
        <v>0.901079329505605</v>
      </c>
      <c r="Q724" s="40" t="n">
        <f aca="true">RAND()</f>
        <v>0.840545587163809</v>
      </c>
      <c r="R724" s="40" t="n">
        <f aca="true">RAND()</f>
        <v>0.213010456494716</v>
      </c>
      <c r="S724" s="40" t="n">
        <f aca="true">RAND()</f>
        <v>0.874534388416321</v>
      </c>
      <c r="T724" s="40" t="n">
        <f aca="true">RAND()</f>
        <v>0.266012406713935</v>
      </c>
      <c r="U724" s="40" t="n">
        <f aca="true">RAND()</f>
        <v>0.606702105364469</v>
      </c>
    </row>
    <row r="725" customFormat="false" ht="15" hidden="false" customHeight="false" outlineLevel="0" collapsed="false">
      <c r="A725" s="36" t="n">
        <v>645</v>
      </c>
      <c r="B725" s="37" t="n">
        <f aca="false">1+IF($G$6=$E$6,$F$6,IF(P725&lt;($F$6-$E$6)/($G$6-$E$6),$E$6+SQRT(P725*($G$6-$E$6)*($F$6-$E$6)),$G$6-SQRT((1-P725)*($G$6-$E$6)*($G$6-$F$6))))</f>
        <v>0.95233351400951</v>
      </c>
      <c r="C725" s="37" t="n">
        <f aca="false">1+IF($G$7=$E$7,$F$7,IF(Q725&lt;($F$7-$E$7)/($G$7-$E$7),$E$7+SQRT(Q725*($G$7-$E$7)*($F$7-$E$7)),$G$7-SQRT((1-Q725)*($G$7-$E$7)*($G$7-$F$7))))</f>
        <v>1.07972354949633</v>
      </c>
      <c r="D725" s="37" t="n">
        <f aca="false">1+IF($G$8=$E$8,$F$8,IF(R725&lt;($F$8-$E$8)/($G$8-$E$8),$E$8+SQRT(R725*($G$8-$E$8)*($F$8-$E$8)),$G$8-SQRT((1-R725)*($G$8-$E$8)*($G$8-$F$8))))</f>
        <v>1.01685098384506</v>
      </c>
      <c r="E725" s="37" t="n">
        <f aca="false">1+IF($G$9=$E$9,$F$9,IF(S725&lt;($F$9-$E$9)/($G$9-$E$9),$E$9+SQRT(S725*($G$9-$E$9)*($F$9-$E$9)),$G$9-SQRT((1-S725)*($G$9-$E$9)*($G$9-$F$9))))</f>
        <v>0.915548472213524</v>
      </c>
      <c r="F725" s="37" t="n">
        <f aca="false">1+IF($G$10=$E$10,$F$10,IF(T725&lt;($F$10-$E$10)/($G$10-$E$10),$E$10+SQRT(T725*($G$10-$E$10)*($F$10-$E$10)),$G$10-SQRT((1-T725)*($G$10-$E$10)*($G$10-$F$10))))</f>
        <v>1.03808750102081</v>
      </c>
      <c r="G725" s="38" t="n">
        <f aca="false">IF($G$11=$E$11,$F$11,IF(U725&lt;($F$11-$E$11)/($G$11-$E$11),$E$11+SQRT(U725*($G$11-$E$11)*($F$11-$E$11)),$G$11-SQRT((1-U725)*($G$11-$E$11)*($G$11-$F$11))))</f>
        <v>0.105999453583013</v>
      </c>
      <c r="H725" s="39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-2076175002.04162</v>
      </c>
      <c r="I725" s="39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-7134286.83183131</v>
      </c>
      <c r="J725" s="39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273036008.026288</v>
      </c>
      <c r="K725" s="39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605110677.935447</v>
      </c>
      <c r="L725" s="39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734037335.447558</v>
      </c>
      <c r="M725" s="39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929488411.190947</v>
      </c>
      <c r="N725" s="39" t="n">
        <f aca="false">IF(COUNT('Business Case'!B11:G11)=0,"",H725+NPV(G725,I725:M725))</f>
        <v>-359925121.45092</v>
      </c>
      <c r="P725" s="40" t="n">
        <f aca="true">RAND()</f>
        <v>0.182586445905573</v>
      </c>
      <c r="Q725" s="40" t="n">
        <f aca="true">RAND()</f>
        <v>0.926832896364516</v>
      </c>
      <c r="R725" s="40" t="n">
        <f aca="true">RAND()</f>
        <v>0.539082740831084</v>
      </c>
      <c r="S725" s="40" t="n">
        <f aca="true">RAND()</f>
        <v>0.00967019952698932</v>
      </c>
      <c r="T725" s="40" t="n">
        <f aca="true">RAND()</f>
        <v>0.401241237018595</v>
      </c>
      <c r="U725" s="40" t="n">
        <f aca="true">RAND()</f>
        <v>0.615982514457373</v>
      </c>
    </row>
    <row r="726" customFormat="false" ht="15" hidden="false" customHeight="false" outlineLevel="0" collapsed="false">
      <c r="A726" s="36" t="n">
        <v>646</v>
      </c>
      <c r="B726" s="37" t="n">
        <f aca="false">1+IF($G$6=$E$6,$F$6,IF(P726&lt;($F$6-$E$6)/($G$6-$E$6),$E$6+SQRT(P726*($G$6-$E$6)*($F$6-$E$6)),$G$6-SQRT((1-P726)*($G$6-$E$6)*($G$6-$F$6))))</f>
        <v>1.00382761354467</v>
      </c>
      <c r="C726" s="37" t="n">
        <f aca="false">1+IF($G$7=$E$7,$F$7,IF(Q726&lt;($F$7-$E$7)/($G$7-$E$7),$E$7+SQRT(Q726*($G$7-$E$7)*($F$7-$E$7)),$G$7-SQRT((1-Q726)*($G$7-$E$7)*($G$7-$F$7))))</f>
        <v>1.02155057020519</v>
      </c>
      <c r="D726" s="37" t="n">
        <f aca="false">1+IF($G$8=$E$8,$F$8,IF(R726&lt;($F$8-$E$8)/($G$8-$E$8),$E$8+SQRT(R726*($G$8-$E$8)*($F$8-$E$8)),$G$8-SQRT((1-R726)*($G$8-$E$8)*($G$8-$F$8))))</f>
        <v>1.04288154963425</v>
      </c>
      <c r="E726" s="37" t="n">
        <f aca="false">1+IF($G$9=$E$9,$F$9,IF(S726&lt;($F$9-$E$9)/($G$9-$E$9),$E$9+SQRT(S726*($G$9-$E$9)*($F$9-$E$9)),$G$9-SQRT((1-S726)*($G$9-$E$9)*($G$9-$F$9))))</f>
        <v>1.02439308000812</v>
      </c>
      <c r="F726" s="37" t="n">
        <f aca="false">1+IF($G$10=$E$10,$F$10,IF(T726&lt;($F$10-$E$10)/($G$10-$E$10),$E$10+SQRT(T726*($G$10-$E$10)*($F$10-$E$10)),$G$10-SQRT((1-T726)*($G$10-$E$10)*($G$10-$F$10))))</f>
        <v>1.04704118222015</v>
      </c>
      <c r="G726" s="38" t="n">
        <f aca="false">IF($G$11=$E$11,$F$11,IF(U726&lt;($F$11-$E$11)/($G$11-$E$11),$E$11+SQRT(U726*($G$11-$E$11)*($F$11-$E$11)),$G$11-SQRT((1-U726)*($G$11-$E$11)*($G$11-$F$11))))</f>
        <v>0.087802733267492</v>
      </c>
      <c r="H726" s="39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-2094082364.4403</v>
      </c>
      <c r="I726" s="39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-8983739.90678145</v>
      </c>
      <c r="J726" s="39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285565215.570468</v>
      </c>
      <c r="K726" s="39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632466230.158726</v>
      </c>
      <c r="L726" s="39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766089136.107716</v>
      </c>
      <c r="M726" s="39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961008700.452207</v>
      </c>
      <c r="N726" s="39" t="n">
        <f aca="false">IF(COUNT('Business Case'!B11:G11)=0,"",H726+NPV(G726,I726:M726))</f>
        <v>-191630603.667168</v>
      </c>
      <c r="P726" s="40" t="n">
        <f aca="true">RAND()</f>
        <v>0.715748097202577</v>
      </c>
      <c r="Q726" s="40" t="n">
        <f aca="true">RAND()</f>
        <v>0.755566577561297</v>
      </c>
      <c r="R726" s="40" t="n">
        <f aca="true">RAND()</f>
        <v>0.782498841854341</v>
      </c>
      <c r="S726" s="40" t="n">
        <f aca="true">RAND()</f>
        <v>0.579277377337453</v>
      </c>
      <c r="T726" s="40" t="n">
        <f aca="true">RAND()</f>
        <v>0.450769577138731</v>
      </c>
      <c r="U726" s="40" t="n">
        <f aca="true">RAND()</f>
        <v>0.0608826464436258</v>
      </c>
    </row>
    <row r="727" customFormat="false" ht="15" hidden="false" customHeight="false" outlineLevel="0" collapsed="false">
      <c r="A727" s="36" t="n">
        <v>647</v>
      </c>
      <c r="B727" s="37" t="n">
        <f aca="false">1+IF($G$6=$E$6,$F$6,IF(P727&lt;($F$6-$E$6)/($G$6-$E$6),$E$6+SQRT(P727*($G$6-$E$6)*($F$6-$E$6)),$G$6-SQRT((1-P727)*($G$6-$E$6)*($G$6-$F$6))))</f>
        <v>1.01230753238727</v>
      </c>
      <c r="C727" s="37" t="n">
        <f aca="false">1+IF($G$7=$E$7,$F$7,IF(Q727&lt;($F$7-$E$7)/($G$7-$E$7),$E$7+SQRT(Q727*($G$7-$E$7)*($F$7-$E$7)),$G$7-SQRT((1-Q727)*($G$7-$E$7)*($G$7-$F$7))))</f>
        <v>0.859921511104539</v>
      </c>
      <c r="D727" s="37" t="n">
        <f aca="false">1+IF($G$8=$E$8,$F$8,IF(R727&lt;($F$8-$E$8)/($G$8-$E$8),$E$8+SQRT(R727*($G$8-$E$8)*($F$8-$E$8)),$G$8-SQRT((1-R727)*($G$8-$E$8)*($G$8-$F$8))))</f>
        <v>1.01798906176797</v>
      </c>
      <c r="E727" s="37" t="n">
        <f aca="false">1+IF($G$9=$E$9,$F$9,IF(S727&lt;($F$9-$E$9)/($G$9-$E$9),$E$9+SQRT(S727*($G$9-$E$9)*($F$9-$E$9)),$G$9-SQRT((1-S727)*($G$9-$E$9)*($G$9-$F$9))))</f>
        <v>0.999171976978603</v>
      </c>
      <c r="F727" s="37" t="n">
        <f aca="false">1+IF($G$10=$E$10,$F$10,IF(T727&lt;($F$10-$E$10)/($G$10-$E$10),$E$10+SQRT(T727*($G$10-$E$10)*($F$10-$E$10)),$G$10-SQRT((1-T727)*($G$10-$E$10)*($G$10-$F$10))))</f>
        <v>1.08707862900871</v>
      </c>
      <c r="G727" s="38" t="n">
        <f aca="false">IF($G$11=$E$11,$F$11,IF(U727&lt;($F$11-$E$11)/($G$11-$E$11),$E$11+SQRT(U727*($G$11-$E$11)*($F$11-$E$11)),$G$11-SQRT((1-U727)*($G$11-$E$11)*($G$11-$F$11))))</f>
        <v>0.102512413346506</v>
      </c>
      <c r="H727" s="39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-2174157258.01743</v>
      </c>
      <c r="I727" s="39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-31040811.4506983</v>
      </c>
      <c r="J727" s="39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233835475.515714</v>
      </c>
      <c r="K727" s="39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553065693.932562</v>
      </c>
      <c r="L727" s="39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671442443.181287</v>
      </c>
      <c r="M727" s="39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836908037.944187</v>
      </c>
      <c r="N727" s="39" t="n">
        <f aca="false">IF(COUNT('Business Case'!B11:G11)=0,"",H727+NPV(G727,I727:M727))</f>
        <v>-629048762.462347</v>
      </c>
      <c r="P727" s="40" t="n">
        <f aca="true">RAND()</f>
        <v>0.810570384701731</v>
      </c>
      <c r="Q727" s="40" t="n">
        <f aca="true">RAND()</f>
        <v>0.189443627510809</v>
      </c>
      <c r="R727" s="40" t="n">
        <f aca="true">RAND()</f>
        <v>0.551613734020094</v>
      </c>
      <c r="S727" s="40" t="n">
        <f aca="true">RAND()</f>
        <v>0.393403240713781</v>
      </c>
      <c r="T727" s="40" t="n">
        <f aca="true">RAND()</f>
        <v>0.64608835832426</v>
      </c>
      <c r="U727" s="40" t="n">
        <f aca="true">RAND()</f>
        <v>0.496288386644449</v>
      </c>
    </row>
    <row r="728" customFormat="false" ht="15" hidden="false" customHeight="false" outlineLevel="0" collapsed="false">
      <c r="A728" s="36" t="n">
        <v>648</v>
      </c>
      <c r="B728" s="37" t="n">
        <f aca="false">1+IF($G$6=$E$6,$F$6,IF(P728&lt;($F$6-$E$6)/($G$6-$E$6),$E$6+SQRT(P728*($G$6-$E$6)*($F$6-$E$6)),$G$6-SQRT((1-P728)*($G$6-$E$6)*($G$6-$F$6))))</f>
        <v>0.998596123288338</v>
      </c>
      <c r="C728" s="37" t="n">
        <f aca="false">1+IF($G$7=$E$7,$F$7,IF(Q728&lt;($F$7-$E$7)/($G$7-$E$7),$E$7+SQRT(Q728*($G$7-$E$7)*($F$7-$E$7)),$G$7-SQRT((1-Q728)*($G$7-$E$7)*($G$7-$F$7))))</f>
        <v>0.887080318269029</v>
      </c>
      <c r="D728" s="37" t="n">
        <f aca="false">1+IF($G$8=$E$8,$F$8,IF(R728&lt;($F$8-$E$8)/($G$8-$E$8),$E$8+SQRT(R728*($G$8-$E$8)*($F$8-$E$8)),$G$8-SQRT((1-R728)*($G$8-$E$8)*($G$8-$F$8))))</f>
        <v>1.07551586462956</v>
      </c>
      <c r="E728" s="37" t="n">
        <f aca="false">1+IF($G$9=$E$9,$F$9,IF(S728&lt;($F$9-$E$9)/($G$9-$E$9),$E$9+SQRT(S728*($G$9-$E$9)*($F$9-$E$9)),$G$9-SQRT((1-S728)*($G$9-$E$9)*($G$9-$F$9))))</f>
        <v>1.00763343902661</v>
      </c>
      <c r="F728" s="37" t="n">
        <f aca="false">1+IF($G$10=$E$10,$F$10,IF(T728&lt;($F$10-$E$10)/($G$10-$E$10),$E$10+SQRT(T728*($G$10-$E$10)*($F$10-$E$10)),$G$10-SQRT((1-T728)*($G$10-$E$10)*($G$10-$F$10))))</f>
        <v>1.20240148147096</v>
      </c>
      <c r="G728" s="38" t="n">
        <f aca="false">IF($G$11=$E$11,$F$11,IF(U728&lt;($F$11-$E$11)/($G$11-$E$11),$E$11+SQRT(U728*($G$11-$E$11)*($F$11-$E$11)),$G$11-SQRT((1-U728)*($G$11-$E$11)*($G$11-$F$11))))</f>
        <v>0.0939204038041416</v>
      </c>
      <c r="H728" s="39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-2404802962.94192</v>
      </c>
      <c r="I728" s="39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-72291669.5750038</v>
      </c>
      <c r="J728" s="39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164863968.709153</v>
      </c>
      <c r="K728" s="39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462139681.066857</v>
      </c>
      <c r="L728" s="39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571806016.949896</v>
      </c>
      <c r="M728" s="39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740185527.452325</v>
      </c>
      <c r="N728" s="39" t="n">
        <f aca="false">IF(COUNT('Business Case'!B11:G11)=0,"",H728+NPV(G728,I728:M728))</f>
        <v>-1108267328.94295</v>
      </c>
      <c r="P728" s="40" t="n">
        <f aca="true">RAND()</f>
        <v>0.648079701832606</v>
      </c>
      <c r="Q728" s="40" t="n">
        <f aca="true">RAND()</f>
        <v>0.259252188767712</v>
      </c>
      <c r="R728" s="40" t="n">
        <f aca="true">RAND()</f>
        <v>0.960035141010784</v>
      </c>
      <c r="S728" s="40" t="n">
        <f aca="true">RAND()</f>
        <v>0.459513661776255</v>
      </c>
      <c r="T728" s="40" t="n">
        <f aca="true">RAND()</f>
        <v>0.969791747117874</v>
      </c>
      <c r="U728" s="40" t="n">
        <f aca="true">RAND()</f>
        <v>0.19377764207036</v>
      </c>
    </row>
    <row r="729" customFormat="false" ht="15" hidden="false" customHeight="false" outlineLevel="0" collapsed="false">
      <c r="A729" s="36" t="n">
        <v>649</v>
      </c>
      <c r="B729" s="37" t="n">
        <f aca="false">1+IF($G$6=$E$6,$F$6,IF(P729&lt;($F$6-$E$6)/($G$6-$E$6),$E$6+SQRT(P729*($G$6-$E$6)*($F$6-$E$6)),$G$6-SQRT((1-P729)*($G$6-$E$6)*($G$6-$F$6))))</f>
        <v>1.01519814831956</v>
      </c>
      <c r="C729" s="37" t="n">
        <f aca="false">1+IF($G$7=$E$7,$F$7,IF(Q729&lt;($F$7-$E$7)/($G$7-$E$7),$E$7+SQRT(Q729*($G$7-$E$7)*($F$7-$E$7)),$G$7-SQRT((1-Q729)*($G$7-$E$7)*($G$7-$F$7))))</f>
        <v>0.968664793299796</v>
      </c>
      <c r="D729" s="37" t="n">
        <f aca="false">1+IF($G$8=$E$8,$F$8,IF(R729&lt;($F$8-$E$8)/($G$8-$E$8),$E$8+SQRT(R729*($G$8-$E$8)*($F$8-$E$8)),$G$8-SQRT((1-R729)*($G$8-$E$8)*($G$8-$F$8))))</f>
        <v>1.01977863792829</v>
      </c>
      <c r="E729" s="37" t="n">
        <f aca="false">1+IF($G$9=$E$9,$F$9,IF(S729&lt;($F$9-$E$9)/($G$9-$E$9),$E$9+SQRT(S729*($G$9-$E$9)*($F$9-$E$9)),$G$9-SQRT((1-S729)*($G$9-$E$9)*($G$9-$F$9))))</f>
        <v>0.97948985422929</v>
      </c>
      <c r="F729" s="37" t="n">
        <f aca="false">1+IF($G$10=$E$10,$F$10,IF(T729&lt;($F$10-$E$10)/($G$10-$E$10),$E$10+SQRT(T729*($G$10-$E$10)*($F$10-$E$10)),$G$10-SQRT((1-T729)*($G$10-$E$10)*($G$10-$F$10))))</f>
        <v>1.15179709299728</v>
      </c>
      <c r="G729" s="38" t="n">
        <f aca="false">IF($G$11=$E$11,$F$11,IF(U729&lt;($F$11-$E$11)/($G$11-$E$11),$E$11+SQRT(U729*($G$11-$E$11)*($F$11-$E$11)),$G$11-SQRT((1-U729)*($G$11-$E$11)*($G$11-$F$11))))</f>
        <v>0.112205901943413</v>
      </c>
      <c r="H729" s="39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-2303594185.99456</v>
      </c>
      <c r="I729" s="39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-5664108.33329643</v>
      </c>
      <c r="J729" s="39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294113716.665836</v>
      </c>
      <c r="K729" s="39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651481396.314832</v>
      </c>
      <c r="L729" s="39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785393182.48874</v>
      </c>
      <c r="M729" s="39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972315327.280157</v>
      </c>
      <c r="N729" s="39" t="n">
        <f aca="false">IF(COUNT('Business Case'!B11:G11)=0,"",H729+NPV(G729,I729:M729))</f>
        <v>-512801868.236403</v>
      </c>
      <c r="P729" s="40" t="n">
        <f aca="true">RAND()</f>
        <v>0.838510815948358</v>
      </c>
      <c r="Q729" s="40" t="n">
        <f aca="true">RAND()</f>
        <v>0.534672378954238</v>
      </c>
      <c r="R729" s="40" t="n">
        <f aca="true">RAND()</f>
        <v>0.570968871157302</v>
      </c>
      <c r="S729" s="40" t="n">
        <f aca="true">RAND()</f>
        <v>0.252745477015747</v>
      </c>
      <c r="T729" s="40" t="n">
        <f aca="true">RAND()</f>
        <v>0.871415854082869</v>
      </c>
      <c r="U729" s="40" t="n">
        <f aca="true">RAND()</f>
        <v>0.788913382901711</v>
      </c>
    </row>
    <row r="730" customFormat="false" ht="15" hidden="false" customHeight="false" outlineLevel="0" collapsed="false">
      <c r="A730" s="36" t="n">
        <v>650</v>
      </c>
      <c r="B730" s="37" t="n">
        <f aca="false">1+IF($G$6=$E$6,$F$6,IF(P730&lt;($F$6-$E$6)/($G$6-$E$6),$E$6+SQRT(P730*($G$6-$E$6)*($F$6-$E$6)),$G$6-SQRT((1-P730)*($G$6-$E$6)*($G$6-$F$6))))</f>
        <v>1.00713200906602</v>
      </c>
      <c r="C730" s="37" t="n">
        <f aca="false">1+IF($G$7=$E$7,$F$7,IF(Q730&lt;($F$7-$E$7)/($G$7-$E$7),$E$7+SQRT(Q730*($G$7-$E$7)*($F$7-$E$7)),$G$7-SQRT((1-Q730)*($G$7-$E$7)*($G$7-$F$7))))</f>
        <v>1.08707411001088</v>
      </c>
      <c r="D730" s="37" t="n">
        <f aca="false">1+IF($G$8=$E$8,$F$8,IF(R730&lt;($F$8-$E$8)/($G$8-$E$8),$E$8+SQRT(R730*($G$8-$E$8)*($F$8-$E$8)),$G$8-SQRT((1-R730)*($G$8-$E$8)*($G$8-$F$8))))</f>
        <v>1.01861597531851</v>
      </c>
      <c r="E730" s="37" t="n">
        <f aca="false">1+IF($G$9=$E$9,$F$9,IF(S730&lt;($F$9-$E$9)/($G$9-$E$9),$E$9+SQRT(S730*($G$9-$E$9)*($F$9-$E$9)),$G$9-SQRT((1-S730)*($G$9-$E$9)*($G$9-$F$9))))</f>
        <v>1.04328362475898</v>
      </c>
      <c r="F730" s="37" t="n">
        <f aca="false">1+IF($G$10=$E$10,$F$10,IF(T730&lt;($F$10-$E$10)/($G$10-$E$10),$E$10+SQRT(T730*($G$10-$E$10)*($F$10-$E$10)),$G$10-SQRT((1-T730)*($G$10-$E$10)*($G$10-$F$10))))</f>
        <v>1.17803072551937</v>
      </c>
      <c r="G730" s="38" t="n">
        <f aca="false">IF($G$11=$E$11,$F$11,IF(U730&lt;($F$11-$E$11)/($G$11-$E$11),$E$11+SQRT(U730*($G$11-$E$11)*($F$11-$E$11)),$G$11-SQRT((1-U730)*($G$11-$E$11)*($G$11-$F$11))))</f>
        <v>0.113758103724369</v>
      </c>
      <c r="H730" s="39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-2356061451.03874</v>
      </c>
      <c r="I730" s="39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6973731.28788552</v>
      </c>
      <c r="J730" s="39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336861305.113031</v>
      </c>
      <c r="K730" s="39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725650415.214146</v>
      </c>
      <c r="L730" s="39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873450165.518926</v>
      </c>
      <c r="M730" s="39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1081554906.84911</v>
      </c>
      <c r="N730" s="39" t="n">
        <f aca="false">IF(COUNT('Business Case'!B11:G11)=0,"",H730+NPV(G730,I730:M730))</f>
        <v>-354265043.382576</v>
      </c>
      <c r="P730" s="40" t="n">
        <f aca="true">RAND()</f>
        <v>0.75497804710453</v>
      </c>
      <c r="Q730" s="40" t="n">
        <f aca="true">RAND()</f>
        <v>0.941338257319666</v>
      </c>
      <c r="R730" s="40" t="n">
        <f aca="true">RAND()</f>
        <v>0.558442701776127</v>
      </c>
      <c r="S730" s="40" t="n">
        <f aca="true">RAND()</f>
        <v>0.696309740144483</v>
      </c>
      <c r="T730" s="40" t="n">
        <f aca="true">RAND()</f>
        <v>0.930938980409753</v>
      </c>
      <c r="U730" s="40" t="n">
        <f aca="true">RAND()</f>
        <v>0.824133870247764</v>
      </c>
    </row>
    <row r="731" customFormat="false" ht="15" hidden="false" customHeight="false" outlineLevel="0" collapsed="false">
      <c r="A731" s="36" t="n">
        <v>651</v>
      </c>
      <c r="B731" s="37" t="n">
        <f aca="false">1+IF($G$6=$E$6,$F$6,IF(P731&lt;($F$6-$E$6)/($G$6-$E$6),$E$6+SQRT(P731*($G$6-$E$6)*($F$6-$E$6)),$G$6-SQRT((1-P731)*($G$6-$E$6)*($G$6-$F$6))))</f>
        <v>0.979517279117597</v>
      </c>
      <c r="C731" s="37" t="n">
        <f aca="false">1+IF($G$7=$E$7,$F$7,IF(Q731&lt;($F$7-$E$7)/($G$7-$E$7),$E$7+SQRT(Q731*($G$7-$E$7)*($F$7-$E$7)),$G$7-SQRT((1-Q731)*($G$7-$E$7)*($G$7-$F$7))))</f>
        <v>0.958202982578793</v>
      </c>
      <c r="D731" s="37" t="n">
        <f aca="false">1+IF($G$8=$E$8,$F$8,IF(R731&lt;($F$8-$E$8)/($G$8-$E$8),$E$8+SQRT(R731*($G$8-$E$8)*($F$8-$E$8)),$G$8-SQRT((1-R731)*($G$8-$E$8)*($G$8-$F$8))))</f>
        <v>1.04893023855349</v>
      </c>
      <c r="E731" s="37" t="n">
        <f aca="false">1+IF($G$9=$E$9,$F$9,IF(S731&lt;($F$9-$E$9)/($G$9-$E$9),$E$9+SQRT(S731*($G$9-$E$9)*($F$9-$E$9)),$G$9-SQRT((1-S731)*($G$9-$E$9)*($G$9-$F$9))))</f>
        <v>1.07331638468294</v>
      </c>
      <c r="F731" s="37" t="n">
        <f aca="false">1+IF($G$10=$E$10,$F$10,IF(T731&lt;($F$10-$E$10)/($G$10-$E$10),$E$10+SQRT(T731*($G$10-$E$10)*($F$10-$E$10)),$G$10-SQRT((1-T731)*($G$10-$E$10)*($G$10-$F$10))))</f>
        <v>1.0023859877321</v>
      </c>
      <c r="G731" s="38" t="n">
        <f aca="false">IF($G$11=$E$11,$F$11,IF(U731&lt;($F$11-$E$11)/($G$11-$E$11),$E$11+SQRT(U731*($G$11-$E$11)*($F$11-$E$11)),$G$11-SQRT((1-U731)*($G$11-$E$11)*($G$11-$F$11))))</f>
        <v>0.10751887070529</v>
      </c>
      <c r="H731" s="39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-2004771975.4642</v>
      </c>
      <c r="I731" s="39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-47283048.2702054</v>
      </c>
      <c r="J731" s="39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206953891.587752</v>
      </c>
      <c r="K731" s="39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511310130.832315</v>
      </c>
      <c r="L731" s="39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628492977.086994</v>
      </c>
      <c r="M731" s="39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806897575.08147</v>
      </c>
      <c r="N731" s="39" t="n">
        <f aca="false">IF(COUNT('Business Case'!B11:G11)=0,"",H731+NPV(G731,I731:M731))</f>
        <v>-600386504.693308</v>
      </c>
      <c r="P731" s="40" t="n">
        <f aca="true">RAND()</f>
        <v>0.421533178551049</v>
      </c>
      <c r="Q731" s="40" t="n">
        <f aca="true">RAND()</f>
        <v>0.493842816389516</v>
      </c>
      <c r="R731" s="40" t="n">
        <f aca="true">RAND()</f>
        <v>0.826125297719768</v>
      </c>
      <c r="S731" s="40" t="n">
        <f aca="true">RAND()</f>
        <v>0.843189950450801</v>
      </c>
      <c r="T731" s="40" t="n">
        <f aca="true">RAND()</f>
        <v>0.182497345714559</v>
      </c>
      <c r="U731" s="40" t="n">
        <f aca="true">RAND()</f>
        <v>0.663065883756362</v>
      </c>
    </row>
    <row r="732" customFormat="false" ht="15" hidden="false" customHeight="false" outlineLevel="0" collapsed="false">
      <c r="A732" s="36" t="n">
        <v>652</v>
      </c>
      <c r="B732" s="37" t="n">
        <f aca="false">1+IF($G$6=$E$6,$F$6,IF(P732&lt;($F$6-$E$6)/($G$6-$E$6),$E$6+SQRT(P732*($G$6-$E$6)*($F$6-$E$6)),$G$6-SQRT((1-P732)*($G$6-$E$6)*($G$6-$F$6))))</f>
        <v>1.01083164413302</v>
      </c>
      <c r="C732" s="37" t="n">
        <f aca="false">1+IF($G$7=$E$7,$F$7,IF(Q732&lt;($F$7-$E$7)/($G$7-$E$7),$E$7+SQRT(Q732*($G$7-$E$7)*($F$7-$E$7)),$G$7-SQRT((1-Q732)*($G$7-$E$7)*($G$7-$F$7))))</f>
        <v>0.817143552111601</v>
      </c>
      <c r="D732" s="37" t="n">
        <f aca="false">1+IF($G$8=$E$8,$F$8,IF(R732&lt;($F$8-$E$8)/($G$8-$E$8),$E$8+SQRT(R732*($G$8-$E$8)*($F$8-$E$8)),$G$8-SQRT((1-R732)*($G$8-$E$8)*($G$8-$F$8))))</f>
        <v>1.06298196596898</v>
      </c>
      <c r="E732" s="37" t="n">
        <f aca="false">1+IF($G$9=$E$9,$F$9,IF(S732&lt;($F$9-$E$9)/($G$9-$E$9),$E$9+SQRT(S732*($G$9-$E$9)*($F$9-$E$9)),$G$9-SQRT((1-S732)*($G$9-$E$9)*($G$9-$F$9))))</f>
        <v>1.01816476441609</v>
      </c>
      <c r="F732" s="37" t="n">
        <f aca="false">1+IF($G$10=$E$10,$F$10,IF(T732&lt;($F$10-$E$10)/($G$10-$E$10),$E$10+SQRT(T732*($G$10-$E$10)*($F$10-$E$10)),$G$10-SQRT((1-T732)*($G$10-$E$10)*($G$10-$F$10))))</f>
        <v>0.993256176211681</v>
      </c>
      <c r="G732" s="38" t="n">
        <f aca="false">IF($G$11=$E$11,$F$11,IF(U732&lt;($F$11-$E$11)/($G$11-$E$11),$E$11+SQRT(U732*($G$11-$E$11)*($F$11-$E$11)),$G$11-SQRT((1-U732)*($G$11-$E$11)*($G$11-$F$11))))</f>
        <v>0.0968348289129404</v>
      </c>
      <c r="H732" s="39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-1986512352.42336</v>
      </c>
      <c r="I732" s="39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-55037436.0097512</v>
      </c>
      <c r="J732" s="39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176853333.106221</v>
      </c>
      <c r="K732" s="39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458406911.032777</v>
      </c>
      <c r="L732" s="39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564250206.074492</v>
      </c>
      <c r="M732" s="39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721255252.091311</v>
      </c>
      <c r="N732" s="39" t="n">
        <f aca="false">IF(COUNT('Business Case'!B11:G11)=0,"",H732+NPV(G732,I732:M732))</f>
        <v>-698087854.06292</v>
      </c>
      <c r="P732" s="40" t="n">
        <f aca="true">RAND()</f>
        <v>0.795445319823726</v>
      </c>
      <c r="Q732" s="40" t="n">
        <f aca="true">RAND()</f>
        <v>0.101648976306098</v>
      </c>
      <c r="R732" s="40" t="n">
        <f aca="true">RAND()</f>
        <v>0.908644343765226</v>
      </c>
      <c r="S732" s="40" t="n">
        <f aca="true">RAND()</f>
        <v>0.536519217560932</v>
      </c>
      <c r="T732" s="40" t="n">
        <f aca="true">RAND()</f>
        <v>0.12473978536373</v>
      </c>
      <c r="U732" s="40" t="n">
        <f aca="true">RAND()</f>
        <v>0.283411464527973</v>
      </c>
    </row>
    <row r="733" customFormat="false" ht="15" hidden="false" customHeight="false" outlineLevel="0" collapsed="false">
      <c r="A733" s="36" t="n">
        <v>653</v>
      </c>
      <c r="B733" s="37" t="n">
        <f aca="false">1+IF($G$6=$E$6,$F$6,IF(P733&lt;($F$6-$E$6)/($G$6-$E$6),$E$6+SQRT(P733*($G$6-$E$6)*($F$6-$E$6)),$G$6-SQRT((1-P733)*($G$6-$E$6)*($G$6-$F$6))))</f>
        <v>0.961435311736685</v>
      </c>
      <c r="C733" s="37" t="n">
        <f aca="false">1+IF($G$7=$E$7,$F$7,IF(Q733&lt;($F$7-$E$7)/($G$7-$E$7),$E$7+SQRT(Q733*($G$7-$E$7)*($F$7-$E$7)),$G$7-SQRT((1-Q733)*($G$7-$E$7)*($G$7-$F$7))))</f>
        <v>0.705115501064888</v>
      </c>
      <c r="D733" s="37" t="n">
        <f aca="false">1+IF($G$8=$E$8,$F$8,IF(R733&lt;($F$8-$E$8)/($G$8-$E$8),$E$8+SQRT(R733*($G$8-$E$8)*($F$8-$E$8)),$G$8-SQRT((1-R733)*($G$8-$E$8)*($G$8-$F$8))))</f>
        <v>0.975700606149733</v>
      </c>
      <c r="E733" s="37" t="n">
        <f aca="false">1+IF($G$9=$E$9,$F$9,IF(S733&lt;($F$9-$E$9)/($G$9-$E$9),$E$9+SQRT(S733*($G$9-$E$9)*($F$9-$E$9)),$G$9-SQRT((1-S733)*($G$9-$E$9)*($G$9-$F$9))))</f>
        <v>1.02557880895138</v>
      </c>
      <c r="F733" s="37" t="n">
        <f aca="false">1+IF($G$10=$E$10,$F$10,IF(T733&lt;($F$10-$E$10)/($G$10-$E$10),$E$10+SQRT(T733*($G$10-$E$10)*($F$10-$E$10)),$G$10-SQRT((1-T733)*($G$10-$E$10)*($G$10-$F$10))))</f>
        <v>1.04751289786667</v>
      </c>
      <c r="G733" s="38" t="n">
        <f aca="false">IF($G$11=$E$11,$F$11,IF(U733&lt;($F$11-$E$11)/($G$11-$E$11),$E$11+SQRT(U733*($G$11-$E$11)*($F$11-$E$11)),$G$11-SQRT((1-U733)*($G$11-$E$11)*($G$11-$F$11))))</f>
        <v>0.0967067941043701</v>
      </c>
      <c r="H733" s="39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-2095025795.73335</v>
      </c>
      <c r="I733" s="39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-82655973.9368713</v>
      </c>
      <c r="J733" s="39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120420173.837147</v>
      </c>
      <c r="K733" s="39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375871966.504499</v>
      </c>
      <c r="L733" s="39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466993032.623395</v>
      </c>
      <c r="M733" s="39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595852625.358293</v>
      </c>
      <c r="N733" s="39" t="n">
        <f aca="false">IF(COUNT('Business Case'!B11:G11)=0,"",H733+NPV(G733,I733:M733))</f>
        <v>-1086947169.187</v>
      </c>
      <c r="P733" s="40" t="n">
        <f aca="true">RAND()</f>
        <v>0.251619835212241</v>
      </c>
      <c r="Q733" s="40" t="n">
        <f aca="true">RAND()</f>
        <v>0.000193839638110138</v>
      </c>
      <c r="R733" s="40" t="n">
        <f aca="true">RAND()</f>
        <v>0.088069487528494</v>
      </c>
      <c r="S733" s="40" t="n">
        <f aca="true">RAND()</f>
        <v>0.587183125814502</v>
      </c>
      <c r="T733" s="40" t="n">
        <f aca="true">RAND()</f>
        <v>0.453319646261971</v>
      </c>
      <c r="U733" s="40" t="n">
        <f aca="true">RAND()</f>
        <v>0.279116969245814</v>
      </c>
    </row>
    <row r="734" customFormat="false" ht="15" hidden="false" customHeight="false" outlineLevel="0" collapsed="false">
      <c r="A734" s="36" t="n">
        <v>654</v>
      </c>
      <c r="B734" s="37" t="n">
        <f aca="false">1+IF($G$6=$E$6,$F$6,IF(P734&lt;($F$6-$E$6)/($G$6-$E$6),$E$6+SQRT(P734*($G$6-$E$6)*($F$6-$E$6)),$G$6-SQRT((1-P734)*($G$6-$E$6)*($G$6-$F$6))))</f>
        <v>1.01779217839767</v>
      </c>
      <c r="C734" s="37" t="n">
        <f aca="false">1+IF($G$7=$E$7,$F$7,IF(Q734&lt;($F$7-$E$7)/($G$7-$E$7),$E$7+SQRT(Q734*($G$7-$E$7)*($F$7-$E$7)),$G$7-SQRT((1-Q734)*($G$7-$E$7)*($G$7-$F$7))))</f>
        <v>0.863443486588677</v>
      </c>
      <c r="D734" s="37" t="n">
        <f aca="false">1+IF($G$8=$E$8,$F$8,IF(R734&lt;($F$8-$E$8)/($G$8-$E$8),$E$8+SQRT(R734*($G$8-$E$8)*($F$8-$E$8)),$G$8-SQRT((1-R734)*($G$8-$E$8)*($G$8-$F$8))))</f>
        <v>0.985434907080469</v>
      </c>
      <c r="E734" s="37" t="n">
        <f aca="false">1+IF($G$9=$E$9,$F$9,IF(S734&lt;($F$9-$E$9)/($G$9-$E$9),$E$9+SQRT(S734*($G$9-$E$9)*($F$9-$E$9)),$G$9-SQRT((1-S734)*($G$9-$E$9)*($G$9-$F$9))))</f>
        <v>0.988073996934766</v>
      </c>
      <c r="F734" s="37" t="n">
        <f aca="false">1+IF($G$10=$E$10,$F$10,IF(T734&lt;($F$10-$E$10)/($G$10-$E$10),$E$10+SQRT(T734*($G$10-$E$10)*($F$10-$E$10)),$G$10-SQRT((1-T734)*($G$10-$E$10)*($G$10-$F$10))))</f>
        <v>0.960949256771349</v>
      </c>
      <c r="G734" s="38" t="n">
        <f aca="false">IF($G$11=$E$11,$F$11,IF(U734&lt;($F$11-$E$11)/($G$11-$E$11),$E$11+SQRT(U734*($G$11-$E$11)*($F$11-$E$11)),$G$11-SQRT((1-U734)*($G$11-$E$11)*($G$11-$F$11))))</f>
        <v>0.101444538549411</v>
      </c>
      <c r="H734" s="39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-1921898513.5427</v>
      </c>
      <c r="I734" s="39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2073042.94874182</v>
      </c>
      <c r="J734" s="39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286302438.385595</v>
      </c>
      <c r="K734" s="39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618579296.661016</v>
      </c>
      <c r="L734" s="39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743693964.771202</v>
      </c>
      <c r="M734" s="39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910737414.409664</v>
      </c>
      <c r="N734" s="39" t="n">
        <f aca="false">IF(COUNT('Business Case'!B11:G11)=0,"",H734+NPV(G734,I734:M734))</f>
        <v>-154010128.068766</v>
      </c>
      <c r="P734" s="40" t="n">
        <f aca="true">RAND()</f>
        <v>0.861687497017673</v>
      </c>
      <c r="Q734" s="40" t="n">
        <f aca="true">RAND()</f>
        <v>0.197879802283429</v>
      </c>
      <c r="R734" s="40" t="n">
        <f aca="true">RAND()</f>
        <v>0.16741768530686</v>
      </c>
      <c r="S734" s="40" t="n">
        <f aca="true">RAND()</f>
        <v>0.310281157442608</v>
      </c>
      <c r="T734" s="40" t="n">
        <f aca="true">RAND()</f>
        <v>0.00799241492299507</v>
      </c>
      <c r="U734" s="40" t="n">
        <f aca="true">RAND()</f>
        <v>0.456390414229271</v>
      </c>
    </row>
    <row r="735" customFormat="false" ht="15" hidden="false" customHeight="false" outlineLevel="0" collapsed="false">
      <c r="A735" s="36" t="n">
        <v>655</v>
      </c>
      <c r="B735" s="37" t="n">
        <f aca="false">1+IF($G$6=$E$6,$F$6,IF(P735&lt;($F$6-$E$6)/($G$6-$E$6),$E$6+SQRT(P735*($G$6-$E$6)*($F$6-$E$6)),$G$6-SQRT((1-P735)*($G$6-$E$6)*($G$6-$F$6))))</f>
        <v>0.971526033588445</v>
      </c>
      <c r="C735" s="37" t="n">
        <f aca="false">1+IF($G$7=$E$7,$F$7,IF(Q735&lt;($F$7-$E$7)/($G$7-$E$7),$E$7+SQRT(Q735*($G$7-$E$7)*($F$7-$E$7)),$G$7-SQRT((1-Q735)*($G$7-$E$7)*($G$7-$F$7))))</f>
        <v>0.866095900105626</v>
      </c>
      <c r="D735" s="37" t="n">
        <f aca="false">1+IF($G$8=$E$8,$F$8,IF(R735&lt;($F$8-$E$8)/($G$8-$E$8),$E$8+SQRT(R735*($G$8-$E$8)*($F$8-$E$8)),$G$8-SQRT((1-R735)*($G$8-$E$8)*($G$8-$F$8))))</f>
        <v>1.0496334172903</v>
      </c>
      <c r="E735" s="37" t="n">
        <f aca="false">1+IF($G$9=$E$9,$F$9,IF(S735&lt;($F$9-$E$9)/($G$9-$E$9),$E$9+SQRT(S735*($G$9-$E$9)*($F$9-$E$9)),$G$9-SQRT((1-S735)*($G$9-$E$9)*($G$9-$F$9))))</f>
        <v>1.0071747639436</v>
      </c>
      <c r="F735" s="37" t="n">
        <f aca="false">1+IF($G$10=$E$10,$F$10,IF(T735&lt;($F$10-$E$10)/($G$10-$E$10),$E$10+SQRT(T735*($G$10-$E$10)*($F$10-$E$10)),$G$10-SQRT((1-T735)*($G$10-$E$10)*($G$10-$F$10))))</f>
        <v>1.10446112441121</v>
      </c>
      <c r="G735" s="38" t="n">
        <f aca="false">IF($G$11=$E$11,$F$11,IF(U735&lt;($F$11-$E$11)/($G$11-$E$11),$E$11+SQRT(U735*($G$11-$E$11)*($F$11-$E$11)),$G$11-SQRT((1-U735)*($G$11-$E$11)*($G$11-$F$11))))</f>
        <v>0.0998645625176317</v>
      </c>
      <c r="H735" s="39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-2208922248.82243</v>
      </c>
      <c r="I735" s="39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-73468596.3708741</v>
      </c>
      <c r="J735" s="39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150349146.733743</v>
      </c>
      <c r="K735" s="39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429389946.058921</v>
      </c>
      <c r="L735" s="39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533075844.161519</v>
      </c>
      <c r="M735" s="39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693015754.70068</v>
      </c>
      <c r="N735" s="39" t="n">
        <f aca="false">IF(COUNT('Business Case'!B11:G11)=0,"",H735+NPV(G735,I735:M735))</f>
        <v>-1033857182.09766</v>
      </c>
      <c r="P735" s="40" t="n">
        <f aca="true">RAND()</f>
        <v>0.341064898726354</v>
      </c>
      <c r="Q735" s="40" t="n">
        <f aca="true">RAND()</f>
        <v>0.204354429865912</v>
      </c>
      <c r="R735" s="40" t="n">
        <f aca="true">RAND()</f>
        <v>0.830880489743143</v>
      </c>
      <c r="S735" s="40" t="n">
        <f aca="true">RAND()</f>
        <v>0.45602538521158</v>
      </c>
      <c r="T735" s="40" t="n">
        <f aca="true">RAND()</f>
        <v>0.717579142564687</v>
      </c>
      <c r="U735" s="40" t="n">
        <f aca="true">RAND()</f>
        <v>0.394600844016899</v>
      </c>
    </row>
    <row r="736" customFormat="false" ht="15" hidden="false" customHeight="false" outlineLevel="0" collapsed="false">
      <c r="A736" s="36" t="n">
        <v>656</v>
      </c>
      <c r="B736" s="37" t="n">
        <f aca="false">1+IF($G$6=$E$6,$F$6,IF(P736&lt;($F$6-$E$6)/($G$6-$E$6),$E$6+SQRT(P736*($G$6-$E$6)*($F$6-$E$6)),$G$6-SQRT((1-P736)*($G$6-$E$6)*($G$6-$F$6))))</f>
        <v>0.916200035343055</v>
      </c>
      <c r="C736" s="37" t="n">
        <f aca="false">1+IF($G$7=$E$7,$F$7,IF(Q736&lt;($F$7-$E$7)/($G$7-$E$7),$E$7+SQRT(Q736*($G$7-$E$7)*($F$7-$E$7)),$G$7-SQRT((1-Q736)*($G$7-$E$7)*($G$7-$F$7))))</f>
        <v>0.904747269936762</v>
      </c>
      <c r="D736" s="37" t="n">
        <f aca="false">1+IF($G$8=$E$8,$F$8,IF(R736&lt;($F$8-$E$8)/($G$8-$E$8),$E$8+SQRT(R736*($G$8-$E$8)*($F$8-$E$8)),$G$8-SQRT((1-R736)*($G$8-$E$8)*($G$8-$F$8))))</f>
        <v>0.995029087849631</v>
      </c>
      <c r="E736" s="37" t="n">
        <f aca="false">1+IF($G$9=$E$9,$F$9,IF(S736&lt;($F$9-$E$9)/($G$9-$E$9),$E$9+SQRT(S736*($G$9-$E$9)*($F$9-$E$9)),$G$9-SQRT((1-S736)*($G$9-$E$9)*($G$9-$F$9))))</f>
        <v>0.93718488418252</v>
      </c>
      <c r="F736" s="37" t="n">
        <f aca="false">1+IF($G$10=$E$10,$F$10,IF(T736&lt;($F$10-$E$10)/($G$10-$E$10),$E$10+SQRT(T736*($G$10-$E$10)*($F$10-$E$10)),$G$10-SQRT((1-T736)*($G$10-$E$10)*($G$10-$F$10))))</f>
        <v>1.02283320817874</v>
      </c>
      <c r="G736" s="38" t="n">
        <f aca="false">IF($G$11=$E$11,$F$11,IF(U736&lt;($F$11-$E$11)/($G$11-$E$11),$E$11+SQRT(U736*($G$11-$E$11)*($F$11-$E$11)),$G$11-SQRT((1-U736)*($G$11-$E$11)*($G$11-$F$11))))</f>
        <v>0.0919018564520374</v>
      </c>
      <c r="H736" s="39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-2045666416.35749</v>
      </c>
      <c r="I736" s="39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-60425691.6085146</v>
      </c>
      <c r="J736" s="39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157671332.410704</v>
      </c>
      <c r="K736" s="39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426910016.838859</v>
      </c>
      <c r="L736" s="39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528256827.698001</v>
      </c>
      <c r="M736" s="39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685819743.38805</v>
      </c>
      <c r="N736" s="39" t="n">
        <f aca="false">IF(COUNT('Business Case'!B11:G11)=0,"",H736+NPV(G736,I736:M736))</f>
        <v>-827328708.921387</v>
      </c>
      <c r="P736" s="40" t="n">
        <f aca="true">RAND()</f>
        <v>0.017496076341083</v>
      </c>
      <c r="Q736" s="40" t="n">
        <f aca="true">RAND()</f>
        <v>0.310529218863388</v>
      </c>
      <c r="R736" s="40" t="n">
        <f aca="true">RAND()</f>
        <v>0.270349167009304</v>
      </c>
      <c r="S736" s="40" t="n">
        <f aca="true">RAND()</f>
        <v>0.0553086244666977</v>
      </c>
      <c r="T736" s="40" t="n">
        <f aca="true">RAND()</f>
        <v>0.311936649248502</v>
      </c>
      <c r="U736" s="40" t="n">
        <f aca="true">RAND()</f>
        <v>0.141654187004904</v>
      </c>
    </row>
    <row r="737" customFormat="false" ht="15" hidden="false" customHeight="false" outlineLevel="0" collapsed="false">
      <c r="A737" s="36" t="n">
        <v>657</v>
      </c>
      <c r="B737" s="37" t="n">
        <f aca="false">1+IF($G$6=$E$6,$F$6,IF(P737&lt;($F$6-$E$6)/($G$6-$E$6),$E$6+SQRT(P737*($G$6-$E$6)*($F$6-$E$6)),$G$6-SQRT((1-P737)*($G$6-$E$6)*($G$6-$F$6))))</f>
        <v>1.01631209416813</v>
      </c>
      <c r="C737" s="37" t="n">
        <f aca="false">1+IF($G$7=$E$7,$F$7,IF(Q737&lt;($F$7-$E$7)/($G$7-$E$7),$E$7+SQRT(Q737*($G$7-$E$7)*($F$7-$E$7)),$G$7-SQRT((1-Q737)*($G$7-$E$7)*($G$7-$F$7))))</f>
        <v>0.996653268411719</v>
      </c>
      <c r="D737" s="37" t="n">
        <f aca="false">1+IF($G$8=$E$8,$F$8,IF(R737&lt;($F$8-$E$8)/($G$8-$E$8),$E$8+SQRT(R737*($G$8-$E$8)*($F$8-$E$8)),$G$8-SQRT((1-R737)*($G$8-$E$8)*($G$8-$F$8))))</f>
        <v>1.03734683902955</v>
      </c>
      <c r="E737" s="37" t="n">
        <f aca="false">1+IF($G$9=$E$9,$F$9,IF(S737&lt;($F$9-$E$9)/($G$9-$E$9),$E$9+SQRT(S737*($G$9-$E$9)*($F$9-$E$9)),$G$9-SQRT((1-S737)*($G$9-$E$9)*($G$9-$F$9))))</f>
        <v>1.02932227447893</v>
      </c>
      <c r="F737" s="37" t="n">
        <f aca="false">1+IF($G$10=$E$10,$F$10,IF(T737&lt;($F$10-$E$10)/($G$10-$E$10),$E$10+SQRT(T737*($G$10-$E$10)*($F$10-$E$10)),$G$10-SQRT((1-T737)*($G$10-$E$10)*($G$10-$F$10))))</f>
        <v>1.03455428949504</v>
      </c>
      <c r="G737" s="38" t="n">
        <f aca="false">IF($G$11=$E$11,$F$11,IF(U737&lt;($F$11-$E$11)/($G$11-$E$11),$E$11+SQRT(U737*($G$11-$E$11)*($F$11-$E$11)),$G$11-SQRT((1-U737)*($G$11-$E$11)*($G$11-$F$11))))</f>
        <v>0.097760754725353</v>
      </c>
      <c r="H737" s="39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-2069108578.99009</v>
      </c>
      <c r="I737" s="39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-1948850.40038218</v>
      </c>
      <c r="J737" s="39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298436649.916093</v>
      </c>
      <c r="K737" s="39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650549864.707321</v>
      </c>
      <c r="L737" s="39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785684561.037112</v>
      </c>
      <c r="M737" s="39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978218640.270758</v>
      </c>
      <c r="N737" s="39" t="n">
        <f aca="false">IF(COUNT('Business Case'!B11:G11)=0,"",H737+NPV(G737,I737:M737))</f>
        <v>-176827745.946316</v>
      </c>
      <c r="P737" s="40" t="n">
        <f aca="true">RAND()</f>
        <v>0.848683333421783</v>
      </c>
      <c r="Q737" s="40" t="n">
        <f aca="true">RAND()</f>
        <v>0.65187527155078</v>
      </c>
      <c r="R737" s="40" t="n">
        <f aca="true">RAND()</f>
        <v>0.738305428027353</v>
      </c>
      <c r="S737" s="40" t="n">
        <f aca="true">RAND()</f>
        <v>0.611650308348329</v>
      </c>
      <c r="T737" s="40" t="n">
        <f aca="true">RAND()</f>
        <v>0.381108611000193</v>
      </c>
      <c r="U737" s="40" t="n">
        <f aca="true">RAND()</f>
        <v>0.315444408414147</v>
      </c>
    </row>
    <row r="738" customFormat="false" ht="15" hidden="false" customHeight="false" outlineLevel="0" collapsed="false">
      <c r="A738" s="36" t="n">
        <v>658</v>
      </c>
      <c r="B738" s="37" t="n">
        <f aca="false">1+IF($G$6=$E$6,$F$6,IF(P738&lt;($F$6-$E$6)/($G$6-$E$6),$E$6+SQRT(P738*($G$6-$E$6)*($F$6-$E$6)),$G$6-SQRT((1-P738)*($G$6-$E$6)*($G$6-$F$6))))</f>
        <v>0.961686840240496</v>
      </c>
      <c r="C738" s="37" t="n">
        <f aca="false">1+IF($G$7=$E$7,$F$7,IF(Q738&lt;($F$7-$E$7)/($G$7-$E$7),$E$7+SQRT(Q738*($G$7-$E$7)*($F$7-$E$7)),$G$7-SQRT((1-Q738)*($G$7-$E$7)*($G$7-$F$7))))</f>
        <v>1.03491515866504</v>
      </c>
      <c r="D738" s="37" t="n">
        <f aca="false">1+IF($G$8=$E$8,$F$8,IF(R738&lt;($F$8-$E$8)/($G$8-$E$8),$E$8+SQRT(R738*($G$8-$E$8)*($F$8-$E$8)),$G$8-SQRT((1-R738)*($G$8-$E$8)*($G$8-$F$8))))</f>
        <v>0.985991475948596</v>
      </c>
      <c r="E738" s="37" t="n">
        <f aca="false">1+IF($G$9=$E$9,$F$9,IF(S738&lt;($F$9-$E$9)/($G$9-$E$9),$E$9+SQRT(S738*($G$9-$E$9)*($F$9-$E$9)),$G$9-SQRT((1-S738)*($G$9-$E$9)*($G$9-$F$9))))</f>
        <v>1.01871070069723</v>
      </c>
      <c r="F738" s="37" t="n">
        <f aca="false">1+IF($G$10=$E$10,$F$10,IF(T738&lt;($F$10-$E$10)/($G$10-$E$10),$E$10+SQRT(T738*($G$10-$E$10)*($F$10-$E$10)),$G$10-SQRT((1-T738)*($G$10-$E$10)*($G$10-$F$10))))</f>
        <v>1.16450979968387</v>
      </c>
      <c r="G738" s="38" t="n">
        <f aca="false">IF($G$11=$E$11,$F$11,IF(U738&lt;($F$11-$E$11)/($G$11-$E$11),$E$11+SQRT(U738*($G$11-$E$11)*($F$11-$E$11)),$G$11-SQRT((1-U738)*($G$11-$E$11)*($G$11-$F$11))))</f>
        <v>0.113033031126704</v>
      </c>
      <c r="H738" s="39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-2329019599.36775</v>
      </c>
      <c r="I738" s="39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-20085170.0239888</v>
      </c>
      <c r="J738" s="39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272735802.293725</v>
      </c>
      <c r="K738" s="39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623782264.595632</v>
      </c>
      <c r="L738" s="39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755785589.190983</v>
      </c>
      <c r="M738" s="39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944965425.216271</v>
      </c>
      <c r="N738" s="39" t="n">
        <f aca="false">IF(COUNT('Business Case'!B11:G11)=0,"",H738+NPV(G738,I738:M738))</f>
        <v>-628879093.34891</v>
      </c>
      <c r="P738" s="40" t="n">
        <f aca="true">RAND()</f>
        <v>0.253684417257102</v>
      </c>
      <c r="Q738" s="40" t="n">
        <f aca="true">RAND()</f>
        <v>0.803784878443079</v>
      </c>
      <c r="R738" s="40" t="n">
        <f aca="true">RAND()</f>
        <v>0.172718178794449</v>
      </c>
      <c r="S738" s="40" t="n">
        <f aca="true">RAND()</f>
        <v>0.540349863695659</v>
      </c>
      <c r="T738" s="40" t="n">
        <f aca="true">RAND()</f>
        <v>0.902552341998783</v>
      </c>
      <c r="U738" s="40" t="n">
        <f aca="true">RAND()</f>
        <v>0.808081311501734</v>
      </c>
    </row>
    <row r="739" customFormat="false" ht="15" hidden="false" customHeight="false" outlineLevel="0" collapsed="false">
      <c r="A739" s="36" t="n">
        <v>659</v>
      </c>
      <c r="B739" s="37" t="n">
        <f aca="false">1+IF($G$6=$E$6,$F$6,IF(P739&lt;($F$6-$E$6)/($G$6-$E$6),$E$6+SQRT(P739*($G$6-$E$6)*($F$6-$E$6)),$G$6-SQRT((1-P739)*($G$6-$E$6)*($G$6-$F$6))))</f>
        <v>1.00182659789288</v>
      </c>
      <c r="C739" s="37" t="n">
        <f aca="false">1+IF($G$7=$E$7,$F$7,IF(Q739&lt;($F$7-$E$7)/($G$7-$E$7),$E$7+SQRT(Q739*($G$7-$E$7)*($F$7-$E$7)),$G$7-SQRT((1-Q739)*($G$7-$E$7)*($G$7-$F$7))))</f>
        <v>0.953341086749911</v>
      </c>
      <c r="D739" s="37" t="n">
        <f aca="false">1+IF($G$8=$E$8,$F$8,IF(R739&lt;($F$8-$E$8)/($G$8-$E$8),$E$8+SQRT(R739*($G$8-$E$8)*($F$8-$E$8)),$G$8-SQRT((1-R739)*($G$8-$E$8)*($G$8-$F$8))))</f>
        <v>1.01315599580131</v>
      </c>
      <c r="E739" s="37" t="n">
        <f aca="false">1+IF($G$9=$E$9,$F$9,IF(S739&lt;($F$9-$E$9)/($G$9-$E$9),$E$9+SQRT(S739*($G$9-$E$9)*($F$9-$E$9)),$G$9-SQRT((1-S739)*($G$9-$E$9)*($G$9-$F$9))))</f>
        <v>0.930663507741565</v>
      </c>
      <c r="F739" s="37" t="n">
        <f aca="false">1+IF($G$10=$E$10,$F$10,IF(T739&lt;($F$10-$E$10)/($G$10-$E$10),$E$10+SQRT(T739*($G$10-$E$10)*($F$10-$E$10)),$G$10-SQRT((1-T739)*($G$10-$E$10)*($G$10-$F$10))))</f>
        <v>1.10632212234058</v>
      </c>
      <c r="G739" s="38" t="n">
        <f aca="false">IF($G$11=$E$11,$F$11,IF(U739&lt;($F$11-$E$11)/($G$11-$E$11),$E$11+SQRT(U739*($G$11-$E$11)*($F$11-$E$11)),$G$11-SQRT((1-U739)*($G$11-$E$11)*($G$11-$F$11))))</f>
        <v>0.0875330902188181</v>
      </c>
      <c r="H739" s="39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-2212644244.68116</v>
      </c>
      <c r="I739" s="39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-4657686.18860979</v>
      </c>
      <c r="J739" s="39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283168665.258126</v>
      </c>
      <c r="K739" s="39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626311122.821891</v>
      </c>
      <c r="L739" s="39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755260889.704427</v>
      </c>
      <c r="M739" s="39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936802963.239363</v>
      </c>
      <c r="N739" s="39" t="n">
        <f aca="false">IF(COUNT('Business Case'!B11:G11)=0,"",H739+NPV(G739,I739:M739))</f>
        <v>-334869802.62164</v>
      </c>
      <c r="P739" s="40" t="n">
        <f aca="true">RAND()</f>
        <v>0.690576443923371</v>
      </c>
      <c r="Q739" s="40" t="n">
        <f aca="true">RAND()</f>
        <v>0.475420046189821</v>
      </c>
      <c r="R739" s="40" t="n">
        <f aca="true">RAND()</f>
        <v>0.497207928982515</v>
      </c>
      <c r="S739" s="40" t="n">
        <f aca="true">RAND()</f>
        <v>0.0376100282806811</v>
      </c>
      <c r="T739" s="40" t="n">
        <f aca="true">RAND()</f>
        <v>0.724755566283791</v>
      </c>
      <c r="U739" s="40" t="n">
        <f aca="true">RAND()</f>
        <v>0.0567474482448533</v>
      </c>
    </row>
    <row r="740" customFormat="false" ht="15" hidden="false" customHeight="false" outlineLevel="0" collapsed="false">
      <c r="A740" s="36" t="n">
        <v>660</v>
      </c>
      <c r="B740" s="37" t="n">
        <f aca="false">1+IF($G$6=$E$6,$F$6,IF(P740&lt;($F$6-$E$6)/($G$6-$E$6),$E$6+SQRT(P740*($G$6-$E$6)*($F$6-$E$6)),$G$6-SQRT((1-P740)*($G$6-$E$6)*($G$6-$F$6))))</f>
        <v>0.997330675739281</v>
      </c>
      <c r="C740" s="37" t="n">
        <f aca="false">1+IF($G$7=$E$7,$F$7,IF(Q740&lt;($F$7-$E$7)/($G$7-$E$7),$E$7+SQRT(Q740*($G$7-$E$7)*($F$7-$E$7)),$G$7-SQRT((1-Q740)*($G$7-$E$7)*($G$7-$F$7))))</f>
        <v>0.93373849633809</v>
      </c>
      <c r="D740" s="37" t="n">
        <f aca="false">1+IF($G$8=$E$8,$F$8,IF(R740&lt;($F$8-$E$8)/($G$8-$E$8),$E$8+SQRT(R740*($G$8-$E$8)*($F$8-$E$8)),$G$8-SQRT((1-R740)*($G$8-$E$8)*($G$8-$F$8))))</f>
        <v>1.03098729280249</v>
      </c>
      <c r="E740" s="37" t="n">
        <f aca="false">1+IF($G$9=$E$9,$F$9,IF(S740&lt;($F$9-$E$9)/($G$9-$E$9),$E$9+SQRT(S740*($G$9-$E$9)*($F$9-$E$9)),$G$9-SQRT((1-S740)*($G$9-$E$9)*($G$9-$F$9))))</f>
        <v>1.04579758969471</v>
      </c>
      <c r="F740" s="37" t="n">
        <f aca="false">1+IF($G$10=$E$10,$F$10,IF(T740&lt;($F$10-$E$10)/($G$10-$E$10),$E$10+SQRT(T740*($G$10-$E$10)*($F$10-$E$10)),$G$10-SQRT((1-T740)*($G$10-$E$10)*($G$10-$F$10))))</f>
        <v>1.04885997639266</v>
      </c>
      <c r="G740" s="38" t="n">
        <f aca="false">IF($G$11=$E$11,$F$11,IF(U740&lt;($F$11-$E$11)/($G$11-$E$11),$E$11+SQRT(U740*($G$11-$E$11)*($F$11-$E$11)),$G$11-SQRT((1-U740)*($G$11-$E$11)*($G$11-$F$11))))</f>
        <v>0.088666138502955</v>
      </c>
      <c r="H740" s="39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-2097719952.78533</v>
      </c>
      <c r="I740" s="39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-31927967.6549046</v>
      </c>
      <c r="J740" s="39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238018274.583628</v>
      </c>
      <c r="K740" s="39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560407515.641794</v>
      </c>
      <c r="L740" s="39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682573459.721026</v>
      </c>
      <c r="M740" s="39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859584708.052831</v>
      </c>
      <c r="N740" s="39" t="n">
        <f aca="false">IF(COUNT('Business Case'!B11:G11)=0,"",H740+NPV(G740,I740:M740))</f>
        <v>-443862728.510698</v>
      </c>
      <c r="P740" s="40" t="n">
        <f aca="true">RAND()</f>
        <v>0.631550695991003</v>
      </c>
      <c r="Q740" s="40" t="n">
        <f aca="true">RAND()</f>
        <v>0.404693960521416</v>
      </c>
      <c r="R740" s="40" t="n">
        <f aca="true">RAND()</f>
        <v>0.682483083018095</v>
      </c>
      <c r="S740" s="40" t="n">
        <f aca="true">RAND()</f>
        <v>0.710449538308483</v>
      </c>
      <c r="T740" s="40" t="n">
        <f aca="true">RAND()</f>
        <v>0.460569212043207</v>
      </c>
      <c r="U740" s="40" t="n">
        <f aca="true">RAND()</f>
        <v>0.0751019565523988</v>
      </c>
    </row>
    <row r="741" customFormat="false" ht="15" hidden="false" customHeight="false" outlineLevel="0" collapsed="false">
      <c r="A741" s="36" t="n">
        <v>661</v>
      </c>
      <c r="B741" s="37" t="n">
        <f aca="false">1+IF($G$6=$E$6,$F$6,IF(P741&lt;($F$6-$E$6)/($G$6-$E$6),$E$6+SQRT(P741*($G$6-$E$6)*($F$6-$E$6)),$G$6-SQRT((1-P741)*($G$6-$E$6)*($G$6-$F$6))))</f>
        <v>1.02307200714492</v>
      </c>
      <c r="C741" s="37" t="n">
        <f aca="false">1+IF($G$7=$E$7,$F$7,IF(Q741&lt;($F$7-$E$7)/($G$7-$E$7),$E$7+SQRT(Q741*($G$7-$E$7)*($F$7-$E$7)),$G$7-SQRT((1-Q741)*($G$7-$E$7)*($G$7-$F$7))))</f>
        <v>0.974984436010918</v>
      </c>
      <c r="D741" s="37" t="n">
        <f aca="false">1+IF($G$8=$E$8,$F$8,IF(R741&lt;($F$8-$E$8)/($G$8-$E$8),$E$8+SQRT(R741*($G$8-$E$8)*($F$8-$E$8)),$G$8-SQRT((1-R741)*($G$8-$E$8)*($G$8-$F$8))))</f>
        <v>1.0736093042197</v>
      </c>
      <c r="E741" s="37" t="n">
        <f aca="false">1+IF($G$9=$E$9,$F$9,IF(S741&lt;($F$9-$E$9)/($G$9-$E$9),$E$9+SQRT(S741*($G$9-$E$9)*($F$9-$E$9)),$G$9-SQRT((1-S741)*($G$9-$E$9)*($G$9-$F$9))))</f>
        <v>0.981777761010505</v>
      </c>
      <c r="F741" s="37" t="n">
        <f aca="false">1+IF($G$10=$E$10,$F$10,IF(T741&lt;($F$10-$E$10)/($G$10-$E$10),$E$10+SQRT(T741*($G$10-$E$10)*($F$10-$E$10)),$G$10-SQRT((1-T741)*($G$10-$E$10)*($G$10-$F$10))))</f>
        <v>1.02455535254438</v>
      </c>
      <c r="G741" s="38" t="n">
        <f aca="false">IF($G$11=$E$11,$F$11,IF(U741&lt;($F$11-$E$11)/($G$11-$E$11),$E$11+SQRT(U741*($G$11-$E$11)*($F$11-$E$11)),$G$11-SQRT((1-U741)*($G$11-$E$11)*($G$11-$F$11))))</f>
        <v>0.0843729925309886</v>
      </c>
      <c r="H741" s="39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-2049110705.08877</v>
      </c>
      <c r="I741" s="39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-12619776.0767186</v>
      </c>
      <c r="J741" s="39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268534106.79328</v>
      </c>
      <c r="K741" s="39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600915757.290498</v>
      </c>
      <c r="L741" s="39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729106602.298221</v>
      </c>
      <c r="M741" s="39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918707464.579034</v>
      </c>
      <c r="N741" s="39" t="n">
        <f aca="false">IF(COUNT('Business Case'!B11:G11)=0,"",H741+NPV(G741,I741:M741))</f>
        <v>-221025493.499841</v>
      </c>
      <c r="P741" s="40" t="n">
        <f aca="true">RAND()</f>
        <v>0.903317760106222</v>
      </c>
      <c r="Q741" s="40" t="n">
        <f aca="true">RAND()</f>
        <v>0.560121778135132</v>
      </c>
      <c r="R741" s="40" t="n">
        <f aca="true">RAND()</f>
        <v>0.953568745082095</v>
      </c>
      <c r="S741" s="40" t="n">
        <f aca="true">RAND()</f>
        <v>0.267504087835653</v>
      </c>
      <c r="T741" s="40" t="n">
        <f aca="true">RAND()</f>
        <v>0.322329479114832</v>
      </c>
      <c r="U741" s="40" t="n">
        <f aca="true">RAND()</f>
        <v>0.0191230636760819</v>
      </c>
    </row>
    <row r="742" customFormat="false" ht="15" hidden="false" customHeight="false" outlineLevel="0" collapsed="false">
      <c r="A742" s="36" t="n">
        <v>662</v>
      </c>
      <c r="B742" s="37" t="n">
        <f aca="false">1+IF($G$6=$E$6,$F$6,IF(P742&lt;($F$6-$E$6)/($G$6-$E$6),$E$6+SQRT(P742*($G$6-$E$6)*($F$6-$E$6)),$G$6-SQRT((1-P742)*($G$6-$E$6)*($G$6-$F$6))))</f>
        <v>0.954429602171409</v>
      </c>
      <c r="C742" s="37" t="n">
        <f aca="false">1+IF($G$7=$E$7,$F$7,IF(Q742&lt;($F$7-$E$7)/($G$7-$E$7),$E$7+SQRT(Q742*($G$7-$E$7)*($F$7-$E$7)),$G$7-SQRT((1-Q742)*($G$7-$E$7)*($G$7-$F$7))))</f>
        <v>0.982609706637594</v>
      </c>
      <c r="D742" s="37" t="n">
        <f aca="false">1+IF($G$8=$E$8,$F$8,IF(R742&lt;($F$8-$E$8)/($G$8-$E$8),$E$8+SQRT(R742*($G$8-$E$8)*($F$8-$E$8)),$G$8-SQRT((1-R742)*($G$8-$E$8)*($G$8-$F$8))))</f>
        <v>1.05898856630978</v>
      </c>
      <c r="E742" s="37" t="n">
        <f aca="false">1+IF($G$9=$E$9,$F$9,IF(S742&lt;($F$9-$E$9)/($G$9-$E$9),$E$9+SQRT(S742*($G$9-$E$9)*($F$9-$E$9)),$G$9-SQRT((1-S742)*($G$9-$E$9)*($G$9-$F$9))))</f>
        <v>0.916814396161569</v>
      </c>
      <c r="F742" s="37" t="n">
        <f aca="false">1+IF($G$10=$E$10,$F$10,IF(T742&lt;($F$10-$E$10)/($G$10-$E$10),$E$10+SQRT(T742*($G$10-$E$10)*($F$10-$E$10)),$G$10-SQRT((1-T742)*($G$10-$E$10)*($G$10-$F$10))))</f>
        <v>1.00945561070767</v>
      </c>
      <c r="G742" s="38" t="n">
        <f aca="false">IF($G$11=$E$11,$F$11,IF(U742&lt;($F$11-$E$11)/($G$11-$E$11),$E$11+SQRT(U742*($G$11-$E$11)*($F$11-$E$11)),$G$11-SQRT((1-U742)*($G$11-$E$11)*($G$11-$F$11))))</f>
        <v>0.0929613987081588</v>
      </c>
      <c r="H742" s="39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-2018911221.41533</v>
      </c>
      <c r="I742" s="39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-44471853.0039383</v>
      </c>
      <c r="J742" s="39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190990062.263028</v>
      </c>
      <c r="K742" s="39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476924758.065377</v>
      </c>
      <c r="L742" s="39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587823529.865008</v>
      </c>
      <c r="M742" s="39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766086596.773538</v>
      </c>
      <c r="N742" s="39" t="n">
        <f aca="false">IF(COUNT('Business Case'!B11:G11)=0,"",H742+NPV(G742,I742:M742))</f>
        <v>-631301161.8968</v>
      </c>
      <c r="P742" s="40" t="n">
        <f aca="true">RAND()</f>
        <v>0.197505439502522</v>
      </c>
      <c r="Q742" s="40" t="n">
        <f aca="true">RAND()</f>
        <v>0.591616639153976</v>
      </c>
      <c r="R742" s="40" t="n">
        <f aca="true">RAND()</f>
        <v>0.887870820444854</v>
      </c>
      <c r="S742" s="40" t="n">
        <f aca="true">RAND()</f>
        <v>0.0113089567311275</v>
      </c>
      <c r="T742" s="40" t="n">
        <f aca="true">RAND()</f>
        <v>0.228511957066375</v>
      </c>
      <c r="U742" s="40" t="n">
        <f aca="true">RAND()</f>
        <v>0.167997856471861</v>
      </c>
    </row>
    <row r="743" customFormat="false" ht="15" hidden="false" customHeight="false" outlineLevel="0" collapsed="false">
      <c r="A743" s="36" t="n">
        <v>663</v>
      </c>
      <c r="B743" s="37" t="n">
        <f aca="false">1+IF($G$6=$E$6,$F$6,IF(P743&lt;($F$6-$E$6)/($G$6-$E$6),$E$6+SQRT(P743*($G$6-$E$6)*($F$6-$E$6)),$G$6-SQRT((1-P743)*($G$6-$E$6)*($G$6-$F$6))))</f>
        <v>1.002821706334</v>
      </c>
      <c r="C743" s="37" t="n">
        <f aca="false">1+IF($G$7=$E$7,$F$7,IF(Q743&lt;($F$7-$E$7)/($G$7-$E$7),$E$7+SQRT(Q743*($G$7-$E$7)*($F$7-$E$7)),$G$7-SQRT((1-Q743)*($G$7-$E$7)*($G$7-$F$7))))</f>
        <v>0.960546945796141</v>
      </c>
      <c r="D743" s="37" t="n">
        <f aca="false">1+IF($G$8=$E$8,$F$8,IF(R743&lt;($F$8-$E$8)/($G$8-$E$8),$E$8+SQRT(R743*($G$8-$E$8)*($F$8-$E$8)),$G$8-SQRT((1-R743)*($G$8-$E$8)*($G$8-$F$8))))</f>
        <v>0.975412925913513</v>
      </c>
      <c r="E743" s="37" t="n">
        <f aca="false">1+IF($G$9=$E$9,$F$9,IF(S743&lt;($F$9-$E$9)/($G$9-$E$9),$E$9+SQRT(S743*($G$9-$E$9)*($F$9-$E$9)),$G$9-SQRT((1-S743)*($G$9-$E$9)*($G$9-$F$9))))</f>
        <v>1.05004530024027</v>
      </c>
      <c r="F743" s="37" t="n">
        <f aca="false">1+IF($G$10=$E$10,$F$10,IF(T743&lt;($F$10-$E$10)/($G$10-$E$10),$E$10+SQRT(T743*($G$10-$E$10)*($F$10-$E$10)),$G$10-SQRT((1-T743)*($G$10-$E$10)*($G$10-$F$10))))</f>
        <v>1.02987076050219</v>
      </c>
      <c r="G743" s="38" t="n">
        <f aca="false">IF($G$11=$E$11,$F$11,IF(U743&lt;($F$11-$E$11)/($G$11-$E$11),$E$11+SQRT(U743*($G$11-$E$11)*($F$11-$E$11)),$G$11-SQRT((1-U743)*($G$11-$E$11)*($G$11-$F$11))))</f>
        <v>0.111339414245598</v>
      </c>
      <c r="H743" s="39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-2059741521.00439</v>
      </c>
      <c r="I743" s="39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7105169.98766209</v>
      </c>
      <c r="J743" s="39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316449117.561612</v>
      </c>
      <c r="K743" s="39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677286603.160673</v>
      </c>
      <c r="L743" s="39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813691425.579924</v>
      </c>
      <c r="M743" s="39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996787378.333569</v>
      </c>
      <c r="N743" s="39" t="n">
        <f aca="false">IF(COUNT('Business Case'!B11:G11)=0,"",H743+NPV(G743,I743:M743))</f>
        <v>-182278947.421142</v>
      </c>
      <c r="P743" s="40" t="n">
        <f aca="true">RAND()</f>
        <v>0.703227814235341</v>
      </c>
      <c r="Q743" s="40" t="n">
        <f aca="true">RAND()</f>
        <v>0.502849710842203</v>
      </c>
      <c r="R743" s="40" t="n">
        <f aca="true">RAND()</f>
        <v>0.0861089071314274</v>
      </c>
      <c r="S743" s="40" t="n">
        <f aca="true">RAND()</f>
        <v>0.733574879891767</v>
      </c>
      <c r="T743" s="40" t="n">
        <f aca="true">RAND()</f>
        <v>0.353908238908235</v>
      </c>
      <c r="U743" s="40" t="n">
        <f aca="true">RAND()</f>
        <v>0.767855026201727</v>
      </c>
    </row>
    <row r="744" customFormat="false" ht="15" hidden="false" customHeight="false" outlineLevel="0" collapsed="false">
      <c r="A744" s="36" t="n">
        <v>664</v>
      </c>
      <c r="B744" s="37" t="n">
        <f aca="false">1+IF($G$6=$E$6,$F$6,IF(P744&lt;($F$6-$E$6)/($G$6-$E$6),$E$6+SQRT(P744*($G$6-$E$6)*($F$6-$E$6)),$G$6-SQRT((1-P744)*($G$6-$E$6)*($G$6-$F$6))))</f>
        <v>1.00581053410393</v>
      </c>
      <c r="C744" s="37" t="n">
        <f aca="false">1+IF($G$7=$E$7,$F$7,IF(Q744&lt;($F$7-$E$7)/($G$7-$E$7),$E$7+SQRT(Q744*($G$7-$E$7)*($F$7-$E$7)),$G$7-SQRT((1-Q744)*($G$7-$E$7)*($G$7-$F$7))))</f>
        <v>1.04769322903932</v>
      </c>
      <c r="D744" s="37" t="n">
        <f aca="false">1+IF($G$8=$E$8,$F$8,IF(R744&lt;($F$8-$E$8)/($G$8-$E$8),$E$8+SQRT(R744*($G$8-$E$8)*($F$8-$E$8)),$G$8-SQRT((1-R744)*($G$8-$E$8)*($G$8-$F$8))))</f>
        <v>0.976555665003623</v>
      </c>
      <c r="E744" s="37" t="n">
        <f aca="false">1+IF($G$9=$E$9,$F$9,IF(S744&lt;($F$9-$E$9)/($G$9-$E$9),$E$9+SQRT(S744*($G$9-$E$9)*($F$9-$E$9)),$G$9-SQRT((1-S744)*($G$9-$E$9)*($G$9-$F$9))))</f>
        <v>0.984862497754354</v>
      </c>
      <c r="F744" s="37" t="n">
        <f aca="false">1+IF($G$10=$E$10,$F$10,IF(T744&lt;($F$10-$E$10)/($G$10-$E$10),$E$10+SQRT(T744*($G$10-$E$10)*($F$10-$E$10)),$G$10-SQRT((1-T744)*($G$10-$E$10)*($G$10-$F$10))))</f>
        <v>1.22393197921751</v>
      </c>
      <c r="G744" s="38" t="n">
        <f aca="false">IF($G$11=$E$11,$F$11,IF(U744&lt;($F$11-$E$11)/($G$11-$E$11),$E$11+SQRT(U744*($G$11-$E$11)*($F$11-$E$11)),$G$11-SQRT((1-U744)*($G$11-$E$11)*($G$11-$F$11))))</f>
        <v>0.0999802412895989</v>
      </c>
      <c r="H744" s="39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-2447863958.43502</v>
      </c>
      <c r="I744" s="39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22292674.2001877</v>
      </c>
      <c r="J744" s="39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361653994.647401</v>
      </c>
      <c r="K744" s="39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762211914.05549</v>
      </c>
      <c r="L744" s="39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911751021.634298</v>
      </c>
      <c r="M744" s="39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1112053692.49785</v>
      </c>
      <c r="N744" s="39" t="n">
        <f aca="false">IF(COUNT('Business Case'!B11:G11)=0,"",H744+NPV(G744,I744:M744))</f>
        <v>-242664407.489512</v>
      </c>
      <c r="P744" s="40" t="n">
        <f aca="true">RAND()</f>
        <v>0.739638813842696</v>
      </c>
      <c r="Q744" s="40" t="n">
        <f aca="true">RAND()</f>
        <v>0.844938142453329</v>
      </c>
      <c r="R744" s="40" t="n">
        <f aca="true">RAND()</f>
        <v>0.0940271125046182</v>
      </c>
      <c r="S744" s="40" t="n">
        <f aca="true">RAND()</f>
        <v>0.28806574100431</v>
      </c>
      <c r="T744" s="40" t="n">
        <f aca="true">RAND()</f>
        <v>0.990939443899781</v>
      </c>
      <c r="U744" s="40" t="n">
        <f aca="true">RAND()</f>
        <v>0.399210041990593</v>
      </c>
    </row>
    <row r="745" customFormat="false" ht="15" hidden="false" customHeight="false" outlineLevel="0" collapsed="false">
      <c r="A745" s="36" t="n">
        <v>665</v>
      </c>
      <c r="B745" s="37" t="n">
        <f aca="false">1+IF($G$6=$E$6,$F$6,IF(P745&lt;($F$6-$E$6)/($G$6-$E$6),$E$6+SQRT(P745*($G$6-$E$6)*($F$6-$E$6)),$G$6-SQRT((1-P745)*($G$6-$E$6)*($G$6-$F$6))))</f>
        <v>0.974148333517685</v>
      </c>
      <c r="C745" s="37" t="n">
        <f aca="false">1+IF($G$7=$E$7,$F$7,IF(Q745&lt;($F$7-$E$7)/($G$7-$E$7),$E$7+SQRT(Q745*($G$7-$E$7)*($F$7-$E$7)),$G$7-SQRT((1-Q745)*($G$7-$E$7)*($G$7-$F$7))))</f>
        <v>0.726017066786947</v>
      </c>
      <c r="D745" s="37" t="n">
        <f aca="false">1+IF($G$8=$E$8,$F$8,IF(R745&lt;($F$8-$E$8)/($G$8-$E$8),$E$8+SQRT(R745*($G$8-$E$8)*($F$8-$E$8)),$G$8-SQRT((1-R745)*($G$8-$E$8)*($G$8-$F$8))))</f>
        <v>1.04769156486379</v>
      </c>
      <c r="E745" s="37" t="n">
        <f aca="false">1+IF($G$9=$E$9,$F$9,IF(S745&lt;($F$9-$E$9)/($G$9-$E$9),$E$9+SQRT(S745*($G$9-$E$9)*($F$9-$E$9)),$G$9-SQRT((1-S745)*($G$9-$E$9)*($G$9-$F$9))))</f>
        <v>0.928239818950018</v>
      </c>
      <c r="F745" s="37" t="n">
        <f aca="false">1+IF($G$10=$E$10,$F$10,IF(T745&lt;($F$10-$E$10)/($G$10-$E$10),$E$10+SQRT(T745*($G$10-$E$10)*($F$10-$E$10)),$G$10-SQRT((1-T745)*($G$10-$E$10)*($G$10-$F$10))))</f>
        <v>1.08461214516119</v>
      </c>
      <c r="G745" s="38" t="n">
        <f aca="false">IF($G$11=$E$11,$F$11,IF(U745&lt;($F$11-$E$11)/($G$11-$E$11),$E$11+SQRT(U745*($G$11-$E$11)*($F$11-$E$11)),$G$11-SQRT((1-U745)*($G$11-$E$11)*($G$11-$F$11))))</f>
        <v>0.113639080774548</v>
      </c>
      <c r="H745" s="39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-2169224290.32238</v>
      </c>
      <c r="I745" s="39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-87221207.5426768</v>
      </c>
      <c r="J745" s="39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102678254.37217</v>
      </c>
      <c r="K745" s="39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346808323.545076</v>
      </c>
      <c r="L745" s="39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434550645.974501</v>
      </c>
      <c r="M745" s="39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568984405.825779</v>
      </c>
      <c r="N745" s="39" t="n">
        <f aca="false">IF(COUNT('Business Case'!B11:G11)=0,"",H745+NPV(G745,I745:M745))</f>
        <v>-1298935340.81197</v>
      </c>
      <c r="P745" s="40" t="n">
        <f aca="true">RAND()</f>
        <v>0.366531690896659</v>
      </c>
      <c r="Q745" s="40" t="n">
        <f aca="true">RAND()</f>
        <v>0.00501398343849245</v>
      </c>
      <c r="R745" s="40" t="n">
        <f aca="true">RAND()</f>
        <v>0.817588507573372</v>
      </c>
      <c r="S745" s="40" t="n">
        <f aca="true">RAND()</f>
        <v>0.0318994949731915</v>
      </c>
      <c r="T745" s="40" t="n">
        <f aca="true">RAND()</f>
        <v>0.635291432957544</v>
      </c>
      <c r="U745" s="40" t="n">
        <f aca="true">RAND()</f>
        <v>0.821546881398825</v>
      </c>
    </row>
    <row r="746" customFormat="false" ht="15" hidden="false" customHeight="false" outlineLevel="0" collapsed="false">
      <c r="A746" s="36" t="n">
        <v>666</v>
      </c>
      <c r="B746" s="37" t="n">
        <f aca="false">1+IF($G$6=$E$6,$F$6,IF(P746&lt;($F$6-$E$6)/($G$6-$E$6),$E$6+SQRT(P746*($G$6-$E$6)*($F$6-$E$6)),$G$6-SQRT((1-P746)*($G$6-$E$6)*($G$6-$F$6))))</f>
        <v>1.01534806509812</v>
      </c>
      <c r="C746" s="37" t="n">
        <f aca="false">1+IF($G$7=$E$7,$F$7,IF(Q746&lt;($F$7-$E$7)/($G$7-$E$7),$E$7+SQRT(Q746*($G$7-$E$7)*($F$7-$E$7)),$G$7-SQRT((1-Q746)*($G$7-$E$7)*($G$7-$F$7))))</f>
        <v>1.02195142815966</v>
      </c>
      <c r="D746" s="37" t="n">
        <f aca="false">1+IF($G$8=$E$8,$F$8,IF(R746&lt;($F$8-$E$8)/($G$8-$E$8),$E$8+SQRT(R746*($G$8-$E$8)*($F$8-$E$8)),$G$8-SQRT((1-R746)*($G$8-$E$8)*($G$8-$F$8))))</f>
        <v>0.969277837469205</v>
      </c>
      <c r="E746" s="37" t="n">
        <f aca="false">1+IF($G$9=$E$9,$F$9,IF(S746&lt;($F$9-$E$9)/($G$9-$E$9),$E$9+SQRT(S746*($G$9-$E$9)*($F$9-$E$9)),$G$9-SQRT((1-S746)*($G$9-$E$9)*($G$9-$F$9))))</f>
        <v>0.968391737995509</v>
      </c>
      <c r="F746" s="37" t="n">
        <f aca="false">1+IF($G$10=$E$10,$F$10,IF(T746&lt;($F$10-$E$10)/($G$10-$E$10),$E$10+SQRT(T746*($G$10-$E$10)*($F$10-$E$10)),$G$10-SQRT((1-T746)*($G$10-$E$10)*($G$10-$F$10))))</f>
        <v>1.06900866353113</v>
      </c>
      <c r="G746" s="38" t="n">
        <f aca="false">IF($G$11=$E$11,$F$11,IF(U746&lt;($F$11-$E$11)/($G$11-$E$11),$E$11+SQRT(U746*($G$11-$E$11)*($F$11-$E$11)),$G$11-SQRT((1-U746)*($G$11-$E$11)*($G$11-$F$11))))</f>
        <v>0.111132232215947</v>
      </c>
      <c r="H746" s="39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-2138017327.06225</v>
      </c>
      <c r="I746" s="39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44416833.7466858</v>
      </c>
      <c r="J746" s="39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387230910.235333</v>
      </c>
      <c r="K746" s="39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783495419.900538</v>
      </c>
      <c r="L746" s="39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933627492.894012</v>
      </c>
      <c r="M746" s="39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1130861420.7956</v>
      </c>
      <c r="N746" s="39" t="n">
        <f aca="false">IF(COUNT('Business Case'!B11:G11)=0,"",H746+NPV(G746,I746:M746))</f>
        <v>66943087.5717289</v>
      </c>
      <c r="P746" s="40" t="n">
        <f aca="true">RAND()</f>
        <v>0.839899121007413</v>
      </c>
      <c r="Q746" s="40" t="n">
        <f aca="true">RAND()</f>
        <v>0.757089825920747</v>
      </c>
      <c r="R746" s="40" t="n">
        <f aca="true">RAND()</f>
        <v>0.0495513356652123</v>
      </c>
      <c r="S746" s="40" t="n">
        <f aca="true">RAND()</f>
        <v>0.187097193041852</v>
      </c>
      <c r="T746" s="40" t="n">
        <f aca="true">RAND()</f>
        <v>0.563228481642805</v>
      </c>
      <c r="U746" s="40" t="n">
        <f aca="true">RAND()</f>
        <v>0.762671559231355</v>
      </c>
    </row>
    <row r="747" customFormat="false" ht="15" hidden="false" customHeight="false" outlineLevel="0" collapsed="false">
      <c r="A747" s="36" t="n">
        <v>667</v>
      </c>
      <c r="B747" s="37" t="n">
        <f aca="false">1+IF($G$6=$E$6,$F$6,IF(P747&lt;($F$6-$E$6)/($G$6-$E$6),$E$6+SQRT(P747*($G$6-$E$6)*($F$6-$E$6)),$G$6-SQRT((1-P747)*($G$6-$E$6)*($G$6-$F$6))))</f>
        <v>1.0118735784032</v>
      </c>
      <c r="C747" s="37" t="n">
        <f aca="false">1+IF($G$7=$E$7,$F$7,IF(Q747&lt;($F$7-$E$7)/($G$7-$E$7),$E$7+SQRT(Q747*($G$7-$E$7)*($F$7-$E$7)),$G$7-SQRT((1-Q747)*($G$7-$E$7)*($G$7-$F$7))))</f>
        <v>0.787345584904579</v>
      </c>
      <c r="D747" s="37" t="n">
        <f aca="false">1+IF($G$8=$E$8,$F$8,IF(R747&lt;($F$8-$E$8)/($G$8-$E$8),$E$8+SQRT(R747*($G$8-$E$8)*($F$8-$E$8)),$G$8-SQRT((1-R747)*($G$8-$E$8)*($G$8-$F$8))))</f>
        <v>1.02874627662512</v>
      </c>
      <c r="E747" s="37" t="n">
        <f aca="false">1+IF($G$9=$E$9,$F$9,IF(S747&lt;($F$9-$E$9)/($G$9-$E$9),$E$9+SQRT(S747*($G$9-$E$9)*($F$9-$E$9)),$G$9-SQRT((1-S747)*($G$9-$E$9)*($G$9-$F$9))))</f>
        <v>0.98947019352423</v>
      </c>
      <c r="F747" s="37" t="n">
        <f aca="false">1+IF($G$10=$E$10,$F$10,IF(T747&lt;($F$10-$E$10)/($G$10-$E$10),$E$10+SQRT(T747*($G$10-$E$10)*($F$10-$E$10)),$G$10-SQRT((1-T747)*($G$10-$E$10)*($G$10-$F$10))))</f>
        <v>1.08118087706272</v>
      </c>
      <c r="G747" s="38" t="n">
        <f aca="false">IF($G$11=$E$11,$F$11,IF(U747&lt;($F$11-$E$11)/($G$11-$E$11),$E$11+SQRT(U747*($G$11-$E$11)*($F$11-$E$11)),$G$11-SQRT((1-U747)*($G$11-$E$11)*($G$11-$F$11))))</f>
        <v>0.0952465198092288</v>
      </c>
      <c r="H747" s="39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-2162361754.12544</v>
      </c>
      <c r="I747" s="39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-52215836.2423047</v>
      </c>
      <c r="J747" s="39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185689703.780441</v>
      </c>
      <c r="K747" s="39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477654287.656322</v>
      </c>
      <c r="L747" s="39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584489885.690325</v>
      </c>
      <c r="M747" s="39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735925518.168978</v>
      </c>
      <c r="N747" s="39" t="n">
        <f aca="false">IF(COUNT('Business Case'!B11:G11)=0,"",H747+NPV(G747,I747:M747))</f>
        <v>-818532940.954545</v>
      </c>
      <c r="P747" s="40" t="n">
        <f aca="true">RAND()</f>
        <v>0.80618346349641</v>
      </c>
      <c r="Q747" s="40" t="n">
        <f aca="true">RAND()</f>
        <v>0.0565129718690599</v>
      </c>
      <c r="R747" s="40" t="n">
        <f aca="true">RAND()</f>
        <v>0.661527127014421</v>
      </c>
      <c r="S747" s="40" t="n">
        <f aca="true">RAND()</f>
        <v>0.320196621170523</v>
      </c>
      <c r="T747" s="40" t="n">
        <f aca="true">RAND()</f>
        <v>0.620001383075824</v>
      </c>
      <c r="U747" s="40" t="n">
        <f aca="true">RAND()</f>
        <v>0.232456366293205</v>
      </c>
    </row>
    <row r="748" customFormat="false" ht="15" hidden="false" customHeight="false" outlineLevel="0" collapsed="false">
      <c r="A748" s="36" t="n">
        <v>668</v>
      </c>
      <c r="B748" s="37" t="n">
        <f aca="false">1+IF($G$6=$E$6,$F$6,IF(P748&lt;($F$6-$E$6)/($G$6-$E$6),$E$6+SQRT(P748*($G$6-$E$6)*($F$6-$E$6)),$G$6-SQRT((1-P748)*($G$6-$E$6)*($G$6-$F$6))))</f>
        <v>1.00899635463093</v>
      </c>
      <c r="C748" s="37" t="n">
        <f aca="false">1+IF($G$7=$E$7,$F$7,IF(Q748&lt;($F$7-$E$7)/($G$7-$E$7),$E$7+SQRT(Q748*($G$7-$E$7)*($F$7-$E$7)),$G$7-SQRT((1-Q748)*($G$7-$E$7)*($G$7-$F$7))))</f>
        <v>1.09095230377554</v>
      </c>
      <c r="D748" s="37" t="n">
        <f aca="false">1+IF($G$8=$E$8,$F$8,IF(R748&lt;($F$8-$E$8)/($G$8-$E$8),$E$8+SQRT(R748*($G$8-$E$8)*($F$8-$E$8)),$G$8-SQRT((1-R748)*($G$8-$E$8)*($G$8-$F$8))))</f>
        <v>0.988525924142793</v>
      </c>
      <c r="E748" s="37" t="n">
        <f aca="false">1+IF($G$9=$E$9,$F$9,IF(S748&lt;($F$9-$E$9)/($G$9-$E$9),$E$9+SQRT(S748*($G$9-$E$9)*($F$9-$E$9)),$G$9-SQRT((1-S748)*($G$9-$E$9)*($G$9-$F$9))))</f>
        <v>1.00243375885953</v>
      </c>
      <c r="F748" s="37" t="n">
        <f aca="false">1+IF($G$10=$E$10,$F$10,IF(T748&lt;($F$10-$E$10)/($G$10-$E$10),$E$10+SQRT(T748*($G$10-$E$10)*($F$10-$E$10)),$G$10-SQRT((1-T748)*($G$10-$E$10)*($G$10-$F$10))))</f>
        <v>1.20270067946743</v>
      </c>
      <c r="G748" s="38" t="n">
        <f aca="false">IF($G$11=$E$11,$F$11,IF(U748&lt;($F$11-$E$11)/($G$11-$E$11),$E$11+SQRT(U748*($G$11-$E$11)*($F$11-$E$11)),$G$11-SQRT((1-U748)*($G$11-$E$11)*($G$11-$F$11))))</f>
        <v>0.108736433943866</v>
      </c>
      <c r="H748" s="39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-2405401358.93487</v>
      </c>
      <c r="I748" s="39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29655181.9285333</v>
      </c>
      <c r="J748" s="39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379190268.284479</v>
      </c>
      <c r="K748" s="39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788860388.613796</v>
      </c>
      <c r="L748" s="39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943414588.046341</v>
      </c>
      <c r="M748" s="39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1152648359.93944</v>
      </c>
      <c r="N748" s="39" t="n">
        <f aca="false">IF(COUNT('Business Case'!B11:G11)=0,"",H748+NPV(G748,I748:M748))</f>
        <v>-179169467.636959</v>
      </c>
      <c r="P748" s="40" t="n">
        <f aca="true">RAND()</f>
        <v>0.775826808859646</v>
      </c>
      <c r="Q748" s="40" t="n">
        <f aca="true">RAND()</f>
        <v>0.948346215860499</v>
      </c>
      <c r="R748" s="40" t="n">
        <f aca="true">RAND()</f>
        <v>0.197899577474168</v>
      </c>
      <c r="S748" s="40" t="n">
        <f aca="true">RAND()</f>
        <v>0.419312119351232</v>
      </c>
      <c r="T748" s="40" t="n">
        <f aca="true">RAND()</f>
        <v>0.970170323695434</v>
      </c>
      <c r="U748" s="40" t="n">
        <f aca="true">RAND()</f>
        <v>0.698573839050953</v>
      </c>
    </row>
    <row r="749" customFormat="false" ht="15" hidden="false" customHeight="false" outlineLevel="0" collapsed="false">
      <c r="A749" s="36" t="n">
        <v>669</v>
      </c>
      <c r="B749" s="37" t="n">
        <f aca="false">1+IF($G$6=$E$6,$F$6,IF(P749&lt;($F$6-$E$6)/($G$6-$E$6),$E$6+SQRT(P749*($G$6-$E$6)*($F$6-$E$6)),$G$6-SQRT((1-P749)*($G$6-$E$6)*($G$6-$F$6))))</f>
        <v>0.996865396728212</v>
      </c>
      <c r="C749" s="37" t="n">
        <f aca="false">1+IF($G$7=$E$7,$F$7,IF(Q749&lt;($F$7-$E$7)/($G$7-$E$7),$E$7+SQRT(Q749*($G$7-$E$7)*($F$7-$E$7)),$G$7-SQRT((1-Q749)*($G$7-$E$7)*($G$7-$F$7))))</f>
        <v>0.996740108923196</v>
      </c>
      <c r="D749" s="37" t="n">
        <f aca="false">1+IF($G$8=$E$8,$F$8,IF(R749&lt;($F$8-$E$8)/($G$8-$E$8),$E$8+SQRT(R749*($G$8-$E$8)*($F$8-$E$8)),$G$8-SQRT((1-R749)*($G$8-$E$8)*($G$8-$F$8))))</f>
        <v>1.02553781217175</v>
      </c>
      <c r="E749" s="37" t="n">
        <f aca="false">1+IF($G$9=$E$9,$F$9,IF(S749&lt;($F$9-$E$9)/($G$9-$E$9),$E$9+SQRT(S749*($G$9-$E$9)*($F$9-$E$9)),$G$9-SQRT((1-S749)*($G$9-$E$9)*($G$9-$F$9))))</f>
        <v>0.937264388859835</v>
      </c>
      <c r="F749" s="37" t="n">
        <f aca="false">1+IF($G$10=$E$10,$F$10,IF(T749&lt;($F$10-$E$10)/($G$10-$E$10),$E$10+SQRT(T749*($G$10-$E$10)*($F$10-$E$10)),$G$10-SQRT((1-T749)*($G$10-$E$10)*($G$10-$F$10))))</f>
        <v>1.22294996231248</v>
      </c>
      <c r="G749" s="38" t="n">
        <f aca="false">IF($G$11=$E$11,$F$11,IF(U749&lt;($F$11-$E$11)/($G$11-$E$11),$E$11+SQRT(U749*($G$11-$E$11)*($F$11-$E$11)),$G$11-SQRT((1-U749)*($G$11-$E$11)*($G$11-$F$11))))</f>
        <v>0.100716756581267</v>
      </c>
      <c r="H749" s="39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-2445899924.62497</v>
      </c>
      <c r="I749" s="39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-16522108.8597805</v>
      </c>
      <c r="J749" s="39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274038813.745763</v>
      </c>
      <c r="K749" s="39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625747234.46693</v>
      </c>
      <c r="L749" s="39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756940234.760916</v>
      </c>
      <c r="M749" s="39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945806711.601007</v>
      </c>
      <c r="N749" s="39" t="n">
        <f aca="false">IF(COUNT('Business Case'!B11:G11)=0,"",H749+NPV(G749,I749:M749))</f>
        <v>-664494376.366404</v>
      </c>
      <c r="P749" s="40" t="n">
        <f aca="true">RAND()</f>
        <v>0.62552700555426</v>
      </c>
      <c r="Q749" s="40" t="n">
        <f aca="true">RAND()</f>
        <v>0.652256979583336</v>
      </c>
      <c r="R749" s="40" t="n">
        <f aca="true">RAND()</f>
        <v>0.630358838922073</v>
      </c>
      <c r="S749" s="40" t="n">
        <f aca="true">RAND()</f>
        <v>0.0555453870838793</v>
      </c>
      <c r="T749" s="40" t="n">
        <f aca="true">RAND()</f>
        <v>0.990243939481386</v>
      </c>
      <c r="U749" s="40" t="n">
        <f aca="true">RAND()</f>
        <v>0.428327769919504</v>
      </c>
    </row>
    <row r="750" customFormat="false" ht="15" hidden="false" customHeight="false" outlineLevel="0" collapsed="false">
      <c r="A750" s="36" t="n">
        <v>670</v>
      </c>
      <c r="B750" s="37" t="n">
        <f aca="false">1+IF($G$6=$E$6,$F$6,IF(P750&lt;($F$6-$E$6)/($G$6-$E$6),$E$6+SQRT(P750*($G$6-$E$6)*($F$6-$E$6)),$G$6-SQRT((1-P750)*($G$6-$E$6)*($G$6-$F$6))))</f>
        <v>0.985353440435773</v>
      </c>
      <c r="C750" s="37" t="n">
        <f aca="false">1+IF($G$7=$E$7,$F$7,IF(Q750&lt;($F$7-$E$7)/($G$7-$E$7),$E$7+SQRT(Q750*($G$7-$E$7)*($F$7-$E$7)),$G$7-SQRT((1-Q750)*($G$7-$E$7)*($G$7-$F$7))))</f>
        <v>0.939171477146163</v>
      </c>
      <c r="D750" s="37" t="n">
        <f aca="false">1+IF($G$8=$E$8,$F$8,IF(R750&lt;($F$8-$E$8)/($G$8-$E$8),$E$8+SQRT(R750*($G$8-$E$8)*($F$8-$E$8)),$G$8-SQRT((1-R750)*($G$8-$E$8)*($G$8-$F$8))))</f>
        <v>1.08236398589121</v>
      </c>
      <c r="E750" s="37" t="n">
        <f aca="false">1+IF($G$9=$E$9,$F$9,IF(S750&lt;($F$9-$E$9)/($G$9-$E$9),$E$9+SQRT(S750*($G$9-$E$9)*($F$9-$E$9)),$G$9-SQRT((1-S750)*($G$9-$E$9)*($G$9-$F$9))))</f>
        <v>1.02255161218107</v>
      </c>
      <c r="F750" s="37" t="n">
        <f aca="false">1+IF($G$10=$E$10,$F$10,IF(T750&lt;($F$10-$E$10)/($G$10-$E$10),$E$10+SQRT(T750*($G$10-$E$10)*($F$10-$E$10)),$G$10-SQRT((1-T750)*($G$10-$E$10)*($G$10-$F$10))))</f>
        <v>0.997041816285008</v>
      </c>
      <c r="G750" s="38" t="n">
        <f aca="false">IF($G$11=$E$11,$F$11,IF(U750&lt;($F$11-$E$11)/($G$11-$E$11),$E$11+SQRT(U750*($G$11-$E$11)*($F$11-$E$11)),$G$11-SQRT((1-U750)*($G$11-$E$11)*($G$11-$F$11))))</f>
        <v>0.109055600017725</v>
      </c>
      <c r="H750" s="39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-1994083632.57002</v>
      </c>
      <c r="I750" s="39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-55482044.6859167</v>
      </c>
      <c r="J750" s="39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182120488.974015</v>
      </c>
      <c r="K750" s="39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469575113.448197</v>
      </c>
      <c r="L750" s="39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580758329.644974</v>
      </c>
      <c r="M750" s="39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756661373.68404</v>
      </c>
      <c r="N750" s="39" t="n">
        <f aca="false">IF(COUNT('Business Case'!B11:G11)=0,"",H750+NPV(G750,I750:M750))</f>
        <v>-716992895.840059</v>
      </c>
      <c r="P750" s="40" t="n">
        <f aca="true">RAND()</f>
        <v>0.485680652948207</v>
      </c>
      <c r="Q750" s="40" t="n">
        <f aca="true">RAND()</f>
        <v>0.4237258924465</v>
      </c>
      <c r="R750" s="40" t="n">
        <f aca="true">RAND()</f>
        <v>0.979264733756973</v>
      </c>
      <c r="S750" s="40" t="n">
        <f aca="true">RAND()</f>
        <v>0.566850891796132</v>
      </c>
      <c r="T750" s="40" t="n">
        <f aca="true">RAND()</f>
        <v>0.147528831959495</v>
      </c>
      <c r="U750" s="40" t="n">
        <f aca="true">RAND()</f>
        <v>0.707554739588316</v>
      </c>
    </row>
    <row r="751" customFormat="false" ht="15" hidden="false" customHeight="false" outlineLevel="0" collapsed="false">
      <c r="A751" s="36" t="n">
        <v>671</v>
      </c>
      <c r="B751" s="37" t="n">
        <f aca="false">1+IF($G$6=$E$6,$F$6,IF(P751&lt;($F$6-$E$6)/($G$6-$E$6),$E$6+SQRT(P751*($G$6-$E$6)*($F$6-$E$6)),$G$6-SQRT((1-P751)*($G$6-$E$6)*($G$6-$F$6))))</f>
        <v>1.03453029193277</v>
      </c>
      <c r="C751" s="37" t="n">
        <f aca="false">1+IF($G$7=$E$7,$F$7,IF(Q751&lt;($F$7-$E$7)/($G$7-$E$7),$E$7+SQRT(Q751*($G$7-$E$7)*($F$7-$E$7)),$G$7-SQRT((1-Q751)*($G$7-$E$7)*($G$7-$F$7))))</f>
        <v>0.902096467369874</v>
      </c>
      <c r="D751" s="37" t="n">
        <f aca="false">1+IF($G$8=$E$8,$F$8,IF(R751&lt;($F$8-$E$8)/($G$8-$E$8),$E$8+SQRT(R751*($G$8-$E$8)*($F$8-$E$8)),$G$8-SQRT((1-R751)*($G$8-$E$8)*($G$8-$F$8))))</f>
        <v>1.01938070118704</v>
      </c>
      <c r="E751" s="37" t="n">
        <f aca="false">1+IF($G$9=$E$9,$F$9,IF(S751&lt;($F$9-$E$9)/($G$9-$E$9),$E$9+SQRT(S751*($G$9-$E$9)*($F$9-$E$9)),$G$9-SQRT((1-S751)*($G$9-$E$9)*($G$9-$F$9))))</f>
        <v>0.978763843776441</v>
      </c>
      <c r="F751" s="37" t="n">
        <f aca="false">1+IF($G$10=$E$10,$F$10,IF(T751&lt;($F$10-$E$10)/($G$10-$E$10),$E$10+SQRT(T751*($G$10-$E$10)*($F$10-$E$10)),$G$10-SQRT((1-T751)*($G$10-$E$10)*($G$10-$F$10))))</f>
        <v>0.998379273364552</v>
      </c>
      <c r="G751" s="38" t="n">
        <f aca="false">IF($G$11=$E$11,$F$11,IF(U751&lt;($F$11-$E$11)/($G$11-$E$11),$E$11+SQRT(U751*($G$11-$E$11)*($F$11-$E$11)),$G$11-SQRT((1-U751)*($G$11-$E$11)*($G$11-$F$11))))</f>
        <v>0.116239840451621</v>
      </c>
      <c r="H751" s="39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-1996758546.7291</v>
      </c>
      <c r="I751" s="39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6246887.45518856</v>
      </c>
      <c r="J751" s="39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299891399.782827</v>
      </c>
      <c r="K751" s="39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643454875.778693</v>
      </c>
      <c r="L751" s="39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773589365.855229</v>
      </c>
      <c r="M751" s="39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950980788.675507</v>
      </c>
      <c r="N751" s="39" t="n">
        <f aca="false">IF(COUNT('Business Case'!B11:G11)=0,"",H751+NPV(G751,I751:M751))</f>
        <v>-240784562.84286</v>
      </c>
      <c r="P751" s="40" t="n">
        <f aca="true">RAND()</f>
        <v>0.9680917509753</v>
      </c>
      <c r="Q751" s="40" t="n">
        <f aca="true">RAND()</f>
        <v>0.302540608321352</v>
      </c>
      <c r="R751" s="40" t="n">
        <f aca="true">RAND()</f>
        <v>0.566701910593819</v>
      </c>
      <c r="S751" s="40" t="n">
        <f aca="true">RAND()</f>
        <v>0.248149723457582</v>
      </c>
      <c r="T751" s="40" t="n">
        <f aca="true">RAND()</f>
        <v>0.156036939418801</v>
      </c>
      <c r="U751" s="40" t="n">
        <f aca="true">RAND()</f>
        <v>0.873772006135433</v>
      </c>
    </row>
    <row r="752" customFormat="false" ht="15" hidden="false" customHeight="false" outlineLevel="0" collapsed="false">
      <c r="A752" s="36" t="n">
        <v>672</v>
      </c>
      <c r="B752" s="37" t="n">
        <f aca="false">1+IF($G$6=$E$6,$F$6,IF(P752&lt;($F$6-$E$6)/($G$6-$E$6),$E$6+SQRT(P752*($G$6-$E$6)*($F$6-$E$6)),$G$6-SQRT((1-P752)*($G$6-$E$6)*($G$6-$F$6))))</f>
        <v>0.953590477399641</v>
      </c>
      <c r="C752" s="37" t="n">
        <f aca="false">1+IF($G$7=$E$7,$F$7,IF(Q752&lt;($F$7-$E$7)/($G$7-$E$7),$E$7+SQRT(Q752*($G$7-$E$7)*($F$7-$E$7)),$G$7-SQRT((1-Q752)*($G$7-$E$7)*($G$7-$F$7))))</f>
        <v>0.833469825989801</v>
      </c>
      <c r="D752" s="37" t="n">
        <f aca="false">1+IF($G$8=$E$8,$F$8,IF(R752&lt;($F$8-$E$8)/($G$8-$E$8),$E$8+SQRT(R752*($G$8-$E$8)*($F$8-$E$8)),$G$8-SQRT((1-R752)*($G$8-$E$8)*($G$8-$F$8))))</f>
        <v>0.992897218354032</v>
      </c>
      <c r="E752" s="37" t="n">
        <f aca="false">1+IF($G$9=$E$9,$F$9,IF(S752&lt;($F$9-$E$9)/($G$9-$E$9),$E$9+SQRT(S752*($G$9-$E$9)*($F$9-$E$9)),$G$9-SQRT((1-S752)*($G$9-$E$9)*($G$9-$F$9))))</f>
        <v>0.996403525763345</v>
      </c>
      <c r="F752" s="37" t="n">
        <f aca="false">1+IF($G$10=$E$10,$F$10,IF(T752&lt;($F$10-$E$10)/($G$10-$E$10),$E$10+SQRT(T752*($G$10-$E$10)*($F$10-$E$10)),$G$10-SQRT((1-T752)*($G$10-$E$10)*($G$10-$F$10))))</f>
        <v>1.01085848100077</v>
      </c>
      <c r="G752" s="38" t="n">
        <f aca="false">IF($G$11=$E$11,$F$11,IF(U752&lt;($F$11-$E$11)/($G$11-$E$11),$E$11+SQRT(U752*($G$11-$E$11)*($F$11-$E$11)),$G$11-SQRT((1-U752)*($G$11-$E$11)*($G$11-$F$11))))</f>
        <v>0.0940981617179447</v>
      </c>
      <c r="H752" s="39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-2021716962.00154</v>
      </c>
      <c r="I752" s="39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-56626290.7515624</v>
      </c>
      <c r="J752" s="39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170723703.979936</v>
      </c>
      <c r="K752" s="39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448616622.761473</v>
      </c>
      <c r="L752" s="39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551867858.351596</v>
      </c>
      <c r="M752" s="39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702941330.422861</v>
      </c>
      <c r="N752" s="39" t="n">
        <f aca="false">IF(COUNT('Business Case'!B11:G11)=0,"",H752+NPV(G752,I752:M752))</f>
        <v>-754813181.455722</v>
      </c>
      <c r="P752" s="40" t="n">
        <f aca="true">RAND()</f>
        <v>0.19146261786143</v>
      </c>
      <c r="Q752" s="40" t="n">
        <f aca="true">RAND()</f>
        <v>0.131956995924058</v>
      </c>
      <c r="R752" s="40" t="n">
        <f aca="true">RAND()</f>
        <v>0.245356179001799</v>
      </c>
      <c r="S752" s="40" t="n">
        <f aca="true">RAND()</f>
        <v>0.371745591184158</v>
      </c>
      <c r="T752" s="40" t="n">
        <f aca="true">RAND()</f>
        <v>0.23748445187656</v>
      </c>
      <c r="U752" s="40" t="n">
        <f aca="true">RAND()</f>
        <v>0.198758163825321</v>
      </c>
    </row>
    <row r="753" customFormat="false" ht="15" hidden="false" customHeight="false" outlineLevel="0" collapsed="false">
      <c r="A753" s="36" t="n">
        <v>673</v>
      </c>
      <c r="B753" s="37" t="n">
        <f aca="false">1+IF($G$6=$E$6,$F$6,IF(P753&lt;($F$6-$E$6)/($G$6-$E$6),$E$6+SQRT(P753*($G$6-$E$6)*($F$6-$E$6)),$G$6-SQRT((1-P753)*($G$6-$E$6)*($G$6-$F$6))))</f>
        <v>1.00600229129668</v>
      </c>
      <c r="C753" s="37" t="n">
        <f aca="false">1+IF($G$7=$E$7,$F$7,IF(Q753&lt;($F$7-$E$7)/($G$7-$E$7),$E$7+SQRT(Q753*($G$7-$E$7)*($F$7-$E$7)),$G$7-SQRT((1-Q753)*($G$7-$E$7)*($G$7-$F$7))))</f>
        <v>1.09169652708844</v>
      </c>
      <c r="D753" s="37" t="n">
        <f aca="false">1+IF($G$8=$E$8,$F$8,IF(R753&lt;($F$8-$E$8)/($G$8-$E$8),$E$8+SQRT(R753*($G$8-$E$8)*($F$8-$E$8)),$G$8-SQRT((1-R753)*($G$8-$E$8)*($G$8-$F$8))))</f>
        <v>1.05838048567107</v>
      </c>
      <c r="E753" s="37" t="n">
        <f aca="false">1+IF($G$9=$E$9,$F$9,IF(S753&lt;($F$9-$E$9)/($G$9-$E$9),$E$9+SQRT(S753*($G$9-$E$9)*($F$9-$E$9)),$G$9-SQRT((1-S753)*($G$9-$E$9)*($G$9-$F$9))))</f>
        <v>0.977442501919249</v>
      </c>
      <c r="F753" s="37" t="n">
        <f aca="false">1+IF($G$10=$E$10,$F$10,IF(T753&lt;($F$10-$E$10)/($G$10-$E$10),$E$10+SQRT(T753*($G$10-$E$10)*($F$10-$E$10)),$G$10-SQRT((1-T753)*($G$10-$E$10)*($G$10-$F$10))))</f>
        <v>1.05465320468588</v>
      </c>
      <c r="G753" s="38" t="n">
        <f aca="false">IF($G$11=$E$11,$F$11,IF(U753&lt;($F$11-$E$11)/($G$11-$E$11),$E$11+SQRT(U753*($G$11-$E$11)*($F$11-$E$11)),$G$11-SQRT((1-U753)*($G$11-$E$11)*($G$11-$F$11))))</f>
        <v>0.120308152244815</v>
      </c>
      <c r="H753" s="39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-2109306409.37176</v>
      </c>
      <c r="I753" s="39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6666412.38830966</v>
      </c>
      <c r="J753" s="39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314723707.942784</v>
      </c>
      <c r="K753" s="39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675513663.731552</v>
      </c>
      <c r="L753" s="39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816154921.532817</v>
      </c>
      <c r="M753" s="39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1024910130.92323</v>
      </c>
      <c r="N753" s="39" t="n">
        <f aca="false">IF(COUNT('Business Case'!B11:G11)=0,"",H753+NPV(G753,I753:M753))</f>
        <v>-273304533.555423</v>
      </c>
      <c r="P753" s="40" t="n">
        <f aca="true">RAND()</f>
        <v>0.741893550514424</v>
      </c>
      <c r="Q753" s="40" t="n">
        <f aca="true">RAND()</f>
        <v>0.949640074762239</v>
      </c>
      <c r="R753" s="40" t="n">
        <f aca="true">RAND()</f>
        <v>0.884521068468254</v>
      </c>
      <c r="S753" s="40" t="n">
        <f aca="true">RAND()</f>
        <v>0.239893644140515</v>
      </c>
      <c r="T753" s="40" t="n">
        <f aca="true">RAND()</f>
        <v>0.491195060806717</v>
      </c>
      <c r="U753" s="40" t="n">
        <f aca="true">RAND()</f>
        <v>0.937378724726871</v>
      </c>
    </row>
    <row r="754" customFormat="false" ht="15" hidden="false" customHeight="false" outlineLevel="0" collapsed="false">
      <c r="A754" s="36" t="n">
        <v>674</v>
      </c>
      <c r="B754" s="37" t="n">
        <f aca="false">1+IF($G$6=$E$6,$F$6,IF(P754&lt;($F$6-$E$6)/($G$6-$E$6),$E$6+SQRT(P754*($G$6-$E$6)*($F$6-$E$6)),$G$6-SQRT((1-P754)*($G$6-$E$6)*($G$6-$F$6))))</f>
        <v>1.00659562709842</v>
      </c>
      <c r="C754" s="37" t="n">
        <f aca="false">1+IF($G$7=$E$7,$F$7,IF(Q754&lt;($F$7-$E$7)/($G$7-$E$7),$E$7+SQRT(Q754*($G$7-$E$7)*($F$7-$E$7)),$G$7-SQRT((1-Q754)*($G$7-$E$7)*($G$7-$F$7))))</f>
        <v>0.945630416984705</v>
      </c>
      <c r="D754" s="37" t="n">
        <f aca="false">1+IF($G$8=$E$8,$F$8,IF(R754&lt;($F$8-$E$8)/($G$8-$E$8),$E$8+SQRT(R754*($G$8-$E$8)*($F$8-$E$8)),$G$8-SQRT((1-R754)*($G$8-$E$8)*($G$8-$F$8))))</f>
        <v>1.07053684297559</v>
      </c>
      <c r="E754" s="37" t="n">
        <f aca="false">1+IF($G$9=$E$9,$F$9,IF(S754&lt;($F$9-$E$9)/($G$9-$E$9),$E$9+SQRT(S754*($G$9-$E$9)*($F$9-$E$9)),$G$9-SQRT((1-S754)*($G$9-$E$9)*($G$9-$F$9))))</f>
        <v>1.02747703586079</v>
      </c>
      <c r="F754" s="37" t="n">
        <f aca="false">1+IF($G$10=$E$10,$F$10,IF(T754&lt;($F$10-$E$10)/($G$10-$E$10),$E$10+SQRT(T754*($G$10-$E$10)*($F$10-$E$10)),$G$10-SQRT((1-T754)*($G$10-$E$10)*($G$10-$F$10))))</f>
        <v>1.07656281054549</v>
      </c>
      <c r="G754" s="38" t="n">
        <f aca="false">IF($G$11=$E$11,$F$11,IF(U754&lt;($F$11-$E$11)/($G$11-$E$11),$E$11+SQRT(U754*($G$11-$E$11)*($F$11-$E$11)),$G$11-SQRT((1-U754)*($G$11-$E$11)*($G$11-$F$11))))</f>
        <v>0.105976439299587</v>
      </c>
      <c r="H754" s="39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-2153125621.09098</v>
      </c>
      <c r="I754" s="39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-41693454.2910332</v>
      </c>
      <c r="J754" s="39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219721415.195652</v>
      </c>
      <c r="K754" s="39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534964425.209612</v>
      </c>
      <c r="L754" s="39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654999253.85435</v>
      </c>
      <c r="M754" s="39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835930217.341488</v>
      </c>
      <c r="N754" s="39" t="n">
        <f aca="false">IF(COUNT('Business Case'!B11:G11)=0,"",H754+NPV(G754,I754:M754))</f>
        <v>-672792128.456401</v>
      </c>
      <c r="P754" s="40" t="n">
        <f aca="true">RAND()</f>
        <v>0.748808055069365</v>
      </c>
      <c r="Q754" s="40" t="n">
        <f aca="true">RAND()</f>
        <v>0.446920753689482</v>
      </c>
      <c r="R754" s="40" t="n">
        <f aca="true">RAND()</f>
        <v>0.942128158543679</v>
      </c>
      <c r="S754" s="40" t="n">
        <f aca="true">RAND()</f>
        <v>0.599683286894479</v>
      </c>
      <c r="T754" s="40" t="n">
        <f aca="true">RAND()</f>
        <v>0.598927217521597</v>
      </c>
      <c r="U754" s="40" t="n">
        <f aca="true">RAND()</f>
        <v>0.615245687515709</v>
      </c>
    </row>
    <row r="755" customFormat="false" ht="15" hidden="false" customHeight="false" outlineLevel="0" collapsed="false">
      <c r="A755" s="36" t="n">
        <v>675</v>
      </c>
      <c r="B755" s="37" t="n">
        <f aca="false">1+IF($G$6=$E$6,$F$6,IF(P755&lt;($F$6-$E$6)/($G$6-$E$6),$E$6+SQRT(P755*($G$6-$E$6)*($F$6-$E$6)),$G$6-SQRT((1-P755)*($G$6-$E$6)*($G$6-$F$6))))</f>
        <v>1.00258172770263</v>
      </c>
      <c r="C755" s="37" t="n">
        <f aca="false">1+IF($G$7=$E$7,$F$7,IF(Q755&lt;($F$7-$E$7)/($G$7-$E$7),$E$7+SQRT(Q755*($G$7-$E$7)*($F$7-$E$7)),$G$7-SQRT((1-Q755)*($G$7-$E$7)*($G$7-$F$7))))</f>
        <v>0.977131861805211</v>
      </c>
      <c r="D755" s="37" t="n">
        <f aca="false">1+IF($G$8=$E$8,$F$8,IF(R755&lt;($F$8-$E$8)/($G$8-$E$8),$E$8+SQRT(R755*($G$8-$E$8)*($F$8-$E$8)),$G$8-SQRT((1-R755)*($G$8-$E$8)*($G$8-$F$8))))</f>
        <v>0.998864085317431</v>
      </c>
      <c r="E755" s="37" t="n">
        <f aca="false">1+IF($G$9=$E$9,$F$9,IF(S755&lt;($F$9-$E$9)/($G$9-$E$9),$E$9+SQRT(S755*($G$9-$E$9)*($F$9-$E$9)),$G$9-SQRT((1-S755)*($G$9-$E$9)*($G$9-$F$9))))</f>
        <v>0.958508014809247</v>
      </c>
      <c r="F755" s="37" t="n">
        <f aca="false">1+IF($G$10=$E$10,$F$10,IF(T755&lt;($F$10-$E$10)/($G$10-$E$10),$E$10+SQRT(T755*($G$10-$E$10)*($F$10-$E$10)),$G$10-SQRT((1-T755)*($G$10-$E$10)*($G$10-$F$10))))</f>
        <v>0.996697297856926</v>
      </c>
      <c r="G755" s="38" t="n">
        <f aca="false">IF($G$11=$E$11,$F$11,IF(U755&lt;($F$11-$E$11)/($G$11-$E$11),$E$11+SQRT(U755*($G$11-$E$11)*($F$11-$E$11)),$G$11-SQRT((1-U755)*($G$11-$E$11)*($G$11-$F$11))))</f>
        <v>0.120535187744222</v>
      </c>
      <c r="H755" s="39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-1993394595.71385</v>
      </c>
      <c r="I755" s="39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16007607.3540389</v>
      </c>
      <c r="J755" s="39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318770076.082114</v>
      </c>
      <c r="K755" s="39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671367409.703036</v>
      </c>
      <c r="L755" s="39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806145093.867374</v>
      </c>
      <c r="M755" s="39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992357830.769762</v>
      </c>
      <c r="N755" s="39" t="n">
        <f aca="false">IF(COUNT('Business Case'!B11:G11)=0,"",H755+NPV(G755,I755:M755))</f>
        <v>-174959608.289774</v>
      </c>
      <c r="P755" s="40" t="n">
        <f aca="true">RAND()</f>
        <v>0.700200993644304</v>
      </c>
      <c r="Q755" s="40" t="n">
        <f aca="true">RAND()</f>
        <v>0.568904213537944</v>
      </c>
      <c r="R755" s="40" t="n">
        <f aca="true">RAND()</f>
        <v>0.318359844521229</v>
      </c>
      <c r="S755" s="40" t="n">
        <f aca="true">RAND()</f>
        <v>0.136927511876761</v>
      </c>
      <c r="T755" s="40" t="n">
        <f aca="true">RAND()</f>
        <v>0.145375841809232</v>
      </c>
      <c r="U755" s="40" t="n">
        <f aca="true">RAND()</f>
        <v>0.940278219308588</v>
      </c>
    </row>
    <row r="756" customFormat="false" ht="15" hidden="false" customHeight="false" outlineLevel="0" collapsed="false">
      <c r="A756" s="36" t="n">
        <v>676</v>
      </c>
      <c r="B756" s="37" t="n">
        <f aca="false">1+IF($G$6=$E$6,$F$6,IF(P756&lt;($F$6-$E$6)/($G$6-$E$6),$E$6+SQRT(P756*($G$6-$E$6)*($F$6-$E$6)),$G$6-SQRT((1-P756)*($G$6-$E$6)*($G$6-$F$6))))</f>
        <v>0.919486869533274</v>
      </c>
      <c r="C756" s="37" t="n">
        <f aca="false">1+IF($G$7=$E$7,$F$7,IF(Q756&lt;($F$7-$E$7)/($G$7-$E$7),$E$7+SQRT(Q756*($G$7-$E$7)*($F$7-$E$7)),$G$7-SQRT((1-Q756)*($G$7-$E$7)*($G$7-$F$7))))</f>
        <v>1.11861253641221</v>
      </c>
      <c r="D756" s="37" t="n">
        <f aca="false">1+IF($G$8=$E$8,$F$8,IF(R756&lt;($F$8-$E$8)/($G$8-$E$8),$E$8+SQRT(R756*($G$8-$E$8)*($F$8-$E$8)),$G$8-SQRT((1-R756)*($G$8-$E$8)*($G$8-$F$8))))</f>
        <v>1.05527528359607</v>
      </c>
      <c r="E756" s="37" t="n">
        <f aca="false">1+IF($G$9=$E$9,$F$9,IF(S756&lt;($F$9-$E$9)/($G$9-$E$9),$E$9+SQRT(S756*($G$9-$E$9)*($F$9-$E$9)),$G$9-SQRT((1-S756)*($G$9-$E$9)*($G$9-$F$9))))</f>
        <v>1.06508541941129</v>
      </c>
      <c r="F756" s="37" t="n">
        <f aca="false">1+IF($G$10=$E$10,$F$10,IF(T756&lt;($F$10-$E$10)/($G$10-$E$10),$E$10+SQRT(T756*($G$10-$E$10)*($F$10-$E$10)),$G$10-SQRT((1-T756)*($G$10-$E$10)*($G$10-$F$10))))</f>
        <v>1.12817661873031</v>
      </c>
      <c r="G756" s="38" t="n">
        <f aca="false">IF($G$11=$E$11,$F$11,IF(U756&lt;($F$11-$E$11)/($G$11-$E$11),$E$11+SQRT(U756*($G$11-$E$11)*($F$11-$E$11)),$G$11-SQRT((1-U756)*($G$11-$E$11)*($G$11-$F$11))))</f>
        <v>0.104381818020599</v>
      </c>
      <c r="H756" s="39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-2256353237.46063</v>
      </c>
      <c r="I756" s="39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-79429663.5613805</v>
      </c>
      <c r="J756" s="39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158733489.509233</v>
      </c>
      <c r="K756" s="39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453305473.516363</v>
      </c>
      <c r="L756" s="39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568239863.285685</v>
      </c>
      <c r="M756" s="39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763746559.720835</v>
      </c>
      <c r="N756" s="39" t="n">
        <f aca="false">IF(COUNT('Business Case'!B11:G11)=0,"",H756+NPV(G756,I756:M756))</f>
        <v>-1014707033.03225</v>
      </c>
      <c r="P756" s="40" t="n">
        <f aca="true">RAND()</f>
        <v>0.025315872280457</v>
      </c>
      <c r="Q756" s="40" t="n">
        <f aca="true">RAND()</f>
        <v>0.985404846363332</v>
      </c>
      <c r="R756" s="40" t="n">
        <f aca="true">RAND()</f>
        <v>0.866646649505879</v>
      </c>
      <c r="S756" s="40" t="n">
        <f aca="true">RAND()</f>
        <v>0.80772037342516</v>
      </c>
      <c r="T756" s="40" t="n">
        <f aca="true">RAND()</f>
        <v>0.802120850346945</v>
      </c>
      <c r="U756" s="40" t="n">
        <f aca="true">RAND()</f>
        <v>0.562472501380209</v>
      </c>
    </row>
    <row r="757" customFormat="false" ht="15" hidden="false" customHeight="false" outlineLevel="0" collapsed="false">
      <c r="A757" s="36" t="n">
        <v>677</v>
      </c>
      <c r="B757" s="37" t="n">
        <f aca="false">1+IF($G$6=$E$6,$F$6,IF(P757&lt;($F$6-$E$6)/($G$6-$E$6),$E$6+SQRT(P757*($G$6-$E$6)*($F$6-$E$6)),$G$6-SQRT((1-P757)*($G$6-$E$6)*($G$6-$F$6))))</f>
        <v>1.04403446931688</v>
      </c>
      <c r="C757" s="37" t="n">
        <f aca="false">1+IF($G$7=$E$7,$F$7,IF(Q757&lt;($F$7-$E$7)/($G$7-$E$7),$E$7+SQRT(Q757*($G$7-$E$7)*($F$7-$E$7)),$G$7-SQRT((1-Q757)*($G$7-$E$7)*($G$7-$F$7))))</f>
        <v>0.93294327913468</v>
      </c>
      <c r="D757" s="37" t="n">
        <f aca="false">1+IF($G$8=$E$8,$F$8,IF(R757&lt;($F$8-$E$8)/($G$8-$E$8),$E$8+SQRT(R757*($G$8-$E$8)*($F$8-$E$8)),$G$8-SQRT((1-R757)*($G$8-$E$8)*($G$8-$F$8))))</f>
        <v>1.0074945266388</v>
      </c>
      <c r="E757" s="37" t="n">
        <f aca="false">1+IF($G$9=$E$9,$F$9,IF(S757&lt;($F$9-$E$9)/($G$9-$E$9),$E$9+SQRT(S757*($G$9-$E$9)*($F$9-$E$9)),$G$9-SQRT((1-S757)*($G$9-$E$9)*($G$9-$F$9))))</f>
        <v>0.980192566978563</v>
      </c>
      <c r="F757" s="37" t="n">
        <f aca="false">1+IF($G$10=$E$10,$F$10,IF(T757&lt;($F$10-$E$10)/($G$10-$E$10),$E$10+SQRT(T757*($G$10-$E$10)*($F$10-$E$10)),$G$10-SQRT((1-T757)*($G$10-$E$10)*($G$10-$F$10))))</f>
        <v>1.12024151938703</v>
      </c>
      <c r="G757" s="38" t="n">
        <f aca="false">IF($G$11=$E$11,$F$11,IF(U757&lt;($F$11-$E$11)/($G$11-$E$11),$E$11+SQRT(U757*($G$11-$E$11)*($F$11-$E$11)),$G$11-SQRT((1-U757)*($G$11-$E$11)*($G$11-$F$11))))</f>
        <v>0.0983328704066956</v>
      </c>
      <c r="H757" s="39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-2240483038.77406</v>
      </c>
      <c r="I757" s="39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14723916.9813655</v>
      </c>
      <c r="J757" s="39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331348821.884547</v>
      </c>
      <c r="K757" s="39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703985802.757081</v>
      </c>
      <c r="L757" s="39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843189739.697315</v>
      </c>
      <c r="M757" s="39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1028332400.54611</v>
      </c>
      <c r="N757" s="39" t="n">
        <f aca="false">IF(COUNT('Business Case'!B11:G11)=0,"",H757+NPV(G757,I757:M757))</f>
        <v>-198287609.080511</v>
      </c>
      <c r="P757" s="40" t="n">
        <f aca="true">RAND()</f>
        <v>0.995254992489169</v>
      </c>
      <c r="Q757" s="40" t="n">
        <f aca="true">RAND()</f>
        <v>0.401944972548278</v>
      </c>
      <c r="R757" s="40" t="n">
        <f aca="true">RAND()</f>
        <v>0.429515826548073</v>
      </c>
      <c r="S757" s="40" t="n">
        <f aca="true">RAND()</f>
        <v>0.257233911944453</v>
      </c>
      <c r="T757" s="40" t="n">
        <f aca="true">RAND()</f>
        <v>0.775503156120186</v>
      </c>
      <c r="U757" s="40" t="n">
        <f aca="true">RAND()</f>
        <v>0.336094137348693</v>
      </c>
    </row>
    <row r="758" customFormat="false" ht="15" hidden="false" customHeight="false" outlineLevel="0" collapsed="false">
      <c r="A758" s="36" t="n">
        <v>678</v>
      </c>
      <c r="B758" s="37" t="n">
        <f aca="false">1+IF($G$6=$E$6,$F$6,IF(P758&lt;($F$6-$E$6)/($G$6-$E$6),$E$6+SQRT(P758*($G$6-$E$6)*($F$6-$E$6)),$G$6-SQRT((1-P758)*($G$6-$E$6)*($G$6-$F$6))))</f>
        <v>1.01050618984955</v>
      </c>
      <c r="C758" s="37" t="n">
        <f aca="false">1+IF($G$7=$E$7,$F$7,IF(Q758&lt;($F$7-$E$7)/($G$7-$E$7),$E$7+SQRT(Q758*($G$7-$E$7)*($F$7-$E$7)),$G$7-SQRT((1-Q758)*($G$7-$E$7)*($G$7-$F$7))))</f>
        <v>1.02147114641034</v>
      </c>
      <c r="D758" s="37" t="n">
        <f aca="false">1+IF($G$8=$E$8,$F$8,IF(R758&lt;($F$8-$E$8)/($G$8-$E$8),$E$8+SQRT(R758*($G$8-$E$8)*($F$8-$E$8)),$G$8-SQRT((1-R758)*($G$8-$E$8)*($G$8-$F$8))))</f>
        <v>1.04975778850006</v>
      </c>
      <c r="E758" s="37" t="n">
        <f aca="false">1+IF($G$9=$E$9,$F$9,IF(S758&lt;($F$9-$E$9)/($G$9-$E$9),$E$9+SQRT(S758*($G$9-$E$9)*($F$9-$E$9)),$G$9-SQRT((1-S758)*($G$9-$E$9)*($G$9-$F$9))))</f>
        <v>0.995938739000262</v>
      </c>
      <c r="F758" s="37" t="n">
        <f aca="false">1+IF($G$10=$E$10,$F$10,IF(T758&lt;($F$10-$E$10)/($G$10-$E$10),$E$10+SQRT(T758*($G$10-$E$10)*($F$10-$E$10)),$G$10-SQRT((1-T758)*($G$10-$E$10)*($G$10-$F$10))))</f>
        <v>1.07746026433248</v>
      </c>
      <c r="G758" s="38" t="n">
        <f aca="false">IF($G$11=$E$11,$F$11,IF(U758&lt;($F$11-$E$11)/($G$11-$E$11),$E$11+SQRT(U758*($G$11-$E$11)*($F$11-$E$11)),$G$11-SQRT((1-U758)*($G$11-$E$11)*($G$11-$F$11))))</f>
        <v>0.0874738591616155</v>
      </c>
      <c r="H758" s="39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-2154920528.66497</v>
      </c>
      <c r="I758" s="39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-6359836.86975554</v>
      </c>
      <c r="J758" s="39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290158240.555401</v>
      </c>
      <c r="K758" s="39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640549331.197182</v>
      </c>
      <c r="L758" s="39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775061623.122786</v>
      </c>
      <c r="M758" s="39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971262753.434151</v>
      </c>
      <c r="N758" s="39" t="n">
        <f aca="false">IF(COUNT('Business Case'!B11:G11)=0,"",H758+NPV(G758,I758:M758))</f>
        <v>-224522917.400104</v>
      </c>
      <c r="P758" s="40" t="n">
        <f aca="true">RAND()</f>
        <v>0.792031861306679</v>
      </c>
      <c r="Q758" s="40" t="n">
        <f aca="true">RAND()</f>
        <v>0.755264204369297</v>
      </c>
      <c r="R758" s="40" t="n">
        <f aca="true">RAND()</f>
        <v>0.831714678906385</v>
      </c>
      <c r="S758" s="40" t="n">
        <f aca="true">RAND()</f>
        <v>0.368169665638416</v>
      </c>
      <c r="T758" s="40" t="n">
        <f aca="true">RAND()</f>
        <v>0.603067194877113</v>
      </c>
      <c r="U758" s="40" t="n">
        <f aca="true">RAND()</f>
        <v>0.0558585707676633</v>
      </c>
    </row>
    <row r="759" customFormat="false" ht="15" hidden="false" customHeight="false" outlineLevel="0" collapsed="false">
      <c r="A759" s="36" t="n">
        <v>679</v>
      </c>
      <c r="B759" s="37" t="n">
        <f aca="false">1+IF($G$6=$E$6,$F$6,IF(P759&lt;($F$6-$E$6)/($G$6-$E$6),$E$6+SQRT(P759*($G$6-$E$6)*($F$6-$E$6)),$G$6-SQRT((1-P759)*($G$6-$E$6)*($G$6-$F$6))))</f>
        <v>0.917967777412333</v>
      </c>
      <c r="C759" s="37" t="n">
        <f aca="false">1+IF($G$7=$E$7,$F$7,IF(Q759&lt;($F$7-$E$7)/($G$7-$E$7),$E$7+SQRT(Q759*($G$7-$E$7)*($F$7-$E$7)),$G$7-SQRT((1-Q759)*($G$7-$E$7)*($G$7-$F$7))))</f>
        <v>0.957313834189404</v>
      </c>
      <c r="D759" s="37" t="n">
        <f aca="false">1+IF($G$8=$E$8,$F$8,IF(R759&lt;($F$8-$E$8)/($G$8-$E$8),$E$8+SQRT(R759*($G$8-$E$8)*($F$8-$E$8)),$G$8-SQRT((1-R759)*($G$8-$E$8)*($G$8-$F$8))))</f>
        <v>0.975058029757858</v>
      </c>
      <c r="E759" s="37" t="n">
        <f aca="false">1+IF($G$9=$E$9,$F$9,IF(S759&lt;($F$9-$E$9)/($G$9-$E$9),$E$9+SQRT(S759*($G$9-$E$9)*($F$9-$E$9)),$G$9-SQRT((1-S759)*($G$9-$E$9)*($G$9-$F$9))))</f>
        <v>1.04808791861502</v>
      </c>
      <c r="F759" s="37" t="n">
        <f aca="false">1+IF($G$10=$E$10,$F$10,IF(T759&lt;($F$10-$E$10)/($G$10-$E$10),$E$10+SQRT(T759*($G$10-$E$10)*($F$10-$E$10)),$G$10-SQRT((1-T759)*($G$10-$E$10)*($G$10-$F$10))))</f>
        <v>1.03601852080654</v>
      </c>
      <c r="G759" s="38" t="n">
        <f aca="false">IF($G$11=$E$11,$F$11,IF(U759&lt;($F$11-$E$11)/($G$11-$E$11),$E$11+SQRT(U759*($G$11-$E$11)*($F$11-$E$11)),$G$11-SQRT((1-U759)*($G$11-$E$11)*($G$11-$F$11))))</f>
        <v>0.117060443498109</v>
      </c>
      <c r="H759" s="39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-2072037041.61307</v>
      </c>
      <c r="I759" s="39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-56254155.6865753</v>
      </c>
      <c r="J759" s="39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185687766.552294</v>
      </c>
      <c r="K759" s="39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479430614.831491</v>
      </c>
      <c r="L759" s="39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590448671.456271</v>
      </c>
      <c r="M759" s="39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757487792.121299</v>
      </c>
      <c r="N759" s="39" t="n">
        <f aca="false">IF(COUNT('Business Case'!B11:G11)=0,"",H759+NPV(G759,I759:M759))</f>
        <v>-814926193.924778</v>
      </c>
      <c r="P759" s="40" t="n">
        <f aca="true">RAND()</f>
        <v>0.0215227350092763</v>
      </c>
      <c r="Q759" s="40" t="n">
        <f aca="true">RAND()</f>
        <v>0.490447476038906</v>
      </c>
      <c r="R759" s="40" t="n">
        <f aca="true">RAND()</f>
        <v>0.0837206473794238</v>
      </c>
      <c r="S759" s="40" t="n">
        <f aca="true">RAND()</f>
        <v>0.723038071140836</v>
      </c>
      <c r="T759" s="40" t="n">
        <f aca="true">RAND()</f>
        <v>0.389492354162367</v>
      </c>
      <c r="U759" s="40" t="n">
        <f aca="true">RAND()</f>
        <v>0.888378585022917</v>
      </c>
    </row>
    <row r="760" customFormat="false" ht="15" hidden="false" customHeight="false" outlineLevel="0" collapsed="false">
      <c r="A760" s="36" t="n">
        <v>680</v>
      </c>
      <c r="B760" s="37" t="n">
        <f aca="false">1+IF($G$6=$E$6,$F$6,IF(P760&lt;($F$6-$E$6)/($G$6-$E$6),$E$6+SQRT(P760*($G$6-$E$6)*($F$6-$E$6)),$G$6-SQRT((1-P760)*($G$6-$E$6)*($G$6-$F$6))))</f>
        <v>0.96783684764342</v>
      </c>
      <c r="C760" s="37" t="n">
        <f aca="false">1+IF($G$7=$E$7,$F$7,IF(Q760&lt;($F$7-$E$7)/($G$7-$E$7),$E$7+SQRT(Q760*($G$7-$E$7)*($F$7-$E$7)),$G$7-SQRT((1-Q760)*($G$7-$E$7)*($G$7-$F$7))))</f>
        <v>0.997129709346031</v>
      </c>
      <c r="D760" s="37" t="n">
        <f aca="false">1+IF($G$8=$E$8,$F$8,IF(R760&lt;($F$8-$E$8)/($G$8-$E$8),$E$8+SQRT(R760*($G$8-$E$8)*($F$8-$E$8)),$G$8-SQRT((1-R760)*($G$8-$E$8)*($G$8-$F$8))))</f>
        <v>1.03295302965252</v>
      </c>
      <c r="E760" s="37" t="n">
        <f aca="false">1+IF($G$9=$E$9,$F$9,IF(S760&lt;($F$9-$E$9)/($G$9-$E$9),$E$9+SQRT(S760*($G$9-$E$9)*($F$9-$E$9)),$G$9-SQRT((1-S760)*($G$9-$E$9)*($G$9-$F$9))))</f>
        <v>1.06940698815675</v>
      </c>
      <c r="F760" s="37" t="n">
        <f aca="false">1+IF($G$10=$E$10,$F$10,IF(T760&lt;($F$10-$E$10)/($G$10-$E$10),$E$10+SQRT(T760*($G$10-$E$10)*($F$10-$E$10)),$G$10-SQRT((1-T760)*($G$10-$E$10)*($G$10-$F$10))))</f>
        <v>1.11597191080785</v>
      </c>
      <c r="G760" s="38" t="n">
        <f aca="false">IF($G$11=$E$11,$F$11,IF(U760&lt;($F$11-$E$11)/($G$11-$E$11),$E$11+SQRT(U760*($G$11-$E$11)*($F$11-$E$11)),$G$11-SQRT((1-U760)*($G$11-$E$11)*($G$11-$F$11))))</f>
        <v>0.0866207506248836</v>
      </c>
      <c r="H760" s="39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-2231943821.6157</v>
      </c>
      <c r="I760" s="39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-50514350.2421543</v>
      </c>
      <c r="J760" s="39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212666816.370856</v>
      </c>
      <c r="K760" s="39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531646578.524258</v>
      </c>
      <c r="L760" s="39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652726068.767588</v>
      </c>
      <c r="M760" s="39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836164459.648716</v>
      </c>
      <c r="N760" s="39" t="n">
        <f aca="false">IF(COUNT('Business Case'!B11:G11)=0,"",H760+NPV(G760,I760:M760))</f>
        <v>-663809092.495945</v>
      </c>
      <c r="P760" s="40" t="n">
        <f aca="true">RAND()</f>
        <v>0.306789193213102</v>
      </c>
      <c r="Q760" s="40" t="n">
        <f aca="true">RAND()</f>
        <v>0.653970845748569</v>
      </c>
      <c r="R760" s="40" t="n">
        <f aca="true">RAND()</f>
        <v>0.700313584481575</v>
      </c>
      <c r="S760" s="40" t="n">
        <f aca="true">RAND()</f>
        <v>0.826793771787551</v>
      </c>
      <c r="T760" s="40" t="n">
        <f aca="true">RAND()</f>
        <v>0.760486284100021</v>
      </c>
      <c r="U760" s="40" t="n">
        <f aca="true">RAND()</f>
        <v>0.0438343388368963</v>
      </c>
    </row>
    <row r="761" customFormat="false" ht="15" hidden="false" customHeight="false" outlineLevel="0" collapsed="false">
      <c r="A761" s="36" t="n">
        <v>681</v>
      </c>
      <c r="B761" s="37" t="n">
        <f aca="false">1+IF($G$6=$E$6,$F$6,IF(P761&lt;($F$6-$E$6)/($G$6-$E$6),$E$6+SQRT(P761*($G$6-$E$6)*($F$6-$E$6)),$G$6-SQRT((1-P761)*($G$6-$E$6)*($G$6-$F$6))))</f>
        <v>0.981248183662876</v>
      </c>
      <c r="C761" s="37" t="n">
        <f aca="false">1+IF($G$7=$E$7,$F$7,IF(Q761&lt;($F$7-$E$7)/($G$7-$E$7),$E$7+SQRT(Q761*($G$7-$E$7)*($F$7-$E$7)),$G$7-SQRT((1-Q761)*($G$7-$E$7)*($G$7-$F$7))))</f>
        <v>0.898994932555639</v>
      </c>
      <c r="D761" s="37" t="n">
        <f aca="false">1+IF($G$8=$E$8,$F$8,IF(R761&lt;($F$8-$E$8)/($G$8-$E$8),$E$8+SQRT(R761*($G$8-$E$8)*($F$8-$E$8)),$G$8-SQRT((1-R761)*($G$8-$E$8)*($G$8-$F$8))))</f>
        <v>1.03187170090626</v>
      </c>
      <c r="E761" s="37" t="n">
        <f aca="false">1+IF($G$9=$E$9,$F$9,IF(S761&lt;($F$9-$E$9)/($G$9-$E$9),$E$9+SQRT(S761*($G$9-$E$9)*($F$9-$E$9)),$G$9-SQRT((1-S761)*($G$9-$E$9)*($G$9-$F$9))))</f>
        <v>1.00623268542346</v>
      </c>
      <c r="F761" s="37" t="n">
        <f aca="false">1+IF($G$10=$E$10,$F$10,IF(T761&lt;($F$10-$E$10)/($G$10-$E$10),$E$10+SQRT(T761*($G$10-$E$10)*($F$10-$E$10)),$G$10-SQRT((1-T761)*($G$10-$E$10)*($G$10-$F$10))))</f>
        <v>0.994001103905821</v>
      </c>
      <c r="G761" s="38" t="n">
        <f aca="false">IF($G$11=$E$11,$F$11,IF(U761&lt;($F$11-$E$11)/($G$11-$E$11),$E$11+SQRT(U761*($G$11-$E$11)*($F$11-$E$11)),$G$11-SQRT((1-U761)*($G$11-$E$11)*($G$11-$F$11))))</f>
        <v>0.11979124640187</v>
      </c>
      <c r="H761" s="39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-1988002207.81164</v>
      </c>
      <c r="I761" s="39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-40563824.9098771</v>
      </c>
      <c r="J761" s="39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207088738.018895</v>
      </c>
      <c r="K761" s="39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504441356.142958</v>
      </c>
      <c r="L761" s="39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617478870.173117</v>
      </c>
      <c r="M761" s="39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785155498.636239</v>
      </c>
      <c r="N761" s="39" t="n">
        <f aca="false">IF(COUNT('Business Case'!B11:G11)=0,"",H761+NPV(G761,I761:M761))</f>
        <v>-661177560.486897</v>
      </c>
      <c r="P761" s="40" t="n">
        <f aca="true">RAND()</f>
        <v>0.440084489901099</v>
      </c>
      <c r="Q761" s="40" t="n">
        <f aca="true">RAND()</f>
        <v>0.293325801354248</v>
      </c>
      <c r="R761" s="40" t="n">
        <f aca="true">RAND()</f>
        <v>0.690568990839568</v>
      </c>
      <c r="S761" s="40" t="n">
        <f aca="true">RAND()</f>
        <v>0.448825580251986</v>
      </c>
      <c r="T761" s="40" t="n">
        <f aca="true">RAND()</f>
        <v>0.129073142995388</v>
      </c>
      <c r="U761" s="40" t="n">
        <f aca="true">RAND()</f>
        <v>0.930520899981782</v>
      </c>
    </row>
    <row r="762" customFormat="false" ht="15" hidden="false" customHeight="false" outlineLevel="0" collapsed="false">
      <c r="A762" s="36" t="n">
        <v>682</v>
      </c>
      <c r="B762" s="37" t="n">
        <f aca="false">1+IF($G$6=$E$6,$F$6,IF(P762&lt;($F$6-$E$6)/($G$6-$E$6),$E$6+SQRT(P762*($G$6-$E$6)*($F$6-$E$6)),$G$6-SQRT((1-P762)*($G$6-$E$6)*($G$6-$F$6))))</f>
        <v>0.965571077938746</v>
      </c>
      <c r="C762" s="37" t="n">
        <f aca="false">1+IF($G$7=$E$7,$F$7,IF(Q762&lt;($F$7-$E$7)/($G$7-$E$7),$E$7+SQRT(Q762*($G$7-$E$7)*($F$7-$E$7)),$G$7-SQRT((1-Q762)*($G$7-$E$7)*($G$7-$F$7))))</f>
        <v>0.932969011738794</v>
      </c>
      <c r="D762" s="37" t="n">
        <f aca="false">1+IF($G$8=$E$8,$F$8,IF(R762&lt;($F$8-$E$8)/($G$8-$E$8),$E$8+SQRT(R762*($G$8-$E$8)*($F$8-$E$8)),$G$8-SQRT((1-R762)*($G$8-$E$8)*($G$8-$F$8))))</f>
        <v>0.996268520817093</v>
      </c>
      <c r="E762" s="37" t="n">
        <f aca="false">1+IF($G$9=$E$9,$F$9,IF(S762&lt;($F$9-$E$9)/($G$9-$E$9),$E$9+SQRT(S762*($G$9-$E$9)*($F$9-$E$9)),$G$9-SQRT((1-S762)*($G$9-$E$9)*($G$9-$F$9))))</f>
        <v>0.945317424805108</v>
      </c>
      <c r="F762" s="37" t="n">
        <f aca="false">1+IF($G$10=$E$10,$F$10,IF(T762&lt;($F$10-$E$10)/($G$10-$E$10),$E$10+SQRT(T762*($G$10-$E$10)*($F$10-$E$10)),$G$10-SQRT((1-T762)*($G$10-$E$10)*($G$10-$F$10))))</f>
        <v>1.13307256272372</v>
      </c>
      <c r="G762" s="38" t="n">
        <f aca="false">IF($G$11=$E$11,$F$11,IF(U762&lt;($F$11-$E$11)/($G$11-$E$11),$E$11+SQRT(U762*($G$11-$E$11)*($F$11-$E$11)),$G$11-SQRT((1-U762)*($G$11-$E$11)*($G$11-$F$11))))</f>
        <v>0.0980213880724367</v>
      </c>
      <c r="H762" s="39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-2266145125.44744</v>
      </c>
      <c r="I762" s="39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-32395383.9247285</v>
      </c>
      <c r="J762" s="39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229640581.073206</v>
      </c>
      <c r="K762" s="39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548330174.207326</v>
      </c>
      <c r="L762" s="39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666808799.101973</v>
      </c>
      <c r="M762" s="39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838041966.859655</v>
      </c>
      <c r="N762" s="39" t="n">
        <f aca="false">IF(COUNT('Business Case'!B11:G11)=0,"",H762+NPV(G762,I762:M762))</f>
        <v>-707184213.017891</v>
      </c>
      <c r="P762" s="40" t="n">
        <f aca="true">RAND()</f>
        <v>0.286637750803272</v>
      </c>
      <c r="Q762" s="40" t="n">
        <f aca="true">RAND()</f>
        <v>0.402033780967041</v>
      </c>
      <c r="R762" s="40" t="n">
        <f aca="true">RAND()</f>
        <v>0.285436802480232</v>
      </c>
      <c r="S762" s="40" t="n">
        <f aca="true">RAND()</f>
        <v>0.082146759638663</v>
      </c>
      <c r="T762" s="40" t="n">
        <f aca="true">RAND()</f>
        <v>0.817706325493359</v>
      </c>
      <c r="U762" s="40" t="n">
        <f aca="true">RAND()</f>
        <v>0.324770428057364</v>
      </c>
    </row>
    <row r="763" customFormat="false" ht="15" hidden="false" customHeight="false" outlineLevel="0" collapsed="false">
      <c r="A763" s="36" t="n">
        <v>683</v>
      </c>
      <c r="B763" s="37" t="n">
        <f aca="false">1+IF($G$6=$E$6,$F$6,IF(P763&lt;($F$6-$E$6)/($G$6-$E$6),$E$6+SQRT(P763*($G$6-$E$6)*($F$6-$E$6)),$G$6-SQRT((1-P763)*($G$6-$E$6)*($G$6-$F$6))))</f>
        <v>0.977575615398285</v>
      </c>
      <c r="C763" s="37" t="n">
        <f aca="false">1+IF($G$7=$E$7,$F$7,IF(Q763&lt;($F$7-$E$7)/($G$7-$E$7),$E$7+SQRT(Q763*($G$7-$E$7)*($F$7-$E$7)),$G$7-SQRT((1-Q763)*($G$7-$E$7)*($G$7-$F$7))))</f>
        <v>1.09332603551148</v>
      </c>
      <c r="D763" s="37" t="n">
        <f aca="false">1+IF($G$8=$E$8,$F$8,IF(R763&lt;($F$8-$E$8)/($G$8-$E$8),$E$8+SQRT(R763*($G$8-$E$8)*($F$8-$E$8)),$G$8-SQRT((1-R763)*($G$8-$E$8)*($G$8-$F$8))))</f>
        <v>0.995166592100157</v>
      </c>
      <c r="E763" s="37" t="n">
        <f aca="false">1+IF($G$9=$E$9,$F$9,IF(S763&lt;($F$9-$E$9)/($G$9-$E$9),$E$9+SQRT(S763*($G$9-$E$9)*($F$9-$E$9)),$G$9-SQRT((1-S763)*($G$9-$E$9)*($G$9-$F$9))))</f>
        <v>1.01112168684391</v>
      </c>
      <c r="F763" s="37" t="n">
        <f aca="false">1+IF($G$10=$E$10,$F$10,IF(T763&lt;($F$10-$E$10)/($G$10-$E$10),$E$10+SQRT(T763*($G$10-$E$10)*($F$10-$E$10)),$G$10-SQRT((1-T763)*($G$10-$E$10)*($G$10-$F$10))))</f>
        <v>1.0950393712173</v>
      </c>
      <c r="G763" s="38" t="n">
        <f aca="false">IF($G$11=$E$11,$F$11,IF(U763&lt;($F$11-$E$11)/($G$11-$E$11),$E$11+SQRT(U763*($G$11-$E$11)*($F$11-$E$11)),$G$11-SQRT((1-U763)*($G$11-$E$11)*($G$11-$F$11))))</f>
        <v>0.0977734787138218</v>
      </c>
      <c r="H763" s="39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-2190078742.4346</v>
      </c>
      <c r="I763" s="39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9748699.86702485</v>
      </c>
      <c r="J763" s="39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328189892.649262</v>
      </c>
      <c r="K763" s="39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701383053.992363</v>
      </c>
      <c r="L763" s="39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844468152.869294</v>
      </c>
      <c r="M763" s="39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1047627343.25831</v>
      </c>
      <c r="N763" s="39" t="n">
        <f aca="false">IF(COUNT('Business Case'!B11:G11)=0,"",H763+NPV(G763,I763:M763))</f>
        <v>-140098900.626345</v>
      </c>
      <c r="P763" s="40" t="n">
        <f aca="true">RAND()</f>
        <v>0.40119840696151</v>
      </c>
      <c r="Q763" s="40" t="n">
        <f aca="true">RAND()</f>
        <v>0.952415729617093</v>
      </c>
      <c r="R763" s="40" t="n">
        <f aca="true">RAND()</f>
        <v>0.272002805592263</v>
      </c>
      <c r="S763" s="40" t="n">
        <f aca="true">RAND()</f>
        <v>0.485675043597855</v>
      </c>
      <c r="T763" s="40" t="n">
        <f aca="true">RAND()</f>
        <v>0.679829380363593</v>
      </c>
      <c r="U763" s="40" t="n">
        <f aca="true">RAND()</f>
        <v>0.315896545590676</v>
      </c>
    </row>
    <row r="764" customFormat="false" ht="15" hidden="false" customHeight="false" outlineLevel="0" collapsed="false">
      <c r="A764" s="36" t="n">
        <v>684</v>
      </c>
      <c r="B764" s="37" t="n">
        <f aca="false">1+IF($G$6=$E$6,$F$6,IF(P764&lt;($F$6-$E$6)/($G$6-$E$6),$E$6+SQRT(P764*($G$6-$E$6)*($F$6-$E$6)),$G$6-SQRT((1-P764)*($G$6-$E$6)*($G$6-$F$6))))</f>
        <v>0.934322521558469</v>
      </c>
      <c r="C764" s="37" t="n">
        <f aca="false">1+IF($G$7=$E$7,$F$7,IF(Q764&lt;($F$7-$E$7)/($G$7-$E$7),$E$7+SQRT(Q764*($G$7-$E$7)*($F$7-$E$7)),$G$7-SQRT((1-Q764)*($G$7-$E$7)*($G$7-$F$7))))</f>
        <v>1.07569303407084</v>
      </c>
      <c r="D764" s="37" t="n">
        <f aca="false">1+IF($G$8=$E$8,$F$8,IF(R764&lt;($F$8-$E$8)/($G$8-$E$8),$E$8+SQRT(R764*($G$8-$E$8)*($F$8-$E$8)),$G$8-SQRT((1-R764)*($G$8-$E$8)*($G$8-$F$8))))</f>
        <v>0.997528969178453</v>
      </c>
      <c r="E764" s="37" t="n">
        <f aca="false">1+IF($G$9=$E$9,$F$9,IF(S764&lt;($F$9-$E$9)/($G$9-$E$9),$E$9+SQRT(S764*($G$9-$E$9)*($F$9-$E$9)),$G$9-SQRT((1-S764)*($G$9-$E$9)*($G$9-$F$9))))</f>
        <v>1.00228458500903</v>
      </c>
      <c r="F764" s="37" t="n">
        <f aca="false">1+IF($G$10=$E$10,$F$10,IF(T764&lt;($F$10-$E$10)/($G$10-$E$10),$E$10+SQRT(T764*($G$10-$E$10)*($F$10-$E$10)),$G$10-SQRT((1-T764)*($G$10-$E$10)*($G$10-$F$10))))</f>
        <v>1.06369227863093</v>
      </c>
      <c r="G764" s="38" t="n">
        <f aca="false">IF($G$11=$E$11,$F$11,IF(U764&lt;($F$11-$E$11)/($G$11-$E$11),$E$11+SQRT(U764*($G$11-$E$11)*($F$11-$E$11)),$G$11-SQRT((1-U764)*($G$11-$E$11)*($G$11-$F$11))))</f>
        <v>0.0841620838915548</v>
      </c>
      <c r="H764" s="39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-2127384557.26187</v>
      </c>
      <c r="I764" s="39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-27100061.1808851</v>
      </c>
      <c r="J764" s="39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246795466.269953</v>
      </c>
      <c r="K764" s="39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573875607.652339</v>
      </c>
      <c r="L764" s="39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699908445.322849</v>
      </c>
      <c r="M764" s="39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890947252.18412</v>
      </c>
      <c r="N764" s="39" t="n">
        <f aca="false">IF(COUNT('Business Case'!B11:G11)=0,"",H764+NPV(G764,I764:M764))</f>
        <v>-390667893.009761</v>
      </c>
      <c r="P764" s="40" t="n">
        <f aca="true">RAND()</f>
        <v>0.0785356990754387</v>
      </c>
      <c r="Q764" s="40" t="n">
        <f aca="true">RAND()</f>
        <v>0.918199626880032</v>
      </c>
      <c r="R764" s="40" t="n">
        <f aca="true">RAND()</f>
        <v>0.301200388155508</v>
      </c>
      <c r="S764" s="40" t="n">
        <f aca="true">RAND()</f>
        <v>0.418137497974526</v>
      </c>
      <c r="T764" s="40" t="n">
        <f aca="true">RAND()</f>
        <v>0.537192439443555</v>
      </c>
      <c r="U764" s="40" t="n">
        <f aca="true">RAND()</f>
        <v>0.0173229423203402</v>
      </c>
    </row>
    <row r="765" customFormat="false" ht="15" hidden="false" customHeight="false" outlineLevel="0" collapsed="false">
      <c r="A765" s="36" t="n">
        <v>685</v>
      </c>
      <c r="B765" s="37" t="n">
        <f aca="false">1+IF($G$6=$E$6,$F$6,IF(P765&lt;($F$6-$E$6)/($G$6-$E$6),$E$6+SQRT(P765*($G$6-$E$6)*($F$6-$E$6)),$G$6-SQRT((1-P765)*($G$6-$E$6)*($G$6-$F$6))))</f>
        <v>0.938220284102558</v>
      </c>
      <c r="C765" s="37" t="n">
        <f aca="false">1+IF($G$7=$E$7,$F$7,IF(Q765&lt;($F$7-$E$7)/($G$7-$E$7),$E$7+SQRT(Q765*($G$7-$E$7)*($F$7-$E$7)),$G$7-SQRT((1-Q765)*($G$7-$E$7)*($G$7-$F$7))))</f>
        <v>1.00663277179864</v>
      </c>
      <c r="D765" s="37" t="n">
        <f aca="false">1+IF($G$8=$E$8,$F$8,IF(R765&lt;($F$8-$E$8)/($G$8-$E$8),$E$8+SQRT(R765*($G$8-$E$8)*($F$8-$E$8)),$G$8-SQRT((1-R765)*($G$8-$E$8)*($G$8-$F$8))))</f>
        <v>1.04442638507907</v>
      </c>
      <c r="E765" s="37" t="n">
        <f aca="false">1+IF($G$9=$E$9,$F$9,IF(S765&lt;($F$9-$E$9)/($G$9-$E$9),$E$9+SQRT(S765*($G$9-$E$9)*($F$9-$E$9)),$G$9-SQRT((1-S765)*($G$9-$E$9)*($G$9-$F$9))))</f>
        <v>0.985326738293162</v>
      </c>
      <c r="F765" s="37" t="n">
        <f aca="false">1+IF($G$10=$E$10,$F$10,IF(T765&lt;($F$10-$E$10)/($G$10-$E$10),$E$10+SQRT(T765*($G$10-$E$10)*($F$10-$E$10)),$G$10-SQRT((1-T765)*($G$10-$E$10)*($G$10-$F$10))))</f>
        <v>0.968782582166322</v>
      </c>
      <c r="G765" s="38" t="n">
        <f aca="false">IF($G$11=$E$11,$F$11,IF(U765&lt;($F$11-$E$11)/($G$11-$E$11),$E$11+SQRT(U765*($G$11-$E$11)*($F$11-$E$11)),$G$11-SQRT((1-U765)*($G$11-$E$11)*($G$11-$F$11))))</f>
        <v>0.104322994469096</v>
      </c>
      <c r="H765" s="39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-1937565164.33264</v>
      </c>
      <c r="I765" s="39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-50593660.9475753</v>
      </c>
      <c r="J765" s="39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184764338.408627</v>
      </c>
      <c r="K765" s="39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468561466.873146</v>
      </c>
      <c r="L765" s="39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579654093.259786</v>
      </c>
      <c r="M765" s="39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759173872.899932</v>
      </c>
      <c r="N765" s="39" t="n">
        <f aca="false">IF(COUNT('Business Case'!B11:G11)=0,"",H765+NPV(G765,I765:M765))</f>
        <v>-631974447.304028</v>
      </c>
      <c r="P765" s="40" t="n">
        <f aca="true">RAND()</f>
        <v>0.0973860077920182</v>
      </c>
      <c r="Q765" s="40" t="n">
        <f aca="true">RAND()</f>
        <v>0.695493894486816</v>
      </c>
      <c r="R765" s="40" t="n">
        <f aca="true">RAND()</f>
        <v>0.794104888308018</v>
      </c>
      <c r="S765" s="40" t="n">
        <f aca="true">RAND()</f>
        <v>0.291226090709989</v>
      </c>
      <c r="T765" s="40" t="n">
        <f aca="true">RAND()</f>
        <v>0.0235190261889767</v>
      </c>
      <c r="U765" s="40" t="n">
        <f aca="true">RAND()</f>
        <v>0.560460924643957</v>
      </c>
    </row>
    <row r="766" customFormat="false" ht="15" hidden="false" customHeight="false" outlineLevel="0" collapsed="false">
      <c r="A766" s="36" t="n">
        <v>686</v>
      </c>
      <c r="B766" s="37" t="n">
        <f aca="false">1+IF($G$6=$E$6,$F$6,IF(P766&lt;($F$6-$E$6)/($G$6-$E$6),$E$6+SQRT(P766*($G$6-$E$6)*($F$6-$E$6)),$G$6-SQRT((1-P766)*($G$6-$E$6)*($G$6-$F$6))))</f>
        <v>0.995934734637238</v>
      </c>
      <c r="C766" s="37" t="n">
        <f aca="false">1+IF($G$7=$E$7,$F$7,IF(Q766&lt;($F$7-$E$7)/($G$7-$E$7),$E$7+SQRT(Q766*($G$7-$E$7)*($F$7-$E$7)),$G$7-SQRT((1-Q766)*($G$7-$E$7)*($G$7-$F$7))))</f>
        <v>0.90557757767197</v>
      </c>
      <c r="D766" s="37" t="n">
        <f aca="false">1+IF($G$8=$E$8,$F$8,IF(R766&lt;($F$8-$E$8)/($G$8-$E$8),$E$8+SQRT(R766*($G$8-$E$8)*($F$8-$E$8)),$G$8-SQRT((1-R766)*($G$8-$E$8)*($G$8-$F$8))))</f>
        <v>0.991882111112244</v>
      </c>
      <c r="E766" s="37" t="n">
        <f aca="false">1+IF($G$9=$E$9,$F$9,IF(S766&lt;($F$9-$E$9)/($G$9-$E$9),$E$9+SQRT(S766*($G$9-$E$9)*($F$9-$E$9)),$G$9-SQRT((1-S766)*($G$9-$E$9)*($G$9-$F$9))))</f>
        <v>1.0081466445623</v>
      </c>
      <c r="F766" s="37" t="n">
        <f aca="false">1+IF($G$10=$E$10,$F$10,IF(T766&lt;($F$10-$E$10)/($G$10-$E$10),$E$10+SQRT(T766*($G$10-$E$10)*($F$10-$E$10)),$G$10-SQRT((1-T766)*($G$10-$E$10)*($G$10-$F$10))))</f>
        <v>1.16115796138741</v>
      </c>
      <c r="G766" s="38" t="n">
        <f aca="false">IF($G$11=$E$11,$F$11,IF(U766&lt;($F$11-$E$11)/($G$11-$E$11),$E$11+SQRT(U766*($G$11-$E$11)*($F$11-$E$11)),$G$11-SQRT((1-U766)*($G$11-$E$11)*($G$11-$F$11))))</f>
        <v>0.104701401062502</v>
      </c>
      <c r="H766" s="39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-2322315922.77481</v>
      </c>
      <c r="I766" s="39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-27330606.9613384</v>
      </c>
      <c r="J766" s="39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251567332.241133</v>
      </c>
      <c r="K766" s="39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588523169.512975</v>
      </c>
      <c r="L766" s="39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712658680.692673</v>
      </c>
      <c r="M766" s="39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884091103.643145</v>
      </c>
      <c r="N766" s="39" t="n">
        <f aca="false">IF(COUNT('Business Case'!B11:G11)=0,"",H766+NPV(G766,I766:M766))</f>
        <v>-688479414.14533</v>
      </c>
      <c r="P766" s="40" t="n">
        <f aca="true">RAND()</f>
        <v>0.613564887327821</v>
      </c>
      <c r="Q766" s="40" t="n">
        <f aca="true">RAND()</f>
        <v>0.313052892159073</v>
      </c>
      <c r="R766" s="40" t="n">
        <f aca="true">RAND()</f>
        <v>0.233881497495782</v>
      </c>
      <c r="S766" s="40" t="n">
        <f aca="true">RAND()</f>
        <v>0.463403348028385</v>
      </c>
      <c r="T766" s="40" t="n">
        <f aca="true">RAND()</f>
        <v>0.89476122900211</v>
      </c>
      <c r="U766" s="40" t="n">
        <f aca="true">RAND()</f>
        <v>0.573320594533091</v>
      </c>
    </row>
    <row r="767" customFormat="false" ht="15" hidden="false" customHeight="false" outlineLevel="0" collapsed="false">
      <c r="A767" s="36" t="n">
        <v>687</v>
      </c>
      <c r="B767" s="37" t="n">
        <f aca="false">1+IF($G$6=$E$6,$F$6,IF(P767&lt;($F$6-$E$6)/($G$6-$E$6),$E$6+SQRT(P767*($G$6-$E$6)*($F$6-$E$6)),$G$6-SQRT((1-P767)*($G$6-$E$6)*($G$6-$F$6))))</f>
        <v>0.949569656433566</v>
      </c>
      <c r="C767" s="37" t="n">
        <f aca="false">1+IF($G$7=$E$7,$F$7,IF(Q767&lt;($F$7-$E$7)/($G$7-$E$7),$E$7+SQRT(Q767*($G$7-$E$7)*($F$7-$E$7)),$G$7-SQRT((1-Q767)*($G$7-$E$7)*($G$7-$F$7))))</f>
        <v>1.07805478001549</v>
      </c>
      <c r="D767" s="37" t="n">
        <f aca="false">1+IF($G$8=$E$8,$F$8,IF(R767&lt;($F$8-$E$8)/($G$8-$E$8),$E$8+SQRT(R767*($G$8-$E$8)*($F$8-$E$8)),$G$8-SQRT((1-R767)*($G$8-$E$8)*($G$8-$F$8))))</f>
        <v>1.00164589861094</v>
      </c>
      <c r="E767" s="37" t="n">
        <f aca="false">1+IF($G$9=$E$9,$F$9,IF(S767&lt;($F$9-$E$9)/($G$9-$E$9),$E$9+SQRT(S767*($G$9-$E$9)*($F$9-$E$9)),$G$9-SQRT((1-S767)*($G$9-$E$9)*($G$9-$F$9))))</f>
        <v>1.09506284539016</v>
      </c>
      <c r="F767" s="37" t="n">
        <f aca="false">1+IF($G$10=$E$10,$F$10,IF(T767&lt;($F$10-$E$10)/($G$10-$E$10),$E$10+SQRT(T767*($G$10-$E$10)*($F$10-$E$10)),$G$10-SQRT((1-T767)*($G$10-$E$10)*($G$10-$F$10))))</f>
        <v>1.09520597697129</v>
      </c>
      <c r="G767" s="38" t="n">
        <f aca="false">IF($G$11=$E$11,$F$11,IF(U767&lt;($F$11-$E$11)/($G$11-$E$11),$E$11+SQRT(U767*($G$11-$E$11)*($F$11-$E$11)),$G$11-SQRT((1-U767)*($G$11-$E$11)*($G$11-$F$11))))</f>
        <v>0.102903709134612</v>
      </c>
      <c r="H767" s="39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-2190411953.94258</v>
      </c>
      <c r="I767" s="39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-32618398.438444</v>
      </c>
      <c r="J767" s="39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253069728.905535</v>
      </c>
      <c r="K767" s="39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593518155.098077</v>
      </c>
      <c r="L767" s="39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724126191.859946</v>
      </c>
      <c r="M767" s="39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918708827.252928</v>
      </c>
      <c r="N767" s="39" t="n">
        <f aca="false">IF(COUNT('Business Case'!B11:G11)=0,"",H767+NPV(G767,I767:M767))</f>
        <v>-517156143.917785</v>
      </c>
      <c r="P767" s="40" t="n">
        <f aca="true">RAND()</f>
        <v>0.163810055929454</v>
      </c>
      <c r="Q767" s="40" t="n">
        <f aca="true">RAND()</f>
        <v>0.923316819576009</v>
      </c>
      <c r="R767" s="40" t="n">
        <f aca="true">RAND()</f>
        <v>0.355098049330006</v>
      </c>
      <c r="S767" s="40" t="n">
        <f aca="true">RAND()</f>
        <v>0.919517574489982</v>
      </c>
      <c r="T767" s="40" t="n">
        <f aca="true">RAND()</f>
        <v>0.680517472461155</v>
      </c>
      <c r="U767" s="40" t="n">
        <f aca="true">RAND()</f>
        <v>0.510527347558853</v>
      </c>
    </row>
    <row r="768" customFormat="false" ht="15" hidden="false" customHeight="false" outlineLevel="0" collapsed="false">
      <c r="A768" s="36" t="n">
        <v>688</v>
      </c>
      <c r="B768" s="37" t="n">
        <f aca="false">1+IF($G$6=$E$6,$F$6,IF(P768&lt;($F$6-$E$6)/($G$6-$E$6),$E$6+SQRT(P768*($G$6-$E$6)*($F$6-$E$6)),$G$6-SQRT((1-P768)*($G$6-$E$6)*($G$6-$F$6))))</f>
        <v>0.983738095028024</v>
      </c>
      <c r="C768" s="37" t="n">
        <f aca="false">1+IF($G$7=$E$7,$F$7,IF(Q768&lt;($F$7-$E$7)/($G$7-$E$7),$E$7+SQRT(Q768*($G$7-$E$7)*($F$7-$E$7)),$G$7-SQRT((1-Q768)*($G$7-$E$7)*($G$7-$F$7))))</f>
        <v>1.08857800729325</v>
      </c>
      <c r="D768" s="37" t="n">
        <f aca="false">1+IF($G$8=$E$8,$F$8,IF(R768&lt;($F$8-$E$8)/($G$8-$E$8),$E$8+SQRT(R768*($G$8-$E$8)*($F$8-$E$8)),$G$8-SQRT((1-R768)*($G$8-$E$8)*($G$8-$F$8))))</f>
        <v>0.998534009285331</v>
      </c>
      <c r="E768" s="37" t="n">
        <f aca="false">1+IF($G$9=$E$9,$F$9,IF(S768&lt;($F$9-$E$9)/($G$9-$E$9),$E$9+SQRT(S768*($G$9-$E$9)*($F$9-$E$9)),$G$9-SQRT((1-S768)*($G$9-$E$9)*($G$9-$F$9))))</f>
        <v>1.01262711371377</v>
      </c>
      <c r="F768" s="37" t="n">
        <f aca="false">1+IF($G$10=$E$10,$F$10,IF(T768&lt;($F$10-$E$10)/($G$10-$E$10),$E$10+SQRT(T768*($G$10-$E$10)*($F$10-$E$10)),$G$10-SQRT((1-T768)*($G$10-$E$10)*($G$10-$F$10))))</f>
        <v>1.10757459091791</v>
      </c>
      <c r="G768" s="38" t="n">
        <f aca="false">IF($G$11=$E$11,$F$11,IF(U768&lt;($F$11-$E$11)/($G$11-$E$11),$E$11+SQRT(U768*($G$11-$E$11)*($F$11-$E$11)),$G$11-SQRT((1-U768)*($G$11-$E$11)*($G$11-$F$11))))</f>
        <v>0.103889486094561</v>
      </c>
      <c r="H768" s="39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-2215149181.83582</v>
      </c>
      <c r="I768" s="39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10409127.6235637</v>
      </c>
      <c r="J768" s="39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331085483.873759</v>
      </c>
      <c r="K768" s="39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707140569.66985</v>
      </c>
      <c r="L768" s="39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851042151.063076</v>
      </c>
      <c r="M768" s="39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1054594195.60046</v>
      </c>
      <c r="N768" s="39" t="n">
        <f aca="false">IF(COUNT('Business Case'!B11:G11)=0,"",H768+NPV(G768,I768:M768))</f>
        <v>-191841966.603787</v>
      </c>
      <c r="P768" s="40" t="n">
        <f aca="true">RAND()</f>
        <v>0.467471237261493</v>
      </c>
      <c r="Q768" s="40" t="n">
        <f aca="true">RAND()</f>
        <v>0.944108723139739</v>
      </c>
      <c r="R768" s="40" t="n">
        <f aca="true">RAND()</f>
        <v>0.314073340974475</v>
      </c>
      <c r="S768" s="40" t="n">
        <f aca="true">RAND()</f>
        <v>0.496765069690446</v>
      </c>
      <c r="T768" s="40" t="n">
        <f aca="true">RAND()</f>
        <v>0.729533371303993</v>
      </c>
      <c r="U768" s="40" t="n">
        <f aca="true">RAND()</f>
        <v>0.54549404239592</v>
      </c>
    </row>
    <row r="769" customFormat="false" ht="15" hidden="false" customHeight="false" outlineLevel="0" collapsed="false">
      <c r="A769" s="36" t="n">
        <v>689</v>
      </c>
      <c r="B769" s="37" t="n">
        <f aca="false">1+IF($G$6=$E$6,$F$6,IF(P769&lt;($F$6-$E$6)/($G$6-$E$6),$E$6+SQRT(P769*($G$6-$E$6)*($F$6-$E$6)),$G$6-SQRT((1-P769)*($G$6-$E$6)*($G$6-$F$6))))</f>
        <v>0.93059051917002</v>
      </c>
      <c r="C769" s="37" t="n">
        <f aca="false">1+IF($G$7=$E$7,$F$7,IF(Q769&lt;($F$7-$E$7)/($G$7-$E$7),$E$7+SQRT(Q769*($G$7-$E$7)*($F$7-$E$7)),$G$7-SQRT((1-Q769)*($G$7-$E$7)*($G$7-$F$7))))</f>
        <v>1.06908290559568</v>
      </c>
      <c r="D769" s="37" t="n">
        <f aca="false">1+IF($G$8=$E$8,$F$8,IF(R769&lt;($F$8-$E$8)/($G$8-$E$8),$E$8+SQRT(R769*($G$8-$E$8)*($F$8-$E$8)),$G$8-SQRT((1-R769)*($G$8-$E$8)*($G$8-$F$8))))</f>
        <v>1.01373166543599</v>
      </c>
      <c r="E769" s="37" t="n">
        <f aca="false">1+IF($G$9=$E$9,$F$9,IF(S769&lt;($F$9-$E$9)/($G$9-$E$9),$E$9+SQRT(S769*($G$9-$E$9)*($F$9-$E$9)),$G$9-SQRT((1-S769)*($G$9-$E$9)*($G$9-$F$9))))</f>
        <v>1.07834216274158</v>
      </c>
      <c r="F769" s="37" t="n">
        <f aca="false">1+IF($G$10=$E$10,$F$10,IF(T769&lt;($F$10-$E$10)/($G$10-$E$10),$E$10+SQRT(T769*($G$10-$E$10)*($F$10-$E$10)),$G$10-SQRT((1-T769)*($G$10-$E$10)*($G$10-$F$10))))</f>
        <v>1.04353753916988</v>
      </c>
      <c r="G769" s="38" t="n">
        <f aca="false">IF($G$11=$E$11,$F$11,IF(U769&lt;($F$11-$E$11)/($G$11-$E$11),$E$11+SQRT(U769*($G$11-$E$11)*($F$11-$E$11)),$G$11-SQRT((1-U769)*($G$11-$E$11)*($G$11-$F$11))))</f>
        <v>0.125461882204527</v>
      </c>
      <c r="H769" s="39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-2087075078.33977</v>
      </c>
      <c r="I769" s="39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-49191506.942436</v>
      </c>
      <c r="J769" s="39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210885492.667397</v>
      </c>
      <c r="K769" s="39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523139369.235724</v>
      </c>
      <c r="L769" s="39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644214700.501286</v>
      </c>
      <c r="M769" s="39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833321189.843853</v>
      </c>
      <c r="N769" s="39" t="n">
        <f aca="false">IF(COUNT('Business Case'!B11:G11)=0,"",H769+NPV(G769,I769:M769))</f>
        <v>-734322549.340375</v>
      </c>
      <c r="P769" s="40" t="n">
        <f aca="true">RAND()</f>
        <v>0.0623853242060925</v>
      </c>
      <c r="Q769" s="40" t="n">
        <f aca="true">RAND()</f>
        <v>0.9029988716024</v>
      </c>
      <c r="R769" s="40" t="n">
        <f aca="true">RAND()</f>
        <v>0.503851630103428</v>
      </c>
      <c r="S769" s="40" t="n">
        <f aca="true">RAND()</f>
        <v>0.863070782918561</v>
      </c>
      <c r="T769" s="40" t="n">
        <f aca="true">RAND()</f>
        <v>0.431643363572971</v>
      </c>
      <c r="U769" s="40" t="n">
        <f aca="true">RAND()</f>
        <v>0.986270324582942</v>
      </c>
    </row>
    <row r="770" customFormat="false" ht="15" hidden="false" customHeight="false" outlineLevel="0" collapsed="false">
      <c r="A770" s="36" t="n">
        <v>690</v>
      </c>
      <c r="B770" s="37" t="n">
        <f aca="false">1+IF($G$6=$E$6,$F$6,IF(P770&lt;($F$6-$E$6)/($G$6-$E$6),$E$6+SQRT(P770*($G$6-$E$6)*($F$6-$E$6)),$G$6-SQRT((1-P770)*($G$6-$E$6)*($G$6-$F$6))))</f>
        <v>0.978286373049988</v>
      </c>
      <c r="C770" s="37" t="n">
        <f aca="false">1+IF($G$7=$E$7,$F$7,IF(Q770&lt;($F$7-$E$7)/($G$7-$E$7),$E$7+SQRT(Q770*($G$7-$E$7)*($F$7-$E$7)),$G$7-SQRT((1-Q770)*($G$7-$E$7)*($G$7-$F$7))))</f>
        <v>1.00730453778483</v>
      </c>
      <c r="D770" s="37" t="n">
        <f aca="false">1+IF($G$8=$E$8,$F$8,IF(R770&lt;($F$8-$E$8)/($G$8-$E$8),$E$8+SQRT(R770*($G$8-$E$8)*($F$8-$E$8)),$G$8-SQRT((1-R770)*($G$8-$E$8)*($G$8-$F$8))))</f>
        <v>1.02060941868943</v>
      </c>
      <c r="E770" s="37" t="n">
        <f aca="false">1+IF($G$9=$E$9,$F$9,IF(S770&lt;($F$9-$E$9)/($G$9-$E$9),$E$9+SQRT(S770*($G$9-$E$9)*($F$9-$E$9)),$G$9-SQRT((1-S770)*($G$9-$E$9)*($G$9-$F$9))))</f>
        <v>0.976212259709954</v>
      </c>
      <c r="F770" s="37" t="n">
        <f aca="false">1+IF($G$10=$E$10,$F$10,IF(T770&lt;($F$10-$E$10)/($G$10-$E$10),$E$10+SQRT(T770*($G$10-$E$10)*($F$10-$E$10)),$G$10-SQRT((1-T770)*($G$10-$E$10)*($G$10-$F$10))))</f>
        <v>1.02268351951378</v>
      </c>
      <c r="G770" s="38" t="n">
        <f aca="false">IF($G$11=$E$11,$F$11,IF(U770&lt;($F$11-$E$11)/($G$11-$E$11),$E$11+SQRT(U770*($G$11-$E$11)*($F$11-$E$11)),$G$11-SQRT((1-U770)*($G$11-$E$11)*($G$11-$F$11))))</f>
        <v>0.0974809343810314</v>
      </c>
      <c r="H770" s="39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-2045367039.02755</v>
      </c>
      <c r="I770" s="39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-11317316.9211149</v>
      </c>
      <c r="J770" s="39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269535912.018419</v>
      </c>
      <c r="K770" s="39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601523316.933642</v>
      </c>
      <c r="L770" s="39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729197600.299164</v>
      </c>
      <c r="M770" s="39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916508572.420389</v>
      </c>
      <c r="N770" s="39" t="n">
        <f aca="false">IF(COUNT('Business Case'!B11:G11)=0,"",H770+NPV(G770,I770:M770))</f>
        <v>-298564753.329598</v>
      </c>
      <c r="P770" s="40" t="n">
        <f aca="true">RAND()</f>
        <v>0.408583747021456</v>
      </c>
      <c r="Q770" s="40" t="n">
        <f aca="true">RAND()</f>
        <v>0.698340815751077</v>
      </c>
      <c r="R770" s="40" t="n">
        <f aca="true">RAND()</f>
        <v>0.579809039944632</v>
      </c>
      <c r="S770" s="40" t="n">
        <f aca="true">RAND()</f>
        <v>0.232332341203897</v>
      </c>
      <c r="T770" s="40" t="n">
        <f aca="true">RAND()</f>
        <v>0.311029569324741</v>
      </c>
      <c r="U770" s="40" t="n">
        <f aca="true">RAND()</f>
        <v>0.305583066833925</v>
      </c>
    </row>
    <row r="771" customFormat="false" ht="15" hidden="false" customHeight="false" outlineLevel="0" collapsed="false">
      <c r="A771" s="36" t="n">
        <v>691</v>
      </c>
      <c r="B771" s="37" t="n">
        <f aca="false">1+IF($G$6=$E$6,$F$6,IF(P771&lt;($F$6-$E$6)/($G$6-$E$6),$E$6+SQRT(P771*($G$6-$E$6)*($F$6-$E$6)),$G$6-SQRT((1-P771)*($G$6-$E$6)*($G$6-$F$6))))</f>
        <v>0.957635444868384</v>
      </c>
      <c r="C771" s="37" t="n">
        <f aca="false">1+IF($G$7=$E$7,$F$7,IF(Q771&lt;($F$7-$E$7)/($G$7-$E$7),$E$7+SQRT(Q771*($G$7-$E$7)*($F$7-$E$7)),$G$7-SQRT((1-Q771)*($G$7-$E$7)*($G$7-$F$7))))</f>
        <v>1.01622733184541</v>
      </c>
      <c r="D771" s="37" t="n">
        <f aca="false">1+IF($G$8=$E$8,$F$8,IF(R771&lt;($F$8-$E$8)/($G$8-$E$8),$E$8+SQRT(R771*($G$8-$E$8)*($F$8-$E$8)),$G$8-SQRT((1-R771)*($G$8-$E$8)*($G$8-$F$8))))</f>
        <v>1.00954984085736</v>
      </c>
      <c r="E771" s="37" t="n">
        <f aca="false">1+IF($G$9=$E$9,$F$9,IF(S771&lt;($F$9-$E$9)/($G$9-$E$9),$E$9+SQRT(S771*($G$9-$E$9)*($F$9-$E$9)),$G$9-SQRT((1-S771)*($G$9-$E$9)*($G$9-$F$9))))</f>
        <v>1.00558188425383</v>
      </c>
      <c r="F771" s="37" t="n">
        <f aca="false">1+IF($G$10=$E$10,$F$10,IF(T771&lt;($F$10-$E$10)/($G$10-$E$10),$E$10+SQRT(T771*($G$10-$E$10)*($F$10-$E$10)),$G$10-SQRT((1-T771)*($G$10-$E$10)*($G$10-$F$10))))</f>
        <v>1.10443823477772</v>
      </c>
      <c r="G771" s="38" t="n">
        <f aca="false">IF($G$11=$E$11,$F$11,IF(U771&lt;($F$11-$E$11)/($G$11-$E$11),$E$11+SQRT(U771*($G$11-$E$11)*($F$11-$E$11)),$G$11-SQRT((1-U771)*($G$11-$E$11)*($G$11-$F$11))))</f>
        <v>0.0994581035781224</v>
      </c>
      <c r="H771" s="39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-2208876469.55545</v>
      </c>
      <c r="I771" s="39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-31981507.3524249</v>
      </c>
      <c r="J771" s="39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239923960.940732</v>
      </c>
      <c r="K771" s="39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567051340.972776</v>
      </c>
      <c r="L771" s="39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691319435.888438</v>
      </c>
      <c r="M771" s="39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876300599.387125</v>
      </c>
      <c r="N771" s="39" t="n">
        <f aca="false">IF(COUNT('Business Case'!B11:G11)=0,"",H771+NPV(G771,I771:M771))</f>
        <v>-594252779.46065</v>
      </c>
      <c r="P771" s="40" t="n">
        <f aca="true">RAND()</f>
        <v>0.221456300345102</v>
      </c>
      <c r="Q771" s="40" t="n">
        <f aca="true">RAND()</f>
        <v>0.73488701118224</v>
      </c>
      <c r="R771" s="40" t="n">
        <f aca="true">RAND()</f>
        <v>0.454584580738015</v>
      </c>
      <c r="S771" s="40" t="n">
        <f aca="true">RAND()</f>
        <v>0.443824209182054</v>
      </c>
      <c r="T771" s="40" t="n">
        <f aca="true">RAND()</f>
        <v>0.717490300071663</v>
      </c>
      <c r="U771" s="40" t="n">
        <f aca="true">RAND()</f>
        <v>0.378617794856941</v>
      </c>
    </row>
    <row r="772" customFormat="false" ht="15" hidden="false" customHeight="false" outlineLevel="0" collapsed="false">
      <c r="A772" s="36" t="n">
        <v>692</v>
      </c>
      <c r="B772" s="37" t="n">
        <f aca="false">1+IF($G$6=$E$6,$F$6,IF(P772&lt;($F$6-$E$6)/($G$6-$E$6),$E$6+SQRT(P772*($G$6-$E$6)*($F$6-$E$6)),$G$6-SQRT((1-P772)*($G$6-$E$6)*($G$6-$F$6))))</f>
        <v>0.939556530549719</v>
      </c>
      <c r="C772" s="37" t="n">
        <f aca="false">1+IF($G$7=$E$7,$F$7,IF(Q772&lt;($F$7-$E$7)/($G$7-$E$7),$E$7+SQRT(Q772*($G$7-$E$7)*($F$7-$E$7)),$G$7-SQRT((1-Q772)*($G$7-$E$7)*($G$7-$F$7))))</f>
        <v>1.05668934995782</v>
      </c>
      <c r="D772" s="37" t="n">
        <f aca="false">1+IF($G$8=$E$8,$F$8,IF(R772&lt;($F$8-$E$8)/($G$8-$E$8),$E$8+SQRT(R772*($G$8-$E$8)*($F$8-$E$8)),$G$8-SQRT((1-R772)*($G$8-$E$8)*($G$8-$F$8))))</f>
        <v>1.01874360168843</v>
      </c>
      <c r="E772" s="37" t="n">
        <f aca="false">1+IF($G$9=$E$9,$F$9,IF(S772&lt;($F$9-$E$9)/($G$9-$E$9),$E$9+SQRT(S772*($G$9-$E$9)*($F$9-$E$9)),$G$9-SQRT((1-S772)*($G$9-$E$9)*($G$9-$F$9))))</f>
        <v>0.945760679231247</v>
      </c>
      <c r="F772" s="37" t="n">
        <f aca="false">1+IF($G$10=$E$10,$F$10,IF(T772&lt;($F$10-$E$10)/($G$10-$E$10),$E$10+SQRT(T772*($G$10-$E$10)*($F$10-$E$10)),$G$10-SQRT((1-T772)*($G$10-$E$10)*($G$10-$F$10))))</f>
        <v>1.11318333667918</v>
      </c>
      <c r="G772" s="38" t="n">
        <f aca="false">IF($G$11=$E$11,$F$11,IF(U772&lt;($F$11-$E$11)/($G$11-$E$11),$E$11+SQRT(U772*($G$11-$E$11)*($F$11-$E$11)),$G$11-SQRT((1-U772)*($G$11-$E$11)*($G$11-$F$11))))</f>
        <v>0.0887199089810628</v>
      </c>
      <c r="H772" s="39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-2226366673.35836</v>
      </c>
      <c r="I772" s="39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-35162287.7210683</v>
      </c>
      <c r="J772" s="39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226948683.446533</v>
      </c>
      <c r="K772" s="39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544718821.448093</v>
      </c>
      <c r="L772" s="39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666400982.926673</v>
      </c>
      <c r="M772" s="39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855116090.584923</v>
      </c>
      <c r="N772" s="39" t="n">
        <f aca="false">IF(COUNT('Business Case'!B11:G11)=0,"",H772+NPV(G772,I772:M772))</f>
        <v>-611726412.150253</v>
      </c>
      <c r="P772" s="40" t="n">
        <f aca="true">RAND()</f>
        <v>0.104314607275392</v>
      </c>
      <c r="Q772" s="40" t="n">
        <f aca="true">RAND()</f>
        <v>0.871009223536375</v>
      </c>
      <c r="R772" s="40" t="n">
        <f aca="true">RAND()</f>
        <v>0.559826515562054</v>
      </c>
      <c r="S772" s="40" t="n">
        <f aca="true">RAND()</f>
        <v>0.0837615905482015</v>
      </c>
      <c r="T772" s="40" t="n">
        <f aca="true">RAND()</f>
        <v>0.75041600850343</v>
      </c>
      <c r="U772" s="40" t="n">
        <f aca="true">RAND()</f>
        <v>0.0760368126380205</v>
      </c>
    </row>
    <row r="773" customFormat="false" ht="15" hidden="false" customHeight="false" outlineLevel="0" collapsed="false">
      <c r="A773" s="36" t="n">
        <v>693</v>
      </c>
      <c r="B773" s="37" t="n">
        <f aca="false">1+IF($G$6=$E$6,$F$6,IF(P773&lt;($F$6-$E$6)/($G$6-$E$6),$E$6+SQRT(P773*($G$6-$E$6)*($F$6-$E$6)),$G$6-SQRT((1-P773)*($G$6-$E$6)*($G$6-$F$6))))</f>
        <v>0.975845279465671</v>
      </c>
      <c r="C773" s="37" t="n">
        <f aca="false">1+IF($G$7=$E$7,$F$7,IF(Q773&lt;($F$7-$E$7)/($G$7-$E$7),$E$7+SQRT(Q773*($G$7-$E$7)*($F$7-$E$7)),$G$7-SQRT((1-Q773)*($G$7-$E$7)*($G$7-$F$7))))</f>
        <v>0.956308825983742</v>
      </c>
      <c r="D773" s="37" t="n">
        <f aca="false">1+IF($G$8=$E$8,$F$8,IF(R773&lt;($F$8-$E$8)/($G$8-$E$8),$E$8+SQRT(R773*($G$8-$E$8)*($F$8-$E$8)),$G$8-SQRT((1-R773)*($G$8-$E$8)*($G$8-$F$8))))</f>
        <v>0.96655225067403</v>
      </c>
      <c r="E773" s="37" t="n">
        <f aca="false">1+IF($G$9=$E$9,$F$9,IF(S773&lt;($F$9-$E$9)/($G$9-$E$9),$E$9+SQRT(S773*($G$9-$E$9)*($F$9-$E$9)),$G$9-SQRT((1-S773)*($G$9-$E$9)*($G$9-$F$9))))</f>
        <v>1.00652599157835</v>
      </c>
      <c r="F773" s="37" t="n">
        <f aca="false">1+IF($G$10=$E$10,$F$10,IF(T773&lt;($F$10-$E$10)/($G$10-$E$10),$E$10+SQRT(T773*($G$10-$E$10)*($F$10-$E$10)),$G$10-SQRT((1-T773)*($G$10-$E$10)*($G$10-$F$10))))</f>
        <v>1.15367106839041</v>
      </c>
      <c r="G773" s="38" t="n">
        <f aca="false">IF($G$11=$E$11,$F$11,IF(U773&lt;($F$11-$E$11)/($G$11-$E$11),$E$11+SQRT(U773*($G$11-$E$11)*($F$11-$E$11)),$G$11-SQRT((1-U773)*($G$11-$E$11)*($G$11-$F$11))))</f>
        <v>0.112193762252403</v>
      </c>
      <c r="H773" s="39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-2307342136.78082</v>
      </c>
      <c r="I773" s="39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-15686095.0055489</v>
      </c>
      <c r="J773" s="39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275500490.902291</v>
      </c>
      <c r="K773" s="39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624370630.229651</v>
      </c>
      <c r="L773" s="39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753684544.246869</v>
      </c>
      <c r="M773" s="39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931068997.177196</v>
      </c>
      <c r="N773" s="39" t="n">
        <f aca="false">IF(COUNT('Business Case'!B11:G11)=0,"",H773+NPV(G773,I773:M773))</f>
        <v>-605200441.246314</v>
      </c>
      <c r="P773" s="40" t="n">
        <f aca="true">RAND()</f>
        <v>0.383500427815044</v>
      </c>
      <c r="Q773" s="40" t="n">
        <f aca="true">RAND()</f>
        <v>0.486623809460473</v>
      </c>
      <c r="R773" s="40" t="n">
        <f aca="true">RAND()</f>
        <v>0.0365302669834557</v>
      </c>
      <c r="S773" s="40" t="n">
        <f aca="true">RAND()</f>
        <v>0.451072237531289</v>
      </c>
      <c r="T773" s="40" t="n">
        <f aca="true">RAND()</f>
        <v>0.87627649246606</v>
      </c>
      <c r="U773" s="40" t="n">
        <f aca="true">RAND()</f>
        <v>0.788625264850712</v>
      </c>
    </row>
    <row r="774" customFormat="false" ht="15" hidden="false" customHeight="false" outlineLevel="0" collapsed="false">
      <c r="A774" s="36" t="n">
        <v>694</v>
      </c>
      <c r="B774" s="37" t="n">
        <f aca="false">1+IF($G$6=$E$6,$F$6,IF(P774&lt;($F$6-$E$6)/($G$6-$E$6),$E$6+SQRT(P774*($G$6-$E$6)*($F$6-$E$6)),$G$6-SQRT((1-P774)*($G$6-$E$6)*($G$6-$F$6))))</f>
        <v>0.910524804163219</v>
      </c>
      <c r="C774" s="37" t="n">
        <f aca="false">1+IF($G$7=$E$7,$F$7,IF(Q774&lt;($F$7-$E$7)/($G$7-$E$7),$E$7+SQRT(Q774*($G$7-$E$7)*($F$7-$E$7)),$G$7-SQRT((1-Q774)*($G$7-$E$7)*($G$7-$F$7))))</f>
        <v>1.00231530643793</v>
      </c>
      <c r="D774" s="37" t="n">
        <f aca="false">1+IF($G$8=$E$8,$F$8,IF(R774&lt;($F$8-$E$8)/($G$8-$E$8),$E$8+SQRT(R774*($G$8-$E$8)*($F$8-$E$8)),$G$8-SQRT((1-R774)*($G$8-$E$8)*($G$8-$F$8))))</f>
        <v>1.00207644136827</v>
      </c>
      <c r="E774" s="37" t="n">
        <f aca="false">1+IF($G$9=$E$9,$F$9,IF(S774&lt;($F$9-$E$9)/($G$9-$E$9),$E$9+SQRT(S774*($G$9-$E$9)*($F$9-$E$9)),$G$9-SQRT((1-S774)*($G$9-$E$9)*($G$9-$F$9))))</f>
        <v>0.996363879758696</v>
      </c>
      <c r="F774" s="37" t="n">
        <f aca="false">1+IF($G$10=$E$10,$F$10,IF(T774&lt;($F$10-$E$10)/($G$10-$E$10),$E$10+SQRT(T774*($G$10-$E$10)*($F$10-$E$10)),$G$10-SQRT((1-T774)*($G$10-$E$10)*($G$10-$F$10))))</f>
        <v>1.22478100446574</v>
      </c>
      <c r="G774" s="38" t="n">
        <f aca="false">IF($G$11=$E$11,$F$11,IF(U774&lt;($F$11-$E$11)/($G$11-$E$11),$E$11+SQRT(U774*($G$11-$E$11)*($F$11-$E$11)),$G$11-SQRT((1-U774)*($G$11-$E$11)*($G$11-$F$11))))</f>
        <v>0.114111066681303</v>
      </c>
      <c r="H774" s="39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-2449562008.93148</v>
      </c>
      <c r="I774" s="39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-78130526.7509392</v>
      </c>
      <c r="J774" s="39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155210882.676104</v>
      </c>
      <c r="K774" s="39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449791342.326434</v>
      </c>
      <c r="L774" s="39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559112406.821929</v>
      </c>
      <c r="M774" s="39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732585677.597574</v>
      </c>
      <c r="N774" s="39" t="n">
        <f aca="false">IF(COUNT('Business Case'!B11:G11)=0,"",H774+NPV(G774,I774:M774))</f>
        <v>-1279699014.49802</v>
      </c>
      <c r="P774" s="40" t="n">
        <f aca="true">RAND()</f>
        <v>0.00738476684494064</v>
      </c>
      <c r="Q774" s="40" t="n">
        <f aca="true">RAND()</f>
        <v>0.676877500555228</v>
      </c>
      <c r="R774" s="40" t="n">
        <f aca="true">RAND()</f>
        <v>0.360731777659931</v>
      </c>
      <c r="S774" s="40" t="n">
        <f aca="true">RAND()</f>
        <v>0.37143989288594</v>
      </c>
      <c r="T774" s="40" t="n">
        <f aca="true">RAND()</f>
        <v>0.991520030189907</v>
      </c>
      <c r="U774" s="40" t="n">
        <f aca="true">RAND()</f>
        <v>0.831694531995996</v>
      </c>
    </row>
    <row r="775" customFormat="false" ht="15" hidden="false" customHeight="false" outlineLevel="0" collapsed="false">
      <c r="A775" s="36" t="n">
        <v>695</v>
      </c>
      <c r="B775" s="37" t="n">
        <f aca="false">1+IF($G$6=$E$6,$F$6,IF(P775&lt;($F$6-$E$6)/($G$6-$E$6),$E$6+SQRT(P775*($G$6-$E$6)*($F$6-$E$6)),$G$6-SQRT((1-P775)*($G$6-$E$6)*($G$6-$F$6))))</f>
        <v>0.993978464437733</v>
      </c>
      <c r="C775" s="37" t="n">
        <f aca="false">1+IF($G$7=$E$7,$F$7,IF(Q775&lt;($F$7-$E$7)/($G$7-$E$7),$E$7+SQRT(Q775*($G$7-$E$7)*($F$7-$E$7)),$G$7-SQRT((1-Q775)*($G$7-$E$7)*($G$7-$F$7))))</f>
        <v>0.98114106043302</v>
      </c>
      <c r="D775" s="37" t="n">
        <f aca="false">1+IF($G$8=$E$8,$F$8,IF(R775&lt;($F$8-$E$8)/($G$8-$E$8),$E$8+SQRT(R775*($G$8-$E$8)*($F$8-$E$8)),$G$8-SQRT((1-R775)*($G$8-$E$8)*($G$8-$F$8))))</f>
        <v>1.08177306686292</v>
      </c>
      <c r="E775" s="37" t="n">
        <f aca="false">1+IF($G$9=$E$9,$F$9,IF(S775&lt;($F$9-$E$9)/($G$9-$E$9),$E$9+SQRT(S775*($G$9-$E$9)*($F$9-$E$9)),$G$9-SQRT((1-S775)*($G$9-$E$9)*($G$9-$F$9))))</f>
        <v>0.998613308971232</v>
      </c>
      <c r="F775" s="37" t="n">
        <f aca="false">1+IF($G$10=$E$10,$F$10,IF(T775&lt;($F$10-$E$10)/($G$10-$E$10),$E$10+SQRT(T775*($G$10-$E$10)*($F$10-$E$10)),$G$10-SQRT((1-T775)*($G$10-$E$10)*($G$10-$F$10))))</f>
        <v>0.989529501888381</v>
      </c>
      <c r="G775" s="38" t="n">
        <f aca="false">IF($G$11=$E$11,$F$11,IF(U775&lt;($F$11-$E$11)/($G$11-$E$11),$E$11+SQRT(U775*($G$11-$E$11)*($F$11-$E$11)),$G$11-SQRT((1-U775)*($G$11-$E$11)*($G$11-$F$11))))</f>
        <v>0.11146473465287</v>
      </c>
      <c r="H775" s="39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-1979059003.77676</v>
      </c>
      <c r="I775" s="39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-36063273.6400112</v>
      </c>
      <c r="J775" s="39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219385298.552575</v>
      </c>
      <c r="K775" s="39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524310345.839579</v>
      </c>
      <c r="L775" s="39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643163925.309142</v>
      </c>
      <c r="M775" s="39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828536230.038657</v>
      </c>
      <c r="N775" s="39" t="n">
        <f aca="false">IF(COUNT('Business Case'!B11:G11)=0,"",H775+NPV(G775,I775:M775))</f>
        <v>-542151408.037016</v>
      </c>
      <c r="P775" s="40" t="n">
        <f aca="true">RAND()</f>
        <v>0.588796785204946</v>
      </c>
      <c r="Q775" s="40" t="n">
        <f aca="true">RAND()</f>
        <v>0.585483673047428</v>
      </c>
      <c r="R775" s="40" t="n">
        <f aca="true">RAND()</f>
        <v>0.977851927227753</v>
      </c>
      <c r="S775" s="40" t="n">
        <f aca="true">RAND()</f>
        <v>0.388983388250224</v>
      </c>
      <c r="T775" s="40" t="n">
        <f aca="true">RAND()</f>
        <v>0.104172101302899</v>
      </c>
      <c r="U775" s="40" t="n">
        <f aca="true">RAND()</f>
        <v>0.770962625674329</v>
      </c>
    </row>
    <row r="776" customFormat="false" ht="15" hidden="false" customHeight="false" outlineLevel="0" collapsed="false">
      <c r="A776" s="36" t="n">
        <v>696</v>
      </c>
      <c r="B776" s="37" t="n">
        <f aca="false">1+IF($G$6=$E$6,$F$6,IF(P776&lt;($F$6-$E$6)/($G$6-$E$6),$E$6+SQRT(P776*($G$6-$E$6)*($F$6-$E$6)),$G$6-SQRT((1-P776)*($G$6-$E$6)*($G$6-$F$6))))</f>
        <v>0.945904900061502</v>
      </c>
      <c r="C776" s="37" t="n">
        <f aca="false">1+IF($G$7=$E$7,$F$7,IF(Q776&lt;($F$7-$E$7)/($G$7-$E$7),$E$7+SQRT(Q776*($G$7-$E$7)*($F$7-$E$7)),$G$7-SQRT((1-Q776)*($G$7-$E$7)*($G$7-$F$7))))</f>
        <v>0.888148135403553</v>
      </c>
      <c r="D776" s="37" t="n">
        <f aca="false">1+IF($G$8=$E$8,$F$8,IF(R776&lt;($F$8-$E$8)/($G$8-$E$8),$E$8+SQRT(R776*($G$8-$E$8)*($F$8-$E$8)),$G$8-SQRT((1-R776)*($G$8-$E$8)*($G$8-$F$8))))</f>
        <v>0.981293491513308</v>
      </c>
      <c r="E776" s="37" t="n">
        <f aca="false">1+IF($G$9=$E$9,$F$9,IF(S776&lt;($F$9-$E$9)/($G$9-$E$9),$E$9+SQRT(S776*($G$9-$E$9)*($F$9-$E$9)),$G$9-SQRT((1-S776)*($G$9-$E$9)*($G$9-$F$9))))</f>
        <v>1.05430542733523</v>
      </c>
      <c r="F776" s="37" t="n">
        <f aca="false">1+IF($G$10=$E$10,$F$10,IF(T776&lt;($F$10-$E$10)/($G$10-$E$10),$E$10+SQRT(T776*($G$10-$E$10)*($F$10-$E$10)),$G$10-SQRT((1-T776)*($G$10-$E$10)*($G$10-$F$10))))</f>
        <v>1.10239035294747</v>
      </c>
      <c r="G776" s="38" t="n">
        <f aca="false">IF($G$11=$E$11,$F$11,IF(U776&lt;($F$11-$E$11)/($G$11-$E$11),$E$11+SQRT(U776*($G$11-$E$11)*($F$11-$E$11)),$G$11-SQRT((1-U776)*($G$11-$E$11)*($G$11-$F$11))))</f>
        <v>0.102305897826234</v>
      </c>
      <c r="H776" s="39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-2204780705.89495</v>
      </c>
      <c r="I776" s="39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-61762523.1042581</v>
      </c>
      <c r="J776" s="39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180187195.275032</v>
      </c>
      <c r="K776" s="39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477256431.301695</v>
      </c>
      <c r="L776" s="39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586940320.375946</v>
      </c>
      <c r="M776" s="39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746627226.588961</v>
      </c>
      <c r="N776" s="39" t="n">
        <f aca="false">IF(COUNT('Business Case'!B11:G11)=0,"",H776+NPV(G776,I776:M776))</f>
        <v>-899881821.550974</v>
      </c>
      <c r="P776" s="40" t="n">
        <f aca="true">RAND()</f>
        <v>0.140483989977096</v>
      </c>
      <c r="Q776" s="40" t="n">
        <f aca="true">RAND()</f>
        <v>0.262220154487658</v>
      </c>
      <c r="R776" s="40" t="n">
        <f aca="true">RAND()</f>
        <v>0.13057101481246</v>
      </c>
      <c r="S776" s="40" t="n">
        <f aca="true">RAND()</f>
        <v>0.755801300333506</v>
      </c>
      <c r="T776" s="40" t="n">
        <f aca="true">RAND()</f>
        <v>0.709485227960377</v>
      </c>
      <c r="U776" s="40" t="n">
        <f aca="true">RAND()</f>
        <v>0.488691136525995</v>
      </c>
    </row>
    <row r="777" customFormat="false" ht="15" hidden="false" customHeight="false" outlineLevel="0" collapsed="false">
      <c r="A777" s="36" t="n">
        <v>697</v>
      </c>
      <c r="B777" s="37" t="n">
        <f aca="false">1+IF($G$6=$E$6,$F$6,IF(P777&lt;($F$6-$E$6)/($G$6-$E$6),$E$6+SQRT(P777*($G$6-$E$6)*($F$6-$E$6)),$G$6-SQRT((1-P777)*($G$6-$E$6)*($G$6-$F$6))))</f>
        <v>0.937312107773371</v>
      </c>
      <c r="C777" s="37" t="n">
        <f aca="false">1+IF($G$7=$E$7,$F$7,IF(Q777&lt;($F$7-$E$7)/($G$7-$E$7),$E$7+SQRT(Q777*($G$7-$E$7)*($F$7-$E$7)),$G$7-SQRT((1-Q777)*($G$7-$E$7)*($G$7-$F$7))))</f>
        <v>0.873066271517407</v>
      </c>
      <c r="D777" s="37" t="n">
        <f aca="false">1+IF($G$8=$E$8,$F$8,IF(R777&lt;($F$8-$E$8)/($G$8-$E$8),$E$8+SQRT(R777*($G$8-$E$8)*($F$8-$E$8)),$G$8-SQRT((1-R777)*($G$8-$E$8)*($G$8-$F$8))))</f>
        <v>0.970258126920353</v>
      </c>
      <c r="E777" s="37" t="n">
        <f aca="false">1+IF($G$9=$E$9,$F$9,IF(S777&lt;($F$9-$E$9)/($G$9-$E$9),$E$9+SQRT(S777*($G$9-$E$9)*($F$9-$E$9)),$G$9-SQRT((1-S777)*($G$9-$E$9)*($G$9-$F$9))))</f>
        <v>1.02611330658006</v>
      </c>
      <c r="F777" s="37" t="n">
        <f aca="false">1+IF($G$10=$E$10,$F$10,IF(T777&lt;($F$10-$E$10)/($G$10-$E$10),$E$10+SQRT(T777*($G$10-$E$10)*($F$10-$E$10)),$G$10-SQRT((1-T777)*($G$10-$E$10)*($G$10-$F$10))))</f>
        <v>1.06790814382183</v>
      </c>
      <c r="G777" s="38" t="n">
        <f aca="false">IF($G$11=$E$11,$F$11,IF(U777&lt;($F$11-$E$11)/($G$11-$E$11),$E$11+SQRT(U777*($G$11-$E$11)*($F$11-$E$11)),$G$11-SQRT((1-U777)*($G$11-$E$11)*($G$11-$F$11))))</f>
        <v>0.0979337051548582</v>
      </c>
      <c r="H777" s="39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-2135816287.64367</v>
      </c>
      <c r="I777" s="39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-58498127.7648302</v>
      </c>
      <c r="J777" s="39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178130387.887714</v>
      </c>
      <c r="K777" s="39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468154310.731349</v>
      </c>
      <c r="L777" s="39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575312160.508534</v>
      </c>
      <c r="M777" s="39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730861388.920054</v>
      </c>
      <c r="N777" s="39" t="n">
        <f aca="false">IF(COUNT('Business Case'!B11:G11)=0,"",H777+NPV(G777,I777:M777))</f>
        <v>-833599595.511874</v>
      </c>
      <c r="P777" s="40" t="n">
        <f aca="true">RAND()</f>
        <v>0.0928128924327769</v>
      </c>
      <c r="Q777" s="40" t="n">
        <f aca="true">RAND()</f>
        <v>0.221866180273606</v>
      </c>
      <c r="R777" s="40" t="n">
        <f aca="true">RAND()</f>
        <v>0.0547188941761493</v>
      </c>
      <c r="S777" s="40" t="n">
        <f aca="true">RAND()</f>
        <v>0.590722325159324</v>
      </c>
      <c r="T777" s="40" t="n">
        <f aca="true">RAND()</f>
        <v>0.557900745514536</v>
      </c>
      <c r="U777" s="40" t="n">
        <f aca="true">RAND()</f>
        <v>0.321617780581388</v>
      </c>
    </row>
    <row r="778" customFormat="false" ht="15" hidden="false" customHeight="false" outlineLevel="0" collapsed="false">
      <c r="A778" s="36" t="n">
        <v>698</v>
      </c>
      <c r="B778" s="37" t="n">
        <f aca="false">1+IF($G$6=$E$6,$F$6,IF(P778&lt;($F$6-$E$6)/($G$6-$E$6),$E$6+SQRT(P778*($G$6-$E$6)*($F$6-$E$6)),$G$6-SQRT((1-P778)*($G$6-$E$6)*($G$6-$F$6))))</f>
        <v>0.972491467973361</v>
      </c>
      <c r="C778" s="37" t="n">
        <f aca="false">1+IF($G$7=$E$7,$F$7,IF(Q778&lt;($F$7-$E$7)/($G$7-$E$7),$E$7+SQRT(Q778*($G$7-$E$7)*($F$7-$E$7)),$G$7-SQRT((1-Q778)*($G$7-$E$7)*($G$7-$F$7))))</f>
        <v>0.961106014538873</v>
      </c>
      <c r="D778" s="37" t="n">
        <f aca="false">1+IF($G$8=$E$8,$F$8,IF(R778&lt;($F$8-$E$8)/($G$8-$E$8),$E$8+SQRT(R778*($G$8-$E$8)*($F$8-$E$8)),$G$8-SQRT((1-R778)*($G$8-$E$8)*($G$8-$F$8))))</f>
        <v>1.00175804115718</v>
      </c>
      <c r="E778" s="37" t="n">
        <f aca="false">1+IF($G$9=$E$9,$F$9,IF(S778&lt;($F$9-$E$9)/($G$9-$E$9),$E$9+SQRT(S778*($G$9-$E$9)*($F$9-$E$9)),$G$9-SQRT((1-S778)*($G$9-$E$9)*($G$9-$F$9))))</f>
        <v>1.0146616975082</v>
      </c>
      <c r="F778" s="37" t="n">
        <f aca="false">1+IF($G$10=$E$10,$F$10,IF(T778&lt;($F$10-$E$10)/($G$10-$E$10),$E$10+SQRT(T778*($G$10-$E$10)*($F$10-$E$10)),$G$10-SQRT((1-T778)*($G$10-$E$10)*($G$10-$F$10))))</f>
        <v>1.0099506114257</v>
      </c>
      <c r="G778" s="38" t="n">
        <f aca="false">IF($G$11=$E$11,$F$11,IF(U778&lt;($F$11-$E$11)/($G$11-$E$11),$E$11+SQRT(U778*($G$11-$E$11)*($F$11-$E$11)),$G$11-SQRT((1-U778)*($G$11-$E$11)*($G$11-$F$11))))</f>
        <v>0.120530401809127</v>
      </c>
      <c r="H778" s="39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-2019901222.85141</v>
      </c>
      <c r="I778" s="39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-21047580.4134814</v>
      </c>
      <c r="J778" s="39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251637951.663201</v>
      </c>
      <c r="K778" s="39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574821014.311169</v>
      </c>
      <c r="L778" s="39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698018296.978015</v>
      </c>
      <c r="M778" s="39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875679876.171749</v>
      </c>
      <c r="N778" s="39" t="n">
        <f aca="false">IF(COUNT('Business Case'!B11:G11)=0,"",H778+NPV(G778,I778:M778))</f>
        <v>-491231609.90554</v>
      </c>
      <c r="P778" s="40" t="n">
        <f aca="true">RAND()</f>
        <v>0.350334195262183</v>
      </c>
      <c r="Q778" s="40" t="n">
        <f aca="true">RAND()</f>
        <v>0.505010006136103</v>
      </c>
      <c r="R778" s="40" t="n">
        <f aca="true">RAND()</f>
        <v>0.356567834848381</v>
      </c>
      <c r="S778" s="40" t="n">
        <f aca="true">RAND()</f>
        <v>0.511561170097028</v>
      </c>
      <c r="T778" s="40" t="n">
        <f aca="true">RAND()</f>
        <v>0.231683880601414</v>
      </c>
      <c r="U778" s="40" t="n">
        <f aca="true">RAND()</f>
        <v>0.940217806735612</v>
      </c>
    </row>
    <row r="779" customFormat="false" ht="15" hidden="false" customHeight="false" outlineLevel="0" collapsed="false">
      <c r="A779" s="36" t="n">
        <v>699</v>
      </c>
      <c r="B779" s="37" t="n">
        <f aca="false">1+IF($G$6=$E$6,$F$6,IF(P779&lt;($F$6-$E$6)/($G$6-$E$6),$E$6+SQRT(P779*($G$6-$E$6)*($F$6-$E$6)),$G$6-SQRT((1-P779)*($G$6-$E$6)*($G$6-$F$6))))</f>
        <v>0.953169087972524</v>
      </c>
      <c r="C779" s="37" t="n">
        <f aca="false">1+IF($G$7=$E$7,$F$7,IF(Q779&lt;($F$7-$E$7)/($G$7-$E$7),$E$7+SQRT(Q779*($G$7-$E$7)*($F$7-$E$7)),$G$7-SQRT((1-Q779)*($G$7-$E$7)*($G$7-$F$7))))</f>
        <v>0.919617594657766</v>
      </c>
      <c r="D779" s="37" t="n">
        <f aca="false">1+IF($G$8=$E$8,$F$8,IF(R779&lt;($F$8-$E$8)/($G$8-$E$8),$E$8+SQRT(R779*($G$8-$E$8)*($F$8-$E$8)),$G$8-SQRT((1-R779)*($G$8-$E$8)*($G$8-$F$8))))</f>
        <v>1.03852879353807</v>
      </c>
      <c r="E779" s="37" t="n">
        <f aca="false">1+IF($G$9=$E$9,$F$9,IF(S779&lt;($F$9-$E$9)/($G$9-$E$9),$E$9+SQRT(S779*($G$9-$E$9)*($F$9-$E$9)),$G$9-SQRT((1-S779)*($G$9-$E$9)*($G$9-$F$9))))</f>
        <v>1.06133448526152</v>
      </c>
      <c r="F779" s="37" t="n">
        <f aca="false">1+IF($G$10=$E$10,$F$10,IF(T779&lt;($F$10-$E$10)/($G$10-$E$10),$E$10+SQRT(T779*($G$10-$E$10)*($F$10-$E$10)),$G$10-SQRT((1-T779)*($G$10-$E$10)*($G$10-$F$10))))</f>
        <v>1.07069283352624</v>
      </c>
      <c r="G779" s="38" t="n">
        <f aca="false">IF($G$11=$E$11,$F$11,IF(U779&lt;($F$11-$E$11)/($G$11-$E$11),$E$11+SQRT(U779*($G$11-$E$11)*($F$11-$E$11)),$G$11-SQRT((1-U779)*($G$11-$E$11)*($G$11-$F$11))))</f>
        <v>0.0912536402639744</v>
      </c>
      <c r="H779" s="39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-2141385667.05248</v>
      </c>
      <c r="I779" s="39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-74381885.0479008</v>
      </c>
      <c r="J779" s="39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154667684.217912</v>
      </c>
      <c r="K779" s="39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437251895.160038</v>
      </c>
      <c r="L779" s="39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543895356.353243</v>
      </c>
      <c r="M779" s="39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710510182.595213</v>
      </c>
      <c r="N779" s="39" t="n">
        <f aca="false">IF(COUNT('Business Case'!B11:G11)=0,"",H779+NPV(G779,I779:M779))</f>
        <v>-900511285.959053</v>
      </c>
      <c r="P779" s="40" t="n">
        <f aca="true">RAND()</f>
        <v>0.18846346105533</v>
      </c>
      <c r="Q779" s="40" t="n">
        <f aca="true">RAND()</f>
        <v>0.357273243579726</v>
      </c>
      <c r="R779" s="40" t="n">
        <f aca="true">RAND()</f>
        <v>0.748086051740951</v>
      </c>
      <c r="S779" s="40" t="n">
        <f aca="true">RAND()</f>
        <v>0.79035803989763</v>
      </c>
      <c r="T779" s="40" t="n">
        <f aca="true">RAND()</f>
        <v>0.571319200682028</v>
      </c>
      <c r="U779" s="40" t="n">
        <f aca="true">RAND()</f>
        <v>0.126644419190945</v>
      </c>
    </row>
    <row r="780" customFormat="false" ht="15" hidden="false" customHeight="false" outlineLevel="0" collapsed="false">
      <c r="A780" s="36" t="n">
        <v>700</v>
      </c>
      <c r="B780" s="37" t="n">
        <f aca="false">1+IF($G$6=$E$6,$F$6,IF(P780&lt;($F$6-$E$6)/($G$6-$E$6),$E$6+SQRT(P780*($G$6-$E$6)*($F$6-$E$6)),$G$6-SQRT((1-P780)*($G$6-$E$6)*($G$6-$F$6))))</f>
        <v>0.946411045664596</v>
      </c>
      <c r="C780" s="37" t="n">
        <f aca="false">1+IF($G$7=$E$7,$F$7,IF(Q780&lt;($F$7-$E$7)/($G$7-$E$7),$E$7+SQRT(Q780*($G$7-$E$7)*($F$7-$E$7)),$G$7-SQRT((1-Q780)*($G$7-$E$7)*($G$7-$F$7))))</f>
        <v>1.07524782244459</v>
      </c>
      <c r="D780" s="37" t="n">
        <f aca="false">1+IF($G$8=$E$8,$F$8,IF(R780&lt;($F$8-$E$8)/($G$8-$E$8),$E$8+SQRT(R780*($G$8-$E$8)*($F$8-$E$8)),$G$8-SQRT((1-R780)*($G$8-$E$8)*($G$8-$F$8))))</f>
        <v>0.998345558531154</v>
      </c>
      <c r="E780" s="37" t="n">
        <f aca="false">1+IF($G$9=$E$9,$F$9,IF(S780&lt;($F$9-$E$9)/($G$9-$E$9),$E$9+SQRT(S780*($G$9-$E$9)*($F$9-$E$9)),$G$9-SQRT((1-S780)*($G$9-$E$9)*($G$9-$F$9))))</f>
        <v>0.993168031874344</v>
      </c>
      <c r="F780" s="37" t="n">
        <f aca="false">1+IF($G$10=$E$10,$F$10,IF(T780&lt;($F$10-$E$10)/($G$10-$E$10),$E$10+SQRT(T780*($G$10-$E$10)*($F$10-$E$10)),$G$10-SQRT((1-T780)*($G$10-$E$10)*($G$10-$F$10))))</f>
        <v>1.14515959444536</v>
      </c>
      <c r="G780" s="38" t="n">
        <f aca="false">IF($G$11=$E$11,$F$11,IF(U780&lt;($F$11-$E$11)/($G$11-$E$11),$E$11+SQRT(U780*($G$11-$E$11)*($F$11-$E$11)),$G$11-SQRT((1-U780)*($G$11-$E$11)*($G$11-$F$11))))</f>
        <v>0.114286816469497</v>
      </c>
      <c r="H780" s="39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-2290319188.89071</v>
      </c>
      <c r="I780" s="39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-24519096.2576744</v>
      </c>
      <c r="J780" s="39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259460014.466555</v>
      </c>
      <c r="K780" s="39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600697104.913052</v>
      </c>
      <c r="L780" s="39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730525977.424353</v>
      </c>
      <c r="M780" s="39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923956406.575421</v>
      </c>
      <c r="N780" s="39" t="n">
        <f aca="false">IF(COUNT('Business Case'!B11:G11)=0,"",H780+NPV(G780,I780:M780))</f>
        <v>-657468286.412295</v>
      </c>
      <c r="P780" s="40" t="n">
        <f aca="true">RAND()</f>
        <v>0.143599010645414</v>
      </c>
      <c r="Q780" s="40" t="n">
        <f aca="true">RAND()</f>
        <v>0.917216473344059</v>
      </c>
      <c r="R780" s="40" t="n">
        <f aca="true">RAND()</f>
        <v>0.31163907062523</v>
      </c>
      <c r="S780" s="40" t="n">
        <f aca="true">RAND()</f>
        <v>0.34721128653355</v>
      </c>
      <c r="T780" s="40" t="n">
        <f aca="true">RAND()</f>
        <v>0.853446524841837</v>
      </c>
      <c r="U780" s="40" t="n">
        <f aca="true">RAND()</f>
        <v>0.835397242224485</v>
      </c>
    </row>
    <row r="781" customFormat="false" ht="15" hidden="false" customHeight="false" outlineLevel="0" collapsed="false">
      <c r="A781" s="36" t="n">
        <v>701</v>
      </c>
      <c r="B781" s="37" t="n">
        <f aca="false">1+IF($G$6=$E$6,$F$6,IF(P781&lt;($F$6-$E$6)/($G$6-$E$6),$E$6+SQRT(P781*($G$6-$E$6)*($F$6-$E$6)),$G$6-SQRT((1-P781)*($G$6-$E$6)*($G$6-$F$6))))</f>
        <v>1.01975354907601</v>
      </c>
      <c r="C781" s="37" t="n">
        <f aca="false">1+IF($G$7=$E$7,$F$7,IF(Q781&lt;($F$7-$E$7)/($G$7-$E$7),$E$7+SQRT(Q781*($G$7-$E$7)*($F$7-$E$7)),$G$7-SQRT((1-Q781)*($G$7-$E$7)*($G$7-$F$7))))</f>
        <v>0.966451362215035</v>
      </c>
      <c r="D781" s="37" t="n">
        <f aca="false">1+IF($G$8=$E$8,$F$8,IF(R781&lt;($F$8-$E$8)/($G$8-$E$8),$E$8+SQRT(R781*($G$8-$E$8)*($F$8-$E$8)),$G$8-SQRT((1-R781)*($G$8-$E$8)*($G$8-$F$8))))</f>
        <v>1.02947176493059</v>
      </c>
      <c r="E781" s="37" t="n">
        <f aca="false">1+IF($G$9=$E$9,$F$9,IF(S781&lt;($F$9-$E$9)/($G$9-$E$9),$E$9+SQRT(S781*($G$9-$E$9)*($F$9-$E$9)),$G$9-SQRT((1-S781)*($G$9-$E$9)*($G$9-$F$9))))</f>
        <v>1.07726417205558</v>
      </c>
      <c r="F781" s="37" t="n">
        <f aca="false">1+IF($G$10=$E$10,$F$10,IF(T781&lt;($F$10-$E$10)/($G$10-$E$10),$E$10+SQRT(T781*($G$10-$E$10)*($F$10-$E$10)),$G$10-SQRT((1-T781)*($G$10-$E$10)*($G$10-$F$10))))</f>
        <v>1.06595149169359</v>
      </c>
      <c r="G781" s="38" t="n">
        <f aca="false">IF($G$11=$E$11,$F$11,IF(U781&lt;($F$11-$E$11)/($G$11-$E$11),$E$11+SQRT(U781*($G$11-$E$11)*($F$11-$E$11)),$G$11-SQRT((1-U781)*($G$11-$E$11)*($G$11-$F$11))))</f>
        <v>0.103188613670805</v>
      </c>
      <c r="H781" s="39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-2131902983.38717</v>
      </c>
      <c r="I781" s="39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-12969408.8732774</v>
      </c>
      <c r="J781" s="39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284933804.680709</v>
      </c>
      <c r="K781" s="39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636134592.819374</v>
      </c>
      <c r="L781" s="39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769496002.665104</v>
      </c>
      <c r="M781" s="39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956827865.300978</v>
      </c>
      <c r="N781" s="39" t="n">
        <f aca="false">IF(COUNT('Business Case'!B11:G11)=0,"",H781+NPV(G781,I781:M781))</f>
        <v>-330626738.281583</v>
      </c>
      <c r="P781" s="40" t="n">
        <f aca="true">RAND()</f>
        <v>0.878020294200337</v>
      </c>
      <c r="Q781" s="40" t="n">
        <f aca="true">RAND()</f>
        <v>0.525898729083318</v>
      </c>
      <c r="R781" s="40" t="n">
        <f aca="true">RAND()</f>
        <v>0.668384537199594</v>
      </c>
      <c r="S781" s="40" t="n">
        <f aca="true">RAND()</f>
        <v>0.858919982219721</v>
      </c>
      <c r="T781" s="40" t="n">
        <f aca="true">RAND()</f>
        <v>0.548348621202446</v>
      </c>
      <c r="U781" s="40" t="n">
        <f aca="true">RAND()</f>
        <v>0.520766375404451</v>
      </c>
    </row>
    <row r="782" customFormat="false" ht="15" hidden="false" customHeight="false" outlineLevel="0" collapsed="false">
      <c r="A782" s="36" t="n">
        <v>702</v>
      </c>
      <c r="B782" s="37" t="n">
        <f aca="false">1+IF($G$6=$E$6,$F$6,IF(P782&lt;($F$6-$E$6)/($G$6-$E$6),$E$6+SQRT(P782*($G$6-$E$6)*($F$6-$E$6)),$G$6-SQRT((1-P782)*($G$6-$E$6)*($G$6-$F$6))))</f>
        <v>1.02391124507277</v>
      </c>
      <c r="C782" s="37" t="n">
        <f aca="false">1+IF($G$7=$E$7,$F$7,IF(Q782&lt;($F$7-$E$7)/($G$7-$E$7),$E$7+SQRT(Q782*($G$7-$E$7)*($F$7-$E$7)),$G$7-SQRT((1-Q782)*($G$7-$E$7)*($G$7-$F$7))))</f>
        <v>0.847883031335045</v>
      </c>
      <c r="D782" s="37" t="n">
        <f aca="false">1+IF($G$8=$E$8,$F$8,IF(R782&lt;($F$8-$E$8)/($G$8-$E$8),$E$8+SQRT(R782*($G$8-$E$8)*($F$8-$E$8)),$G$8-SQRT((1-R782)*($G$8-$E$8)*($G$8-$F$8))))</f>
        <v>1.0239140421038</v>
      </c>
      <c r="E782" s="37" t="n">
        <f aca="false">1+IF($G$9=$E$9,$F$9,IF(S782&lt;($F$9-$E$9)/($G$9-$E$9),$E$9+SQRT(S782*($G$9-$E$9)*($F$9-$E$9)),$G$9-SQRT((1-S782)*($G$9-$E$9)*($G$9-$F$9))))</f>
        <v>1.12048590139667</v>
      </c>
      <c r="F782" s="37" t="n">
        <f aca="false">1+IF($G$10=$E$10,$F$10,IF(T782&lt;($F$10-$E$10)/($G$10-$E$10),$E$10+SQRT(T782*($G$10-$E$10)*($F$10-$E$10)),$G$10-SQRT((1-T782)*($G$10-$E$10)*($G$10-$F$10))))</f>
        <v>1.17510418410024</v>
      </c>
      <c r="G782" s="38" t="n">
        <f aca="false">IF($G$11=$E$11,$F$11,IF(U782&lt;($F$11-$E$11)/($G$11-$E$11),$E$11+SQRT(U782*($G$11-$E$11)*($F$11-$E$11)),$G$11-SQRT((1-U782)*($G$11-$E$11)*($G$11-$F$11))))</f>
        <v>0.11487490684315</v>
      </c>
      <c r="H782" s="39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-2350208368.20048</v>
      </c>
      <c r="I782" s="39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-55193835.2363723</v>
      </c>
      <c r="J782" s="39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211461100.455738</v>
      </c>
      <c r="K782" s="39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536871245.352861</v>
      </c>
      <c r="L782" s="39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655759728.810132</v>
      </c>
      <c r="M782" s="39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820779005.722921</v>
      </c>
      <c r="N782" s="39" t="n">
        <f aca="false">IF(COUNT('Business Case'!B11:G11)=0,"",H782+NPV(G782,I782:M782))</f>
        <v>-941158399.276885</v>
      </c>
      <c r="P782" s="40" t="n">
        <f aca="true">RAND()</f>
        <v>0.909250248846287</v>
      </c>
      <c r="Q782" s="40" t="n">
        <f aca="true">RAND()</f>
        <v>0.1619954885692</v>
      </c>
      <c r="R782" s="40" t="n">
        <f aca="true">RAND()</f>
        <v>0.6140618007345</v>
      </c>
      <c r="S782" s="40" t="n">
        <f aca="true">RAND()</f>
        <v>0.976771146230218</v>
      </c>
      <c r="T782" s="40" t="n">
        <f aca="true">RAND()</f>
        <v>0.925208223476128</v>
      </c>
      <c r="U782" s="40" t="n">
        <f aca="true">RAND()</f>
        <v>0.847487704664409</v>
      </c>
    </row>
    <row r="783" customFormat="false" ht="15" hidden="false" customHeight="false" outlineLevel="0" collapsed="false">
      <c r="A783" s="36" t="n">
        <v>703</v>
      </c>
      <c r="B783" s="37" t="n">
        <f aca="false">1+IF($G$6=$E$6,$F$6,IF(P783&lt;($F$6-$E$6)/($G$6-$E$6),$E$6+SQRT(P783*($G$6-$E$6)*($F$6-$E$6)),$G$6-SQRT((1-P783)*($G$6-$E$6)*($G$6-$F$6))))</f>
        <v>1.04094749726019</v>
      </c>
      <c r="C783" s="37" t="n">
        <f aca="false">1+IF($G$7=$E$7,$F$7,IF(Q783&lt;($F$7-$E$7)/($G$7-$E$7),$E$7+SQRT(Q783*($G$7-$E$7)*($F$7-$E$7)),$G$7-SQRT((1-Q783)*($G$7-$E$7)*($G$7-$F$7))))</f>
        <v>1.06691039439697</v>
      </c>
      <c r="D783" s="37" t="n">
        <f aca="false">1+IF($G$8=$E$8,$F$8,IF(R783&lt;($F$8-$E$8)/($G$8-$E$8),$E$8+SQRT(R783*($G$8-$E$8)*($F$8-$E$8)),$G$8-SQRT((1-R783)*($G$8-$E$8)*($G$8-$F$8))))</f>
        <v>1.02980743725956</v>
      </c>
      <c r="E783" s="37" t="n">
        <f aca="false">1+IF($G$9=$E$9,$F$9,IF(S783&lt;($F$9-$E$9)/($G$9-$E$9),$E$9+SQRT(S783*($G$9-$E$9)*($F$9-$E$9)),$G$9-SQRT((1-S783)*($G$9-$E$9)*($G$9-$F$9))))</f>
        <v>1.01170831543783</v>
      </c>
      <c r="F783" s="37" t="n">
        <f aca="false">1+IF($G$10=$E$10,$F$10,IF(T783&lt;($F$10-$E$10)/($G$10-$E$10),$E$10+SQRT(T783*($G$10-$E$10)*($F$10-$E$10)),$G$10-SQRT((1-T783)*($G$10-$E$10)*($G$10-$F$10))))</f>
        <v>1.0049552425304</v>
      </c>
      <c r="G783" s="38" t="n">
        <f aca="false">IF($G$11=$E$11,$F$11,IF(U783&lt;($F$11-$E$11)/($G$11-$E$11),$E$11+SQRT(U783*($G$11-$E$11)*($F$11-$E$11)),$G$11-SQRT((1-U783)*($G$11-$E$11)*($G$11-$F$11))))</f>
        <v>0.0901171165107268</v>
      </c>
      <c r="H783" s="39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-2009910485.06079</v>
      </c>
      <c r="I783" s="39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45272871.930436</v>
      </c>
      <c r="J783" s="39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392479575.588512</v>
      </c>
      <c r="K783" s="39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789934041.373108</v>
      </c>
      <c r="L783" s="39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944051865.938695</v>
      </c>
      <c r="M783" s="39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1155154277.67628</v>
      </c>
      <c r="N783" s="39" t="n">
        <f aca="false">IF(COUNT('Business Case'!B11:G11)=0,"",H783+NPV(G783,I783:M783))</f>
        <v>390539064.742168</v>
      </c>
      <c r="P783" s="40" t="n">
        <f aca="true">RAND()</f>
        <v>0.989073625886095</v>
      </c>
      <c r="Q783" s="40" t="n">
        <f aca="true">RAND()</f>
        <v>0.897720258381233</v>
      </c>
      <c r="R783" s="40" t="n">
        <f aca="true">RAND()</f>
        <v>0.671533609062002</v>
      </c>
      <c r="S783" s="40" t="n">
        <f aca="true">RAND()</f>
        <v>0.490010932825515</v>
      </c>
      <c r="T783" s="40" t="n">
        <f aca="true">RAND()</f>
        <v>0.199374224488837</v>
      </c>
      <c r="U783" s="40" t="n">
        <f aca="true">RAND()</f>
        <v>0.102356046491621</v>
      </c>
    </row>
    <row r="784" customFormat="false" ht="15" hidden="false" customHeight="false" outlineLevel="0" collapsed="false">
      <c r="A784" s="36" t="n">
        <v>704</v>
      </c>
      <c r="B784" s="37" t="n">
        <f aca="false">1+IF($G$6=$E$6,$F$6,IF(P784&lt;($F$6-$E$6)/($G$6-$E$6),$E$6+SQRT(P784*($G$6-$E$6)*($F$6-$E$6)),$G$6-SQRT((1-P784)*($G$6-$E$6)*($G$6-$F$6))))</f>
        <v>0.910996432929669</v>
      </c>
      <c r="C784" s="37" t="n">
        <f aca="false">1+IF($G$7=$E$7,$F$7,IF(Q784&lt;($F$7-$E$7)/($G$7-$E$7),$E$7+SQRT(Q784*($G$7-$E$7)*($F$7-$E$7)),$G$7-SQRT((1-Q784)*($G$7-$E$7)*($G$7-$F$7))))</f>
        <v>0.95187726595779</v>
      </c>
      <c r="D784" s="37" t="n">
        <f aca="false">1+IF($G$8=$E$8,$F$8,IF(R784&lt;($F$8-$E$8)/($G$8-$E$8),$E$8+SQRT(R784*($G$8-$E$8)*($F$8-$E$8)),$G$8-SQRT((1-R784)*($G$8-$E$8)*($G$8-$F$8))))</f>
        <v>1.02147396098606</v>
      </c>
      <c r="E784" s="37" t="n">
        <f aca="false">1+IF($G$9=$E$9,$F$9,IF(S784&lt;($F$9-$E$9)/($G$9-$E$9),$E$9+SQRT(S784*($G$9-$E$9)*($F$9-$E$9)),$G$9-SQRT((1-S784)*($G$9-$E$9)*($G$9-$F$9))))</f>
        <v>1.07903103722849</v>
      </c>
      <c r="F784" s="37" t="n">
        <f aca="false">1+IF($G$10=$E$10,$F$10,IF(T784&lt;($F$10-$E$10)/($G$10-$E$10),$E$10+SQRT(T784*($G$10-$E$10)*($F$10-$E$10)),$G$10-SQRT((1-T784)*($G$10-$E$10)*($G$10-$F$10))))</f>
        <v>1.0878352138967</v>
      </c>
      <c r="G784" s="38" t="n">
        <f aca="false">IF($G$11=$E$11,$F$11,IF(U784&lt;($F$11-$E$11)/($G$11-$E$11),$E$11+SQRT(U784*($G$11-$E$11)*($F$11-$E$11)),$G$11-SQRT((1-U784)*($G$11-$E$11)*($G$11-$F$11))))</f>
        <v>0.0900518081213232</v>
      </c>
      <c r="H784" s="39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-2175670427.79339</v>
      </c>
      <c r="I784" s="39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-94660242.8884329</v>
      </c>
      <c r="J784" s="39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117854657.301143</v>
      </c>
      <c r="K784" s="39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384761318.185554</v>
      </c>
      <c r="L784" s="39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485568557.045045</v>
      </c>
      <c r="M784" s="39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650397720.424689</v>
      </c>
      <c r="N784" s="39" t="n">
        <f aca="false">IF(COUNT('Business Case'!B11:G11)=0,"",H784+NPV(G784,I784:M784))</f>
        <v>-1099723045.4329</v>
      </c>
      <c r="P784" s="40" t="n">
        <f aca="true">RAND()</f>
        <v>0.00806143581178009</v>
      </c>
      <c r="Q784" s="40" t="n">
        <f aca="true">RAND()</f>
        <v>0.469941904491641</v>
      </c>
      <c r="R784" s="40" t="n">
        <f aca="true">RAND()</f>
        <v>0.588910746452091</v>
      </c>
      <c r="S784" s="40" t="n">
        <f aca="true">RAND()</f>
        <v>0.86569083528361</v>
      </c>
      <c r="T784" s="40" t="n">
        <f aca="true">RAND()</f>
        <v>0.649367761974259</v>
      </c>
      <c r="U784" s="40" t="n">
        <f aca="true">RAND()</f>
        <v>0.101038846507898</v>
      </c>
    </row>
    <row r="785" customFormat="false" ht="15" hidden="false" customHeight="false" outlineLevel="0" collapsed="false">
      <c r="A785" s="36" t="n">
        <v>705</v>
      </c>
      <c r="B785" s="37" t="n">
        <f aca="false">1+IF($G$6=$E$6,$F$6,IF(P785&lt;($F$6-$E$6)/($G$6-$E$6),$E$6+SQRT(P785*($G$6-$E$6)*($F$6-$E$6)),$G$6-SQRT((1-P785)*($G$6-$E$6)*($G$6-$F$6))))</f>
        <v>0.998753430180556</v>
      </c>
      <c r="C785" s="37" t="n">
        <f aca="false">1+IF($G$7=$E$7,$F$7,IF(Q785&lt;($F$7-$E$7)/($G$7-$E$7),$E$7+SQRT(Q785*($G$7-$E$7)*($F$7-$E$7)),$G$7-SQRT((1-Q785)*($G$7-$E$7)*($G$7-$F$7))))</f>
        <v>1.01862155327518</v>
      </c>
      <c r="D785" s="37" t="n">
        <f aca="false">1+IF($G$8=$E$8,$F$8,IF(R785&lt;($F$8-$E$8)/($G$8-$E$8),$E$8+SQRT(R785*($G$8-$E$8)*($F$8-$E$8)),$G$8-SQRT((1-R785)*($G$8-$E$8)*($G$8-$F$8))))</f>
        <v>1.03739953174423</v>
      </c>
      <c r="E785" s="37" t="n">
        <f aca="false">1+IF($G$9=$E$9,$F$9,IF(S785&lt;($F$9-$E$9)/($G$9-$E$9),$E$9+SQRT(S785*($G$9-$E$9)*($F$9-$E$9)),$G$9-SQRT((1-S785)*($G$9-$E$9)*($G$9-$F$9))))</f>
        <v>1.02989404443183</v>
      </c>
      <c r="F785" s="37" t="n">
        <f aca="false">1+IF($G$10=$E$10,$F$10,IF(T785&lt;($F$10-$E$10)/($G$10-$E$10),$E$10+SQRT(T785*($G$10-$E$10)*($F$10-$E$10)),$G$10-SQRT((1-T785)*($G$10-$E$10)*($G$10-$F$10))))</f>
        <v>1.20315393906928</v>
      </c>
      <c r="G785" s="38" t="n">
        <f aca="false">IF($G$11=$E$11,$F$11,IF(U785&lt;($F$11-$E$11)/($G$11-$E$11),$E$11+SQRT(U785*($G$11-$E$11)*($F$11-$E$11)),$G$11-SQRT((1-U785)*($G$11-$E$11)*($G$11-$F$11))))</f>
        <v>0.0996081855907053</v>
      </c>
      <c r="H785" s="39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-2406307878.13856</v>
      </c>
      <c r="I785" s="39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-27176327.588752</v>
      </c>
      <c r="J785" s="39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265153187.624619</v>
      </c>
      <c r="K785" s="39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617640399.791453</v>
      </c>
      <c r="L785" s="39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750243248.713902</v>
      </c>
      <c r="M785" s="39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943621473.229526</v>
      </c>
      <c r="N785" s="39" t="n">
        <f aca="false">IF(COUNT('Business Case'!B11:G11)=0,"",H785+NPV(G785,I785:M785))</f>
        <v>-647076491.370623</v>
      </c>
      <c r="P785" s="40" t="n">
        <f aca="true">RAND()</f>
        <v>0.650149331495059</v>
      </c>
      <c r="Q785" s="40" t="n">
        <f aca="true">RAND()</f>
        <v>0.744291907202585</v>
      </c>
      <c r="R785" s="40" t="n">
        <f aca="true">RAND()</f>
        <v>0.73874542494391</v>
      </c>
      <c r="S785" s="40" t="n">
        <f aca="true">RAND()</f>
        <v>0.61532158498819</v>
      </c>
      <c r="T785" s="40" t="n">
        <f aca="true">RAND()</f>
        <v>0.970739287670334</v>
      </c>
      <c r="U785" s="40" t="n">
        <f aca="true">RAND()</f>
        <v>0.384480942159544</v>
      </c>
    </row>
    <row r="786" customFormat="false" ht="15" hidden="false" customHeight="false" outlineLevel="0" collapsed="false">
      <c r="A786" s="36" t="n">
        <v>706</v>
      </c>
      <c r="B786" s="37" t="n">
        <f aca="false">1+IF($G$6=$E$6,$F$6,IF(P786&lt;($F$6-$E$6)/($G$6-$E$6),$E$6+SQRT(P786*($G$6-$E$6)*($F$6-$E$6)),$G$6-SQRT((1-P786)*($G$6-$E$6)*($G$6-$F$6))))</f>
        <v>0.979415791535963</v>
      </c>
      <c r="C786" s="37" t="n">
        <f aca="false">1+IF($G$7=$E$7,$F$7,IF(Q786&lt;($F$7-$E$7)/($G$7-$E$7),$E$7+SQRT(Q786*($G$7-$E$7)*($F$7-$E$7)),$G$7-SQRT((1-Q786)*($G$7-$E$7)*($G$7-$F$7))))</f>
        <v>0.914898104461856</v>
      </c>
      <c r="D786" s="37" t="n">
        <f aca="false">1+IF($G$8=$E$8,$F$8,IF(R786&lt;($F$8-$E$8)/($G$8-$E$8),$E$8+SQRT(R786*($G$8-$E$8)*($F$8-$E$8)),$G$8-SQRT((1-R786)*($G$8-$E$8)*($G$8-$F$8))))</f>
        <v>1.00911978853224</v>
      </c>
      <c r="E786" s="37" t="n">
        <f aca="false">1+IF($G$9=$E$9,$F$9,IF(S786&lt;($F$9-$E$9)/($G$9-$E$9),$E$9+SQRT(S786*($G$9-$E$9)*($F$9-$E$9)),$G$9-SQRT((1-S786)*($G$9-$E$9)*($G$9-$F$9))))</f>
        <v>1.06267986589944</v>
      </c>
      <c r="F786" s="37" t="n">
        <f aca="false">1+IF($G$10=$E$10,$F$10,IF(T786&lt;($F$10-$E$10)/($G$10-$E$10),$E$10+SQRT(T786*($G$10-$E$10)*($F$10-$E$10)),$G$10-SQRT((1-T786)*($G$10-$E$10)*($G$10-$F$10))))</f>
        <v>1.06252172631614</v>
      </c>
      <c r="G786" s="38" t="n">
        <f aca="false">IF($G$11=$E$11,$F$11,IF(U786&lt;($F$11-$E$11)/($G$11-$E$11),$E$11+SQRT(U786*($G$11-$E$11)*($F$11-$E$11)),$G$11-SQRT((1-U786)*($G$11-$E$11)*($G$11-$F$11))))</f>
        <v>0.108477968506557</v>
      </c>
      <c r="H786" s="39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-2125043452.63228</v>
      </c>
      <c r="I786" s="39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-42500940.7840432</v>
      </c>
      <c r="J786" s="39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218815411.350369</v>
      </c>
      <c r="K786" s="39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533257849.800589</v>
      </c>
      <c r="L786" s="39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651331329.416019</v>
      </c>
      <c r="M786" s="39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821655488.387801</v>
      </c>
      <c r="N786" s="39" t="n">
        <f aca="false">IF(COUNT('Business Case'!B11:G11)=0,"",H786+NPV(G786,I786:M786))</f>
        <v>-671396842.373838</v>
      </c>
      <c r="P786" s="40" t="n">
        <f aca="true">RAND()</f>
        <v>0.420457863018896</v>
      </c>
      <c r="Q786" s="40" t="n">
        <f aca="true">RAND()</f>
        <v>0.342082928157768</v>
      </c>
      <c r="R786" s="40" t="n">
        <f aca="true">RAND()</f>
        <v>0.449385810905005</v>
      </c>
      <c r="S786" s="40" t="n">
        <f aca="true">RAND()</f>
        <v>0.796671844817621</v>
      </c>
      <c r="T786" s="40" t="n">
        <f aca="true">RAND()</f>
        <v>0.531358625286934</v>
      </c>
      <c r="U786" s="40" t="n">
        <f aca="true">RAND()</f>
        <v>0.691201440263496</v>
      </c>
    </row>
    <row r="787" customFormat="false" ht="15" hidden="false" customHeight="false" outlineLevel="0" collapsed="false">
      <c r="A787" s="36" t="n">
        <v>707</v>
      </c>
      <c r="B787" s="37" t="n">
        <f aca="false">1+IF($G$6=$E$6,$F$6,IF(P787&lt;($F$6-$E$6)/($G$6-$E$6),$E$6+SQRT(P787*($G$6-$E$6)*($F$6-$E$6)),$G$6-SQRT((1-P787)*($G$6-$E$6)*($G$6-$F$6))))</f>
        <v>0.985584709227776</v>
      </c>
      <c r="C787" s="37" t="n">
        <f aca="false">1+IF($G$7=$E$7,$F$7,IF(Q787&lt;($F$7-$E$7)/($G$7-$E$7),$E$7+SQRT(Q787*($G$7-$E$7)*($F$7-$E$7)),$G$7-SQRT((1-Q787)*($G$7-$E$7)*($G$7-$F$7))))</f>
        <v>0.930457125919952</v>
      </c>
      <c r="D787" s="37" t="n">
        <f aca="false">1+IF($G$8=$E$8,$F$8,IF(R787&lt;($F$8-$E$8)/($G$8-$E$8),$E$8+SQRT(R787*($G$8-$E$8)*($F$8-$E$8)),$G$8-SQRT((1-R787)*($G$8-$E$8)*($G$8-$F$8))))</f>
        <v>0.981482369258676</v>
      </c>
      <c r="E787" s="37" t="n">
        <f aca="false">1+IF($G$9=$E$9,$F$9,IF(S787&lt;($F$9-$E$9)/($G$9-$E$9),$E$9+SQRT(S787*($G$9-$E$9)*($F$9-$E$9)),$G$9-SQRT((1-S787)*($G$9-$E$9)*($G$9-$F$9))))</f>
        <v>0.981945786832647</v>
      </c>
      <c r="F787" s="37" t="n">
        <f aca="false">1+IF($G$10=$E$10,$F$10,IF(T787&lt;($F$10-$E$10)/($G$10-$E$10),$E$10+SQRT(T787*($G$10-$E$10)*($F$10-$E$10)),$G$10-SQRT((1-T787)*($G$10-$E$10)*($G$10-$F$10))))</f>
        <v>1.02612066481682</v>
      </c>
      <c r="G787" s="38" t="n">
        <f aca="false">IF($G$11=$E$11,$F$11,IF(U787&lt;($F$11-$E$11)/($G$11-$E$11),$E$11+SQRT(U787*($G$11-$E$11)*($F$11-$E$11)),$G$11-SQRT((1-U787)*($G$11-$E$11)*($G$11-$F$11))))</f>
        <v>0.089810750430886</v>
      </c>
      <c r="H787" s="39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-2052241329.63363</v>
      </c>
      <c r="I787" s="39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-6158314.00658058</v>
      </c>
      <c r="J787" s="39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277467706.692313</v>
      </c>
      <c r="K787" s="39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612399760.632047</v>
      </c>
      <c r="L787" s="39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738634819.089138</v>
      </c>
      <c r="M787" s="39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912946602.655169</v>
      </c>
      <c r="N787" s="39" t="n">
        <f aca="false">IF(COUNT('Business Case'!B11:G11)=0,"",H787+NPV(G787,I787:M787))</f>
        <v>-233641519.435068</v>
      </c>
      <c r="P787" s="40" t="n">
        <f aca="true">RAND()</f>
        <v>0.488316163573529</v>
      </c>
      <c r="Q787" s="40" t="n">
        <f aca="true">RAND()</f>
        <v>0.393411013979887</v>
      </c>
      <c r="R787" s="40" t="n">
        <f aca="true">RAND()</f>
        <v>0.132151943218617</v>
      </c>
      <c r="S787" s="40" t="n">
        <f aca="true">RAND()</f>
        <v>0.268604479184862</v>
      </c>
      <c r="T787" s="40" t="n">
        <f aca="true">RAND()</f>
        <v>0.331707243705811</v>
      </c>
      <c r="U787" s="40" t="n">
        <f aca="true">RAND()</f>
        <v>0.0962508240171292</v>
      </c>
    </row>
    <row r="788" customFormat="false" ht="15" hidden="false" customHeight="false" outlineLevel="0" collapsed="false">
      <c r="A788" s="36" t="n">
        <v>708</v>
      </c>
      <c r="B788" s="37" t="n">
        <f aca="false">1+IF($G$6=$E$6,$F$6,IF(P788&lt;($F$6-$E$6)/($G$6-$E$6),$E$6+SQRT(P788*($G$6-$E$6)*($F$6-$E$6)),$G$6-SQRT((1-P788)*($G$6-$E$6)*($G$6-$F$6))))</f>
        <v>0.945783634830016</v>
      </c>
      <c r="C788" s="37" t="n">
        <f aca="false">1+IF($G$7=$E$7,$F$7,IF(Q788&lt;($F$7-$E$7)/($G$7-$E$7),$E$7+SQRT(Q788*($G$7-$E$7)*($F$7-$E$7)),$G$7-SQRT((1-Q788)*($G$7-$E$7)*($G$7-$F$7))))</f>
        <v>0.749102080390333</v>
      </c>
      <c r="D788" s="37" t="n">
        <f aca="false">1+IF($G$8=$E$8,$F$8,IF(R788&lt;($F$8-$E$8)/($G$8-$E$8),$E$8+SQRT(R788*($G$8-$E$8)*($F$8-$E$8)),$G$8-SQRT((1-R788)*($G$8-$E$8)*($G$8-$F$8))))</f>
        <v>1.0128599356526</v>
      </c>
      <c r="E788" s="37" t="n">
        <f aca="false">1+IF($G$9=$E$9,$F$9,IF(S788&lt;($F$9-$E$9)/($G$9-$E$9),$E$9+SQRT(S788*($G$9-$E$9)*($F$9-$E$9)),$G$9-SQRT((1-S788)*($G$9-$E$9)*($G$9-$F$9))))</f>
        <v>0.965241121085229</v>
      </c>
      <c r="F788" s="37" t="n">
        <f aca="false">1+IF($G$10=$E$10,$F$10,IF(T788&lt;($F$10-$E$10)/($G$10-$E$10),$E$10+SQRT(T788*($G$10-$E$10)*($F$10-$E$10)),$G$10-SQRT((1-T788)*($G$10-$E$10)*($G$10-$F$10))))</f>
        <v>1.0551243396004</v>
      </c>
      <c r="G788" s="38" t="n">
        <f aca="false">IF($G$11=$E$11,$F$11,IF(U788&lt;($F$11-$E$11)/($G$11-$E$11),$E$11+SQRT(U788*($G$11-$E$11)*($F$11-$E$11)),$G$11-SQRT((1-U788)*($G$11-$E$11)*($G$11-$F$11))))</f>
        <v>0.117493136441707</v>
      </c>
      <c r="H788" s="39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-2110248679.20081</v>
      </c>
      <c r="I788" s="39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-87606550.8588552</v>
      </c>
      <c r="J788" s="39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104284662.901913</v>
      </c>
      <c r="K788" s="39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348932093.642701</v>
      </c>
      <c r="L788" s="39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437381193.723799</v>
      </c>
      <c r="M788" s="39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572050685.608431</v>
      </c>
      <c r="N788" s="39" t="n">
        <f aca="false">IF(COUNT('Business Case'!B11:G11)=0,"",H788+NPV(G788,I788:M788))</f>
        <v>-1246377204.25799</v>
      </c>
      <c r="P788" s="40" t="n">
        <f aca="true">RAND()</f>
        <v>0.139742747883215</v>
      </c>
      <c r="Q788" s="40" t="n">
        <f aca="true">RAND()</f>
        <v>0.0178593651752495</v>
      </c>
      <c r="R788" s="40" t="n">
        <f aca="true">RAND()</f>
        <v>0.49377394570208</v>
      </c>
      <c r="S788" s="40" t="n">
        <f aca="true">RAND()</f>
        <v>0.170256155218301</v>
      </c>
      <c r="T788" s="40" t="n">
        <f aca="true">RAND()</f>
        <v>0.493646359784282</v>
      </c>
      <c r="U788" s="40" t="n">
        <f aca="true">RAND()</f>
        <v>0.895718909289497</v>
      </c>
    </row>
    <row r="789" customFormat="false" ht="15" hidden="false" customHeight="false" outlineLevel="0" collapsed="false">
      <c r="A789" s="36" t="n">
        <v>709</v>
      </c>
      <c r="B789" s="37" t="n">
        <f aca="false">1+IF($G$6=$E$6,$F$6,IF(P789&lt;($F$6-$E$6)/($G$6-$E$6),$E$6+SQRT(P789*($G$6-$E$6)*($F$6-$E$6)),$G$6-SQRT((1-P789)*($G$6-$E$6)*($G$6-$F$6))))</f>
        <v>1.01663475468634</v>
      </c>
      <c r="C789" s="37" t="n">
        <f aca="false">1+IF($G$7=$E$7,$F$7,IF(Q789&lt;($F$7-$E$7)/($G$7-$E$7),$E$7+SQRT(Q789*($G$7-$E$7)*($F$7-$E$7)),$G$7-SQRT((1-Q789)*($G$7-$E$7)*($G$7-$F$7))))</f>
        <v>0.916925734982377</v>
      </c>
      <c r="D789" s="37" t="n">
        <f aca="false">1+IF($G$8=$E$8,$F$8,IF(R789&lt;($F$8-$E$8)/($G$8-$E$8),$E$8+SQRT(R789*($G$8-$E$8)*($F$8-$E$8)),$G$8-SQRT((1-R789)*($G$8-$E$8)*($G$8-$F$8))))</f>
        <v>1.02802565062863</v>
      </c>
      <c r="E789" s="37" t="n">
        <f aca="false">1+IF($G$9=$E$9,$F$9,IF(S789&lt;($F$9-$E$9)/($G$9-$E$9),$E$9+SQRT(S789*($G$9-$E$9)*($F$9-$E$9)),$G$9-SQRT((1-S789)*($G$9-$E$9)*($G$9-$F$9))))</f>
        <v>1.00187357824262</v>
      </c>
      <c r="F789" s="37" t="n">
        <f aca="false">1+IF($G$10=$E$10,$F$10,IF(T789&lt;($F$10-$E$10)/($G$10-$E$10),$E$10+SQRT(T789*($G$10-$E$10)*($F$10-$E$10)),$G$10-SQRT((1-T789)*($G$10-$E$10)*($G$10-$F$10))))</f>
        <v>1.0940614252945</v>
      </c>
      <c r="G789" s="38" t="n">
        <f aca="false">IF($G$11=$E$11,$F$11,IF(U789&lt;($F$11-$E$11)/($G$11-$E$11),$E$11+SQRT(U789*($G$11-$E$11)*($F$11-$E$11)),$G$11-SQRT((1-U789)*($G$11-$E$11)*($G$11-$F$11))))</f>
        <v>0.113160448824325</v>
      </c>
      <c r="H789" s="39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-2188122850.58901</v>
      </c>
      <c r="I789" s="39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-19222992.8973729</v>
      </c>
      <c r="J789" s="39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261750716.611431</v>
      </c>
      <c r="K789" s="39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597427497.384959</v>
      </c>
      <c r="L789" s="39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723301491.921644</v>
      </c>
      <c r="M789" s="39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900489994.440603</v>
      </c>
      <c r="N789" s="39" t="n">
        <f aca="false">IF(COUNT('Business Case'!B11:G11)=0,"",H789+NPV(G789,I789:M789))</f>
        <v>-563103079.465157</v>
      </c>
      <c r="P789" s="40" t="n">
        <f aca="true">RAND()</f>
        <v>0.851568054021279</v>
      </c>
      <c r="Q789" s="40" t="n">
        <f aca="true">RAND()</f>
        <v>0.348568699982551</v>
      </c>
      <c r="R789" s="40" t="n">
        <f aca="true">RAND()</f>
        <v>0.654646202171188</v>
      </c>
      <c r="S789" s="40" t="n">
        <f aca="true">RAND()</f>
        <v>0.414895018062814</v>
      </c>
      <c r="T789" s="40" t="n">
        <f aca="true">RAND()</f>
        <v>0.675775478917573</v>
      </c>
      <c r="U789" s="40" t="n">
        <f aca="true">RAND()</f>
        <v>0.810953010801211</v>
      </c>
    </row>
    <row r="790" customFormat="false" ht="15" hidden="false" customHeight="false" outlineLevel="0" collapsed="false">
      <c r="A790" s="36" t="n">
        <v>710</v>
      </c>
      <c r="B790" s="37" t="n">
        <f aca="false">1+IF($G$6=$E$6,$F$6,IF(P790&lt;($F$6-$E$6)/($G$6-$E$6),$E$6+SQRT(P790*($G$6-$E$6)*($F$6-$E$6)),$G$6-SQRT((1-P790)*($G$6-$E$6)*($G$6-$F$6))))</f>
        <v>1.001714585331</v>
      </c>
      <c r="C790" s="37" t="n">
        <f aca="false">1+IF($G$7=$E$7,$F$7,IF(Q790&lt;($F$7-$E$7)/($G$7-$E$7),$E$7+SQRT(Q790*($G$7-$E$7)*($F$7-$E$7)),$G$7-SQRT((1-Q790)*($G$7-$E$7)*($G$7-$F$7))))</f>
        <v>0.875667582218698</v>
      </c>
      <c r="D790" s="37" t="n">
        <f aca="false">1+IF($G$8=$E$8,$F$8,IF(R790&lt;($F$8-$E$8)/($G$8-$E$8),$E$8+SQRT(R790*($G$8-$E$8)*($F$8-$E$8)),$G$8-SQRT((1-R790)*($G$8-$E$8)*($G$8-$F$8))))</f>
        <v>0.962443976833041</v>
      </c>
      <c r="E790" s="37" t="n">
        <f aca="false">1+IF($G$9=$E$9,$F$9,IF(S790&lt;($F$9-$E$9)/($G$9-$E$9),$E$9+SQRT(S790*($G$9-$E$9)*($F$9-$E$9)),$G$9-SQRT((1-S790)*($G$9-$E$9)*($G$9-$F$9))))</f>
        <v>0.986673339066253</v>
      </c>
      <c r="F790" s="37" t="n">
        <f aca="false">1+IF($G$10=$E$10,$F$10,IF(T790&lt;($F$10-$E$10)/($G$10-$E$10),$E$10+SQRT(T790*($G$10-$E$10)*($F$10-$E$10)),$G$10-SQRT((1-T790)*($G$10-$E$10)*($G$10-$F$10))))</f>
        <v>0.965567927233104</v>
      </c>
      <c r="G790" s="38" t="n">
        <f aca="false">IF($G$11=$E$11,$F$11,IF(U790&lt;($F$11-$E$11)/($G$11-$E$11),$E$11+SQRT(U790*($G$11-$E$11)*($F$11-$E$11)),$G$11-SQRT((1-U790)*($G$11-$E$11)*($G$11-$F$11))))</f>
        <v>0.0935191126588425</v>
      </c>
      <c r="H790" s="39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-1931135854.46621</v>
      </c>
      <c r="I790" s="39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4693931.727064</v>
      </c>
      <c r="J790" s="39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291722045.382938</v>
      </c>
      <c r="K790" s="39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627028555.400467</v>
      </c>
      <c r="L790" s="39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753019553.545944</v>
      </c>
      <c r="M790" s="39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919751834.976965</v>
      </c>
      <c r="N790" s="39" t="n">
        <f aca="false">IF(COUNT('Business Case'!B11:G11)=0,"",H790+NPV(G790,I790:M790))</f>
        <v>-88520199.2141907</v>
      </c>
      <c r="P790" s="40" t="n">
        <f aca="true">RAND()</f>
        <v>0.689135830698976</v>
      </c>
      <c r="Q790" s="40" t="n">
        <f aca="true">RAND()</f>
        <v>0.228585921796762</v>
      </c>
      <c r="R790" s="40" t="n">
        <f aca="true">RAND()</f>
        <v>0.0206470079228341</v>
      </c>
      <c r="S790" s="40" t="n">
        <f aca="true">RAND()</f>
        <v>0.300490708195749</v>
      </c>
      <c r="T790" s="40" t="n">
        <f aca="true">RAND()</f>
        <v>0.0161573572223489</v>
      </c>
      <c r="U790" s="40" t="n">
        <f aca="true">RAND()</f>
        <v>0.182766407082476</v>
      </c>
    </row>
    <row r="791" customFormat="false" ht="15" hidden="false" customHeight="false" outlineLevel="0" collapsed="false">
      <c r="A791" s="36" t="n">
        <v>711</v>
      </c>
      <c r="B791" s="37" t="n">
        <f aca="false">1+IF($G$6=$E$6,$F$6,IF(P791&lt;($F$6-$E$6)/($G$6-$E$6),$E$6+SQRT(P791*($G$6-$E$6)*($F$6-$E$6)),$G$6-SQRT((1-P791)*($G$6-$E$6)*($G$6-$F$6))))</f>
        <v>1.02865378511299</v>
      </c>
      <c r="C791" s="37" t="n">
        <f aca="false">1+IF($G$7=$E$7,$F$7,IF(Q791&lt;($F$7-$E$7)/($G$7-$E$7),$E$7+SQRT(Q791*($G$7-$E$7)*($F$7-$E$7)),$G$7-SQRT((1-Q791)*($G$7-$E$7)*($G$7-$F$7))))</f>
        <v>0.943020732117008</v>
      </c>
      <c r="D791" s="37" t="n">
        <f aca="false">1+IF($G$8=$E$8,$F$8,IF(R791&lt;($F$8-$E$8)/($G$8-$E$8),$E$8+SQRT(R791*($G$8-$E$8)*($F$8-$E$8)),$G$8-SQRT((1-R791)*($G$8-$E$8)*($G$8-$F$8))))</f>
        <v>0.99884688655986</v>
      </c>
      <c r="E791" s="37" t="n">
        <f aca="false">1+IF($G$9=$E$9,$F$9,IF(S791&lt;($F$9-$E$9)/($G$9-$E$9),$E$9+SQRT(S791*($G$9-$E$9)*($F$9-$E$9)),$G$9-SQRT((1-S791)*($G$9-$E$9)*($G$9-$F$9))))</f>
        <v>1.05347923554662</v>
      </c>
      <c r="F791" s="37" t="n">
        <f aca="false">1+IF($G$10=$E$10,$F$10,IF(T791&lt;($F$10-$E$10)/($G$10-$E$10),$E$10+SQRT(T791*($G$10-$E$10)*($F$10-$E$10)),$G$10-SQRT((1-T791)*($G$10-$E$10)*($G$10-$F$10))))</f>
        <v>1.08138748129872</v>
      </c>
      <c r="G791" s="38" t="n">
        <f aca="false">IF($G$11=$E$11,$F$11,IF(U791&lt;($F$11-$E$11)/($G$11-$E$11),$E$11+SQRT(U791*($G$11-$E$11)*($F$11-$E$11)),$G$11-SQRT((1-U791)*($G$11-$E$11)*($G$11-$F$11))))</f>
        <v>0.115386303086902</v>
      </c>
      <c r="H791" s="39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-2162774962.59744</v>
      </c>
      <c r="I791" s="39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4109143.48745012</v>
      </c>
      <c r="J791" s="39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316448751.67189</v>
      </c>
      <c r="K791" s="39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682857733.921266</v>
      </c>
      <c r="L791" s="39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820495582.831006</v>
      </c>
      <c r="M791" s="39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1004881136.82976</v>
      </c>
      <c r="N791" s="39" t="n">
        <f aca="false">IF(COUNT('Business Case'!B11:G11)=0,"",H791+NPV(G791,I791:M791))</f>
        <v>-300419159.695474</v>
      </c>
      <c r="P791" s="40" t="n">
        <f aca="true">RAND()</f>
        <v>0.939245214666341</v>
      </c>
      <c r="Q791" s="40" t="n">
        <f aca="true">RAND()</f>
        <v>0.437474638805084</v>
      </c>
      <c r="R791" s="40" t="n">
        <f aca="true">RAND()</f>
        <v>0.318135776878912</v>
      </c>
      <c r="S791" s="40" t="n">
        <f aca="true">RAND()</f>
        <v>0.751566454115616</v>
      </c>
      <c r="T791" s="40" t="n">
        <f aca="true">RAND()</f>
        <v>0.620930913829476</v>
      </c>
      <c r="U791" s="40" t="n">
        <f aca="true">RAND()</f>
        <v>0.857626575021406</v>
      </c>
    </row>
    <row r="792" customFormat="false" ht="15" hidden="false" customHeight="false" outlineLevel="0" collapsed="false">
      <c r="A792" s="36" t="n">
        <v>712</v>
      </c>
      <c r="B792" s="37" t="n">
        <f aca="false">1+IF($G$6=$E$6,$F$6,IF(P792&lt;($F$6-$E$6)/($G$6-$E$6),$E$6+SQRT(P792*($G$6-$E$6)*($F$6-$E$6)),$G$6-SQRT((1-P792)*($G$6-$E$6)*($G$6-$F$6))))</f>
        <v>0.99402327707093</v>
      </c>
      <c r="C792" s="37" t="n">
        <f aca="false">1+IF($G$7=$E$7,$F$7,IF(Q792&lt;($F$7-$E$7)/($G$7-$E$7),$E$7+SQRT(Q792*($G$7-$E$7)*($F$7-$E$7)),$G$7-SQRT((1-Q792)*($G$7-$E$7)*($G$7-$F$7))))</f>
        <v>0.929503073050711</v>
      </c>
      <c r="D792" s="37" t="n">
        <f aca="false">1+IF($G$8=$E$8,$F$8,IF(R792&lt;($F$8-$E$8)/($G$8-$E$8),$E$8+SQRT(R792*($G$8-$E$8)*($F$8-$E$8)),$G$8-SQRT((1-R792)*($G$8-$E$8)*($G$8-$F$8))))</f>
        <v>1.04444723677242</v>
      </c>
      <c r="E792" s="37" t="n">
        <f aca="false">1+IF($G$9=$E$9,$F$9,IF(S792&lt;($F$9-$E$9)/($G$9-$E$9),$E$9+SQRT(S792*($G$9-$E$9)*($F$9-$E$9)),$G$9-SQRT((1-S792)*($G$9-$E$9)*($G$9-$F$9))))</f>
        <v>0.960198441901352</v>
      </c>
      <c r="F792" s="37" t="n">
        <f aca="false">1+IF($G$10=$E$10,$F$10,IF(T792&lt;($F$10-$E$10)/($G$10-$E$10),$E$10+SQRT(T792*($G$10-$E$10)*($F$10-$E$10)),$G$10-SQRT((1-T792)*($G$10-$E$10)*($G$10-$F$10))))</f>
        <v>1.05806988713673</v>
      </c>
      <c r="G792" s="38" t="n">
        <f aca="false">IF($G$11=$E$11,$F$11,IF(U792&lt;($F$11-$E$11)/($G$11-$E$11),$E$11+SQRT(U792*($G$11-$E$11)*($F$11-$E$11)),$G$11-SQRT((1-U792)*($G$11-$E$11)*($G$11-$F$11))))</f>
        <v>0.0995513676378439</v>
      </c>
      <c r="H792" s="39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-2116139774.27346</v>
      </c>
      <c r="I792" s="39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-30445568.2554848</v>
      </c>
      <c r="J792" s="39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229353518.928071</v>
      </c>
      <c r="K792" s="39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542056100.468464</v>
      </c>
      <c r="L792" s="39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660587428.387646</v>
      </c>
      <c r="M792" s="39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836211405.439964</v>
      </c>
      <c r="N792" s="39" t="n">
        <f aca="false">IF(COUNT('Business Case'!B11:G11)=0,"",H792+NPV(G792,I792:M792))</f>
        <v>-574163788.337965</v>
      </c>
      <c r="P792" s="40" t="n">
        <f aca="true">RAND()</f>
        <v>0.589358442077128</v>
      </c>
      <c r="Q792" s="40" t="n">
        <f aca="true">RAND()</f>
        <v>0.390160448442369</v>
      </c>
      <c r="R792" s="40" t="n">
        <f aca="true">RAND()</f>
        <v>0.794259366518669</v>
      </c>
      <c r="S792" s="40" t="n">
        <f aca="true">RAND()</f>
        <v>0.144954096294016</v>
      </c>
      <c r="T792" s="40" t="n">
        <f aca="true">RAND()</f>
        <v>0.508837757017231</v>
      </c>
      <c r="U792" s="40" t="n">
        <f aca="true">RAND()</f>
        <v>0.382255976510128</v>
      </c>
    </row>
    <row r="793" customFormat="false" ht="15" hidden="false" customHeight="false" outlineLevel="0" collapsed="false">
      <c r="A793" s="36" t="n">
        <v>713</v>
      </c>
      <c r="B793" s="37" t="n">
        <f aca="false">1+IF($G$6=$E$6,$F$6,IF(P793&lt;($F$6-$E$6)/($G$6-$E$6),$E$6+SQRT(P793*($G$6-$E$6)*($F$6-$E$6)),$G$6-SQRT((1-P793)*($G$6-$E$6)*($G$6-$F$6))))</f>
        <v>0.98695936385914</v>
      </c>
      <c r="C793" s="37" t="n">
        <f aca="false">1+IF($G$7=$E$7,$F$7,IF(Q793&lt;($F$7-$E$7)/($G$7-$E$7),$E$7+SQRT(Q793*($G$7-$E$7)*($F$7-$E$7)),$G$7-SQRT((1-Q793)*($G$7-$E$7)*($G$7-$F$7))))</f>
        <v>0.999913503250797</v>
      </c>
      <c r="D793" s="37" t="n">
        <f aca="false">1+IF($G$8=$E$8,$F$8,IF(R793&lt;($F$8-$E$8)/($G$8-$E$8),$E$8+SQRT(R793*($G$8-$E$8)*($F$8-$E$8)),$G$8-SQRT((1-R793)*($G$8-$E$8)*($G$8-$F$8))))</f>
        <v>0.970067659759248</v>
      </c>
      <c r="E793" s="37" t="n">
        <f aca="false">1+IF($G$9=$E$9,$F$9,IF(S793&lt;($F$9-$E$9)/($G$9-$E$9),$E$9+SQRT(S793*($G$9-$E$9)*($F$9-$E$9)),$G$9-SQRT((1-S793)*($G$9-$E$9)*($G$9-$F$9))))</f>
        <v>0.984259503458961</v>
      </c>
      <c r="F793" s="37" t="n">
        <f aca="false">1+IF($G$10=$E$10,$F$10,IF(T793&lt;($F$10-$E$10)/($G$10-$E$10),$E$10+SQRT(T793*($G$10-$E$10)*($F$10-$E$10)),$G$10-SQRT((1-T793)*($G$10-$E$10)*($G$10-$F$10))))</f>
        <v>1.04234892498542</v>
      </c>
      <c r="G793" s="38" t="n">
        <f aca="false">IF($G$11=$E$11,$F$11,IF(U793&lt;($F$11-$E$11)/($G$11-$E$11),$E$11+SQRT(U793*($G$11-$E$11)*($F$11-$E$11)),$G$11-SQRT((1-U793)*($G$11-$E$11)*($G$11-$F$11))))</f>
        <v>0.094531799992508</v>
      </c>
      <c r="H793" s="39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-2084697849.97085</v>
      </c>
      <c r="I793" s="39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16410632.7501416</v>
      </c>
      <c r="J793" s="39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328177407.29577</v>
      </c>
      <c r="K793" s="39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692061628.09067</v>
      </c>
      <c r="L793" s="39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830090251.542599</v>
      </c>
      <c r="M793" s="39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1017675260.52789</v>
      </c>
      <c r="N793" s="39" t="n">
        <f aca="false">IF(COUNT('Business Case'!B11:G11)=0,"",H793+NPV(G793,I793:M793))</f>
        <v>-41761334.2296002</v>
      </c>
      <c r="P793" s="40" t="n">
        <f aca="true">RAND()</f>
        <v>0.504128730852424</v>
      </c>
      <c r="Q793" s="40" t="n">
        <f aca="true">RAND()</f>
        <v>0.666282292090119</v>
      </c>
      <c r="R793" s="40" t="n">
        <f aca="true">RAND()</f>
        <v>0.053694795761725</v>
      </c>
      <c r="S793" s="40" t="n">
        <f aca="true">RAND()</f>
        <v>0.283986556926027</v>
      </c>
      <c r="T793" s="40" t="n">
        <f aca="true">RAND()</f>
        <v>0.425080413937204</v>
      </c>
      <c r="U793" s="40" t="n">
        <f aca="true">RAND()</f>
        <v>0.211173211022255</v>
      </c>
    </row>
    <row r="794" customFormat="false" ht="15" hidden="false" customHeight="false" outlineLevel="0" collapsed="false">
      <c r="A794" s="36" t="n">
        <v>714</v>
      </c>
      <c r="B794" s="37" t="n">
        <f aca="false">1+IF($G$6=$E$6,$F$6,IF(P794&lt;($F$6-$E$6)/($G$6-$E$6),$E$6+SQRT(P794*($G$6-$E$6)*($F$6-$E$6)),$G$6-SQRT((1-P794)*($G$6-$E$6)*($G$6-$F$6))))</f>
        <v>0.968833823246037</v>
      </c>
      <c r="C794" s="37" t="n">
        <f aca="false">1+IF($G$7=$E$7,$F$7,IF(Q794&lt;($F$7-$E$7)/($G$7-$E$7),$E$7+SQRT(Q794*($G$7-$E$7)*($F$7-$E$7)),$G$7-SQRT((1-Q794)*($G$7-$E$7)*($G$7-$F$7))))</f>
        <v>1.11897782155703</v>
      </c>
      <c r="D794" s="37" t="n">
        <f aca="false">1+IF($G$8=$E$8,$F$8,IF(R794&lt;($F$8-$E$8)/($G$8-$E$8),$E$8+SQRT(R794*($G$8-$E$8)*($F$8-$E$8)),$G$8-SQRT((1-R794)*($G$8-$E$8)*($G$8-$F$8))))</f>
        <v>1.00838561126841</v>
      </c>
      <c r="E794" s="37" t="n">
        <f aca="false">1+IF($G$9=$E$9,$F$9,IF(S794&lt;($F$9-$E$9)/($G$9-$E$9),$E$9+SQRT(S794*($G$9-$E$9)*($F$9-$E$9)),$G$9-SQRT((1-S794)*($G$9-$E$9)*($G$9-$F$9))))</f>
        <v>1.08642817661014</v>
      </c>
      <c r="F794" s="37" t="n">
        <f aca="false">1+IF($G$10=$E$10,$F$10,IF(T794&lt;($F$10-$E$10)/($G$10-$E$10),$E$10+SQRT(T794*($G$10-$E$10)*($F$10-$E$10)),$G$10-SQRT((1-T794)*($G$10-$E$10)*($G$10-$F$10))))</f>
        <v>0.99327075030374</v>
      </c>
      <c r="G794" s="38" t="n">
        <f aca="false">IF($G$11=$E$11,$F$11,IF(U794&lt;($F$11-$E$11)/($G$11-$E$11),$E$11+SQRT(U794*($G$11-$E$11)*($F$11-$E$11)),$G$11-SQRT((1-U794)*($G$11-$E$11)*($G$11-$F$11))))</f>
        <v>0.109746129711069</v>
      </c>
      <c r="H794" s="39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-1986541500.60748</v>
      </c>
      <c r="I794" s="39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311149.540985331</v>
      </c>
      <c r="J794" s="39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310639389.427852</v>
      </c>
      <c r="K794" s="39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670631166.829906</v>
      </c>
      <c r="L794" s="39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811540532.52656</v>
      </c>
      <c r="M794" s="39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1017606937.3989</v>
      </c>
      <c r="N794" s="39" t="n">
        <f aca="false">IF(COUNT('Business Case'!B11:G11)=0,"",H794+NPV(G794,I794:M794))</f>
        <v>-103660032.150769</v>
      </c>
      <c r="P794" s="40" t="n">
        <f aca="true">RAND()</f>
        <v>0.315873014844447</v>
      </c>
      <c r="Q794" s="40" t="n">
        <f aca="true">RAND()</f>
        <v>0.985742584365219</v>
      </c>
      <c r="R794" s="40" t="n">
        <f aca="true">RAND()</f>
        <v>0.44045358515586</v>
      </c>
      <c r="S794" s="40" t="n">
        <f aca="true">RAND()</f>
        <v>0.892229953890351</v>
      </c>
      <c r="T794" s="40" t="n">
        <f aca="true">RAND()</f>
        <v>0.124823855456573</v>
      </c>
      <c r="U794" s="40" t="n">
        <f aca="true">RAND()</f>
        <v>0.726520492212769</v>
      </c>
    </row>
    <row r="795" customFormat="false" ht="15" hidden="false" customHeight="false" outlineLevel="0" collapsed="false">
      <c r="A795" s="36" t="n">
        <v>715</v>
      </c>
      <c r="B795" s="37" t="n">
        <f aca="false">1+IF($G$6=$E$6,$F$6,IF(P795&lt;($F$6-$E$6)/($G$6-$E$6),$E$6+SQRT(P795*($G$6-$E$6)*($F$6-$E$6)),$G$6-SQRT((1-P795)*($G$6-$E$6)*($G$6-$F$6))))</f>
        <v>0.999065755969553</v>
      </c>
      <c r="C795" s="37" t="n">
        <f aca="false">1+IF($G$7=$E$7,$F$7,IF(Q795&lt;($F$7-$E$7)/($G$7-$E$7),$E$7+SQRT(Q795*($G$7-$E$7)*($F$7-$E$7)),$G$7-SQRT((1-Q795)*($G$7-$E$7)*($G$7-$F$7))))</f>
        <v>0.880162604018725</v>
      </c>
      <c r="D795" s="37" t="n">
        <f aca="false">1+IF($G$8=$E$8,$F$8,IF(R795&lt;($F$8-$E$8)/($G$8-$E$8),$E$8+SQRT(R795*($G$8-$E$8)*($F$8-$E$8)),$G$8-SQRT((1-R795)*($G$8-$E$8)*($G$8-$F$8))))</f>
        <v>1.01261268037079</v>
      </c>
      <c r="E795" s="37" t="n">
        <f aca="false">1+IF($G$9=$E$9,$F$9,IF(S795&lt;($F$9-$E$9)/($G$9-$E$9),$E$9+SQRT(S795*($G$9-$E$9)*($F$9-$E$9)),$G$9-SQRT((1-S795)*($G$9-$E$9)*($G$9-$F$9))))</f>
        <v>0.980456792006667</v>
      </c>
      <c r="F795" s="37" t="n">
        <f aca="false">1+IF($G$10=$E$10,$F$10,IF(T795&lt;($F$10-$E$10)/($G$10-$E$10),$E$10+SQRT(T795*($G$10-$E$10)*($F$10-$E$10)),$G$10-SQRT((1-T795)*($G$10-$E$10)*($G$10-$F$10))))</f>
        <v>1.07285224020894</v>
      </c>
      <c r="G795" s="38" t="n">
        <f aca="false">IF($G$11=$E$11,$F$11,IF(U795&lt;($F$11-$E$11)/($G$11-$E$11),$E$11+SQRT(U795*($G$11-$E$11)*($F$11-$E$11)),$G$11-SQRT((1-U795)*($G$11-$E$11)*($G$11-$F$11))))</f>
        <v>0.109710178751959</v>
      </c>
      <c r="H795" s="39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-2145704480.41787</v>
      </c>
      <c r="I795" s="39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-28303920.9425062</v>
      </c>
      <c r="J795" s="39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235683340.011177</v>
      </c>
      <c r="K795" s="39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553313212.975306</v>
      </c>
      <c r="L795" s="39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671698967.994499</v>
      </c>
      <c r="M795" s="39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838843975.518307</v>
      </c>
      <c r="N795" s="39" t="n">
        <f aca="false">IF(COUNT('Business Case'!B11:G11)=0,"",H795+NPV(G795,I795:M795))</f>
        <v>-633534620.62471</v>
      </c>
      <c r="P795" s="40" t="n">
        <f aca="true">RAND()</f>
        <v>0.654268267054598</v>
      </c>
      <c r="Q795" s="40" t="n">
        <f aca="true">RAND()</f>
        <v>0.240433806568947</v>
      </c>
      <c r="R795" s="40" t="n">
        <f aca="true">RAND()</f>
        <v>0.490897091201439</v>
      </c>
      <c r="S795" s="40" t="n">
        <f aca="true">RAND()</f>
        <v>0.258931815200163</v>
      </c>
      <c r="T795" s="40" t="n">
        <f aca="true">RAND()</f>
        <v>0.581582282680104</v>
      </c>
      <c r="U795" s="40" t="n">
        <f aca="true">RAND()</f>
        <v>0.725548769148351</v>
      </c>
    </row>
    <row r="796" customFormat="false" ht="15" hidden="false" customHeight="false" outlineLevel="0" collapsed="false">
      <c r="A796" s="36" t="n">
        <v>716</v>
      </c>
      <c r="B796" s="37" t="n">
        <f aca="false">1+IF($G$6=$E$6,$F$6,IF(P796&lt;($F$6-$E$6)/($G$6-$E$6),$E$6+SQRT(P796*($G$6-$E$6)*($F$6-$E$6)),$G$6-SQRT((1-P796)*($G$6-$E$6)*($G$6-$F$6))))</f>
        <v>0.96560866727563</v>
      </c>
      <c r="C796" s="37" t="n">
        <f aca="false">1+IF($G$7=$E$7,$F$7,IF(Q796&lt;($F$7-$E$7)/($G$7-$E$7),$E$7+SQRT(Q796*($G$7-$E$7)*($F$7-$E$7)),$G$7-SQRT((1-Q796)*($G$7-$E$7)*($G$7-$F$7))))</f>
        <v>0.949477670377826</v>
      </c>
      <c r="D796" s="37" t="n">
        <f aca="false">1+IF($G$8=$E$8,$F$8,IF(R796&lt;($F$8-$E$8)/($G$8-$E$8),$E$8+SQRT(R796*($G$8-$E$8)*($F$8-$E$8)),$G$8-SQRT((1-R796)*($G$8-$E$8)*($G$8-$F$8))))</f>
        <v>0.993293030855823</v>
      </c>
      <c r="E796" s="37" t="n">
        <f aca="false">1+IF($G$9=$E$9,$F$9,IF(S796&lt;($F$9-$E$9)/($G$9-$E$9),$E$9+SQRT(S796*($G$9-$E$9)*($F$9-$E$9)),$G$9-SQRT((1-S796)*($G$9-$E$9)*($G$9-$F$9))))</f>
        <v>0.90599161993655</v>
      </c>
      <c r="F796" s="37" t="n">
        <f aca="false">1+IF($G$10=$E$10,$F$10,IF(T796&lt;($F$10-$E$10)/($G$10-$E$10),$E$10+SQRT(T796*($G$10-$E$10)*($F$10-$E$10)),$G$10-SQRT((1-T796)*($G$10-$E$10)*($G$10-$F$10))))</f>
        <v>1.1039725190302</v>
      </c>
      <c r="G796" s="38" t="n">
        <f aca="false">IF($G$11=$E$11,$F$11,IF(U796&lt;($F$11-$E$11)/($G$11-$E$11),$E$11+SQRT(U796*($G$11-$E$11)*($F$11-$E$11)),$G$11-SQRT((1-U796)*($G$11-$E$11)*($G$11-$F$11))))</f>
        <v>0.102874044442495</v>
      </c>
      <c r="H796" s="39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-2207945038.0604</v>
      </c>
      <c r="I796" s="39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-18609292.7809892</v>
      </c>
      <c r="J796" s="39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249538824.008033</v>
      </c>
      <c r="K796" s="39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572885566.748564</v>
      </c>
      <c r="L796" s="39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693953705.219581</v>
      </c>
      <c r="M796" s="39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868223586.030298</v>
      </c>
      <c r="N796" s="39" t="n">
        <f aca="false">IF(COUNT('Business Case'!B11:G11)=0,"",H796+NPV(G796,I796:M796))</f>
        <v>-591431276.146193</v>
      </c>
      <c r="P796" s="40" t="n">
        <f aca="true">RAND()</f>
        <v>0.286966481445617</v>
      </c>
      <c r="Q796" s="40" t="n">
        <f aca="true">RAND()</f>
        <v>0.461030429756647</v>
      </c>
      <c r="R796" s="40" t="n">
        <f aca="true">RAND()</f>
        <v>0.249904869424429</v>
      </c>
      <c r="S796" s="40" t="n">
        <f aca="true">RAND()</f>
        <v>0.00143598037856239</v>
      </c>
      <c r="T796" s="40" t="n">
        <f aca="true">RAND()</f>
        <v>0.715679664021523</v>
      </c>
      <c r="U796" s="40" t="n">
        <f aca="true">RAND()</f>
        <v>0.509455023394833</v>
      </c>
    </row>
    <row r="797" customFormat="false" ht="15" hidden="false" customHeight="false" outlineLevel="0" collapsed="false">
      <c r="A797" s="36" t="n">
        <v>717</v>
      </c>
      <c r="B797" s="37" t="n">
        <f aca="false">1+IF($G$6=$E$6,$F$6,IF(P797&lt;($F$6-$E$6)/($G$6-$E$6),$E$6+SQRT(P797*($G$6-$E$6)*($F$6-$E$6)),$G$6-SQRT((1-P797)*($G$6-$E$6)*($G$6-$F$6))))</f>
        <v>0.97297683462324</v>
      </c>
      <c r="C797" s="37" t="n">
        <f aca="false">1+IF($G$7=$E$7,$F$7,IF(Q797&lt;($F$7-$E$7)/($G$7-$E$7),$E$7+SQRT(Q797*($G$7-$E$7)*($F$7-$E$7)),$G$7-SQRT((1-Q797)*($G$7-$E$7)*($G$7-$F$7))))</f>
        <v>0.905097651898964</v>
      </c>
      <c r="D797" s="37" t="n">
        <f aca="false">1+IF($G$8=$E$8,$F$8,IF(R797&lt;($F$8-$E$8)/($G$8-$E$8),$E$8+SQRT(R797*($G$8-$E$8)*($F$8-$E$8)),$G$8-SQRT((1-R797)*($G$8-$E$8)*($G$8-$F$8))))</f>
        <v>1.0104017436799</v>
      </c>
      <c r="E797" s="37" t="n">
        <f aca="false">1+IF($G$9=$E$9,$F$9,IF(S797&lt;($F$9-$E$9)/($G$9-$E$9),$E$9+SQRT(S797*($G$9-$E$9)*($F$9-$E$9)),$G$9-SQRT((1-S797)*($G$9-$E$9)*($G$9-$F$9))))</f>
        <v>0.964667012258435</v>
      </c>
      <c r="F797" s="37" t="n">
        <f aca="false">1+IF($G$10=$E$10,$F$10,IF(T797&lt;($F$10-$E$10)/($G$10-$E$10),$E$10+SQRT(T797*($G$10-$E$10)*($F$10-$E$10)),$G$10-SQRT((1-T797)*($G$10-$E$10)*($G$10-$F$10))))</f>
        <v>1.12332943878514</v>
      </c>
      <c r="G797" s="38" t="n">
        <f aca="false">IF($G$11=$E$11,$F$11,IF(U797&lt;($F$11-$E$11)/($G$11-$E$11),$E$11+SQRT(U797*($G$11-$E$11)*($F$11-$E$11)),$G$11-SQRT((1-U797)*($G$11-$E$11)*($G$11-$F$11))))</f>
        <v>0.09978670933125</v>
      </c>
      <c r="H797" s="39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-2246658877.57028</v>
      </c>
      <c r="I797" s="39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-42011243.4711169</v>
      </c>
      <c r="J797" s="39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211138434.346909</v>
      </c>
      <c r="K797" s="39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520454584.104191</v>
      </c>
      <c r="L797" s="39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635272695.555185</v>
      </c>
      <c r="M797" s="39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802664565.869275</v>
      </c>
      <c r="N797" s="39" t="n">
        <f aca="false">IF(COUNT('Business Case'!B11:G11)=0,"",H797+NPV(G797,I797:M797))</f>
        <v>-785931767.328899</v>
      </c>
      <c r="P797" s="40" t="n">
        <f aca="true">RAND()</f>
        <v>0.355041226108516</v>
      </c>
      <c r="Q797" s="40" t="n">
        <f aca="true">RAND()</f>
        <v>0.311592939366433</v>
      </c>
      <c r="R797" s="40" t="n">
        <f aca="true">RAND()</f>
        <v>0.464810164293146</v>
      </c>
      <c r="S797" s="40" t="n">
        <f aca="true">RAND()</f>
        <v>0.167272898977305</v>
      </c>
      <c r="T797" s="40" t="n">
        <f aca="true">RAND()</f>
        <v>0.786060918953492</v>
      </c>
      <c r="U797" s="40" t="n">
        <f aca="true">RAND()</f>
        <v>0.391513866159376</v>
      </c>
    </row>
    <row r="798" customFormat="false" ht="15" hidden="false" customHeight="false" outlineLevel="0" collapsed="false">
      <c r="A798" s="36" t="n">
        <v>718</v>
      </c>
      <c r="B798" s="37" t="n">
        <f aca="false">1+IF($G$6=$E$6,$F$6,IF(P798&lt;($F$6-$E$6)/($G$6-$E$6),$E$6+SQRT(P798*($G$6-$E$6)*($F$6-$E$6)),$G$6-SQRT((1-P798)*($G$6-$E$6)*($G$6-$F$6))))</f>
        <v>0.993192126389217</v>
      </c>
      <c r="C798" s="37" t="n">
        <f aca="false">1+IF($G$7=$E$7,$F$7,IF(Q798&lt;($F$7-$E$7)/($G$7-$E$7),$E$7+SQRT(Q798*($G$7-$E$7)*($F$7-$E$7)),$G$7-SQRT((1-Q798)*($G$7-$E$7)*($G$7-$F$7))))</f>
        <v>0.76933233667251</v>
      </c>
      <c r="D798" s="37" t="n">
        <f aca="false">1+IF($G$8=$E$8,$F$8,IF(R798&lt;($F$8-$E$8)/($G$8-$E$8),$E$8+SQRT(R798*($G$8-$E$8)*($F$8-$E$8)),$G$8-SQRT((1-R798)*($G$8-$E$8)*($G$8-$F$8))))</f>
        <v>0.990121247230911</v>
      </c>
      <c r="E798" s="37" t="n">
        <f aca="false">1+IF($G$9=$E$9,$F$9,IF(S798&lt;($F$9-$E$9)/($G$9-$E$9),$E$9+SQRT(S798*($G$9-$E$9)*($F$9-$E$9)),$G$9-SQRT((1-S798)*($G$9-$E$9)*($G$9-$F$9))))</f>
        <v>0.981342312218601</v>
      </c>
      <c r="F798" s="37" t="n">
        <f aca="false">1+IF($G$10=$E$10,$F$10,IF(T798&lt;($F$10-$E$10)/($G$10-$E$10),$E$10+SQRT(T798*($G$10-$E$10)*($F$10-$E$10)),$G$10-SQRT((1-T798)*($G$10-$E$10)*($G$10-$F$10))))</f>
        <v>1.06229953649826</v>
      </c>
      <c r="G798" s="38" t="n">
        <f aca="false">IF($G$11=$E$11,$F$11,IF(U798&lt;($F$11-$E$11)/($G$11-$E$11),$E$11+SQRT(U798*($G$11-$E$11)*($F$11-$E$11)),$G$11-SQRT((1-U798)*($G$11-$E$11)*($G$11-$F$11))))</f>
        <v>0.110579862694783</v>
      </c>
      <c r="H798" s="39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-2124599072.99652</v>
      </c>
      <c r="I798" s="39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-49484829.2901532</v>
      </c>
      <c r="J798" s="39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186417847.302614</v>
      </c>
      <c r="K798" s="39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475435500.720295</v>
      </c>
      <c r="L798" s="39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580476843.208291</v>
      </c>
      <c r="M798" s="39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725715986.472193</v>
      </c>
      <c r="N798" s="39" t="n">
        <f aca="false">IF(COUNT('Business Case'!B11:G11)=0,"",H798+NPV(G798,I798:M798))</f>
        <v>-859789619.647225</v>
      </c>
      <c r="P798" s="40" t="n">
        <f aca="true">RAND()</f>
        <v>0.57898482806292</v>
      </c>
      <c r="Q798" s="40" t="n">
        <f aca="true">RAND()</f>
        <v>0.0356072067294089</v>
      </c>
      <c r="R798" s="40" t="n">
        <f aca="true">RAND()</f>
        <v>0.214628597248517</v>
      </c>
      <c r="S798" s="40" t="n">
        <f aca="true">RAND()</f>
        <v>0.264662870282735</v>
      </c>
      <c r="T798" s="40" t="n">
        <f aca="true">RAND()</f>
        <v>0.530247146683097</v>
      </c>
      <c r="U798" s="40" t="n">
        <f aca="true">RAND()</f>
        <v>0.748572178031007</v>
      </c>
    </row>
    <row r="799" customFormat="false" ht="15" hidden="false" customHeight="false" outlineLevel="0" collapsed="false">
      <c r="A799" s="36" t="n">
        <v>719</v>
      </c>
      <c r="B799" s="37" t="n">
        <f aca="false">1+IF($G$6=$E$6,$F$6,IF(P799&lt;($F$6-$E$6)/($G$6-$E$6),$E$6+SQRT(P799*($G$6-$E$6)*($F$6-$E$6)),$G$6-SQRT((1-P799)*($G$6-$E$6)*($G$6-$F$6))))</f>
        <v>0.931690879123297</v>
      </c>
      <c r="C799" s="37" t="n">
        <f aca="false">1+IF($G$7=$E$7,$F$7,IF(Q799&lt;($F$7-$E$7)/($G$7-$E$7),$E$7+SQRT(Q799*($G$7-$E$7)*($F$7-$E$7)),$G$7-SQRT((1-Q799)*($G$7-$E$7)*($G$7-$F$7))))</f>
        <v>0.954290349690039</v>
      </c>
      <c r="D799" s="37" t="n">
        <f aca="false">1+IF($G$8=$E$8,$F$8,IF(R799&lt;($F$8-$E$8)/($G$8-$E$8),$E$8+SQRT(R799*($G$8-$E$8)*($F$8-$E$8)),$G$8-SQRT((1-R799)*($G$8-$E$8)*($G$8-$F$8))))</f>
        <v>1.02806875521298</v>
      </c>
      <c r="E799" s="37" t="n">
        <f aca="false">1+IF($G$9=$E$9,$F$9,IF(S799&lt;($F$9-$E$9)/($G$9-$E$9),$E$9+SQRT(S799*($G$9-$E$9)*($F$9-$E$9)),$G$9-SQRT((1-S799)*($G$9-$E$9)*($G$9-$F$9))))</f>
        <v>0.950583925206943</v>
      </c>
      <c r="F799" s="37" t="n">
        <f aca="false">1+IF($G$10=$E$10,$F$10,IF(T799&lt;($F$10-$E$10)/($G$10-$E$10),$E$10+SQRT(T799*($G$10-$E$10)*($F$10-$E$10)),$G$10-SQRT((1-T799)*($G$10-$E$10)*($G$10-$F$10))))</f>
        <v>1.00682896147993</v>
      </c>
      <c r="G799" s="38" t="n">
        <f aca="false">IF($G$11=$E$11,$F$11,IF(U799&lt;($F$11-$E$11)/($G$11-$E$11),$E$11+SQRT(U799*($G$11-$E$11)*($F$11-$E$11)),$G$11-SQRT((1-U799)*($G$11-$E$11)*($G$11-$F$11))))</f>
        <v>0.106955717232239</v>
      </c>
      <c r="H799" s="39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-2013657922.95985</v>
      </c>
      <c r="I799" s="39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-55939658.6647355</v>
      </c>
      <c r="J799" s="39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170067744.376337</v>
      </c>
      <c r="K799" s="39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446416595.491406</v>
      </c>
      <c r="L799" s="39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552479817.434022</v>
      </c>
      <c r="M799" s="39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721480632.543112</v>
      </c>
      <c r="N799" s="39" t="n">
        <f aca="false">IF(COUNT('Business Case'!B11:G11)=0,"",H799+NPV(G799,I799:M799))</f>
        <v>-794245841.88864</v>
      </c>
      <c r="P799" s="40" t="n">
        <f aca="true">RAND()</f>
        <v>0.0669541213071611</v>
      </c>
      <c r="Q799" s="40" t="n">
        <f aca="true">RAND()</f>
        <v>0.47898949589246</v>
      </c>
      <c r="R799" s="40" t="n">
        <f aca="true">RAND()</f>
        <v>0.655059734892698</v>
      </c>
      <c r="S799" s="40" t="n">
        <f aca="true">RAND()</f>
        <v>0.102349339573665</v>
      </c>
      <c r="T799" s="40" t="n">
        <f aca="true">RAND()</f>
        <v>0.21157128033425</v>
      </c>
      <c r="U799" s="40" t="n">
        <f aca="true">RAND()</f>
        <v>0.645974021146304</v>
      </c>
    </row>
    <row r="800" customFormat="false" ht="15" hidden="false" customHeight="false" outlineLevel="0" collapsed="false">
      <c r="A800" s="36" t="n">
        <v>720</v>
      </c>
      <c r="B800" s="37" t="n">
        <f aca="false">1+IF($G$6=$E$6,$F$6,IF(P800&lt;($F$6-$E$6)/($G$6-$E$6),$E$6+SQRT(P800*($G$6-$E$6)*($F$6-$E$6)),$G$6-SQRT((1-P800)*($G$6-$E$6)*($G$6-$F$6))))</f>
        <v>0.95790515833606</v>
      </c>
      <c r="C800" s="37" t="n">
        <f aca="false">1+IF($G$7=$E$7,$F$7,IF(Q800&lt;($F$7-$E$7)/($G$7-$E$7),$E$7+SQRT(Q800*($G$7-$E$7)*($F$7-$E$7)),$G$7-SQRT((1-Q800)*($G$7-$E$7)*($G$7-$F$7))))</f>
        <v>0.871715351817889</v>
      </c>
      <c r="D800" s="37" t="n">
        <f aca="false">1+IF($G$8=$E$8,$F$8,IF(R800&lt;($F$8-$E$8)/($G$8-$E$8),$E$8+SQRT(R800*($G$8-$E$8)*($F$8-$E$8)),$G$8-SQRT((1-R800)*($G$8-$E$8)*($G$8-$F$8))))</f>
        <v>0.992454332827168</v>
      </c>
      <c r="E800" s="37" t="n">
        <f aca="false">1+IF($G$9=$E$9,$F$9,IF(S800&lt;($F$9-$E$9)/($G$9-$E$9),$E$9+SQRT(S800*($G$9-$E$9)*($F$9-$E$9)),$G$9-SQRT((1-S800)*($G$9-$E$9)*($G$9-$F$9))))</f>
        <v>1.11707830546255</v>
      </c>
      <c r="F800" s="37" t="n">
        <f aca="false">1+IF($G$10=$E$10,$F$10,IF(T800&lt;($F$10-$E$10)/($G$10-$E$10),$E$10+SQRT(T800*($G$10-$E$10)*($F$10-$E$10)),$G$10-SQRT((1-T800)*($G$10-$E$10)*($G$10-$F$10))))</f>
        <v>1.1894110799875</v>
      </c>
      <c r="G800" s="38" t="n">
        <f aca="false">IF($G$11=$E$11,$F$11,IF(U800&lt;($F$11-$E$11)/($G$11-$E$11),$E$11+SQRT(U800*($G$11-$E$11)*($F$11-$E$11)),$G$11-SQRT((1-U800)*($G$11-$E$11)*($G$11-$F$11))))</f>
        <v>0.103411421329185</v>
      </c>
      <c r="H800" s="39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-2378822159.97501</v>
      </c>
      <c r="I800" s="39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-80016373.4951623</v>
      </c>
      <c r="J800" s="39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161044365.613632</v>
      </c>
      <c r="K800" s="39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461575658.721802</v>
      </c>
      <c r="L800" s="39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570787551.470355</v>
      </c>
      <c r="M800" s="39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729508273.22127</v>
      </c>
      <c r="N800" s="39" t="n">
        <f aca="false">IF(COUNT('Business Case'!B11:G11)=0,"",H800+NPV(G800,I800:M800))</f>
        <v>-1144419731.78764</v>
      </c>
      <c r="P800" s="40" t="n">
        <f aca="true">RAND()</f>
        <v>0.223533824128276</v>
      </c>
      <c r="Q800" s="40" t="n">
        <f aca="true">RAND()</f>
        <v>0.21841601518475</v>
      </c>
      <c r="R800" s="40" t="n">
        <f aca="true">RAND()</f>
        <v>0.240316050106666</v>
      </c>
      <c r="S800" s="40" t="n">
        <f aca="true">RAND()</f>
        <v>0.97109765410088</v>
      </c>
      <c r="T800" s="40" t="n">
        <f aca="true">RAND()</f>
        <v>0.951053103622924</v>
      </c>
      <c r="U800" s="40" t="n">
        <f aca="true">RAND()</f>
        <v>0.528698322843906</v>
      </c>
    </row>
    <row r="801" customFormat="false" ht="15" hidden="false" customHeight="false" outlineLevel="0" collapsed="false">
      <c r="A801" s="36" t="n">
        <v>721</v>
      </c>
      <c r="B801" s="37" t="n">
        <f aca="false">1+IF($G$6=$E$6,$F$6,IF(P801&lt;($F$6-$E$6)/($G$6-$E$6),$E$6+SQRT(P801*($G$6-$E$6)*($F$6-$E$6)),$G$6-SQRT((1-P801)*($G$6-$E$6)*($G$6-$F$6))))</f>
        <v>0.986267324149793</v>
      </c>
      <c r="C801" s="37" t="n">
        <f aca="false">1+IF($G$7=$E$7,$F$7,IF(Q801&lt;($F$7-$E$7)/($G$7-$E$7),$E$7+SQRT(Q801*($G$7-$E$7)*($F$7-$E$7)),$G$7-SQRT((1-Q801)*($G$7-$E$7)*($G$7-$F$7))))</f>
        <v>0.827836527191584</v>
      </c>
      <c r="D801" s="37" t="n">
        <f aca="false">1+IF($G$8=$E$8,$F$8,IF(R801&lt;($F$8-$E$8)/($G$8-$E$8),$E$8+SQRT(R801*($G$8-$E$8)*($F$8-$E$8)),$G$8-SQRT((1-R801)*($G$8-$E$8)*($G$8-$F$8))))</f>
        <v>1.02527449329614</v>
      </c>
      <c r="E801" s="37" t="n">
        <f aca="false">1+IF($G$9=$E$9,$F$9,IF(S801&lt;($F$9-$E$9)/($G$9-$E$9),$E$9+SQRT(S801*($G$9-$E$9)*($F$9-$E$9)),$G$9-SQRT((1-S801)*($G$9-$E$9)*($G$9-$F$9))))</f>
        <v>1.12280611704757</v>
      </c>
      <c r="F801" s="37" t="n">
        <f aca="false">1+IF($G$10=$E$10,$F$10,IF(T801&lt;($F$10-$E$10)/($G$10-$E$10),$E$10+SQRT(T801*($G$10-$E$10)*($F$10-$E$10)),$G$10-SQRT((1-T801)*($G$10-$E$10)*($G$10-$F$10))))</f>
        <v>1.15534119586419</v>
      </c>
      <c r="G801" s="38" t="n">
        <f aca="false">IF($G$11=$E$11,$F$11,IF(U801&lt;($F$11-$E$11)/($G$11-$E$11),$E$11+SQRT(U801*($G$11-$E$11)*($F$11-$E$11)),$G$11-SQRT((1-U801)*($G$11-$E$11)*($G$11-$F$11))))</f>
        <v>0.107941684359038</v>
      </c>
      <c r="H801" s="39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-2310682391.72837</v>
      </c>
      <c r="I801" s="39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-83273736.778412</v>
      </c>
      <c r="J801" s="39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150975383.033467</v>
      </c>
      <c r="K801" s="39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442991562.638555</v>
      </c>
      <c r="L801" s="39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549291740.68232</v>
      </c>
      <c r="M801" s="39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704486000.267913</v>
      </c>
      <c r="N801" s="39" t="n">
        <f aca="false">IF(COUNT('Business Case'!B11:G11)=0,"",H801+NPV(G801,I801:M801))</f>
        <v>-1150624255.43306</v>
      </c>
      <c r="P801" s="40" t="n">
        <f aca="true">RAND()</f>
        <v>0.496136747731034</v>
      </c>
      <c r="Q801" s="40" t="n">
        <f aca="true">RAND()</f>
        <v>0.121053168032627</v>
      </c>
      <c r="R801" s="40" t="n">
        <f aca="true">RAND()</f>
        <v>0.627739909856742</v>
      </c>
      <c r="S801" s="40" t="n">
        <f aca="true">RAND()</f>
        <v>0.980279806132523</v>
      </c>
      <c r="T801" s="40" t="n">
        <f aca="true">RAND()</f>
        <v>0.880529477327701</v>
      </c>
      <c r="U801" s="40" t="n">
        <f aca="true">RAND()</f>
        <v>0.675620474055805</v>
      </c>
    </row>
    <row r="802" customFormat="false" ht="15" hidden="false" customHeight="false" outlineLevel="0" collapsed="false">
      <c r="A802" s="36" t="n">
        <v>722</v>
      </c>
      <c r="B802" s="37" t="n">
        <f aca="false">1+IF($G$6=$E$6,$F$6,IF(P802&lt;($F$6-$E$6)/($G$6-$E$6),$E$6+SQRT(P802*($G$6-$E$6)*($F$6-$E$6)),$G$6-SQRT((1-P802)*($G$6-$E$6)*($G$6-$F$6))))</f>
        <v>0.988562698482319</v>
      </c>
      <c r="C802" s="37" t="n">
        <f aca="false">1+IF($G$7=$E$7,$F$7,IF(Q802&lt;($F$7-$E$7)/($G$7-$E$7),$E$7+SQRT(Q802*($G$7-$E$7)*($F$7-$E$7)),$G$7-SQRT((1-Q802)*($G$7-$E$7)*($G$7-$F$7))))</f>
        <v>1.03231773233455</v>
      </c>
      <c r="D802" s="37" t="n">
        <f aca="false">1+IF($G$8=$E$8,$F$8,IF(R802&lt;($F$8-$E$8)/($G$8-$E$8),$E$8+SQRT(R802*($G$8-$E$8)*($F$8-$E$8)),$G$8-SQRT((1-R802)*($G$8-$E$8)*($G$8-$F$8))))</f>
        <v>1.05175494250264</v>
      </c>
      <c r="E802" s="37" t="n">
        <f aca="false">1+IF($G$9=$E$9,$F$9,IF(S802&lt;($F$9-$E$9)/($G$9-$E$9),$E$9+SQRT(S802*($G$9-$E$9)*($F$9-$E$9)),$G$9-SQRT((1-S802)*($G$9-$E$9)*($G$9-$F$9))))</f>
        <v>1.1031929929202</v>
      </c>
      <c r="F802" s="37" t="n">
        <f aca="false">1+IF($G$10=$E$10,$F$10,IF(T802&lt;($F$10-$E$10)/($G$10-$E$10),$E$10+SQRT(T802*($G$10-$E$10)*($F$10-$E$10)),$G$10-SQRT((1-T802)*($G$10-$E$10)*($G$10-$F$10))))</f>
        <v>1.02025641936868</v>
      </c>
      <c r="G802" s="38" t="n">
        <f aca="false">IF($G$11=$E$11,$F$11,IF(U802&lt;($F$11-$E$11)/($G$11-$E$11),$E$11+SQRT(U802*($G$11-$E$11)*($F$11-$E$11)),$G$11-SQRT((1-U802)*($G$11-$E$11)*($G$11-$F$11))))</f>
        <v>0.10134815698498</v>
      </c>
      <c r="H802" s="39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-2040512838.73735</v>
      </c>
      <c r="I802" s="39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-31745863.3064928</v>
      </c>
      <c r="J802" s="39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248311238.953353</v>
      </c>
      <c r="K802" s="39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579381162.181632</v>
      </c>
      <c r="L802" s="39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708002382.959059</v>
      </c>
      <c r="M802" s="39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901981076.425192</v>
      </c>
      <c r="N802" s="39" t="n">
        <f aca="false">IF(COUNT('Business Case'!B11:G11)=0,"",H802+NPV(G802,I802:M802))</f>
        <v>-393070972.172528</v>
      </c>
      <c r="P802" s="40" t="n">
        <f aca="true">RAND()</f>
        <v>0.522890104164675</v>
      </c>
      <c r="Q802" s="40" t="n">
        <f aca="true">RAND()</f>
        <v>0.794827909290614</v>
      </c>
      <c r="R802" s="40" t="n">
        <f aca="true">RAND()</f>
        <v>0.844827628471735</v>
      </c>
      <c r="S802" s="40" t="n">
        <f aca="true">RAND()</f>
        <v>0.941576109019509</v>
      </c>
      <c r="T802" s="40" t="n">
        <f aca="true">RAND()</f>
        <v>0.296238495449306</v>
      </c>
      <c r="U802" s="40" t="n">
        <f aca="true">RAND()</f>
        <v>0.45271459456175</v>
      </c>
    </row>
    <row r="803" customFormat="false" ht="15" hidden="false" customHeight="false" outlineLevel="0" collapsed="false">
      <c r="A803" s="36" t="n">
        <v>723</v>
      </c>
      <c r="B803" s="37" t="n">
        <f aca="false">1+IF($G$6=$E$6,$F$6,IF(P803&lt;($F$6-$E$6)/($G$6-$E$6),$E$6+SQRT(P803*($G$6-$E$6)*($F$6-$E$6)),$G$6-SQRT((1-P803)*($G$6-$E$6)*($G$6-$F$6))))</f>
        <v>0.988764500492848</v>
      </c>
      <c r="C803" s="37" t="n">
        <f aca="false">1+IF($G$7=$E$7,$F$7,IF(Q803&lt;($F$7-$E$7)/($G$7-$E$7),$E$7+SQRT(Q803*($G$7-$E$7)*($F$7-$E$7)),$G$7-SQRT((1-Q803)*($G$7-$E$7)*($G$7-$F$7))))</f>
        <v>0.887963660149046</v>
      </c>
      <c r="D803" s="37" t="n">
        <f aca="false">1+IF($G$8=$E$8,$F$8,IF(R803&lt;($F$8-$E$8)/($G$8-$E$8),$E$8+SQRT(R803*($G$8-$E$8)*($F$8-$E$8)),$G$8-SQRT((1-R803)*($G$8-$E$8)*($G$8-$F$8))))</f>
        <v>1.01390988572152</v>
      </c>
      <c r="E803" s="37" t="n">
        <f aca="false">1+IF($G$9=$E$9,$F$9,IF(S803&lt;($F$9-$E$9)/($G$9-$E$9),$E$9+SQRT(S803*($G$9-$E$9)*($F$9-$E$9)),$G$9-SQRT((1-S803)*($G$9-$E$9)*($G$9-$F$9))))</f>
        <v>1.0014492740125</v>
      </c>
      <c r="F803" s="37" t="n">
        <f aca="false">1+IF($G$10=$E$10,$F$10,IF(T803&lt;($F$10-$E$10)/($G$10-$E$10),$E$10+SQRT(T803*($G$10-$E$10)*($F$10-$E$10)),$G$10-SQRT((1-T803)*($G$10-$E$10)*($G$10-$F$10))))</f>
        <v>0.992552982758204</v>
      </c>
      <c r="G803" s="38" t="n">
        <f aca="false">IF($G$11=$E$11,$F$11,IF(U803&lt;($F$11-$E$11)/($G$11-$E$11),$E$11+SQRT(U803*($G$11-$E$11)*($F$11-$E$11)),$G$11-SQRT((1-U803)*($G$11-$E$11)*($G$11-$F$11))))</f>
        <v>0.111668712536487</v>
      </c>
      <c r="H803" s="39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-1985105965.51641</v>
      </c>
      <c r="I803" s="39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-28931028.3247414</v>
      </c>
      <c r="J803" s="39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229314171.613654</v>
      </c>
      <c r="K803" s="39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537187020.689959</v>
      </c>
      <c r="L803" s="39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653611982.817916</v>
      </c>
      <c r="M803" s="39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820499741.30129</v>
      </c>
      <c r="N803" s="39" t="n">
        <f aca="false">IF(COUNT('Business Case'!B11:G11)=0,"",H803+NPV(G803,I803:M803))</f>
        <v>-523294197.3312</v>
      </c>
      <c r="P803" s="40" t="n">
        <f aca="true">RAND()</f>
        <v>0.525275769849651</v>
      </c>
      <c r="Q803" s="40" t="n">
        <f aca="true">RAND()</f>
        <v>0.261706203975008</v>
      </c>
      <c r="R803" s="40" t="n">
        <f aca="true">RAND()</f>
        <v>0.50589948156783</v>
      </c>
      <c r="S803" s="40" t="n">
        <f aca="true">RAND()</f>
        <v>0.411538181562312</v>
      </c>
      <c r="T803" s="40" t="n">
        <f aca="true">RAND()</f>
        <v>0.120717089441332</v>
      </c>
      <c r="U803" s="40" t="n">
        <f aca="true">RAND()</f>
        <v>0.775975933286704</v>
      </c>
    </row>
    <row r="804" customFormat="false" ht="15" hidden="false" customHeight="false" outlineLevel="0" collapsed="false">
      <c r="A804" s="36" t="n">
        <v>724</v>
      </c>
      <c r="B804" s="37" t="n">
        <f aca="false">1+IF($G$6=$E$6,$F$6,IF(P804&lt;($F$6-$E$6)/($G$6-$E$6),$E$6+SQRT(P804*($G$6-$E$6)*($F$6-$E$6)),$G$6-SQRT((1-P804)*($G$6-$E$6)*($G$6-$F$6))))</f>
        <v>0.940233675186802</v>
      </c>
      <c r="C804" s="37" t="n">
        <f aca="false">1+IF($G$7=$E$7,$F$7,IF(Q804&lt;($F$7-$E$7)/($G$7-$E$7),$E$7+SQRT(Q804*($G$7-$E$7)*($F$7-$E$7)),$G$7-SQRT((1-Q804)*($G$7-$E$7)*($G$7-$F$7))))</f>
        <v>0.980169390049128</v>
      </c>
      <c r="D804" s="37" t="n">
        <f aca="false">1+IF($G$8=$E$8,$F$8,IF(R804&lt;($F$8-$E$8)/($G$8-$E$8),$E$8+SQRT(R804*($G$8-$E$8)*($F$8-$E$8)),$G$8-SQRT((1-R804)*($G$8-$E$8)*($G$8-$F$8))))</f>
        <v>0.972980294661213</v>
      </c>
      <c r="E804" s="37" t="n">
        <f aca="false">1+IF($G$9=$E$9,$F$9,IF(S804&lt;($F$9-$E$9)/($G$9-$E$9),$E$9+SQRT(S804*($G$9-$E$9)*($F$9-$E$9)),$G$9-SQRT((1-S804)*($G$9-$E$9)*($G$9-$F$9))))</f>
        <v>1.03213119403002</v>
      </c>
      <c r="F804" s="37" t="n">
        <f aca="false">1+IF($G$10=$E$10,$F$10,IF(T804&lt;($F$10-$E$10)/($G$10-$E$10),$E$10+SQRT(T804*($G$10-$E$10)*($F$10-$E$10)),$G$10-SQRT((1-T804)*($G$10-$E$10)*($G$10-$F$10))))</f>
        <v>1.15019679837362</v>
      </c>
      <c r="G804" s="38" t="n">
        <f aca="false">IF($G$11=$E$11,$F$11,IF(U804&lt;($F$11-$E$11)/($G$11-$E$11),$E$11+SQRT(U804*($G$11-$E$11)*($F$11-$E$11)),$G$11-SQRT((1-U804)*($G$11-$E$11)*($G$11-$F$11))))</f>
        <v>0.108126905290652</v>
      </c>
      <c r="H804" s="39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-2300393596.74723</v>
      </c>
      <c r="I804" s="39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-42927407.8193261</v>
      </c>
      <c r="J804" s="39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223709055.79831</v>
      </c>
      <c r="K804" s="39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547855359.334627</v>
      </c>
      <c r="L804" s="39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668584271.079527</v>
      </c>
      <c r="M804" s="39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843759769.044144</v>
      </c>
      <c r="N804" s="39" t="n">
        <f aca="false">IF(COUNT('Business Case'!B11:G11)=0,"",H804+NPV(G804,I804:M804))</f>
        <v>-805949573.674976</v>
      </c>
      <c r="P804" s="40" t="n">
        <f aca="true">RAND()</f>
        <v>0.107916574602473</v>
      </c>
      <c r="Q804" s="40" t="n">
        <f aca="true">RAND()</f>
        <v>0.581443608300003</v>
      </c>
      <c r="R804" s="40" t="n">
        <f aca="true">RAND()</f>
        <v>0.0704125256954925</v>
      </c>
      <c r="S804" s="40" t="n">
        <f aca="true">RAND()</f>
        <v>0.629518522112291</v>
      </c>
      <c r="T804" s="40" t="n">
        <f aca="true">RAND()</f>
        <v>0.867190945934976</v>
      </c>
      <c r="U804" s="40" t="n">
        <f aca="true">RAND()</f>
        <v>0.681045151890589</v>
      </c>
    </row>
    <row r="805" customFormat="false" ht="15" hidden="false" customHeight="false" outlineLevel="0" collapsed="false">
      <c r="A805" s="36" t="n">
        <v>725</v>
      </c>
      <c r="B805" s="37" t="n">
        <f aca="false">1+IF($G$6=$E$6,$F$6,IF(P805&lt;($F$6-$E$6)/($G$6-$E$6),$E$6+SQRT(P805*($G$6-$E$6)*($F$6-$E$6)),$G$6-SQRT((1-P805)*($G$6-$E$6)*($G$6-$F$6))))</f>
        <v>0.950361062177025</v>
      </c>
      <c r="C805" s="37" t="n">
        <f aca="false">1+IF($G$7=$E$7,$F$7,IF(Q805&lt;($F$7-$E$7)/($G$7-$E$7),$E$7+SQRT(Q805*($G$7-$E$7)*($F$7-$E$7)),$G$7-SQRT((1-Q805)*($G$7-$E$7)*($G$7-$F$7))))</f>
        <v>1.00678396493822</v>
      </c>
      <c r="D805" s="37" t="n">
        <f aca="false">1+IF($G$8=$E$8,$F$8,IF(R805&lt;($F$8-$E$8)/($G$8-$E$8),$E$8+SQRT(R805*($G$8-$E$8)*($F$8-$E$8)),$G$8-SQRT((1-R805)*($G$8-$E$8)*($G$8-$F$8))))</f>
        <v>1.03737511454034</v>
      </c>
      <c r="E805" s="37" t="n">
        <f aca="false">1+IF($G$9=$E$9,$F$9,IF(S805&lt;($F$9-$E$9)/($G$9-$E$9),$E$9+SQRT(S805*($G$9-$E$9)*($F$9-$E$9)),$G$9-SQRT((1-S805)*($G$9-$E$9)*($G$9-$F$9))))</f>
        <v>1.00939549743695</v>
      </c>
      <c r="F805" s="37" t="n">
        <f aca="false">1+IF($G$10=$E$10,$F$10,IF(T805&lt;($F$10-$E$10)/($G$10-$E$10),$E$10+SQRT(T805*($G$10-$E$10)*($F$10-$E$10)),$G$10-SQRT((1-T805)*($G$10-$E$10)*($G$10-$F$10))))</f>
        <v>1.00411738785338</v>
      </c>
      <c r="G805" s="38" t="n">
        <f aca="false">IF($G$11=$E$11,$F$11,IF(U805&lt;($F$11-$E$11)/($G$11-$E$11),$E$11+SQRT(U805*($G$11-$E$11)*($F$11-$E$11)),$G$11-SQRT((1-U805)*($G$11-$E$11)*($G$11-$F$11))))</f>
        <v>0.104147412709729</v>
      </c>
      <c r="H805" s="39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-2008234775.70677</v>
      </c>
      <c r="I805" s="39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-44509563.5765183</v>
      </c>
      <c r="J805" s="39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204529592.514984</v>
      </c>
      <c r="K805" s="39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503774617.999157</v>
      </c>
      <c r="L805" s="39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619854964.127756</v>
      </c>
      <c r="M805" s="39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801725081.667302</v>
      </c>
      <c r="N805" s="39" t="n">
        <f aca="false">IF(COUNT('Business Case'!B11:G11)=0,"",H805+NPV(G805,I805:M805))</f>
        <v>-600963768.982116</v>
      </c>
      <c r="P805" s="40" t="n">
        <f aca="true">RAND()</f>
        <v>0.169082438906543</v>
      </c>
      <c r="Q805" s="40" t="n">
        <f aca="true">RAND()</f>
        <v>0.696135811869375</v>
      </c>
      <c r="R805" s="40" t="n">
        <f aca="true">RAND()</f>
        <v>0.738541581410987</v>
      </c>
      <c r="S805" s="40" t="n">
        <f aca="true">RAND()</f>
        <v>0.472809969573234</v>
      </c>
      <c r="T805" s="40" t="n">
        <f aca="true">RAND()</f>
        <v>0.193889880586089</v>
      </c>
      <c r="U805" s="40" t="n">
        <f aca="true">RAND()</f>
        <v>0.554429153599289</v>
      </c>
    </row>
    <row r="806" customFormat="false" ht="15" hidden="false" customHeight="false" outlineLevel="0" collapsed="false">
      <c r="A806" s="36" t="n">
        <v>726</v>
      </c>
      <c r="B806" s="37" t="n">
        <f aca="false">1+IF($G$6=$E$6,$F$6,IF(P806&lt;($F$6-$E$6)/($G$6-$E$6),$E$6+SQRT(P806*($G$6-$E$6)*($F$6-$E$6)),$G$6-SQRT((1-P806)*($G$6-$E$6)*($G$6-$F$6))))</f>
        <v>1.02750915591904</v>
      </c>
      <c r="C806" s="37" t="n">
        <f aca="false">1+IF($G$7=$E$7,$F$7,IF(Q806&lt;($F$7-$E$7)/($G$7-$E$7),$E$7+SQRT(Q806*($G$7-$E$7)*($F$7-$E$7)),$G$7-SQRT((1-Q806)*($G$7-$E$7)*($G$7-$F$7))))</f>
        <v>0.864205713103</v>
      </c>
      <c r="D806" s="37" t="n">
        <f aca="false">1+IF($G$8=$E$8,$F$8,IF(R806&lt;($F$8-$E$8)/($G$8-$E$8),$E$8+SQRT(R806*($G$8-$E$8)*($F$8-$E$8)),$G$8-SQRT((1-R806)*($G$8-$E$8)*($G$8-$F$8))))</f>
        <v>1.02887848493009</v>
      </c>
      <c r="E806" s="37" t="n">
        <f aca="false">1+IF($G$9=$E$9,$F$9,IF(S806&lt;($F$9-$E$9)/($G$9-$E$9),$E$9+SQRT(S806*($G$9-$E$9)*($F$9-$E$9)),$G$9-SQRT((1-S806)*($G$9-$E$9)*($G$9-$F$9))))</f>
        <v>0.918174509446403</v>
      </c>
      <c r="F806" s="37" t="n">
        <f aca="false">1+IF($G$10=$E$10,$F$10,IF(T806&lt;($F$10-$E$10)/($G$10-$E$10),$E$10+SQRT(T806*($G$10-$E$10)*($F$10-$E$10)),$G$10-SQRT((1-T806)*($G$10-$E$10)*($G$10-$F$10))))</f>
        <v>1.0964520753804</v>
      </c>
      <c r="G806" s="38" t="n">
        <f aca="false">IF($G$11=$E$11,$F$11,IF(U806&lt;($F$11-$E$11)/($G$11-$E$11),$E$11+SQRT(U806*($G$11-$E$11)*($F$11-$E$11)),$G$11-SQRT((1-U806)*($G$11-$E$11)*($G$11-$F$11))))</f>
        <v>0.0901089431854108</v>
      </c>
      <c r="H806" s="39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-2192904150.7608</v>
      </c>
      <c r="I806" s="39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-14103653.0184407</v>
      </c>
      <c r="J806" s="39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258035162.765353</v>
      </c>
      <c r="K806" s="39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584996582.318167</v>
      </c>
      <c r="L806" s="39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706398084.926708</v>
      </c>
      <c r="M806" s="39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875185187.003399</v>
      </c>
      <c r="N806" s="39" t="n">
        <f aca="false">IF(COUNT('Business Case'!B11:G11)=0,"",H806+NPV(G806,I806:M806))</f>
        <v>-468356740.410624</v>
      </c>
      <c r="P806" s="40" t="n">
        <f aca="true">RAND()</f>
        <v>0.93255492433677</v>
      </c>
      <c r="Q806" s="40" t="n">
        <f aca="true">RAND()</f>
        <v>0.199729749745664</v>
      </c>
      <c r="R806" s="40" t="n">
        <f aca="true">RAND()</f>
        <v>0.662782006277346</v>
      </c>
      <c r="S806" s="40" t="n">
        <f aca="true">RAND()</f>
        <v>0.0132125117446953</v>
      </c>
      <c r="T806" s="40" t="n">
        <f aca="true">RAND()</f>
        <v>0.68564046460019</v>
      </c>
      <c r="U806" s="40" t="n">
        <f aca="true">RAND()</f>
        <v>0.102190732325863</v>
      </c>
    </row>
    <row r="807" customFormat="false" ht="15" hidden="false" customHeight="false" outlineLevel="0" collapsed="false">
      <c r="A807" s="36" t="n">
        <v>727</v>
      </c>
      <c r="B807" s="37" t="n">
        <f aca="false">1+IF($G$6=$E$6,$F$6,IF(P807&lt;($F$6-$E$6)/($G$6-$E$6),$E$6+SQRT(P807*($G$6-$E$6)*($F$6-$E$6)),$G$6-SQRT((1-P807)*($G$6-$E$6)*($G$6-$F$6))))</f>
        <v>0.98509899535186</v>
      </c>
      <c r="C807" s="37" t="n">
        <f aca="false">1+IF($G$7=$E$7,$F$7,IF(Q807&lt;($F$7-$E$7)/($G$7-$E$7),$E$7+SQRT(Q807*($G$7-$E$7)*($F$7-$E$7)),$G$7-SQRT((1-Q807)*($G$7-$E$7)*($G$7-$F$7))))</f>
        <v>0.998005190515786</v>
      </c>
      <c r="D807" s="37" t="n">
        <f aca="false">1+IF($G$8=$E$8,$F$8,IF(R807&lt;($F$8-$E$8)/($G$8-$E$8),$E$8+SQRT(R807*($G$8-$E$8)*($F$8-$E$8)),$G$8-SQRT((1-R807)*($G$8-$E$8)*($G$8-$F$8))))</f>
        <v>0.988773843820097</v>
      </c>
      <c r="E807" s="37" t="n">
        <f aca="false">1+IF($G$9=$E$9,$F$9,IF(S807&lt;($F$9-$E$9)/($G$9-$E$9),$E$9+SQRT(S807*($G$9-$E$9)*($F$9-$E$9)),$G$9-SQRT((1-S807)*($G$9-$E$9)*($G$9-$F$9))))</f>
        <v>1.02236366710487</v>
      </c>
      <c r="F807" s="37" t="n">
        <f aca="false">1+IF($G$10=$E$10,$F$10,IF(T807&lt;($F$10-$E$10)/($G$10-$E$10),$E$10+SQRT(T807*($G$10-$E$10)*($F$10-$E$10)),$G$10-SQRT((1-T807)*($G$10-$E$10)*($G$10-$F$10))))</f>
        <v>1.04920861784209</v>
      </c>
      <c r="G807" s="38" t="n">
        <f aca="false">IF($G$11=$E$11,$F$11,IF(U807&lt;($F$11-$E$11)/($G$11-$E$11),$E$11+SQRT(U807*($G$11-$E$11)*($F$11-$E$11)),$G$11-SQRT((1-U807)*($G$11-$E$11)*($G$11-$F$11))))</f>
        <v>0.119734687570918</v>
      </c>
      <c r="H807" s="39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-2098417235.68418</v>
      </c>
      <c r="I807" s="39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-1172566.01605943</v>
      </c>
      <c r="J807" s="39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298921505.136435</v>
      </c>
      <c r="K807" s="39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651476007.181035</v>
      </c>
      <c r="L807" s="39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785484472.179889</v>
      </c>
      <c r="M807" s="39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972358565.894009</v>
      </c>
      <c r="N807" s="39" t="n">
        <f aca="false">IF(COUNT('Business Case'!B11:G11)=0,"",H807+NPV(G807,I807:M807))</f>
        <v>-344956441.118111</v>
      </c>
      <c r="P807" s="40" t="n">
        <f aca="true">RAND()</f>
        <v>0.482789267326387</v>
      </c>
      <c r="Q807" s="40" t="n">
        <f aca="true">RAND()</f>
        <v>0.657830322772963</v>
      </c>
      <c r="R807" s="40" t="n">
        <f aca="true">RAND()</f>
        <v>0.200454795278034</v>
      </c>
      <c r="S807" s="40" t="n">
        <f aca="true">RAND()</f>
        <v>0.565572440668888</v>
      </c>
      <c r="T807" s="40" t="n">
        <f aca="true">RAND()</f>
        <v>0.462437611348212</v>
      </c>
      <c r="U807" s="40" t="n">
        <f aca="true">RAND()</f>
        <v>0.929748907155556</v>
      </c>
    </row>
    <row r="808" customFormat="false" ht="15" hidden="false" customHeight="false" outlineLevel="0" collapsed="false">
      <c r="A808" s="36" t="n">
        <v>728</v>
      </c>
      <c r="B808" s="37" t="n">
        <f aca="false">1+IF($G$6=$E$6,$F$6,IF(P808&lt;($F$6-$E$6)/($G$6-$E$6),$E$6+SQRT(P808*($G$6-$E$6)*($F$6-$E$6)),$G$6-SQRT((1-P808)*($G$6-$E$6)*($G$6-$F$6))))</f>
        <v>0.998781903661402</v>
      </c>
      <c r="C808" s="37" t="n">
        <f aca="false">1+IF($G$7=$E$7,$F$7,IF(Q808&lt;($F$7-$E$7)/($G$7-$E$7),$E$7+SQRT(Q808*($G$7-$E$7)*($F$7-$E$7)),$G$7-SQRT((1-Q808)*($G$7-$E$7)*($G$7-$F$7))))</f>
        <v>0.862032124123042</v>
      </c>
      <c r="D808" s="37" t="n">
        <f aca="false">1+IF($G$8=$E$8,$F$8,IF(R808&lt;($F$8-$E$8)/($G$8-$E$8),$E$8+SQRT(R808*($G$8-$E$8)*($F$8-$E$8)),$G$8-SQRT((1-R808)*($G$8-$E$8)*($G$8-$F$8))))</f>
        <v>1.00581916524793</v>
      </c>
      <c r="E808" s="37" t="n">
        <f aca="false">1+IF($G$9=$E$9,$F$9,IF(S808&lt;($F$9-$E$9)/($G$9-$E$9),$E$9+SQRT(S808*($G$9-$E$9)*($F$9-$E$9)),$G$9-SQRT((1-S808)*($G$9-$E$9)*($G$9-$F$9))))</f>
        <v>0.961023364411384</v>
      </c>
      <c r="F808" s="37" t="n">
        <f aca="false">1+IF($G$10=$E$10,$F$10,IF(T808&lt;($F$10-$E$10)/($G$10-$E$10),$E$10+SQRT(T808*($G$10-$E$10)*($F$10-$E$10)),$G$10-SQRT((1-T808)*($G$10-$E$10)*($G$10-$F$10))))</f>
        <v>1.10653779434391</v>
      </c>
      <c r="G808" s="38" t="n">
        <f aca="false">IF($G$11=$E$11,$F$11,IF(U808&lt;($F$11-$E$11)/($G$11-$E$11),$E$11+SQRT(U808*($G$11-$E$11)*($F$11-$E$11)),$G$11-SQRT((1-U808)*($G$11-$E$11)*($G$11-$F$11))))</f>
        <v>0.115321207480191</v>
      </c>
      <c r="H808" s="39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-2213075588.68782</v>
      </c>
      <c r="I808" s="39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-30597727.1416253</v>
      </c>
      <c r="J808" s="39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230749158.90603</v>
      </c>
      <c r="K808" s="39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547422934.67088</v>
      </c>
      <c r="L808" s="39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664294104.243826</v>
      </c>
      <c r="M808" s="39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827949579.140992</v>
      </c>
      <c r="N808" s="39" t="n">
        <f aca="false">IF(COUNT('Business Case'!B11:G11)=0,"",H808+NPV(G808,I808:M808))</f>
        <v>-751404406.562881</v>
      </c>
      <c r="P808" s="40" t="n">
        <f aca="true">RAND()</f>
        <v>0.650524299398035</v>
      </c>
      <c r="Q808" s="40" t="n">
        <f aca="true">RAND()</f>
        <v>0.194477105539444</v>
      </c>
      <c r="R808" s="40" t="n">
        <f aca="true">RAND()</f>
        <v>0.408664691026901</v>
      </c>
      <c r="S808" s="40" t="n">
        <f aca="true">RAND()</f>
        <v>0.148954040163381</v>
      </c>
      <c r="T808" s="40" t="n">
        <f aca="true">RAND()</f>
        <v>0.725581273977197</v>
      </c>
      <c r="U808" s="40" t="n">
        <f aca="true">RAND()</f>
        <v>0.856355366773594</v>
      </c>
    </row>
    <row r="809" customFormat="false" ht="15" hidden="false" customHeight="false" outlineLevel="0" collapsed="false">
      <c r="A809" s="36" t="n">
        <v>729</v>
      </c>
      <c r="B809" s="37" t="n">
        <f aca="false">1+IF($G$6=$E$6,$F$6,IF(P809&lt;($F$6-$E$6)/($G$6-$E$6),$E$6+SQRT(P809*($G$6-$E$6)*($F$6-$E$6)),$G$6-SQRT((1-P809)*($G$6-$E$6)*($G$6-$F$6))))</f>
        <v>1.03163109382845</v>
      </c>
      <c r="C809" s="37" t="n">
        <f aca="false">1+IF($G$7=$E$7,$F$7,IF(Q809&lt;($F$7-$E$7)/($G$7-$E$7),$E$7+SQRT(Q809*($G$7-$E$7)*($F$7-$E$7)),$G$7-SQRT((1-Q809)*($G$7-$E$7)*($G$7-$F$7))))</f>
        <v>0.755129084019403</v>
      </c>
      <c r="D809" s="37" t="n">
        <f aca="false">1+IF($G$8=$E$8,$F$8,IF(R809&lt;($F$8-$E$8)/($G$8-$E$8),$E$8+SQRT(R809*($G$8-$E$8)*($F$8-$E$8)),$G$8-SQRT((1-R809)*($G$8-$E$8)*($G$8-$F$8))))</f>
        <v>0.979018636886727</v>
      </c>
      <c r="E809" s="37" t="n">
        <f aca="false">1+IF($G$9=$E$9,$F$9,IF(S809&lt;($F$9-$E$9)/($G$9-$E$9),$E$9+SQRT(S809*($G$9-$E$9)*($F$9-$E$9)),$G$9-SQRT((1-S809)*($G$9-$E$9)*($G$9-$F$9))))</f>
        <v>1.05380872347506</v>
      </c>
      <c r="F809" s="37" t="n">
        <f aca="false">1+IF($G$10=$E$10,$F$10,IF(T809&lt;($F$10-$E$10)/($G$10-$E$10),$E$10+SQRT(T809*($G$10-$E$10)*($F$10-$E$10)),$G$10-SQRT((1-T809)*($G$10-$E$10)*($G$10-$F$10))))</f>
        <v>1.1174002773799</v>
      </c>
      <c r="G809" s="38" t="n">
        <f aca="false">IF($G$11=$E$11,$F$11,IF(U809&lt;($F$11-$E$11)/($G$11-$E$11),$E$11+SQRT(U809*($G$11-$E$11)*($F$11-$E$11)),$G$11-SQRT((1-U809)*($G$11-$E$11)*($G$11-$F$11))))</f>
        <v>0.104103933130827</v>
      </c>
      <c r="H809" s="39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-2234800554.75979</v>
      </c>
      <c r="I809" s="39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-42361671.4702366</v>
      </c>
      <c r="J809" s="39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217252404.365089</v>
      </c>
      <c r="K809" s="39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532736494.069409</v>
      </c>
      <c r="L809" s="39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646197265.407464</v>
      </c>
      <c r="M809" s="39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794272368.735335</v>
      </c>
      <c r="N809" s="39" t="n">
        <f aca="false">IF(COUNT('Business Case'!B11:G11)=0,"",H809+NPV(G809,I809:M809))</f>
        <v>-780228047.13818</v>
      </c>
      <c r="P809" s="40" t="n">
        <f aca="true">RAND()</f>
        <v>0.955011104808122</v>
      </c>
      <c r="Q809" s="40" t="n">
        <f aca="true">RAND()</f>
        <v>0.0225127104060622</v>
      </c>
      <c r="R809" s="40" t="n">
        <f aca="true">RAND()</f>
        <v>0.112277504901828</v>
      </c>
      <c r="S809" s="40" t="n">
        <f aca="true">RAND()</f>
        <v>0.753259688546713</v>
      </c>
      <c r="T809" s="40" t="n">
        <f aca="true">RAND()</f>
        <v>0.765564180814291</v>
      </c>
      <c r="U809" s="40" t="n">
        <f aca="true">RAND()</f>
        <v>0.552929147138206</v>
      </c>
    </row>
    <row r="810" customFormat="false" ht="15" hidden="false" customHeight="false" outlineLevel="0" collapsed="false">
      <c r="A810" s="36" t="n">
        <v>730</v>
      </c>
      <c r="B810" s="37" t="n">
        <f aca="false">1+IF($G$6=$E$6,$F$6,IF(P810&lt;($F$6-$E$6)/($G$6-$E$6),$E$6+SQRT(P810*($G$6-$E$6)*($F$6-$E$6)),$G$6-SQRT((1-P810)*($G$6-$E$6)*($G$6-$F$6))))</f>
        <v>1.03389896035797</v>
      </c>
      <c r="C810" s="37" t="n">
        <f aca="false">1+IF($G$7=$E$7,$F$7,IF(Q810&lt;($F$7-$E$7)/($G$7-$E$7),$E$7+SQRT(Q810*($G$7-$E$7)*($F$7-$E$7)),$G$7-SQRT((1-Q810)*($G$7-$E$7)*($G$7-$F$7))))</f>
        <v>0.987393457674963</v>
      </c>
      <c r="D810" s="37" t="n">
        <f aca="false">1+IF($G$8=$E$8,$F$8,IF(R810&lt;($F$8-$E$8)/($G$8-$E$8),$E$8+SQRT(R810*($G$8-$E$8)*($F$8-$E$8)),$G$8-SQRT((1-R810)*($G$8-$E$8)*($G$8-$F$8))))</f>
        <v>1.03588544212034</v>
      </c>
      <c r="E810" s="37" t="n">
        <f aca="false">1+IF($G$9=$E$9,$F$9,IF(S810&lt;($F$9-$E$9)/($G$9-$E$9),$E$9+SQRT(S810*($G$9-$E$9)*($F$9-$E$9)),$G$9-SQRT((1-S810)*($G$9-$E$9)*($G$9-$F$9))))</f>
        <v>1.05796005391915</v>
      </c>
      <c r="F810" s="37" t="n">
        <f aca="false">1+IF($G$10=$E$10,$F$10,IF(T810&lt;($F$10-$E$10)/($G$10-$E$10),$E$10+SQRT(T810*($G$10-$E$10)*($F$10-$E$10)),$G$10-SQRT((1-T810)*($G$10-$E$10)*($G$10-$F$10))))</f>
        <v>1.22451123653342</v>
      </c>
      <c r="G810" s="38" t="n">
        <f aca="false">IF($G$11=$E$11,$F$11,IF(U810&lt;($F$11-$E$11)/($G$11-$E$11),$E$11+SQRT(U810*($G$11-$E$11)*($F$11-$E$11)),$G$11-SQRT((1-U810)*($G$11-$E$11)*($G$11-$F$11))))</f>
        <v>0.116106151999221</v>
      </c>
      <c r="H810" s="39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-2449022473.06683</v>
      </c>
      <c r="I810" s="39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-13258040.6356307</v>
      </c>
      <c r="J810" s="39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299298607.244716</v>
      </c>
      <c r="K810" s="39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673080816.951733</v>
      </c>
      <c r="L810" s="39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812547463.04207</v>
      </c>
      <c r="M810" s="39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1006593495.42496</v>
      </c>
      <c r="N810" s="39" t="n">
        <f aca="false">IF(COUNT('Business Case'!B11:G11)=0,"",H810+NPV(G810,I810:M810))</f>
        <v>-631683122.234806</v>
      </c>
      <c r="P810" s="40" t="n">
        <f aca="true">RAND()</f>
        <v>0.965434202992791</v>
      </c>
      <c r="Q810" s="40" t="n">
        <f aca="true">RAND()</f>
        <v>0.611814811217563</v>
      </c>
      <c r="R810" s="40" t="n">
        <f aca="true">RAND()</f>
        <v>0.725954897859726</v>
      </c>
      <c r="S810" s="40" t="n">
        <f aca="true">RAND()</f>
        <v>0.774097288678237</v>
      </c>
      <c r="T810" s="40" t="n">
        <f aca="true">RAND()</f>
        <v>0.99133763915926</v>
      </c>
      <c r="U810" s="40" t="n">
        <f aca="true">RAND()</f>
        <v>0.871307325154162</v>
      </c>
    </row>
    <row r="811" customFormat="false" ht="15" hidden="false" customHeight="false" outlineLevel="0" collapsed="false">
      <c r="A811" s="36" t="n">
        <v>731</v>
      </c>
      <c r="B811" s="37" t="n">
        <f aca="false">1+IF($G$6=$E$6,$F$6,IF(P811&lt;($F$6-$E$6)/($G$6-$E$6),$E$6+SQRT(P811*($G$6-$E$6)*($F$6-$E$6)),$G$6-SQRT((1-P811)*($G$6-$E$6)*($G$6-$F$6))))</f>
        <v>1.01982776873542</v>
      </c>
      <c r="C811" s="37" t="n">
        <f aca="false">1+IF($G$7=$E$7,$F$7,IF(Q811&lt;($F$7-$E$7)/($G$7-$E$7),$E$7+SQRT(Q811*($G$7-$E$7)*($F$7-$E$7)),$G$7-SQRT((1-Q811)*($G$7-$E$7)*($G$7-$F$7))))</f>
        <v>1.03646089760175</v>
      </c>
      <c r="D811" s="37" t="n">
        <f aca="false">1+IF($G$8=$E$8,$F$8,IF(R811&lt;($F$8-$E$8)/($G$8-$E$8),$E$8+SQRT(R811*($G$8-$E$8)*($F$8-$E$8)),$G$8-SQRT((1-R811)*($G$8-$E$8)*($G$8-$F$8))))</f>
        <v>1.02680038427855</v>
      </c>
      <c r="E811" s="37" t="n">
        <f aca="false">1+IF($G$9=$E$9,$F$9,IF(S811&lt;($F$9-$E$9)/($G$9-$E$9),$E$9+SQRT(S811*($G$9-$E$9)*($F$9-$E$9)),$G$9-SQRT((1-S811)*($G$9-$E$9)*($G$9-$F$9))))</f>
        <v>1.0085025069066</v>
      </c>
      <c r="F811" s="37" t="n">
        <f aca="false">1+IF($G$10=$E$10,$F$10,IF(T811&lt;($F$10-$E$10)/($G$10-$E$10),$E$10+SQRT(T811*($G$10-$E$10)*($F$10-$E$10)),$G$10-SQRT((1-T811)*($G$10-$E$10)*($G$10-$F$10))))</f>
        <v>1.03253722799276</v>
      </c>
      <c r="G811" s="38" t="n">
        <f aca="false">IF($G$11=$E$11,$F$11,IF(U811&lt;($F$11-$E$11)/($G$11-$E$11),$E$11+SQRT(U811*($G$11-$E$11)*($F$11-$E$11)),$G$11-SQRT((1-U811)*($G$11-$E$11)*($G$11-$F$11))))</f>
        <v>0.108290738201194</v>
      </c>
      <c r="H811" s="39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-2065074455.98552</v>
      </c>
      <c r="I811" s="39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19505401.8526844</v>
      </c>
      <c r="J811" s="39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340469064.568331</v>
      </c>
      <c r="K811" s="39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713059588.683615</v>
      </c>
      <c r="L811" s="39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856577797.309875</v>
      </c>
      <c r="M811" s="39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1057494563.10895</v>
      </c>
      <c r="N811" s="39" t="n">
        <f aca="false">IF(COUNT('Business Case'!B11:G11)=0,"",H811+NPV(G811,I811:M811))</f>
        <v>-46321389.4881091</v>
      </c>
      <c r="P811" s="40" t="n">
        <f aca="true">RAND()</f>
        <v>0.878618194735528</v>
      </c>
      <c r="Q811" s="40" t="n">
        <f aca="true">RAND()</f>
        <v>0.809020329282957</v>
      </c>
      <c r="R811" s="40" t="n">
        <f aca="true">RAND()</f>
        <v>0.642787750548801</v>
      </c>
      <c r="S811" s="40" t="n">
        <f aca="true">RAND()</f>
        <v>0.466092251954251</v>
      </c>
      <c r="T811" s="40" t="n">
        <f aca="true">RAND()</f>
        <v>0.369465903879014</v>
      </c>
      <c r="U811" s="40" t="n">
        <f aca="true">RAND()</f>
        <v>0.685805301433923</v>
      </c>
    </row>
    <row r="812" customFormat="false" ht="15" hidden="false" customHeight="false" outlineLevel="0" collapsed="false">
      <c r="A812" s="36" t="n">
        <v>732</v>
      </c>
      <c r="B812" s="37" t="n">
        <f aca="false">1+IF($G$6=$E$6,$F$6,IF(P812&lt;($F$6-$E$6)/($G$6-$E$6),$E$6+SQRT(P812*($G$6-$E$6)*($F$6-$E$6)),$G$6-SQRT((1-P812)*($G$6-$E$6)*($G$6-$F$6))))</f>
        <v>1.00401746963435</v>
      </c>
      <c r="C812" s="37" t="n">
        <f aca="false">1+IF($G$7=$E$7,$F$7,IF(Q812&lt;($F$7-$E$7)/($G$7-$E$7),$E$7+SQRT(Q812*($G$7-$E$7)*($F$7-$E$7)),$G$7-SQRT((1-Q812)*($G$7-$E$7)*($G$7-$F$7))))</f>
        <v>1.05489338713619</v>
      </c>
      <c r="D812" s="37" t="n">
        <f aca="false">1+IF($G$8=$E$8,$F$8,IF(R812&lt;($F$8-$E$8)/($G$8-$E$8),$E$8+SQRT(R812*($G$8-$E$8)*($F$8-$E$8)),$G$8-SQRT((1-R812)*($G$8-$E$8)*($G$8-$F$8))))</f>
        <v>1.02564947732422</v>
      </c>
      <c r="E812" s="37" t="n">
        <f aca="false">1+IF($G$9=$E$9,$F$9,IF(S812&lt;($F$9-$E$9)/($G$9-$E$9),$E$9+SQRT(S812*($G$9-$E$9)*($F$9-$E$9)),$G$9-SQRT((1-S812)*($G$9-$E$9)*($G$9-$F$9))))</f>
        <v>1.11054200690913</v>
      </c>
      <c r="F812" s="37" t="n">
        <f aca="false">1+IF($G$10=$E$10,$F$10,IF(T812&lt;($F$10-$E$10)/($G$10-$E$10),$E$10+SQRT(T812*($G$10-$E$10)*($F$10-$E$10)),$G$10-SQRT((1-T812)*($G$10-$E$10)*($G$10-$F$10))))</f>
        <v>1.08151027095484</v>
      </c>
      <c r="G812" s="38" t="n">
        <f aca="false">IF($G$11=$E$11,$F$11,IF(U812&lt;($F$11-$E$11)/($G$11-$E$11),$E$11+SQRT(U812*($G$11-$E$11)*($F$11-$E$11)),$G$11-SQRT((1-U812)*($G$11-$E$11)*($G$11-$F$11))))</f>
        <v>0.105428526359976</v>
      </c>
      <c r="H812" s="39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-2163020541.90967</v>
      </c>
      <c r="I812" s="39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-7342886.13311008</v>
      </c>
      <c r="J812" s="39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306289699.432353</v>
      </c>
      <c r="K812" s="39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673997798.545558</v>
      </c>
      <c r="L812" s="39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815145574.547787</v>
      </c>
      <c r="M812" s="39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1016465269.02336</v>
      </c>
      <c r="N812" s="39" t="n">
        <f aca="false">IF(COUNT('Business Case'!B11:G11)=0,"",H812+NPV(G812,I812:M812))</f>
        <v>-258351745.381791</v>
      </c>
      <c r="P812" s="40" t="n">
        <f aca="true">RAND()</f>
        <v>0.71808092015629</v>
      </c>
      <c r="Q812" s="40" t="n">
        <f aca="true">RAND()</f>
        <v>0.865996032438125</v>
      </c>
      <c r="R812" s="40" t="n">
        <f aca="true">RAND()</f>
        <v>0.631466651855854</v>
      </c>
      <c r="S812" s="40" t="n">
        <f aca="true">RAND()</f>
        <v>0.958481780833085</v>
      </c>
      <c r="T812" s="40" t="n">
        <f aca="true">RAND()</f>
        <v>0.621482816083826</v>
      </c>
      <c r="U812" s="40" t="n">
        <f aca="true">RAND()</f>
        <v>0.597495122105064</v>
      </c>
    </row>
    <row r="813" customFormat="false" ht="15" hidden="false" customHeight="false" outlineLevel="0" collapsed="false">
      <c r="A813" s="36" t="n">
        <v>733</v>
      </c>
      <c r="B813" s="37" t="n">
        <f aca="false">1+IF($G$6=$E$6,$F$6,IF(P813&lt;($F$6-$E$6)/($G$6-$E$6),$E$6+SQRT(P813*($G$6-$E$6)*($F$6-$E$6)),$G$6-SQRT((1-P813)*($G$6-$E$6)*($G$6-$F$6))))</f>
        <v>0.994475231388434</v>
      </c>
      <c r="C813" s="37" t="n">
        <f aca="false">1+IF($G$7=$E$7,$F$7,IF(Q813&lt;($F$7-$E$7)/($G$7-$E$7),$E$7+SQRT(Q813*($G$7-$E$7)*($F$7-$E$7)),$G$7-SQRT((1-Q813)*($G$7-$E$7)*($G$7-$F$7))))</f>
        <v>1.08620868701299</v>
      </c>
      <c r="D813" s="37" t="n">
        <f aca="false">1+IF($G$8=$E$8,$F$8,IF(R813&lt;($F$8-$E$8)/($G$8-$E$8),$E$8+SQRT(R813*($G$8-$E$8)*($F$8-$E$8)),$G$8-SQRT((1-R813)*($G$8-$E$8)*($G$8-$F$8))))</f>
        <v>1.00738846850989</v>
      </c>
      <c r="E813" s="37" t="n">
        <f aca="false">1+IF($G$9=$E$9,$F$9,IF(S813&lt;($F$9-$E$9)/($G$9-$E$9),$E$9+SQRT(S813*($G$9-$E$9)*($F$9-$E$9)),$G$9-SQRT((1-S813)*($G$9-$E$9)*($G$9-$F$9))))</f>
        <v>1.01277667942109</v>
      </c>
      <c r="F813" s="37" t="n">
        <f aca="false">1+IF($G$10=$E$10,$F$10,IF(T813&lt;($F$10-$E$10)/($G$10-$E$10),$E$10+SQRT(T813*($G$10-$E$10)*($F$10-$E$10)),$G$10-SQRT((1-T813)*($G$10-$E$10)*($G$10-$F$10))))</f>
        <v>1.03087963205365</v>
      </c>
      <c r="G813" s="38" t="n">
        <f aca="false">IF($G$11=$E$11,$F$11,IF(U813&lt;($F$11-$E$11)/($G$11-$E$11),$E$11+SQRT(U813*($G$11-$E$11)*($F$11-$E$11)),$G$11-SQRT((1-U813)*($G$11-$E$11)*($G$11-$F$11))))</f>
        <v>0.0999176162064224</v>
      </c>
      <c r="H813" s="39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-2061759264.10729</v>
      </c>
      <c r="I813" s="39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21504734.0824682</v>
      </c>
      <c r="J813" s="39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346112239.000698</v>
      </c>
      <c r="K813" s="39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722263725.52161</v>
      </c>
      <c r="L813" s="39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867798203.038833</v>
      </c>
      <c r="M813" s="39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1073124070.3668</v>
      </c>
      <c r="N813" s="39" t="n">
        <f aca="false">IF(COUNT('Business Case'!B11:G11)=0,"",H813+NPV(G813,I813:M813))</f>
        <v>46117992.2593322</v>
      </c>
      <c r="P813" s="40" t="n">
        <f aca="true">RAND()</f>
        <v>0.595037956393209</v>
      </c>
      <c r="Q813" s="40" t="n">
        <f aca="true">RAND()</f>
        <v>0.939713605739156</v>
      </c>
      <c r="R813" s="40" t="n">
        <f aca="true">RAND()</f>
        <v>0.428206949003698</v>
      </c>
      <c r="S813" s="40" t="n">
        <f aca="true">RAND()</f>
        <v>0.497860274381249</v>
      </c>
      <c r="T813" s="40" t="n">
        <f aca="true">RAND()</f>
        <v>0.359816858014063</v>
      </c>
      <c r="U813" s="40" t="n">
        <f aca="true">RAND()</f>
        <v>0.396711435346341</v>
      </c>
    </row>
    <row r="814" customFormat="false" ht="15" hidden="false" customHeight="false" outlineLevel="0" collapsed="false">
      <c r="A814" s="36" t="n">
        <v>734</v>
      </c>
      <c r="B814" s="37" t="n">
        <f aca="false">1+IF($G$6=$E$6,$F$6,IF(P814&lt;($F$6-$E$6)/($G$6-$E$6),$E$6+SQRT(P814*($G$6-$E$6)*($F$6-$E$6)),$G$6-SQRT((1-P814)*($G$6-$E$6)*($G$6-$F$6))))</f>
        <v>1.00797352548683</v>
      </c>
      <c r="C814" s="37" t="n">
        <f aca="false">1+IF($G$7=$E$7,$F$7,IF(Q814&lt;($F$7-$E$7)/($G$7-$E$7),$E$7+SQRT(Q814*($G$7-$E$7)*($F$7-$E$7)),$G$7-SQRT((1-Q814)*($G$7-$E$7)*($G$7-$F$7))))</f>
        <v>1.01249793529492</v>
      </c>
      <c r="D814" s="37" t="n">
        <f aca="false">1+IF($G$8=$E$8,$F$8,IF(R814&lt;($F$8-$E$8)/($G$8-$E$8),$E$8+SQRT(R814*($G$8-$E$8)*($F$8-$E$8)),$G$8-SQRT((1-R814)*($G$8-$E$8)*($G$8-$F$8))))</f>
        <v>0.967796686629953</v>
      </c>
      <c r="E814" s="37" t="n">
        <f aca="false">1+IF($G$9=$E$9,$F$9,IF(S814&lt;($F$9-$E$9)/($G$9-$E$9),$E$9+SQRT(S814*($G$9-$E$9)*($F$9-$E$9)),$G$9-SQRT((1-S814)*($G$9-$E$9)*($G$9-$F$9))))</f>
        <v>1.03394013669798</v>
      </c>
      <c r="F814" s="37" t="n">
        <f aca="false">1+IF($G$10=$E$10,$F$10,IF(T814&lt;($F$10-$E$10)/($G$10-$E$10),$E$10+SQRT(T814*($G$10-$E$10)*($F$10-$E$10)),$G$10-SQRT((1-T814)*($G$10-$E$10)*($G$10-$F$10))))</f>
        <v>1.04632582921548</v>
      </c>
      <c r="G814" s="38" t="n">
        <f aca="false">IF($G$11=$E$11,$F$11,IF(U814&lt;($F$11-$E$11)/($G$11-$E$11),$E$11+SQRT(U814*($G$11-$E$11)*($F$11-$E$11)),$G$11-SQRT((1-U814)*($G$11-$E$11)*($G$11-$F$11))))</f>
        <v>0.114200236872294</v>
      </c>
      <c r="H814" s="39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-2092651658.43096</v>
      </c>
      <c r="I814" s="39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29729558.2151448</v>
      </c>
      <c r="J814" s="39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364024393.308291</v>
      </c>
      <c r="K814" s="39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750635519.862211</v>
      </c>
      <c r="L814" s="39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897338069.238594</v>
      </c>
      <c r="M814" s="39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1091328226.47126</v>
      </c>
      <c r="N814" s="39" t="n">
        <f aca="false">IF(COUNT('Business Case'!B11:G11)=0,"",H814+NPV(G814,I814:M814))</f>
        <v>-12291798.6432586</v>
      </c>
      <c r="P814" s="40" t="n">
        <f aca="true">RAND()</f>
        <v>0.764503391999186</v>
      </c>
      <c r="Q814" s="40" t="n">
        <f aca="true">RAND()</f>
        <v>0.719898995582821</v>
      </c>
      <c r="R814" s="40" t="n">
        <f aca="true">RAND()</f>
        <v>0.0422296073339684</v>
      </c>
      <c r="S814" s="40" t="n">
        <f aca="true">RAND()</f>
        <v>0.640802883475116</v>
      </c>
      <c r="T814" s="40" t="n">
        <f aca="true">RAND()</f>
        <v>0.446891095403168</v>
      </c>
      <c r="U814" s="40" t="n">
        <f aca="true">RAND()</f>
        <v>0.833578323405591</v>
      </c>
    </row>
    <row r="815" customFormat="false" ht="15" hidden="false" customHeight="false" outlineLevel="0" collapsed="false">
      <c r="A815" s="36" t="n">
        <v>735</v>
      </c>
      <c r="B815" s="37" t="n">
        <f aca="false">1+IF($G$6=$E$6,$F$6,IF(P815&lt;($F$6-$E$6)/($G$6-$E$6),$E$6+SQRT(P815*($G$6-$E$6)*($F$6-$E$6)),$G$6-SQRT((1-P815)*($G$6-$E$6)*($G$6-$F$6))))</f>
        <v>0.936995521567642</v>
      </c>
      <c r="C815" s="37" t="n">
        <f aca="false">1+IF($G$7=$E$7,$F$7,IF(Q815&lt;($F$7-$E$7)/($G$7-$E$7),$E$7+SQRT(Q815*($G$7-$E$7)*($F$7-$E$7)),$G$7-SQRT((1-Q815)*($G$7-$E$7)*($G$7-$F$7))))</f>
        <v>1.03080937637454</v>
      </c>
      <c r="D815" s="37" t="n">
        <f aca="false">1+IF($G$8=$E$8,$F$8,IF(R815&lt;($F$8-$E$8)/($G$8-$E$8),$E$8+SQRT(R815*($G$8-$E$8)*($F$8-$E$8)),$G$8-SQRT((1-R815)*($G$8-$E$8)*($G$8-$F$8))))</f>
        <v>0.974024263923692</v>
      </c>
      <c r="E815" s="37" t="n">
        <f aca="false">1+IF($G$9=$E$9,$F$9,IF(S815&lt;($F$9-$E$9)/($G$9-$E$9),$E$9+SQRT(S815*($G$9-$E$9)*($F$9-$E$9)),$G$9-SQRT((1-S815)*($G$9-$E$9)*($G$9-$F$9))))</f>
        <v>1.07746159054742</v>
      </c>
      <c r="F815" s="37" t="n">
        <f aca="false">1+IF($G$10=$E$10,$F$10,IF(T815&lt;($F$10-$E$10)/($G$10-$E$10),$E$10+SQRT(T815*($G$10-$E$10)*($F$10-$E$10)),$G$10-SQRT((1-T815)*($G$10-$E$10)*($G$10-$F$10))))</f>
        <v>1.03238444705171</v>
      </c>
      <c r="G815" s="38" t="n">
        <f aca="false">IF($G$11=$E$11,$F$11,IF(U815&lt;($F$11-$E$11)/($G$11-$E$11),$E$11+SQRT(U815*($G$11-$E$11)*($F$11-$E$11)),$G$11-SQRT((1-U815)*($G$11-$E$11)*($G$11-$F$11))))</f>
        <v>0.105322089520195</v>
      </c>
      <c r="H815" s="39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-2064768894.10341</v>
      </c>
      <c r="I815" s="39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-29396640.9653174</v>
      </c>
      <c r="J815" s="39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247730578.748448</v>
      </c>
      <c r="K815" s="39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576477020.814799</v>
      </c>
      <c r="L815" s="39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702233012.584766</v>
      </c>
      <c r="M815" s="39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885824397.844352</v>
      </c>
      <c r="N815" s="39" t="n">
        <f aca="false">IF(COUNT('Business Case'!B11:G11)=0,"",H815+NPV(G815,I815:M815))</f>
        <v>-454330040.654072</v>
      </c>
      <c r="P815" s="40" t="n">
        <f aca="true">RAND()</f>
        <v>0.0912445744041228</v>
      </c>
      <c r="Q815" s="40" t="n">
        <f aca="true">RAND()</f>
        <v>0.789534744292929</v>
      </c>
      <c r="R815" s="40" t="n">
        <f aca="true">RAND()</f>
        <v>0.0769553676100264</v>
      </c>
      <c r="S815" s="40" t="n">
        <f aca="true">RAND()</f>
        <v>0.859684777442396</v>
      </c>
      <c r="T815" s="40" t="n">
        <f aca="true">RAND()</f>
        <v>0.368579614866784</v>
      </c>
      <c r="U815" s="40" t="n">
        <f aca="true">RAND()</f>
        <v>0.594000489567152</v>
      </c>
    </row>
    <row r="816" customFormat="false" ht="15" hidden="false" customHeight="false" outlineLevel="0" collapsed="false">
      <c r="A816" s="36" t="n">
        <v>736</v>
      </c>
      <c r="B816" s="37" t="n">
        <f aca="false">1+IF($G$6=$E$6,$F$6,IF(P816&lt;($F$6-$E$6)/($G$6-$E$6),$E$6+SQRT(P816*($G$6-$E$6)*($F$6-$E$6)),$G$6-SQRT((1-P816)*($G$6-$E$6)*($G$6-$F$6))))</f>
        <v>0.939660230425633</v>
      </c>
      <c r="C816" s="37" t="n">
        <f aca="false">1+IF($G$7=$E$7,$F$7,IF(Q816&lt;($F$7-$E$7)/($G$7-$E$7),$E$7+SQRT(Q816*($G$7-$E$7)*($F$7-$E$7)),$G$7-SQRT((1-Q816)*($G$7-$E$7)*($G$7-$F$7))))</f>
        <v>0.919076809936434</v>
      </c>
      <c r="D816" s="37" t="n">
        <f aca="false">1+IF($G$8=$E$8,$F$8,IF(R816&lt;($F$8-$E$8)/($G$8-$E$8),$E$8+SQRT(R816*($G$8-$E$8)*($F$8-$E$8)),$G$8-SQRT((1-R816)*($G$8-$E$8)*($G$8-$F$8))))</f>
        <v>1.02622868270144</v>
      </c>
      <c r="E816" s="37" t="n">
        <f aca="false">1+IF($G$9=$E$9,$F$9,IF(S816&lt;($F$9-$E$9)/($G$9-$E$9),$E$9+SQRT(S816*($G$9-$E$9)*($F$9-$E$9)),$G$9-SQRT((1-S816)*($G$9-$E$9)*($G$9-$F$9))))</f>
        <v>0.990416710083524</v>
      </c>
      <c r="F816" s="37" t="n">
        <f aca="false">1+IF($G$10=$E$10,$F$10,IF(T816&lt;($F$10-$E$10)/($G$10-$E$10),$E$10+SQRT(T816*($G$10-$E$10)*($F$10-$E$10)),$G$10-SQRT((1-T816)*($G$10-$E$10)*($G$10-$F$10))))</f>
        <v>1.00943253447195</v>
      </c>
      <c r="G816" s="38" t="n">
        <f aca="false">IF($G$11=$E$11,$F$11,IF(U816&lt;($F$11-$E$11)/($G$11-$E$11),$E$11+SQRT(U816*($G$11-$E$11)*($F$11-$E$11)),$G$11-SQRT((1-U816)*($G$11-$E$11)*($G$11-$F$11))))</f>
        <v>0.100820619312855</v>
      </c>
      <c r="H816" s="39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-2018865068.94391</v>
      </c>
      <c r="I816" s="39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-62017898.9362369</v>
      </c>
      <c r="J816" s="39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162514768.764472</v>
      </c>
      <c r="K816" s="39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437519063.188778</v>
      </c>
      <c r="L816" s="39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542209990.43293</v>
      </c>
      <c r="M816" s="39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706366866.157798</v>
      </c>
      <c r="N816" s="39" t="n">
        <f aca="false">IF(COUNT('Business Case'!B11:G11)=0,"",H816+NPV(G816,I816:M816))</f>
        <v>-806913868.326083</v>
      </c>
      <c r="P816" s="40" t="n">
        <f aca="true">RAND()</f>
        <v>0.104862258494289</v>
      </c>
      <c r="Q816" s="40" t="n">
        <f aca="true">RAND()</f>
        <v>0.355515915940179</v>
      </c>
      <c r="R816" s="40" t="n">
        <f aca="true">RAND()</f>
        <v>0.637186182935667</v>
      </c>
      <c r="S816" s="40" t="n">
        <f aca="true">RAND()</f>
        <v>0.327007258493123</v>
      </c>
      <c r="T816" s="40" t="n">
        <f aca="true">RAND()</f>
        <v>0.228363927058829</v>
      </c>
      <c r="U816" s="40" t="n">
        <f aca="true">RAND()</f>
        <v>0.432375828476462</v>
      </c>
    </row>
    <row r="817" customFormat="false" ht="15" hidden="false" customHeight="false" outlineLevel="0" collapsed="false">
      <c r="A817" s="36" t="n">
        <v>737</v>
      </c>
      <c r="B817" s="37" t="n">
        <f aca="false">1+IF($G$6=$E$6,$F$6,IF(P817&lt;($F$6-$E$6)/($G$6-$E$6),$E$6+SQRT(P817*($G$6-$E$6)*($F$6-$E$6)),$G$6-SQRT((1-P817)*($G$6-$E$6)*($G$6-$F$6))))</f>
        <v>0.969891321750327</v>
      </c>
      <c r="C817" s="37" t="n">
        <f aca="false">1+IF($G$7=$E$7,$F$7,IF(Q817&lt;($F$7-$E$7)/($G$7-$E$7),$E$7+SQRT(Q817*($G$7-$E$7)*($F$7-$E$7)),$G$7-SQRT((1-Q817)*($G$7-$E$7)*($G$7-$F$7))))</f>
        <v>0.937442252608682</v>
      </c>
      <c r="D817" s="37" t="n">
        <f aca="false">1+IF($G$8=$E$8,$F$8,IF(R817&lt;($F$8-$E$8)/($G$8-$E$8),$E$8+SQRT(R817*($G$8-$E$8)*($F$8-$E$8)),$G$8-SQRT((1-R817)*($G$8-$E$8)*($G$8-$F$8))))</f>
        <v>1.08945636214164</v>
      </c>
      <c r="E817" s="37" t="n">
        <f aca="false">1+IF($G$9=$E$9,$F$9,IF(S817&lt;($F$9-$E$9)/($G$9-$E$9),$E$9+SQRT(S817*($G$9-$E$9)*($F$9-$E$9)),$G$9-SQRT((1-S817)*($G$9-$E$9)*($G$9-$F$9))))</f>
        <v>1.04494774177675</v>
      </c>
      <c r="F817" s="37" t="n">
        <f aca="false">1+IF($G$10=$E$10,$F$10,IF(T817&lt;($F$10-$E$10)/($G$10-$E$10),$E$10+SQRT(T817*($G$10-$E$10)*($F$10-$E$10)),$G$10-SQRT((1-T817)*($G$10-$E$10)*($G$10-$F$10))))</f>
        <v>0.977922579821256</v>
      </c>
      <c r="G817" s="38" t="n">
        <f aca="false">IF($G$11=$E$11,$F$11,IF(U817&lt;($F$11-$E$11)/($G$11-$E$11),$E$11+SQRT(U817*($G$11-$E$11)*($F$11-$E$11)),$G$11-SQRT((1-U817)*($G$11-$E$11)*($G$11-$F$11))))</f>
        <v>0.0868764572588566</v>
      </c>
      <c r="H817" s="39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-1955845159.64251</v>
      </c>
      <c r="I817" s="39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-71628506.6595829</v>
      </c>
      <c r="J817" s="39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150260628.289999</v>
      </c>
      <c r="K817" s="39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421045892.230644</v>
      </c>
      <c r="L817" s="39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526431480.378094</v>
      </c>
      <c r="M817" s="39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699255467.781505</v>
      </c>
      <c r="N817" s="39" t="n">
        <f aca="false">IF(COUNT('Business Case'!B11:G11)=0,"",H817+NPV(G817,I817:M817))</f>
        <v>-728333985.364609</v>
      </c>
      <c r="P817" s="40" t="n">
        <f aca="true">RAND()</f>
        <v>0.325653123733846</v>
      </c>
      <c r="Q817" s="40" t="n">
        <f aca="true">RAND()</f>
        <v>0.417620913510262</v>
      </c>
      <c r="R817" s="40" t="n">
        <f aca="true">RAND()</f>
        <v>0.992588780047449</v>
      </c>
      <c r="S817" s="40" t="n">
        <f aca="true">RAND()</f>
        <v>0.705707281125235</v>
      </c>
      <c r="T817" s="40" t="n">
        <f aca="true">RAND()</f>
        <v>0.0519780309249603</v>
      </c>
      <c r="U817" s="40" t="n">
        <f aca="true">RAND()</f>
        <v>0.047285664432881</v>
      </c>
    </row>
    <row r="818" customFormat="false" ht="15" hidden="false" customHeight="false" outlineLevel="0" collapsed="false">
      <c r="A818" s="36" t="n">
        <v>738</v>
      </c>
      <c r="B818" s="37" t="n">
        <f aca="false">1+IF($G$6=$E$6,$F$6,IF(P818&lt;($F$6-$E$6)/($G$6-$E$6),$E$6+SQRT(P818*($G$6-$E$6)*($F$6-$E$6)),$G$6-SQRT((1-P818)*($G$6-$E$6)*($G$6-$F$6))))</f>
        <v>0.938217035192408</v>
      </c>
      <c r="C818" s="37" t="n">
        <f aca="false">1+IF($G$7=$E$7,$F$7,IF(Q818&lt;($F$7-$E$7)/($G$7-$E$7),$E$7+SQRT(Q818*($G$7-$E$7)*($F$7-$E$7)),$G$7-SQRT((1-Q818)*($G$7-$E$7)*($G$7-$F$7))))</f>
        <v>0.972095164500774</v>
      </c>
      <c r="D818" s="37" t="n">
        <f aca="false">1+IF($G$8=$E$8,$F$8,IF(R818&lt;($F$8-$E$8)/($G$8-$E$8),$E$8+SQRT(R818*($G$8-$E$8)*($F$8-$E$8)),$G$8-SQRT((1-R818)*($G$8-$E$8)*($G$8-$F$8))))</f>
        <v>0.980023316772942</v>
      </c>
      <c r="E818" s="37" t="n">
        <f aca="false">1+IF($G$9=$E$9,$F$9,IF(S818&lt;($F$9-$E$9)/($G$9-$E$9),$E$9+SQRT(S818*($G$9-$E$9)*($F$9-$E$9)),$G$9-SQRT((1-S818)*($G$9-$E$9)*($G$9-$F$9))))</f>
        <v>1.03820468870669</v>
      </c>
      <c r="F818" s="37" t="n">
        <f aca="false">1+IF($G$10=$E$10,$F$10,IF(T818&lt;($F$10-$E$10)/($G$10-$E$10),$E$10+SQRT(T818*($G$10-$E$10)*($F$10-$E$10)),$G$10-SQRT((1-T818)*($G$10-$E$10)*($G$10-$F$10))))</f>
        <v>1.02122826227637</v>
      </c>
      <c r="G818" s="38" t="n">
        <f aca="false">IF($G$11=$E$11,$F$11,IF(U818&lt;($F$11-$E$11)/($G$11-$E$11),$E$11+SQRT(U818*($G$11-$E$11)*($F$11-$E$11)),$G$11-SQRT((1-U818)*($G$11-$E$11)*($G$11-$F$11))))</f>
        <v>0.109845540268952</v>
      </c>
      <c r="H818" s="39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-2042456524.55274</v>
      </c>
      <c r="I818" s="39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-37706002.7677561</v>
      </c>
      <c r="J818" s="39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221623486.271776</v>
      </c>
      <c r="K818" s="39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532014388.425127</v>
      </c>
      <c r="L818" s="39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649977524.00201</v>
      </c>
      <c r="M818" s="39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823337373.102394</v>
      </c>
      <c r="N818" s="39" t="n">
        <f aca="false">IF(COUNT('Business Case'!B11:G11)=0,"",H818+NPV(G818,I818:M818))</f>
        <v>-589989699.253643</v>
      </c>
      <c r="P818" s="40" t="n">
        <f aca="true">RAND()</f>
        <v>0.0973694519265172</v>
      </c>
      <c r="Q818" s="40" t="n">
        <f aca="true">RAND()</f>
        <v>0.54841317440521</v>
      </c>
      <c r="R818" s="40" t="n">
        <f aca="true">RAND()</f>
        <v>0.12018660667312</v>
      </c>
      <c r="S818" s="40" t="n">
        <f aca="true">RAND()</f>
        <v>0.666714889942211</v>
      </c>
      <c r="T818" s="40" t="n">
        <f aca="true">RAND()</f>
        <v>0.302179893585484</v>
      </c>
      <c r="U818" s="40" t="n">
        <f aca="true">RAND()</f>
        <v>0.729198501966368</v>
      </c>
    </row>
    <row r="819" customFormat="false" ht="15" hidden="false" customHeight="false" outlineLevel="0" collapsed="false">
      <c r="A819" s="36" t="n">
        <v>739</v>
      </c>
      <c r="B819" s="37" t="n">
        <f aca="false">1+IF($G$6=$E$6,$F$6,IF(P819&lt;($F$6-$E$6)/($G$6-$E$6),$E$6+SQRT(P819*($G$6-$E$6)*($F$6-$E$6)),$G$6-SQRT((1-P819)*($G$6-$E$6)*($G$6-$F$6))))</f>
        <v>0.949948799877705</v>
      </c>
      <c r="C819" s="37" t="n">
        <f aca="false">1+IF($G$7=$E$7,$F$7,IF(Q819&lt;($F$7-$E$7)/($G$7-$E$7),$E$7+SQRT(Q819*($G$7-$E$7)*($F$7-$E$7)),$G$7-SQRT((1-Q819)*($G$7-$E$7)*($G$7-$F$7))))</f>
        <v>0.983355361508037</v>
      </c>
      <c r="D819" s="37" t="n">
        <f aca="false">1+IF($G$8=$E$8,$F$8,IF(R819&lt;($F$8-$E$8)/($G$8-$E$8),$E$8+SQRT(R819*($G$8-$E$8)*($F$8-$E$8)),$G$8-SQRT((1-R819)*($G$8-$E$8)*($G$8-$F$8))))</f>
        <v>1.00775598987046</v>
      </c>
      <c r="E819" s="37" t="n">
        <f aca="false">1+IF($G$9=$E$9,$F$9,IF(S819&lt;($F$9-$E$9)/($G$9-$E$9),$E$9+SQRT(S819*($G$9-$E$9)*($F$9-$E$9)),$G$9-SQRT((1-S819)*($G$9-$E$9)*($G$9-$F$9))))</f>
        <v>1.05952773404443</v>
      </c>
      <c r="F819" s="37" t="n">
        <f aca="false">1+IF($G$10=$E$10,$F$10,IF(T819&lt;($F$10-$E$10)/($G$10-$E$10),$E$10+SQRT(T819*($G$10-$E$10)*($F$10-$E$10)),$G$10-SQRT((1-T819)*($G$10-$E$10)*($G$10-$F$10))))</f>
        <v>1.01617783595324</v>
      </c>
      <c r="G819" s="38" t="n">
        <f aca="false">IF($G$11=$E$11,$F$11,IF(U819&lt;($F$11-$E$11)/($G$11-$E$11),$E$11+SQRT(U819*($G$11-$E$11)*($F$11-$E$11)),$G$11-SQRT((1-U819)*($G$11-$E$11)*($G$11-$F$11))))</f>
        <v>0.105413021547754</v>
      </c>
      <c r="H819" s="39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-2032355671.90647</v>
      </c>
      <c r="I819" s="39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-42886276.5770672</v>
      </c>
      <c r="J819" s="39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214935749.029953</v>
      </c>
      <c r="K819" s="39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523566666.434635</v>
      </c>
      <c r="L819" s="39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641791124.842072</v>
      </c>
      <c r="M819" s="39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819351932.470108</v>
      </c>
      <c r="N819" s="39" t="n">
        <f aca="false">IF(COUNT('Business Case'!B11:G11)=0,"",H819+NPV(G819,I819:M819))</f>
        <v>-581395128.590317</v>
      </c>
      <c r="P819" s="40" t="n">
        <f aca="true">RAND()</f>
        <v>0.166325507281536</v>
      </c>
      <c r="Q819" s="40" t="n">
        <f aca="true">RAND()</f>
        <v>0.594742673298891</v>
      </c>
      <c r="R819" s="40" t="n">
        <f aca="true">RAND()</f>
        <v>0.432736173014725</v>
      </c>
      <c r="S819" s="40" t="n">
        <f aca="true">RAND()</f>
        <v>0.781727175809721</v>
      </c>
      <c r="T819" s="40" t="n">
        <f aca="true">RAND()</f>
        <v>0.271029274673171</v>
      </c>
      <c r="U819" s="40" t="n">
        <f aca="true">RAND()</f>
        <v>0.596986993725856</v>
      </c>
    </row>
    <row r="820" customFormat="false" ht="15" hidden="false" customHeight="false" outlineLevel="0" collapsed="false">
      <c r="A820" s="36" t="n">
        <v>740</v>
      </c>
      <c r="B820" s="37" t="n">
        <f aca="false">1+IF($G$6=$E$6,$F$6,IF(P820&lt;($F$6-$E$6)/($G$6-$E$6),$E$6+SQRT(P820*($G$6-$E$6)*($F$6-$E$6)),$G$6-SQRT((1-P820)*($G$6-$E$6)*($G$6-$F$6))))</f>
        <v>0.942073292680427</v>
      </c>
      <c r="C820" s="37" t="n">
        <f aca="false">1+IF($G$7=$E$7,$F$7,IF(Q820&lt;($F$7-$E$7)/($G$7-$E$7),$E$7+SQRT(Q820*($G$7-$E$7)*($F$7-$E$7)),$G$7-SQRT((1-Q820)*($G$7-$E$7)*($G$7-$F$7))))</f>
        <v>1.01939388509897</v>
      </c>
      <c r="D820" s="37" t="n">
        <f aca="false">1+IF($G$8=$E$8,$F$8,IF(R820&lt;($F$8-$E$8)/($G$8-$E$8),$E$8+SQRT(R820*($G$8-$E$8)*($F$8-$E$8)),$G$8-SQRT((1-R820)*($G$8-$E$8)*($G$8-$F$8))))</f>
        <v>0.981087310418113</v>
      </c>
      <c r="E820" s="37" t="n">
        <f aca="false">1+IF($G$9=$E$9,$F$9,IF(S820&lt;($F$9-$E$9)/($G$9-$E$9),$E$9+SQRT(S820*($G$9-$E$9)*($F$9-$E$9)),$G$9-SQRT((1-S820)*($G$9-$E$9)*($G$9-$F$9))))</f>
        <v>1.05851516300058</v>
      </c>
      <c r="F820" s="37" t="n">
        <f aca="false">1+IF($G$10=$E$10,$F$10,IF(T820&lt;($F$10-$E$10)/($G$10-$E$10),$E$10+SQRT(T820*($G$10-$E$10)*($F$10-$E$10)),$G$10-SQRT((1-T820)*($G$10-$E$10)*($G$10-$F$10))))</f>
        <v>1.12160443842814</v>
      </c>
      <c r="G820" s="38" t="n">
        <f aca="false">IF($G$11=$E$11,$F$11,IF(U820&lt;($F$11-$E$11)/($G$11-$E$11),$E$11+SQRT(U820*($G$11-$E$11)*($F$11-$E$11)),$G$11-SQRT((1-U820)*($G$11-$E$11)*($G$11-$F$11))))</f>
        <v>0.11883062050532</v>
      </c>
      <c r="H820" s="39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-2243208876.85628</v>
      </c>
      <c r="I820" s="39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-37853407.2513087</v>
      </c>
      <c r="J820" s="39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236758705.71968</v>
      </c>
      <c r="K820" s="39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567451040.612075</v>
      </c>
      <c r="L820" s="39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692177891.736272</v>
      </c>
      <c r="M820" s="39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874720032.472544</v>
      </c>
      <c r="N820" s="39" t="n">
        <f aca="false">IF(COUNT('Business Case'!B11:G11)=0,"",H820+NPV(G820,I820:M820))</f>
        <v>-742063937.754419</v>
      </c>
      <c r="P820" s="40" t="n">
        <f aca="true">RAND()</f>
        <v>0.118010797131523</v>
      </c>
      <c r="Q820" s="40" t="n">
        <f aca="true">RAND()</f>
        <v>0.747289522229039</v>
      </c>
      <c r="R820" s="40" t="n">
        <f aca="true">RAND()</f>
        <v>0.128856115870944</v>
      </c>
      <c r="S820" s="40" t="n">
        <f aca="true">RAND()</f>
        <v>0.776813989311701</v>
      </c>
      <c r="T820" s="40" t="n">
        <f aca="true">RAND()</f>
        <v>0.780194396915282</v>
      </c>
      <c r="U820" s="40" t="n">
        <f aca="true">RAND()</f>
        <v>0.91682997446921</v>
      </c>
    </row>
    <row r="821" customFormat="false" ht="15" hidden="false" customHeight="false" outlineLevel="0" collapsed="false">
      <c r="A821" s="36" t="n">
        <v>741</v>
      </c>
      <c r="B821" s="37" t="n">
        <f aca="false">1+IF($G$6=$E$6,$F$6,IF(P821&lt;($F$6-$E$6)/($G$6-$E$6),$E$6+SQRT(P821*($G$6-$E$6)*($F$6-$E$6)),$G$6-SQRT((1-P821)*($G$6-$E$6)*($G$6-$F$6))))</f>
        <v>0.966865379789585</v>
      </c>
      <c r="C821" s="37" t="n">
        <f aca="false">1+IF($G$7=$E$7,$F$7,IF(Q821&lt;($F$7-$E$7)/($G$7-$E$7),$E$7+SQRT(Q821*($G$7-$E$7)*($F$7-$E$7)),$G$7-SQRT((1-Q821)*($G$7-$E$7)*($G$7-$F$7))))</f>
        <v>0.89211920209594</v>
      </c>
      <c r="D821" s="37" t="n">
        <f aca="false">1+IF($G$8=$E$8,$F$8,IF(R821&lt;($F$8-$E$8)/($G$8-$E$8),$E$8+SQRT(R821*($G$8-$E$8)*($F$8-$E$8)),$G$8-SQRT((1-R821)*($G$8-$E$8)*($G$8-$F$8))))</f>
        <v>1.03996777497567</v>
      </c>
      <c r="E821" s="37" t="n">
        <f aca="false">1+IF($G$9=$E$9,$F$9,IF(S821&lt;($F$9-$E$9)/($G$9-$E$9),$E$9+SQRT(S821*($G$9-$E$9)*($F$9-$E$9)),$G$9-SQRT((1-S821)*($G$9-$E$9)*($G$9-$F$9))))</f>
        <v>1.03321126855625</v>
      </c>
      <c r="F821" s="37" t="n">
        <f aca="false">1+IF($G$10=$E$10,$F$10,IF(T821&lt;($F$10-$E$10)/($G$10-$E$10),$E$10+SQRT(T821*($G$10-$E$10)*($F$10-$E$10)),$G$10-SQRT((1-T821)*($G$10-$E$10)*($G$10-$F$10))))</f>
        <v>0.98520099133414</v>
      </c>
      <c r="G821" s="38" t="n">
        <f aca="false">IF($G$11=$E$11,$F$11,IF(U821&lt;($F$11-$E$11)/($G$11-$E$11),$E$11+SQRT(U821*($G$11-$E$11)*($F$11-$E$11)),$G$11-SQRT((1-U821)*($G$11-$E$11)*($G$11-$F$11))))</f>
        <v>0.116732682411229</v>
      </c>
      <c r="H821" s="39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-1970401982.66828</v>
      </c>
      <c r="I821" s="39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-58606434.9708286</v>
      </c>
      <c r="J821" s="39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172944939.012979</v>
      </c>
      <c r="K821" s="39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453756362.563494</v>
      </c>
      <c r="L821" s="39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560750198.846445</v>
      </c>
      <c r="M821" s="39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724705446.099031</v>
      </c>
      <c r="N821" s="39" t="n">
        <f aca="false">IF(COUNT('Business Case'!B11:G11)=0,"",H821+NPV(G821,I821:M821))</f>
        <v>-780561550.295283</v>
      </c>
      <c r="P821" s="40" t="n">
        <f aca="true">RAND()</f>
        <v>0.29806526762703</v>
      </c>
      <c r="Q821" s="40" t="n">
        <f aca="true">RAND()</f>
        <v>0.273405835659116</v>
      </c>
      <c r="R821" s="40" t="n">
        <f aca="true">RAND()</f>
        <v>0.759742130575187</v>
      </c>
      <c r="S821" s="40" t="n">
        <f aca="true">RAND()</f>
        <v>0.636277125540247</v>
      </c>
      <c r="T821" s="40" t="n">
        <f aca="true">RAND()</f>
        <v>0.0826073193937478</v>
      </c>
      <c r="U821" s="40" t="n">
        <f aca="true">RAND()</f>
        <v>0.882652189332451</v>
      </c>
    </row>
    <row r="822" customFormat="false" ht="15" hidden="false" customHeight="false" outlineLevel="0" collapsed="false">
      <c r="A822" s="36" t="n">
        <v>742</v>
      </c>
      <c r="B822" s="37" t="n">
        <f aca="false">1+IF($G$6=$E$6,$F$6,IF(P822&lt;($F$6-$E$6)/($G$6-$E$6),$E$6+SQRT(P822*($G$6-$E$6)*($F$6-$E$6)),$G$6-SQRT((1-P822)*($G$6-$E$6)*($G$6-$F$6))))</f>
        <v>0.995097599057451</v>
      </c>
      <c r="C822" s="37" t="n">
        <f aca="false">1+IF($G$7=$E$7,$F$7,IF(Q822&lt;($F$7-$E$7)/($G$7-$E$7),$E$7+SQRT(Q822*($G$7-$E$7)*($F$7-$E$7)),$G$7-SQRT((1-Q822)*($G$7-$E$7)*($G$7-$F$7))))</f>
        <v>1.05480683373415</v>
      </c>
      <c r="D822" s="37" t="n">
        <f aca="false">1+IF($G$8=$E$8,$F$8,IF(R822&lt;($F$8-$E$8)/($G$8-$E$8),$E$8+SQRT(R822*($G$8-$E$8)*($F$8-$E$8)),$G$8-SQRT((1-R822)*($G$8-$E$8)*($G$8-$F$8))))</f>
        <v>0.966346002859227</v>
      </c>
      <c r="E822" s="37" t="n">
        <f aca="false">1+IF($G$9=$E$9,$F$9,IF(S822&lt;($F$9-$E$9)/($G$9-$E$9),$E$9+SQRT(S822*($G$9-$E$9)*($F$9-$E$9)),$G$9-SQRT((1-S822)*($G$9-$E$9)*($G$9-$F$9))))</f>
        <v>0.961626235236073</v>
      </c>
      <c r="F822" s="37" t="n">
        <f aca="false">1+IF($G$10=$E$10,$F$10,IF(T822&lt;($F$10-$E$10)/($G$10-$E$10),$E$10+SQRT(T822*($G$10-$E$10)*($F$10-$E$10)),$G$10-SQRT((1-T822)*($G$10-$E$10)*($G$10-$F$10))))</f>
        <v>0.957944292673455</v>
      </c>
      <c r="G822" s="38" t="n">
        <f aca="false">IF($G$11=$E$11,$F$11,IF(U822&lt;($F$11-$E$11)/($G$11-$E$11),$E$11+SQRT(U822*($G$11-$E$11)*($F$11-$E$11)),$G$11-SQRT((1-U822)*($G$11-$E$11)*($G$11-$F$11))))</f>
        <v>0.103720558231219</v>
      </c>
      <c r="H822" s="39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-1915888585.34691</v>
      </c>
      <c r="I822" s="39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50972114.5502459</v>
      </c>
      <c r="J822" s="39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388895026.18012</v>
      </c>
      <c r="K822" s="39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774715152.443668</v>
      </c>
      <c r="L822" s="39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923631534.428102</v>
      </c>
      <c r="M822" s="39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1123146297.35439</v>
      </c>
      <c r="N822" s="39" t="n">
        <f aca="false">IF(COUNT('Business Case'!B11:G11)=0,"",H822+NPV(G822,I822:M822))</f>
        <v>333819501.283504</v>
      </c>
      <c r="P822" s="40" t="n">
        <f aca="true">RAND()</f>
        <v>0.602903556432778</v>
      </c>
      <c r="Q822" s="40" t="n">
        <f aca="true">RAND()</f>
        <v>0.865752016241211</v>
      </c>
      <c r="R822" s="40" t="n">
        <f aca="true">RAND()</f>
        <v>0.0356255745965164</v>
      </c>
      <c r="S822" s="40" t="n">
        <f aca="true">RAND()</f>
        <v>0.151911714774872</v>
      </c>
      <c r="T822" s="40" t="n">
        <f aca="true">RAND()</f>
        <v>0.00420745240543375</v>
      </c>
      <c r="U822" s="40" t="n">
        <f aca="true">RAND()</f>
        <v>0.539593960214148</v>
      </c>
    </row>
    <row r="823" customFormat="false" ht="15" hidden="false" customHeight="false" outlineLevel="0" collapsed="false">
      <c r="A823" s="36" t="n">
        <v>743</v>
      </c>
      <c r="B823" s="37" t="n">
        <f aca="false">1+IF($G$6=$E$6,$F$6,IF(P823&lt;($F$6-$E$6)/($G$6-$E$6),$E$6+SQRT(P823*($G$6-$E$6)*($F$6-$E$6)),$G$6-SQRT((1-P823)*($G$6-$E$6)*($G$6-$F$6))))</f>
        <v>0.99819863686187</v>
      </c>
      <c r="C823" s="37" t="n">
        <f aca="false">1+IF($G$7=$E$7,$F$7,IF(Q823&lt;($F$7-$E$7)/($G$7-$E$7),$E$7+SQRT(Q823*($G$7-$E$7)*($F$7-$E$7)),$G$7-SQRT((1-Q823)*($G$7-$E$7)*($G$7-$F$7))))</f>
        <v>1.00975690397698</v>
      </c>
      <c r="D823" s="37" t="n">
        <f aca="false">1+IF($G$8=$E$8,$F$8,IF(R823&lt;($F$8-$E$8)/($G$8-$E$8),$E$8+SQRT(R823*($G$8-$E$8)*($F$8-$E$8)),$G$8-SQRT((1-R823)*($G$8-$E$8)*($G$8-$F$8))))</f>
        <v>1.07124184849218</v>
      </c>
      <c r="E823" s="37" t="n">
        <f aca="false">1+IF($G$9=$E$9,$F$9,IF(S823&lt;($F$9-$E$9)/($G$9-$E$9),$E$9+SQRT(S823*($G$9-$E$9)*($F$9-$E$9)),$G$9-SQRT((1-S823)*($G$9-$E$9)*($G$9-$F$9))))</f>
        <v>1.06933230793756</v>
      </c>
      <c r="F823" s="37" t="n">
        <f aca="false">1+IF($G$10=$E$10,$F$10,IF(T823&lt;($F$10-$E$10)/($G$10-$E$10),$E$10+SQRT(T823*($G$10-$E$10)*($F$10-$E$10)),$G$10-SQRT((1-T823)*($G$10-$E$10)*($G$10-$F$10))))</f>
        <v>1.04065678769639</v>
      </c>
      <c r="G823" s="38" t="n">
        <f aca="false">IF($G$11=$E$11,$F$11,IF(U823&lt;($F$11-$E$11)/($G$11-$E$11),$E$11+SQRT(U823*($G$11-$E$11)*($F$11-$E$11)),$G$11-SQRT((1-U823)*($G$11-$E$11)*($G$11-$F$11))))</f>
        <v>0.110724719252404</v>
      </c>
      <c r="H823" s="39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-2081313575.39278</v>
      </c>
      <c r="I823" s="39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-36543189.001757</v>
      </c>
      <c r="J823" s="39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235289859.066236</v>
      </c>
      <c r="K823" s="39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559155746.519047</v>
      </c>
      <c r="L823" s="39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684601098.615972</v>
      </c>
      <c r="M823" s="39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876189947.0244</v>
      </c>
      <c r="N823" s="39" t="n">
        <f aca="false">IF(COUNT('Business Case'!B11:G11)=0,"",H823+NPV(G823,I823:M823))</f>
        <v>-547372321.10075</v>
      </c>
      <c r="P823" s="40" t="n">
        <f aca="true">RAND()</f>
        <v>0.642864818768632</v>
      </c>
      <c r="Q823" s="40" t="n">
        <f aca="true">RAND()</f>
        <v>0.708620355820393</v>
      </c>
      <c r="R823" s="40" t="n">
        <f aca="true">RAND()</f>
        <v>0.944864581456899</v>
      </c>
      <c r="S823" s="40" t="n">
        <f aca="true">RAND()</f>
        <v>0.826472625528526</v>
      </c>
      <c r="T823" s="40" t="n">
        <f aca="true">RAND()</f>
        <v>0.415672259498733</v>
      </c>
      <c r="U823" s="40" t="n">
        <f aca="true">RAND()</f>
        <v>0.752309034734239</v>
      </c>
    </row>
    <row r="824" customFormat="false" ht="15" hidden="false" customHeight="false" outlineLevel="0" collapsed="false">
      <c r="A824" s="36" t="n">
        <v>744</v>
      </c>
      <c r="B824" s="37" t="n">
        <f aca="false">1+IF($G$6=$E$6,$F$6,IF(P824&lt;($F$6-$E$6)/($G$6-$E$6),$E$6+SQRT(P824*($G$6-$E$6)*($F$6-$E$6)),$G$6-SQRT((1-P824)*($G$6-$E$6)*($G$6-$F$6))))</f>
        <v>0.999311775019341</v>
      </c>
      <c r="C824" s="37" t="n">
        <f aca="false">1+IF($G$7=$E$7,$F$7,IF(Q824&lt;($F$7-$E$7)/($G$7-$E$7),$E$7+SQRT(Q824*($G$7-$E$7)*($F$7-$E$7)),$G$7-SQRT((1-Q824)*($G$7-$E$7)*($G$7-$F$7))))</f>
        <v>0.818646601569756</v>
      </c>
      <c r="D824" s="37" t="n">
        <f aca="false">1+IF($G$8=$E$8,$F$8,IF(R824&lt;($F$8-$E$8)/($G$8-$E$8),$E$8+SQRT(R824*($G$8-$E$8)*($F$8-$E$8)),$G$8-SQRT((1-R824)*($G$8-$E$8)*($G$8-$F$8))))</f>
        <v>1.00328192663936</v>
      </c>
      <c r="E824" s="37" t="n">
        <f aca="false">1+IF($G$9=$E$9,$F$9,IF(S824&lt;($F$9-$E$9)/($G$9-$E$9),$E$9+SQRT(S824*($G$9-$E$9)*($F$9-$E$9)),$G$9-SQRT((1-S824)*($G$9-$E$9)*($G$9-$F$9))))</f>
        <v>0.979222288925346</v>
      </c>
      <c r="F824" s="37" t="n">
        <f aca="false">1+IF($G$10=$E$10,$F$10,IF(T824&lt;($F$10-$E$10)/($G$10-$E$10),$E$10+SQRT(T824*($G$10-$E$10)*($F$10-$E$10)),$G$10-SQRT((1-T824)*($G$10-$E$10)*($G$10-$F$10))))</f>
        <v>0.952398761225887</v>
      </c>
      <c r="G824" s="38" t="n">
        <f aca="false">IF($G$11=$E$11,$F$11,IF(U824&lt;($F$11-$E$11)/($G$11-$E$11),$E$11+SQRT(U824*($G$11-$E$11)*($F$11-$E$11)),$G$11-SQRT((1-U824)*($G$11-$E$11)*($G$11-$F$11))))</f>
        <v>0.102088027880305</v>
      </c>
      <c r="H824" s="39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-1904797522.45177</v>
      </c>
      <c r="I824" s="39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-27282647.945464</v>
      </c>
      <c r="J824" s="39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222329422.210148</v>
      </c>
      <c r="K824" s="39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519561430.427054</v>
      </c>
      <c r="L824" s="39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631038408.807793</v>
      </c>
      <c r="M824" s="39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786539661.283238</v>
      </c>
      <c r="N824" s="39" t="n">
        <f aca="false">IF(COUNT('Business Case'!B11:G11)=0,"",H824+NPV(G824,I824:M824))</f>
        <v>-446844584.347065</v>
      </c>
      <c r="P824" s="40" t="n">
        <f aca="true">RAND()</f>
        <v>0.657521910499478</v>
      </c>
      <c r="Q824" s="40" t="n">
        <f aca="true">RAND()</f>
        <v>0.104274193067055</v>
      </c>
      <c r="R824" s="40" t="n">
        <f aca="true">RAND()</f>
        <v>0.376374285693711</v>
      </c>
      <c r="S824" s="40" t="n">
        <f aca="true">RAND()</f>
        <v>0.251046842502837</v>
      </c>
      <c r="T824" s="40" t="n">
        <f aca="true">RAND()</f>
        <v>0.000383603694587806</v>
      </c>
      <c r="U824" s="40" t="n">
        <f aca="true">RAND()</f>
        <v>0.480614541592894</v>
      </c>
    </row>
    <row r="825" customFormat="false" ht="15" hidden="false" customHeight="false" outlineLevel="0" collapsed="false">
      <c r="A825" s="36" t="n">
        <v>745</v>
      </c>
      <c r="B825" s="37" t="n">
        <f aca="false">1+IF($G$6=$E$6,$F$6,IF(P825&lt;($F$6-$E$6)/($G$6-$E$6),$E$6+SQRT(P825*($G$6-$E$6)*($F$6-$E$6)),$G$6-SQRT((1-P825)*($G$6-$E$6)*($G$6-$F$6))))</f>
        <v>0.947305171012343</v>
      </c>
      <c r="C825" s="37" t="n">
        <f aca="false">1+IF($G$7=$E$7,$F$7,IF(Q825&lt;($F$7-$E$7)/($G$7-$E$7),$E$7+SQRT(Q825*($G$7-$E$7)*($F$7-$E$7)),$G$7-SQRT((1-Q825)*($G$7-$E$7)*($G$7-$F$7))))</f>
        <v>0.8968348057234</v>
      </c>
      <c r="D825" s="37" t="n">
        <f aca="false">1+IF($G$8=$E$8,$F$8,IF(R825&lt;($F$8-$E$8)/($G$8-$E$8),$E$8+SQRT(R825*($G$8-$E$8)*($F$8-$E$8)),$G$8-SQRT((1-R825)*($G$8-$E$8)*($G$8-$F$8))))</f>
        <v>1.06692028805683</v>
      </c>
      <c r="E825" s="37" t="n">
        <f aca="false">1+IF($G$9=$E$9,$F$9,IF(S825&lt;($F$9-$E$9)/($G$9-$E$9),$E$9+SQRT(S825*($G$9-$E$9)*($F$9-$E$9)),$G$9-SQRT((1-S825)*($G$9-$E$9)*($G$9-$F$9))))</f>
        <v>0.992260701971895</v>
      </c>
      <c r="F825" s="37" t="n">
        <f aca="false">1+IF($G$10=$E$10,$F$10,IF(T825&lt;($F$10-$E$10)/($G$10-$E$10),$E$10+SQRT(T825*($G$10-$E$10)*($F$10-$E$10)),$G$10-SQRT((1-T825)*($G$10-$E$10)*($G$10-$F$10))))</f>
        <v>1.14112776127378</v>
      </c>
      <c r="G825" s="38" t="n">
        <f aca="false">IF($G$11=$E$11,$F$11,IF(U825&lt;($F$11-$E$11)/($G$11-$E$11),$E$11+SQRT(U825*($G$11-$E$11)*($F$11-$E$11)),$G$11-SQRT((1-U825)*($G$11-$E$11)*($G$11-$F$11))))</f>
        <v>0.107328630414045</v>
      </c>
      <c r="H825" s="39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-2282255522.54756</v>
      </c>
      <c r="I825" s="39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-93221454.7927986</v>
      </c>
      <c r="J825" s="39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112811371.110636</v>
      </c>
      <c r="K825" s="39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375900585.07776</v>
      </c>
      <c r="L825" s="39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473939548.877872</v>
      </c>
      <c r="M825" s="39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635427002.288862</v>
      </c>
      <c r="N825" s="39" t="n">
        <f aca="false">IF(COUNT('Business Case'!B11:G11)=0,"",H825+NPV(G825,I825:M825))</f>
        <v>-1300701757.64303</v>
      </c>
      <c r="P825" s="40" t="n">
        <f aca="true">RAND()</f>
        <v>0.149185280300466</v>
      </c>
      <c r="Q825" s="40" t="n">
        <f aca="true">RAND()</f>
        <v>0.286992153660508</v>
      </c>
      <c r="R825" s="40" t="n">
        <f aca="true">RAND()</f>
        <v>0.927048843850465</v>
      </c>
      <c r="S825" s="40" t="n">
        <f aca="true">RAND()</f>
        <v>0.340481485133872</v>
      </c>
      <c r="T825" s="40" t="n">
        <f aca="true">RAND()</f>
        <v>0.841957808463218</v>
      </c>
      <c r="U825" s="40" t="n">
        <f aca="true">RAND()</f>
        <v>0.657339334064694</v>
      </c>
    </row>
    <row r="826" customFormat="false" ht="15" hidden="false" customHeight="false" outlineLevel="0" collapsed="false">
      <c r="A826" s="36" t="n">
        <v>746</v>
      </c>
      <c r="B826" s="37" t="n">
        <f aca="false">1+IF($G$6=$E$6,$F$6,IF(P826&lt;($F$6-$E$6)/($G$6-$E$6),$E$6+SQRT(P826*($G$6-$E$6)*($F$6-$E$6)),$G$6-SQRT((1-P826)*($G$6-$E$6)*($G$6-$F$6))))</f>
        <v>0.977299261670388</v>
      </c>
      <c r="C826" s="37" t="n">
        <f aca="false">1+IF($G$7=$E$7,$F$7,IF(Q826&lt;($F$7-$E$7)/($G$7-$E$7),$E$7+SQRT(Q826*($G$7-$E$7)*($F$7-$E$7)),$G$7-SQRT((1-Q826)*($G$7-$E$7)*($G$7-$F$7))))</f>
        <v>1.03630720349533</v>
      </c>
      <c r="D826" s="37" t="n">
        <f aca="false">1+IF($G$8=$E$8,$F$8,IF(R826&lt;($F$8-$E$8)/($G$8-$E$8),$E$8+SQRT(R826*($G$8-$E$8)*($F$8-$E$8)),$G$8-SQRT((1-R826)*($G$8-$E$8)*($G$8-$F$8))))</f>
        <v>1.0135078997917</v>
      </c>
      <c r="E826" s="37" t="n">
        <f aca="false">1+IF($G$9=$E$9,$F$9,IF(S826&lt;($F$9-$E$9)/($G$9-$E$9),$E$9+SQRT(S826*($G$9-$E$9)*($F$9-$E$9)),$G$9-SQRT((1-S826)*($G$9-$E$9)*($G$9-$F$9))))</f>
        <v>1.08532518583886</v>
      </c>
      <c r="F826" s="37" t="n">
        <f aca="false">1+IF($G$10=$E$10,$F$10,IF(T826&lt;($F$10-$E$10)/($G$10-$E$10),$E$10+SQRT(T826*($G$10-$E$10)*($F$10-$E$10)),$G$10-SQRT((1-T826)*($G$10-$E$10)*($G$10-$F$10))))</f>
        <v>1.0275877110079</v>
      </c>
      <c r="G826" s="38" t="n">
        <f aca="false">IF($G$11=$E$11,$F$11,IF(U826&lt;($F$11-$E$11)/($G$11-$E$11),$E$11+SQRT(U826*($G$11-$E$11)*($F$11-$E$11)),$G$11-SQRT((1-U826)*($G$11-$E$11)*($G$11-$F$11))))</f>
        <v>0.109754491070247</v>
      </c>
      <c r="H826" s="39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-2055175422.0158</v>
      </c>
      <c r="I826" s="39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-17725460.5916258</v>
      </c>
      <c r="J826" s="39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274143723.953114</v>
      </c>
      <c r="K826" s="39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617392294.04825</v>
      </c>
      <c r="L826" s="39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749683777.302689</v>
      </c>
      <c r="M826" s="39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942193430.203418</v>
      </c>
      <c r="N826" s="39" t="n">
        <f aca="false">IF(COUNT('Business Case'!B11:G11)=0,"",H826+NPV(G826,I826:M826))</f>
        <v>-342774799.648639</v>
      </c>
      <c r="P826" s="40" t="n">
        <f aca="true">RAND()</f>
        <v>0.398345056985812</v>
      </c>
      <c r="Q826" s="40" t="n">
        <f aca="true">RAND()</f>
        <v>0.808502933673311</v>
      </c>
      <c r="R826" s="40" t="n">
        <f aca="true">RAND()</f>
        <v>0.501274440103848</v>
      </c>
      <c r="S826" s="40" t="n">
        <f aca="true">RAND()</f>
        <v>0.888457824352582</v>
      </c>
      <c r="T826" s="40" t="n">
        <f aca="true">RAND()</f>
        <v>0.340436982737271</v>
      </c>
      <c r="U826" s="40" t="n">
        <f aca="true">RAND()</f>
        <v>0.726746245450193</v>
      </c>
    </row>
    <row r="827" customFormat="false" ht="15" hidden="false" customHeight="false" outlineLevel="0" collapsed="false">
      <c r="A827" s="36" t="n">
        <v>747</v>
      </c>
      <c r="B827" s="37" t="n">
        <f aca="false">1+IF($G$6=$E$6,$F$6,IF(P827&lt;($F$6-$E$6)/($G$6-$E$6),$E$6+SQRT(P827*($G$6-$E$6)*($F$6-$E$6)),$G$6-SQRT((1-P827)*($G$6-$E$6)*($G$6-$F$6))))</f>
        <v>0.975967273827106</v>
      </c>
      <c r="C827" s="37" t="n">
        <f aca="false">1+IF($G$7=$E$7,$F$7,IF(Q827&lt;($F$7-$E$7)/($G$7-$E$7),$E$7+SQRT(Q827*($G$7-$E$7)*($F$7-$E$7)),$G$7-SQRT((1-Q827)*($G$7-$E$7)*($G$7-$F$7))))</f>
        <v>1.07158014018093</v>
      </c>
      <c r="D827" s="37" t="n">
        <f aca="false">1+IF($G$8=$E$8,$F$8,IF(R827&lt;($F$8-$E$8)/($G$8-$E$8),$E$8+SQRT(R827*($G$8-$E$8)*($F$8-$E$8)),$G$8-SQRT((1-R827)*($G$8-$E$8)*($G$8-$F$8))))</f>
        <v>0.98727953660263</v>
      </c>
      <c r="E827" s="37" t="n">
        <f aca="false">1+IF($G$9=$E$9,$F$9,IF(S827&lt;($F$9-$E$9)/($G$9-$E$9),$E$9+SQRT(S827*($G$9-$E$9)*($F$9-$E$9)),$G$9-SQRT((1-S827)*($G$9-$E$9)*($G$9-$F$9))))</f>
        <v>1.01313557418212</v>
      </c>
      <c r="F827" s="37" t="n">
        <f aca="false">1+IF($G$10=$E$10,$F$10,IF(T827&lt;($F$10-$E$10)/($G$10-$E$10),$E$10+SQRT(T827*($G$10-$E$10)*($F$10-$E$10)),$G$10-SQRT((1-T827)*($G$10-$E$10)*($G$10-$F$10))))</f>
        <v>1.08181120219294</v>
      </c>
      <c r="G827" s="38" t="n">
        <f aca="false">IF($G$11=$E$11,$F$11,IF(U827&lt;($F$11-$E$11)/($G$11-$E$11),$E$11+SQRT(U827*($G$11-$E$11)*($F$11-$E$11)),$G$11-SQRT((1-U827)*($G$11-$E$11)*($G$11-$F$11))))</f>
        <v>0.0928584842423695</v>
      </c>
      <c r="H827" s="39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-2163622404.38588</v>
      </c>
      <c r="I827" s="39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8557729.70836949</v>
      </c>
      <c r="J827" s="39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323580137.642216</v>
      </c>
      <c r="K827" s="39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692693105.685709</v>
      </c>
      <c r="L827" s="39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833844361.235316</v>
      </c>
      <c r="M827" s="39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1032635185.5461</v>
      </c>
      <c r="N827" s="39" t="n">
        <f aca="false">IF(COUNT('Business Case'!B11:G11)=0,"",H827+NPV(G827,I827:M827))</f>
        <v>-107192891.567569</v>
      </c>
      <c r="P827" s="40" t="n">
        <f aca="true">RAND()</f>
        <v>0.384735112848164</v>
      </c>
      <c r="Q827" s="40" t="n">
        <f aca="true">RAND()</f>
        <v>0.908893712384564</v>
      </c>
      <c r="R827" s="40" t="n">
        <f aca="true">RAND()</f>
        <v>0.185301846574244</v>
      </c>
      <c r="S827" s="40" t="n">
        <f aca="true">RAND()</f>
        <v>0.500483438547759</v>
      </c>
      <c r="T827" s="40" t="n">
        <f aca="true">RAND()</f>
        <v>0.62283371056287</v>
      </c>
      <c r="U827" s="40" t="n">
        <f aca="true">RAND()</f>
        <v>0.165340617011264</v>
      </c>
    </row>
    <row r="828" customFormat="false" ht="15" hidden="false" customHeight="false" outlineLevel="0" collapsed="false">
      <c r="A828" s="36" t="n">
        <v>748</v>
      </c>
      <c r="B828" s="37" t="n">
        <f aca="false">1+IF($G$6=$E$6,$F$6,IF(P828&lt;($F$6-$E$6)/($G$6-$E$6),$E$6+SQRT(P828*($G$6-$E$6)*($F$6-$E$6)),$G$6-SQRT((1-P828)*($G$6-$E$6)*($G$6-$F$6))))</f>
        <v>0.908592423580482</v>
      </c>
      <c r="C828" s="37" t="n">
        <f aca="false">1+IF($G$7=$E$7,$F$7,IF(Q828&lt;($F$7-$E$7)/($G$7-$E$7),$E$7+SQRT(Q828*($G$7-$E$7)*($F$7-$E$7)),$G$7-SQRT((1-Q828)*($G$7-$E$7)*($G$7-$F$7))))</f>
        <v>1.01150076845136</v>
      </c>
      <c r="D828" s="37" t="n">
        <f aca="false">1+IF($G$8=$E$8,$F$8,IF(R828&lt;($F$8-$E$8)/($G$8-$E$8),$E$8+SQRT(R828*($G$8-$E$8)*($F$8-$E$8)),$G$8-SQRT((1-R828)*($G$8-$E$8)*($G$8-$F$8))))</f>
        <v>1.08478217377412</v>
      </c>
      <c r="E828" s="37" t="n">
        <f aca="false">1+IF($G$9=$E$9,$F$9,IF(S828&lt;($F$9-$E$9)/($G$9-$E$9),$E$9+SQRT(S828*($G$9-$E$9)*($F$9-$E$9)),$G$9-SQRT((1-S828)*($G$9-$E$9)*($G$9-$F$9))))</f>
        <v>0.991204488928367</v>
      </c>
      <c r="F828" s="37" t="n">
        <f aca="false">1+IF($G$10=$E$10,$F$10,IF(T828&lt;($F$10-$E$10)/($G$10-$E$10),$E$10+SQRT(T828*($G$10-$E$10)*($F$10-$E$10)),$G$10-SQRT((1-T828)*($G$10-$E$10)*($G$10-$F$10))))</f>
        <v>1.03248805315023</v>
      </c>
      <c r="G828" s="38" t="n">
        <f aca="false">IF($G$11=$E$11,$F$11,IF(U828&lt;($F$11-$E$11)/($G$11-$E$11),$E$11+SQRT(U828*($G$11-$E$11)*($F$11-$E$11)),$G$11-SQRT((1-U828)*($G$11-$E$11)*($G$11-$F$11))))</f>
        <v>0.112921229718561</v>
      </c>
      <c r="H828" s="39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-2064976106.30045</v>
      </c>
      <c r="I828" s="39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-100788018.602746</v>
      </c>
      <c r="J828" s="39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90265180.3279561</v>
      </c>
      <c r="K828" s="39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332942781.91617</v>
      </c>
      <c r="L828" s="39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428389270.821613</v>
      </c>
      <c r="M828" s="39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603080761.761926</v>
      </c>
      <c r="N828" s="39" t="n">
        <f aca="false">IF(COUNT('Business Case'!B11:G11)=0,"",H828+NPV(G828,I828:M828))</f>
        <v>-1208659081.08376</v>
      </c>
      <c r="P828" s="40" t="n">
        <f aca="true">RAND()</f>
        <v>0.00492198286576186</v>
      </c>
      <c r="Q828" s="40" t="n">
        <f aca="true">RAND()</f>
        <v>0.71582167200645</v>
      </c>
      <c r="R828" s="40" t="n">
        <f aca="true">RAND()</f>
        <v>0.984561184330602</v>
      </c>
      <c r="S828" s="40" t="n">
        <f aca="true">RAND()</f>
        <v>0.332730352027385</v>
      </c>
      <c r="T828" s="40" t="n">
        <f aca="true">RAND()</f>
        <v>0.369180706368275</v>
      </c>
      <c r="U828" s="40" t="n">
        <f aca="true">RAND()</f>
        <v>0.805543737115888</v>
      </c>
    </row>
    <row r="829" customFormat="false" ht="15" hidden="false" customHeight="false" outlineLevel="0" collapsed="false">
      <c r="A829" s="36" t="n">
        <v>749</v>
      </c>
      <c r="B829" s="37" t="n">
        <f aca="false">1+IF($G$6=$E$6,$F$6,IF(P829&lt;($F$6-$E$6)/($G$6-$E$6),$E$6+SQRT(P829*($G$6-$E$6)*($F$6-$E$6)),$G$6-SQRT((1-P829)*($G$6-$E$6)*($G$6-$F$6))))</f>
        <v>0.972097599312605</v>
      </c>
      <c r="C829" s="37" t="n">
        <f aca="false">1+IF($G$7=$E$7,$F$7,IF(Q829&lt;($F$7-$E$7)/($G$7-$E$7),$E$7+SQRT(Q829*($G$7-$E$7)*($F$7-$E$7)),$G$7-SQRT((1-Q829)*($G$7-$E$7)*($G$7-$F$7))))</f>
        <v>0.896219641565649</v>
      </c>
      <c r="D829" s="37" t="n">
        <f aca="false">1+IF($G$8=$E$8,$F$8,IF(R829&lt;($F$8-$E$8)/($G$8-$E$8),$E$8+SQRT(R829*($G$8-$E$8)*($F$8-$E$8)),$G$8-SQRT((1-R829)*($G$8-$E$8)*($G$8-$F$8))))</f>
        <v>1.05942009075354</v>
      </c>
      <c r="E829" s="37" t="n">
        <f aca="false">1+IF($G$9=$E$9,$F$9,IF(S829&lt;($F$9-$E$9)/($G$9-$E$9),$E$9+SQRT(S829*($G$9-$E$9)*($F$9-$E$9)),$G$9-SQRT((1-S829)*($G$9-$E$9)*($G$9-$F$9))))</f>
        <v>1.13779495076485</v>
      </c>
      <c r="F829" s="37" t="n">
        <f aca="false">1+IF($G$10=$E$10,$F$10,IF(T829&lt;($F$10-$E$10)/($G$10-$E$10),$E$10+SQRT(T829*($G$10-$E$10)*($F$10-$E$10)),$G$10-SQRT((1-T829)*($G$10-$E$10)*($G$10-$F$10))))</f>
        <v>1.02095975270624</v>
      </c>
      <c r="G829" s="38" t="n">
        <f aca="false">IF($G$11=$E$11,$F$11,IF(U829&lt;($F$11-$E$11)/($G$11-$E$11),$E$11+SQRT(U829*($G$11-$E$11)*($F$11-$E$11)),$G$11-SQRT((1-U829)*($G$11-$E$11)*($G$11-$F$11))))</f>
        <v>0.121810831017007</v>
      </c>
      <c r="H829" s="39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-2041919505.41248</v>
      </c>
      <c r="I829" s="39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-81522220.2725352</v>
      </c>
      <c r="J829" s="39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146009656.675576</v>
      </c>
      <c r="K829" s="39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424589521.259</v>
      </c>
      <c r="L829" s="39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530542600.209211</v>
      </c>
      <c r="M829" s="39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696142760.030499</v>
      </c>
      <c r="N829" s="39" t="n">
        <f aca="false">IF(COUNT('Business Case'!B11:G11)=0,"",H829+NPV(G829,I829:M829))</f>
        <v>-970984012.343529</v>
      </c>
      <c r="P829" s="40" t="n">
        <f aca="true">RAND()</f>
        <v>0.346537588442727</v>
      </c>
      <c r="Q829" s="40" t="n">
        <f aca="true">RAND()</f>
        <v>0.285201094341863</v>
      </c>
      <c r="R829" s="40" t="n">
        <f aca="true">RAND()</f>
        <v>0.890218064369935</v>
      </c>
      <c r="S829" s="40" t="n">
        <f aca="true">RAND()</f>
        <v>0.996027647284471</v>
      </c>
      <c r="T829" s="40" t="n">
        <f aca="true">RAND()</f>
        <v>0.300540868261517</v>
      </c>
      <c r="U829" s="40" t="n">
        <f aca="true">RAND()</f>
        <v>0.955291674245328</v>
      </c>
    </row>
    <row r="830" customFormat="false" ht="15" hidden="false" customHeight="false" outlineLevel="0" collapsed="false">
      <c r="A830" s="36" t="n">
        <v>750</v>
      </c>
      <c r="B830" s="37" t="n">
        <f aca="false">1+IF($G$6=$E$6,$F$6,IF(P830&lt;($F$6-$E$6)/($G$6-$E$6),$E$6+SQRT(P830*($G$6-$E$6)*($F$6-$E$6)),$G$6-SQRT((1-P830)*($G$6-$E$6)*($G$6-$F$6))))</f>
        <v>0.938995932687499</v>
      </c>
      <c r="C830" s="37" t="n">
        <f aca="false">1+IF($G$7=$E$7,$F$7,IF(Q830&lt;($F$7-$E$7)/($G$7-$E$7),$E$7+SQRT(Q830*($G$7-$E$7)*($F$7-$E$7)),$G$7-SQRT((1-Q830)*($G$7-$E$7)*($G$7-$F$7))))</f>
        <v>1.06452723756543</v>
      </c>
      <c r="D830" s="37" t="n">
        <f aca="false">1+IF($G$8=$E$8,$F$8,IF(R830&lt;($F$8-$E$8)/($G$8-$E$8),$E$8+SQRT(R830*($G$8-$E$8)*($F$8-$E$8)),$G$8-SQRT((1-R830)*($G$8-$E$8)*($G$8-$F$8))))</f>
        <v>1.0175355493254</v>
      </c>
      <c r="E830" s="37" t="n">
        <f aca="false">1+IF($G$9=$E$9,$F$9,IF(S830&lt;($F$9-$E$9)/($G$9-$E$9),$E$9+SQRT(S830*($G$9-$E$9)*($F$9-$E$9)),$G$9-SQRT((1-S830)*($G$9-$E$9)*($G$9-$F$9))))</f>
        <v>0.984813369754393</v>
      </c>
      <c r="F830" s="37" t="n">
        <f aca="false">1+IF($G$10=$E$10,$F$10,IF(T830&lt;($F$10-$E$10)/($G$10-$E$10),$E$10+SQRT(T830*($G$10-$E$10)*($F$10-$E$10)),$G$10-SQRT((1-T830)*($G$10-$E$10)*($G$10-$F$10))))</f>
        <v>1.01312200799029</v>
      </c>
      <c r="G830" s="38" t="n">
        <f aca="false">IF($G$11=$E$11,$F$11,IF(U830&lt;($F$11-$E$11)/($G$11-$E$11),$E$11+SQRT(U830*($G$11-$E$11)*($F$11-$E$11)),$G$11-SQRT((1-U830)*($G$11-$E$11)*($G$11-$F$11))))</f>
        <v>0.0933526764833127</v>
      </c>
      <c r="H830" s="39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-2026244015.98058</v>
      </c>
      <c r="I830" s="39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-28946553.3027344</v>
      </c>
      <c r="J830" s="39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235278132.301293</v>
      </c>
      <c r="K830" s="39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550158918.304835</v>
      </c>
      <c r="L830" s="39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672779531.458616</v>
      </c>
      <c r="M830" s="39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862780980.197031</v>
      </c>
      <c r="N830" s="39" t="n">
        <f aca="false">IF(COUNT('Business Case'!B11:G11)=0,"",H830+NPV(G830,I830:M830))</f>
        <v>-411976851.734115</v>
      </c>
      <c r="P830" s="40" t="n">
        <f aca="true">RAND()</f>
        <v>0.101378851077863</v>
      </c>
      <c r="Q830" s="40" t="n">
        <f aca="true">RAND()</f>
        <v>0.891768990841534</v>
      </c>
      <c r="R830" s="40" t="n">
        <f aca="true">RAND()</f>
        <v>0.546640958329109</v>
      </c>
      <c r="S830" s="40" t="n">
        <f aca="true">RAND()</f>
        <v>0.287732307563818</v>
      </c>
      <c r="T830" s="40" t="n">
        <f aca="true">RAND()</f>
        <v>0.251850892019296</v>
      </c>
      <c r="U830" s="40" t="n">
        <f aca="true">RAND()</f>
        <v>0.178293969268013</v>
      </c>
    </row>
    <row r="831" customFormat="false" ht="15" hidden="false" customHeight="false" outlineLevel="0" collapsed="false">
      <c r="A831" s="36" t="n">
        <v>751</v>
      </c>
      <c r="B831" s="37" t="n">
        <f aca="false">1+IF($G$6=$E$6,$F$6,IF(P831&lt;($F$6-$E$6)/($G$6-$E$6),$E$6+SQRT(P831*($G$6-$E$6)*($F$6-$E$6)),$G$6-SQRT((1-P831)*($G$6-$E$6)*($G$6-$F$6))))</f>
        <v>1.01666125119904</v>
      </c>
      <c r="C831" s="37" t="n">
        <f aca="false">1+IF($G$7=$E$7,$F$7,IF(Q831&lt;($F$7-$E$7)/($G$7-$E$7),$E$7+SQRT(Q831*($G$7-$E$7)*($F$7-$E$7)),$G$7-SQRT((1-Q831)*($G$7-$E$7)*($G$7-$F$7))))</f>
        <v>0.849579437414313</v>
      </c>
      <c r="D831" s="37" t="n">
        <f aca="false">1+IF($G$8=$E$8,$F$8,IF(R831&lt;($F$8-$E$8)/($G$8-$E$8),$E$8+SQRT(R831*($G$8-$E$8)*($F$8-$E$8)),$G$8-SQRT((1-R831)*($G$8-$E$8)*($G$8-$F$8))))</f>
        <v>1.04076337042846</v>
      </c>
      <c r="E831" s="37" t="n">
        <f aca="false">1+IF($G$9=$E$9,$F$9,IF(S831&lt;($F$9-$E$9)/($G$9-$E$9),$E$9+SQRT(S831*($G$9-$E$9)*($F$9-$E$9)),$G$9-SQRT((1-S831)*($G$9-$E$9)*($G$9-$F$9))))</f>
        <v>1.02164890449683</v>
      </c>
      <c r="F831" s="37" t="n">
        <f aca="false">1+IF($G$10=$E$10,$F$10,IF(T831&lt;($F$10-$E$10)/($G$10-$E$10),$E$10+SQRT(T831*($G$10-$E$10)*($F$10-$E$10)),$G$10-SQRT((1-T831)*($G$10-$E$10)*($G$10-$F$10))))</f>
        <v>1.11338865010741</v>
      </c>
      <c r="G831" s="38" t="n">
        <f aca="false">IF($G$11=$E$11,$F$11,IF(U831&lt;($F$11-$E$11)/($G$11-$E$11),$E$11+SQRT(U831*($G$11-$E$11)*($F$11-$E$11)),$G$11-SQRT((1-U831)*($G$11-$E$11)*($G$11-$F$11))))</f>
        <v>0.0989526051501056</v>
      </c>
      <c r="H831" s="39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-2226777300.21482</v>
      </c>
      <c r="I831" s="39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-46577972.4335516</v>
      </c>
      <c r="J831" s="39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208237390.523473</v>
      </c>
      <c r="K831" s="39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518722185.985868</v>
      </c>
      <c r="L831" s="39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633511304.411801</v>
      </c>
      <c r="M831" s="39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797689956.999884</v>
      </c>
      <c r="N831" s="39" t="n">
        <f aca="false">IF(COUNT('Business Case'!B11:G11)=0,"",H831+NPV(G831,I831:M831))</f>
        <v>-773880786.786426</v>
      </c>
      <c r="P831" s="40" t="n">
        <f aca="true">RAND()</f>
        <v>0.851803710451523</v>
      </c>
      <c r="Q831" s="40" t="n">
        <f aca="true">RAND()</f>
        <v>0.165733393312462</v>
      </c>
      <c r="R831" s="40" t="n">
        <f aca="true">RAND()</f>
        <v>0.766068114466909</v>
      </c>
      <c r="S831" s="40" t="n">
        <f aca="true">RAND()</f>
        <v>0.56069323421697</v>
      </c>
      <c r="T831" s="40" t="n">
        <f aca="true">RAND()</f>
        <v>0.751164521073649</v>
      </c>
      <c r="U831" s="40" t="n">
        <f aca="true">RAND()</f>
        <v>0.359201241975809</v>
      </c>
    </row>
    <row r="832" customFormat="false" ht="15" hidden="false" customHeight="false" outlineLevel="0" collapsed="false">
      <c r="A832" s="36" t="n">
        <v>752</v>
      </c>
      <c r="B832" s="37" t="n">
        <f aca="false">1+IF($G$6=$E$6,$F$6,IF(P832&lt;($F$6-$E$6)/($G$6-$E$6),$E$6+SQRT(P832*($G$6-$E$6)*($F$6-$E$6)),$G$6-SQRT((1-P832)*($G$6-$E$6)*($G$6-$F$6))))</f>
        <v>0.942580086269149</v>
      </c>
      <c r="C832" s="37" t="n">
        <f aca="false">1+IF($G$7=$E$7,$F$7,IF(Q832&lt;($F$7-$E$7)/($G$7-$E$7),$E$7+SQRT(Q832*($G$7-$E$7)*($F$7-$E$7)),$G$7-SQRT((1-Q832)*($G$7-$E$7)*($G$7-$F$7))))</f>
        <v>0.908003115213245</v>
      </c>
      <c r="D832" s="37" t="n">
        <f aca="false">1+IF($G$8=$E$8,$F$8,IF(R832&lt;($F$8-$E$8)/($G$8-$E$8),$E$8+SQRT(R832*($G$8-$E$8)*($F$8-$E$8)),$G$8-SQRT((1-R832)*($G$8-$E$8)*($G$8-$F$8))))</f>
        <v>1.00748152584515</v>
      </c>
      <c r="E832" s="37" t="n">
        <f aca="false">1+IF($G$9=$E$9,$F$9,IF(S832&lt;($F$9-$E$9)/($G$9-$E$9),$E$9+SQRT(S832*($G$9-$E$9)*($F$9-$E$9)),$G$9-SQRT((1-S832)*($G$9-$E$9)*($G$9-$F$9))))</f>
        <v>1.03888915205383</v>
      </c>
      <c r="F832" s="37" t="n">
        <f aca="false">1+IF($G$10=$E$10,$F$10,IF(T832&lt;($F$10-$E$10)/($G$10-$E$10),$E$10+SQRT(T832*($G$10-$E$10)*($F$10-$E$10)),$G$10-SQRT((1-T832)*($G$10-$E$10)*($G$10-$F$10))))</f>
        <v>1.06584285993785</v>
      </c>
      <c r="G832" s="38" t="n">
        <f aca="false">IF($G$11=$E$11,$F$11,IF(U832&lt;($F$11-$E$11)/($G$11-$E$11),$E$11+SQRT(U832*($G$11-$E$11)*($F$11-$E$11)),$G$11-SQRT((1-U832)*($G$11-$E$11)*($G$11-$F$11))))</f>
        <v>0.104037213603622</v>
      </c>
      <c r="H832" s="39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-2131685719.8757</v>
      </c>
      <c r="I832" s="39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-65969360.1041144</v>
      </c>
      <c r="J832" s="39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166743678.745722</v>
      </c>
      <c r="K832" s="39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452748860.592452</v>
      </c>
      <c r="L832" s="39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559898590.567804</v>
      </c>
      <c r="M832" s="39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722581534.207545</v>
      </c>
      <c r="N832" s="39" t="n">
        <f aca="false">IF(COUNT('Business Case'!B11:G11)=0,"",H832+NPV(G832,I832:M832))</f>
        <v>-900823031.013157</v>
      </c>
      <c r="P832" s="40" t="n">
        <f aca="true">RAND()</f>
        <v>0.120870916445875</v>
      </c>
      <c r="Q832" s="40" t="n">
        <f aca="true">RAND()</f>
        <v>0.320483673617884</v>
      </c>
      <c r="R832" s="40" t="n">
        <f aca="true">RAND()</f>
        <v>0.42935546267053</v>
      </c>
      <c r="S832" s="40" t="n">
        <f aca="true">RAND()</f>
        <v>0.670783452498234</v>
      </c>
      <c r="T832" s="40" t="n">
        <f aca="true">RAND()</f>
        <v>0.547815303521721</v>
      </c>
      <c r="U832" s="40" t="n">
        <f aca="true">RAND()</f>
        <v>0.550622481690687</v>
      </c>
    </row>
    <row r="833" customFormat="false" ht="15" hidden="false" customHeight="false" outlineLevel="0" collapsed="false">
      <c r="A833" s="36" t="n">
        <v>753</v>
      </c>
      <c r="B833" s="37" t="n">
        <f aca="false">1+IF($G$6=$E$6,$F$6,IF(P833&lt;($F$6-$E$6)/($G$6-$E$6),$E$6+SQRT(P833*($G$6-$E$6)*($F$6-$E$6)),$G$6-SQRT((1-P833)*($G$6-$E$6)*($G$6-$F$6))))</f>
        <v>0.938061230895055</v>
      </c>
      <c r="C833" s="37" t="n">
        <f aca="false">1+IF($G$7=$E$7,$F$7,IF(Q833&lt;($F$7-$E$7)/($G$7-$E$7),$E$7+SQRT(Q833*($G$7-$E$7)*($F$7-$E$7)),$G$7-SQRT((1-Q833)*($G$7-$E$7)*($G$7-$F$7))))</f>
        <v>0.89048072206416</v>
      </c>
      <c r="D833" s="37" t="n">
        <f aca="false">1+IF($G$8=$E$8,$F$8,IF(R833&lt;($F$8-$E$8)/($G$8-$E$8),$E$8+SQRT(R833*($G$8-$E$8)*($F$8-$E$8)),$G$8-SQRT((1-R833)*($G$8-$E$8)*($G$8-$F$8))))</f>
        <v>0.988084704567151</v>
      </c>
      <c r="E833" s="37" t="n">
        <f aca="false">1+IF($G$9=$E$9,$F$9,IF(S833&lt;($F$9-$E$9)/($G$9-$E$9),$E$9+SQRT(S833*($G$9-$E$9)*($F$9-$E$9)),$G$9-SQRT((1-S833)*($G$9-$E$9)*($G$9-$F$9))))</f>
        <v>0.969797452055541</v>
      </c>
      <c r="F833" s="37" t="n">
        <f aca="false">1+IF($G$10=$E$10,$F$10,IF(T833&lt;($F$10-$E$10)/($G$10-$E$10),$E$10+SQRT(T833*($G$10-$E$10)*($F$10-$E$10)),$G$10-SQRT((1-T833)*($G$10-$E$10)*($G$10-$F$10))))</f>
        <v>1.13850001175895</v>
      </c>
      <c r="G833" s="38" t="n">
        <f aca="false">IF($G$11=$E$11,$F$11,IF(U833&lt;($F$11-$E$11)/($G$11-$E$11),$E$11+SQRT(U833*($G$11-$E$11)*($F$11-$E$11)),$G$11-SQRT((1-U833)*($G$11-$E$11)*($G$11-$F$11))))</f>
        <v>0.0898306109685644</v>
      </c>
      <c r="H833" s="39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-2277000023.5179</v>
      </c>
      <c r="I833" s="39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-61290034.7023173</v>
      </c>
      <c r="J833" s="39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172478400.378649</v>
      </c>
      <c r="K833" s="39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463171836.047562</v>
      </c>
      <c r="L833" s="39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569963495.024611</v>
      </c>
      <c r="M833" s="39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728742155.083276</v>
      </c>
      <c r="N833" s="39" t="n">
        <f aca="false">IF(COUNT('Business Case'!B11:G11)=0,"",H833+NPV(G833,I833:M833))</f>
        <v>-952172781.526782</v>
      </c>
      <c r="P833" s="40" t="n">
        <f aca="true">RAND()</f>
        <v>0.0965771531497787</v>
      </c>
      <c r="Q833" s="40" t="n">
        <f aca="true">RAND()</f>
        <v>0.26876226280062</v>
      </c>
      <c r="R833" s="40" t="n">
        <f aca="true">RAND()</f>
        <v>0.193392629595617</v>
      </c>
      <c r="S833" s="40" t="n">
        <f aca="true">RAND()</f>
        <v>0.194867372537824</v>
      </c>
      <c r="T833" s="40" t="n">
        <f aca="true">RAND()</f>
        <v>0.834236701629941</v>
      </c>
      <c r="U833" s="40" t="n">
        <f aca="true">RAND()</f>
        <v>0.0966409120152582</v>
      </c>
    </row>
    <row r="834" customFormat="false" ht="15" hidden="false" customHeight="false" outlineLevel="0" collapsed="false">
      <c r="A834" s="36" t="n">
        <v>754</v>
      </c>
      <c r="B834" s="37" t="n">
        <f aca="false">1+IF($G$6=$E$6,$F$6,IF(P834&lt;($F$6-$E$6)/($G$6-$E$6),$E$6+SQRT(P834*($G$6-$E$6)*($F$6-$E$6)),$G$6-SQRT((1-P834)*($G$6-$E$6)*($G$6-$F$6))))</f>
        <v>0.925296320005042</v>
      </c>
      <c r="C834" s="37" t="n">
        <f aca="false">1+IF($G$7=$E$7,$F$7,IF(Q834&lt;($F$7-$E$7)/($G$7-$E$7),$E$7+SQRT(Q834*($G$7-$E$7)*($F$7-$E$7)),$G$7-SQRT((1-Q834)*($G$7-$E$7)*($G$7-$F$7))))</f>
        <v>0.943147319162831</v>
      </c>
      <c r="D834" s="37" t="n">
        <f aca="false">1+IF($G$8=$E$8,$F$8,IF(R834&lt;($F$8-$E$8)/($G$8-$E$8),$E$8+SQRT(R834*($G$8-$E$8)*($F$8-$E$8)),$G$8-SQRT((1-R834)*($G$8-$E$8)*($G$8-$F$8))))</f>
        <v>0.982847041960594</v>
      </c>
      <c r="E834" s="37" t="n">
        <f aca="false">1+IF($G$9=$E$9,$F$9,IF(S834&lt;($F$9-$E$9)/($G$9-$E$9),$E$9+SQRT(S834*($G$9-$E$9)*($F$9-$E$9)),$G$9-SQRT((1-S834)*($G$9-$E$9)*($G$9-$F$9))))</f>
        <v>1.07798286481591</v>
      </c>
      <c r="F834" s="37" t="n">
        <f aca="false">1+IF($G$10=$E$10,$F$10,IF(T834&lt;($F$10-$E$10)/($G$10-$E$10),$E$10+SQRT(T834*($G$10-$E$10)*($F$10-$E$10)),$G$10-SQRT((1-T834)*($G$10-$E$10)*($G$10-$F$10))))</f>
        <v>1.03935767449092</v>
      </c>
      <c r="G834" s="38" t="n">
        <f aca="false">IF($G$11=$E$11,$F$11,IF(U834&lt;($F$11-$E$11)/($G$11-$E$11),$E$11+SQRT(U834*($G$11-$E$11)*($F$11-$E$11)),$G$11-SQRT((1-U834)*($G$11-$E$11)*($G$11-$F$11))))</f>
        <v>0.101256855366199</v>
      </c>
      <c r="H834" s="39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-2078715348.98183</v>
      </c>
      <c r="I834" s="39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-62202919.6536208</v>
      </c>
      <c r="J834" s="39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178059379.669177</v>
      </c>
      <c r="K834" s="39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470289562.71652</v>
      </c>
      <c r="L834" s="39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580537187.924455</v>
      </c>
      <c r="M834" s="39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746418244.476305</v>
      </c>
      <c r="N834" s="39" t="n">
        <f aca="false">IF(COUNT('Business Case'!B11:G11)=0,"",H834+NPV(G834,I834:M834))</f>
        <v>-780715070.546561</v>
      </c>
      <c r="P834" s="40" t="n">
        <f aca="true">RAND()</f>
        <v>0.0426602537198331</v>
      </c>
      <c r="Q834" s="40" t="n">
        <f aca="true">RAND()</f>
        <v>0.43793050974868</v>
      </c>
      <c r="R834" s="40" t="n">
        <f aca="true">RAND()</f>
        <v>0.143857088741467</v>
      </c>
      <c r="S834" s="40" t="n">
        <f aca="true">RAND()</f>
        <v>0.861694193063372</v>
      </c>
      <c r="T834" s="40" t="n">
        <f aca="true">RAND()</f>
        <v>0.408397476055001</v>
      </c>
      <c r="U834" s="40" t="n">
        <f aca="true">RAND()</f>
        <v>0.44922109104027</v>
      </c>
    </row>
    <row r="835" customFormat="false" ht="15" hidden="false" customHeight="false" outlineLevel="0" collapsed="false">
      <c r="A835" s="36" t="n">
        <v>755</v>
      </c>
      <c r="B835" s="37" t="n">
        <f aca="false">1+IF($G$6=$E$6,$F$6,IF(P835&lt;($F$6-$E$6)/($G$6-$E$6),$E$6+SQRT(P835*($G$6-$E$6)*($F$6-$E$6)),$G$6-SQRT((1-P835)*($G$6-$E$6)*($G$6-$F$6))))</f>
        <v>1.01001797682637</v>
      </c>
      <c r="C835" s="37" t="n">
        <f aca="false">1+IF($G$7=$E$7,$F$7,IF(Q835&lt;($F$7-$E$7)/($G$7-$E$7),$E$7+SQRT(Q835*($G$7-$E$7)*($F$7-$E$7)),$G$7-SQRT((1-Q835)*($G$7-$E$7)*($G$7-$F$7))))</f>
        <v>1.06834242280766</v>
      </c>
      <c r="D835" s="37" t="n">
        <f aca="false">1+IF($G$8=$E$8,$F$8,IF(R835&lt;($F$8-$E$8)/($G$8-$E$8),$E$8+SQRT(R835*($G$8-$E$8)*($F$8-$E$8)),$G$8-SQRT((1-R835)*($G$8-$E$8)*($G$8-$F$8))))</f>
        <v>0.959778073568504</v>
      </c>
      <c r="E835" s="37" t="n">
        <f aca="false">1+IF($G$9=$E$9,$F$9,IF(S835&lt;($F$9-$E$9)/($G$9-$E$9),$E$9+SQRT(S835*($G$9-$E$9)*($F$9-$E$9)),$G$9-SQRT((1-S835)*($G$9-$E$9)*($G$9-$F$9))))</f>
        <v>1.03832374005955</v>
      </c>
      <c r="F835" s="37" t="n">
        <f aca="false">1+IF($G$10=$E$10,$F$10,IF(T835&lt;($F$10-$E$10)/($G$10-$E$10),$E$10+SQRT(T835*($G$10-$E$10)*($F$10-$E$10)),$G$10-SQRT((1-T835)*($G$10-$E$10)*($G$10-$F$10))))</f>
        <v>1.01484397479371</v>
      </c>
      <c r="G835" s="38" t="n">
        <f aca="false">IF($G$11=$E$11,$F$11,IF(U835&lt;($F$11-$E$11)/($G$11-$E$11),$E$11+SQRT(U835*($G$11-$E$11)*($F$11-$E$11)),$G$11-SQRT((1-U835)*($G$11-$E$11)*($G$11-$F$11))))</f>
        <v>0.11069359197746</v>
      </c>
      <c r="H835" s="39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-2029687949.58743</v>
      </c>
      <c r="I835" s="39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53835614.263316</v>
      </c>
      <c r="J835" s="39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412742957.361064</v>
      </c>
      <c r="K835" s="39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822392499.198497</v>
      </c>
      <c r="L835" s="39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979320077.243474</v>
      </c>
      <c r="M835" s="39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1184424960.81165</v>
      </c>
      <c r="N835" s="39" t="n">
        <f aca="false">IF(COUNT('Business Case'!B11:G11)=0,"",H835+NPV(G835,I835:M835))</f>
        <v>297761192.287703</v>
      </c>
      <c r="P835" s="40" t="n">
        <f aca="true">RAND()</f>
        <v>0.786858376392474</v>
      </c>
      <c r="Q835" s="40" t="n">
        <f aca="true">RAND()</f>
        <v>0.901215408697449</v>
      </c>
      <c r="R835" s="40" t="n">
        <f aca="true">RAND()</f>
        <v>0.0127480963614766</v>
      </c>
      <c r="S835" s="40" t="n">
        <f aca="true">RAND()</f>
        <v>0.667424345752339</v>
      </c>
      <c r="T835" s="40" t="n">
        <f aca="true">RAND()</f>
        <v>0.262688584122409</v>
      </c>
      <c r="U835" s="40" t="n">
        <f aca="true">RAND()</f>
        <v>0.751508406178138</v>
      </c>
    </row>
    <row r="836" customFormat="false" ht="15" hidden="false" customHeight="false" outlineLevel="0" collapsed="false">
      <c r="A836" s="36" t="n">
        <v>756</v>
      </c>
      <c r="B836" s="37" t="n">
        <f aca="false">1+IF($G$6=$E$6,$F$6,IF(P836&lt;($F$6-$E$6)/($G$6-$E$6),$E$6+SQRT(P836*($G$6-$E$6)*($F$6-$E$6)),$G$6-SQRT((1-P836)*($G$6-$E$6)*($G$6-$F$6))))</f>
        <v>0.9891790696418</v>
      </c>
      <c r="C836" s="37" t="n">
        <f aca="false">1+IF($G$7=$E$7,$F$7,IF(Q836&lt;($F$7-$E$7)/($G$7-$E$7),$E$7+SQRT(Q836*($G$7-$E$7)*($F$7-$E$7)),$G$7-SQRT((1-Q836)*($G$7-$E$7)*($G$7-$F$7))))</f>
        <v>1.08078187429936</v>
      </c>
      <c r="D836" s="37" t="n">
        <f aca="false">1+IF($G$8=$E$8,$F$8,IF(R836&lt;($F$8-$E$8)/($G$8-$E$8),$E$8+SQRT(R836*($G$8-$E$8)*($F$8-$E$8)),$G$8-SQRT((1-R836)*($G$8-$E$8)*($G$8-$F$8))))</f>
        <v>1.02269998495597</v>
      </c>
      <c r="E836" s="37" t="n">
        <f aca="false">1+IF($G$9=$E$9,$F$9,IF(S836&lt;($F$9-$E$9)/($G$9-$E$9),$E$9+SQRT(S836*($G$9-$E$9)*($F$9-$E$9)),$G$9-SQRT((1-S836)*($G$9-$E$9)*($G$9-$F$9))))</f>
        <v>1.04676497822538</v>
      </c>
      <c r="F836" s="37" t="n">
        <f aca="false">1+IF($G$10=$E$10,$F$10,IF(T836&lt;($F$10-$E$10)/($G$10-$E$10),$E$10+SQRT(T836*($G$10-$E$10)*($F$10-$E$10)),$G$10-SQRT((1-T836)*($G$10-$E$10)*($G$10-$F$10))))</f>
        <v>1.08827900005461</v>
      </c>
      <c r="G836" s="38" t="n">
        <f aca="false">IF($G$11=$E$11,$F$11,IF(U836&lt;($F$11-$E$11)/($G$11-$E$11),$E$11+SQRT(U836*($G$11-$E$11)*($F$11-$E$11)),$G$11-SQRT((1-U836)*($G$11-$E$11)*($G$11-$F$11))))</f>
        <v>0.115029019148063</v>
      </c>
      <c r="H836" s="39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-2176558000.10922</v>
      </c>
      <c r="I836" s="39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-3273434.66301559</v>
      </c>
      <c r="J836" s="39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306552470.756722</v>
      </c>
      <c r="K836" s="39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670792326.17919</v>
      </c>
      <c r="L836" s="39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811015268.101531</v>
      </c>
      <c r="M836" s="39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1014227288.73822</v>
      </c>
      <c r="N836" s="39" t="n">
        <f aca="false">IF(COUNT('Business Case'!B11:G11)=0,"",H836+NPV(G836,I836:M836))</f>
        <v>-335946385.572172</v>
      </c>
      <c r="P836" s="40" t="n">
        <f aca="true">RAND()</f>
        <v>0.530193764145138</v>
      </c>
      <c r="Q836" s="40" t="n">
        <f aca="true">RAND()</f>
        <v>0.929020015918374</v>
      </c>
      <c r="R836" s="40" t="n">
        <f aca="true">RAND()</f>
        <v>0.601647178279482</v>
      </c>
      <c r="S836" s="40" t="n">
        <f aca="true">RAND()</f>
        <v>0.715800807445146</v>
      </c>
      <c r="T836" s="40" t="n">
        <f aca="true">RAND()</f>
        <v>0.651284242355507</v>
      </c>
      <c r="U836" s="40" t="n">
        <f aca="true">RAND()</f>
        <v>0.850579821553963</v>
      </c>
    </row>
    <row r="837" customFormat="false" ht="15" hidden="false" customHeight="false" outlineLevel="0" collapsed="false">
      <c r="A837" s="36" t="n">
        <v>757</v>
      </c>
      <c r="B837" s="37" t="n">
        <f aca="false">1+IF($G$6=$E$6,$F$6,IF(P837&lt;($F$6-$E$6)/($G$6-$E$6),$E$6+SQRT(P837*($G$6-$E$6)*($F$6-$E$6)),$G$6-SQRT((1-P837)*($G$6-$E$6)*($G$6-$F$6))))</f>
        <v>1.02856772770318</v>
      </c>
      <c r="C837" s="37" t="n">
        <f aca="false">1+IF($G$7=$E$7,$F$7,IF(Q837&lt;($F$7-$E$7)/($G$7-$E$7),$E$7+SQRT(Q837*($G$7-$E$7)*($F$7-$E$7)),$G$7-SQRT((1-Q837)*($G$7-$E$7)*($G$7-$F$7))))</f>
        <v>1.00008407609021</v>
      </c>
      <c r="D837" s="37" t="n">
        <f aca="false">1+IF($G$8=$E$8,$F$8,IF(R837&lt;($F$8-$E$8)/($G$8-$E$8),$E$8+SQRT(R837*($G$8-$E$8)*($F$8-$E$8)),$G$8-SQRT((1-R837)*($G$8-$E$8)*($G$8-$F$8))))</f>
        <v>0.986171411875367</v>
      </c>
      <c r="E837" s="37" t="n">
        <f aca="false">1+IF($G$9=$E$9,$F$9,IF(S837&lt;($F$9-$E$9)/($G$9-$E$9),$E$9+SQRT(S837*($G$9-$E$9)*($F$9-$E$9)),$G$9-SQRT((1-S837)*($G$9-$E$9)*($G$9-$F$9))))</f>
        <v>0.995736341021844</v>
      </c>
      <c r="F837" s="37" t="n">
        <f aca="false">1+IF($G$10=$E$10,$F$10,IF(T837&lt;($F$10-$E$10)/($G$10-$E$10),$E$10+SQRT(T837*($G$10-$E$10)*($F$10-$E$10)),$G$10-SQRT((1-T837)*($G$10-$E$10)*($G$10-$F$10))))</f>
        <v>1.04509458814858</v>
      </c>
      <c r="G837" s="38" t="n">
        <f aca="false">IF($G$11=$E$11,$F$11,IF(U837&lt;($F$11-$E$11)/($G$11-$E$11),$E$11+SQRT(U837*($G$11-$E$11)*($F$11-$E$11)),$G$11-SQRT((1-U837)*($G$11-$E$11)*($G$11-$F$11))))</f>
        <v>0.111208933714837</v>
      </c>
      <c r="H837" s="39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-2090189176.29715</v>
      </c>
      <c r="I837" s="39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38229942.7921927</v>
      </c>
      <c r="J837" s="39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375888486.113769</v>
      </c>
      <c r="K837" s="39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765801758.842774</v>
      </c>
      <c r="L837" s="39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913904895.964113</v>
      </c>
      <c r="M837" s="39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1109431487.37525</v>
      </c>
      <c r="N837" s="39" t="n">
        <f aca="false">IF(COUNT('Business Case'!B11:G11)=0,"",H837+NPV(G837,I837:M837))</f>
        <v>60974653.8800159</v>
      </c>
      <c r="P837" s="40" t="n">
        <f aca="true">RAND()</f>
        <v>0.938754360559347</v>
      </c>
      <c r="Q837" s="40" t="n">
        <f aca="true">RAND()</f>
        <v>0.667040233455917</v>
      </c>
      <c r="R837" s="40" t="n">
        <f aca="true">RAND()</f>
        <v>0.174449471607659</v>
      </c>
      <c r="S837" s="40" t="n">
        <f aca="true">RAND()</f>
        <v>0.366617879690029</v>
      </c>
      <c r="T837" s="40" t="n">
        <f aca="true">RAND()</f>
        <v>0.440183629253314</v>
      </c>
      <c r="U837" s="40" t="n">
        <f aca="true">RAND()</f>
        <v>0.764597218577745</v>
      </c>
    </row>
    <row r="838" customFormat="false" ht="15" hidden="false" customHeight="false" outlineLevel="0" collapsed="false">
      <c r="A838" s="36" t="n">
        <v>758</v>
      </c>
      <c r="B838" s="37" t="n">
        <f aca="false">1+IF($G$6=$E$6,$F$6,IF(P838&lt;($F$6-$E$6)/($G$6-$E$6),$E$6+SQRT(P838*($G$6-$E$6)*($F$6-$E$6)),$G$6-SQRT((1-P838)*($G$6-$E$6)*($G$6-$F$6))))</f>
        <v>0.933419583014256</v>
      </c>
      <c r="C838" s="37" t="n">
        <f aca="false">1+IF($G$7=$E$7,$F$7,IF(Q838&lt;($F$7-$E$7)/($G$7-$E$7),$E$7+SQRT(Q838*($G$7-$E$7)*($F$7-$E$7)),$G$7-SQRT((1-Q838)*($G$7-$E$7)*($G$7-$F$7))))</f>
        <v>1.08417161379949</v>
      </c>
      <c r="D838" s="37" t="n">
        <f aca="false">1+IF($G$8=$E$8,$F$8,IF(R838&lt;($F$8-$E$8)/($G$8-$E$8),$E$8+SQRT(R838*($G$8-$E$8)*($F$8-$E$8)),$G$8-SQRT((1-R838)*($G$8-$E$8)*($G$8-$F$8))))</f>
        <v>0.988451474442389</v>
      </c>
      <c r="E838" s="37" t="n">
        <f aca="false">1+IF($G$9=$E$9,$F$9,IF(S838&lt;($F$9-$E$9)/($G$9-$E$9),$E$9+SQRT(S838*($G$9-$E$9)*($F$9-$E$9)),$G$9-SQRT((1-S838)*($G$9-$E$9)*($G$9-$F$9))))</f>
        <v>0.978428106600896</v>
      </c>
      <c r="F838" s="37" t="n">
        <f aca="false">1+IF($G$10=$E$10,$F$10,IF(T838&lt;($F$10-$E$10)/($G$10-$E$10),$E$10+SQRT(T838*($G$10-$E$10)*($F$10-$E$10)),$G$10-SQRT((1-T838)*($G$10-$E$10)*($G$10-$F$10))))</f>
        <v>1.13938639746874</v>
      </c>
      <c r="G838" s="38" t="n">
        <f aca="false">IF($G$11=$E$11,$F$11,IF(U838&lt;($F$11-$E$11)/($G$11-$E$11),$E$11+SQRT(U838*($G$11-$E$11)*($F$11-$E$11)),$G$11-SQRT((1-U838)*($G$11-$E$11)*($G$11-$F$11))))</f>
        <v>0.104240609290229</v>
      </c>
      <c r="H838" s="39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-2278772794.93747</v>
      </c>
      <c r="I838" s="39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-25241889.8844913</v>
      </c>
      <c r="J838" s="39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255048743.6288</v>
      </c>
      <c r="K838" s="39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592308697.015527</v>
      </c>
      <c r="L838" s="39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720713179.448131</v>
      </c>
      <c r="M838" s="39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913071671.386422</v>
      </c>
      <c r="N838" s="39" t="n">
        <f aca="false">IF(COUNT('Business Case'!B11:G11)=0,"",H838+NPV(G838,I838:M838))</f>
        <v>-611679181.372094</v>
      </c>
      <c r="P838" s="40" t="n">
        <f aca="true">RAND()</f>
        <v>0.0744579019231171</v>
      </c>
      <c r="Q838" s="40" t="n">
        <f aca="true">RAND()</f>
        <v>0.935801830670179</v>
      </c>
      <c r="R838" s="40" t="n">
        <f aca="true">RAND()</f>
        <v>0.197135451572491</v>
      </c>
      <c r="S838" s="40" t="n">
        <f aca="true">RAND()</f>
        <v>0.246038716200059</v>
      </c>
      <c r="T838" s="40" t="n">
        <f aca="true">RAND()</f>
        <v>0.836861745800739</v>
      </c>
      <c r="U838" s="40" t="n">
        <f aca="true">RAND()</f>
        <v>0.557635860174226</v>
      </c>
    </row>
    <row r="839" customFormat="false" ht="15" hidden="false" customHeight="false" outlineLevel="0" collapsed="false">
      <c r="A839" s="36" t="n">
        <v>759</v>
      </c>
      <c r="B839" s="37" t="n">
        <f aca="false">1+IF($G$6=$E$6,$F$6,IF(P839&lt;($F$6-$E$6)/($G$6-$E$6),$E$6+SQRT(P839*($G$6-$E$6)*($F$6-$E$6)),$G$6-SQRT((1-P839)*($G$6-$E$6)*($G$6-$F$6))))</f>
        <v>0.941311267499871</v>
      </c>
      <c r="C839" s="37" t="n">
        <f aca="false">1+IF($G$7=$E$7,$F$7,IF(Q839&lt;($F$7-$E$7)/($G$7-$E$7),$E$7+SQRT(Q839*($G$7-$E$7)*($F$7-$E$7)),$G$7-SQRT((1-Q839)*($G$7-$E$7)*($G$7-$F$7))))</f>
        <v>1.01954473026227</v>
      </c>
      <c r="D839" s="37" t="n">
        <f aca="false">1+IF($G$8=$E$8,$F$8,IF(R839&lt;($F$8-$E$8)/($G$8-$E$8),$E$8+SQRT(R839*($G$8-$E$8)*($F$8-$E$8)),$G$8-SQRT((1-R839)*($G$8-$E$8)*($G$8-$F$8))))</f>
        <v>1.00154331134324</v>
      </c>
      <c r="E839" s="37" t="n">
        <f aca="false">1+IF($G$9=$E$9,$F$9,IF(S839&lt;($F$9-$E$9)/($G$9-$E$9),$E$9+SQRT(S839*($G$9-$E$9)*($F$9-$E$9)),$G$9-SQRT((1-S839)*($G$9-$E$9)*($G$9-$F$9))))</f>
        <v>0.979104059702794</v>
      </c>
      <c r="F839" s="37" t="n">
        <f aca="false">1+IF($G$10=$E$10,$F$10,IF(T839&lt;($F$10-$E$10)/($G$10-$E$10),$E$10+SQRT(T839*($G$10-$E$10)*($F$10-$E$10)),$G$10-SQRT((1-T839)*($G$10-$E$10)*($G$10-$F$10))))</f>
        <v>1.01049426249212</v>
      </c>
      <c r="G839" s="38" t="n">
        <f aca="false">IF($G$11=$E$11,$F$11,IF(U839&lt;($F$11-$E$11)/($G$11-$E$11),$E$11+SQRT(U839*($G$11-$E$11)*($F$11-$E$11)),$G$11-SQRT((1-U839)*($G$11-$E$11)*($G$11-$F$11))))</f>
        <v>0.11455701171978</v>
      </c>
      <c r="H839" s="39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-2020988524.98424</v>
      </c>
      <c r="I839" s="39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-26689443.9187725</v>
      </c>
      <c r="J839" s="39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236650447.271065</v>
      </c>
      <c r="K839" s="39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550515051.585508</v>
      </c>
      <c r="L839" s="39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671462556.361895</v>
      </c>
      <c r="M839" s="39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853884032.117319</v>
      </c>
      <c r="N839" s="39" t="n">
        <f aca="false">IF(COUNT('Business Case'!B11:G11)=0,"",H839+NPV(G839,I839:M839))</f>
        <v>-525229490.854844</v>
      </c>
      <c r="P839" s="40" t="n">
        <f aca="true">RAND()</f>
        <v>0.113774721496392</v>
      </c>
      <c r="Q839" s="40" t="n">
        <f aca="true">RAND()</f>
        <v>0.747872927372681</v>
      </c>
      <c r="R839" s="40" t="n">
        <f aca="true">RAND()</f>
        <v>0.353752030582989</v>
      </c>
      <c r="S839" s="40" t="n">
        <f aca="true">RAND()</f>
        <v>0.250298090458524</v>
      </c>
      <c r="T839" s="40" t="n">
        <f aca="true">RAND()</f>
        <v>0.235160022677416</v>
      </c>
      <c r="U839" s="40" t="n">
        <f aca="true">RAND()</f>
        <v>0.841009408651325</v>
      </c>
    </row>
    <row r="840" customFormat="false" ht="15" hidden="false" customHeight="false" outlineLevel="0" collapsed="false">
      <c r="A840" s="36" t="n">
        <v>760</v>
      </c>
      <c r="B840" s="37" t="n">
        <f aca="false">1+IF($G$6=$E$6,$F$6,IF(P840&lt;($F$6-$E$6)/($G$6-$E$6),$E$6+SQRT(P840*($G$6-$E$6)*($F$6-$E$6)),$G$6-SQRT((1-P840)*($G$6-$E$6)*($G$6-$F$6))))</f>
        <v>0.95711159630124</v>
      </c>
      <c r="C840" s="37" t="n">
        <f aca="false">1+IF($G$7=$E$7,$F$7,IF(Q840&lt;($F$7-$E$7)/($G$7-$E$7),$E$7+SQRT(Q840*($G$7-$E$7)*($F$7-$E$7)),$G$7-SQRT((1-Q840)*($G$7-$E$7)*($G$7-$F$7))))</f>
        <v>1.02375103831561</v>
      </c>
      <c r="D840" s="37" t="n">
        <f aca="false">1+IF($G$8=$E$8,$F$8,IF(R840&lt;($F$8-$E$8)/($G$8-$E$8),$E$8+SQRT(R840*($G$8-$E$8)*($F$8-$E$8)),$G$8-SQRT((1-R840)*($G$8-$E$8)*($G$8-$F$8))))</f>
        <v>0.97187354746222</v>
      </c>
      <c r="E840" s="37" t="n">
        <f aca="false">1+IF($G$9=$E$9,$F$9,IF(S840&lt;($F$9-$E$9)/($G$9-$E$9),$E$9+SQRT(S840*($G$9-$E$9)*($F$9-$E$9)),$G$9-SQRT((1-S840)*($G$9-$E$9)*($G$9-$F$9))))</f>
        <v>1.06284736200469</v>
      </c>
      <c r="F840" s="37" t="n">
        <f aca="false">1+IF($G$10=$E$10,$F$10,IF(T840&lt;($F$10-$E$10)/($G$10-$E$10),$E$10+SQRT(T840*($G$10-$E$10)*($F$10-$E$10)),$G$10-SQRT((1-T840)*($G$10-$E$10)*($G$10-$F$10))))</f>
        <v>1.07447992061022</v>
      </c>
      <c r="G840" s="38" t="n">
        <f aca="false">IF($G$11=$E$11,$F$11,IF(U840&lt;($F$11-$E$11)/($G$11-$E$11),$E$11+SQRT(U840*($G$11-$E$11)*($F$11-$E$11)),$G$11-SQRT((1-U840)*($G$11-$E$11)*($G$11-$F$11))))</f>
        <v>0.095498833249907</v>
      </c>
      <c r="H840" s="39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-2148959841.22044</v>
      </c>
      <c r="I840" s="39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-16155381.1994663</v>
      </c>
      <c r="J840" s="39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277069237.006537</v>
      </c>
      <c r="K840" s="39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624017851.243052</v>
      </c>
      <c r="L840" s="39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755622798.95664</v>
      </c>
      <c r="M840" s="39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941871544.670368</v>
      </c>
      <c r="N840" s="39" t="n">
        <f aca="false">IF(COUNT('Business Case'!B11:G11)=0,"",H840+NPV(G840,I840:M840))</f>
        <v>-336624812.468705</v>
      </c>
      <c r="P840" s="40" t="n">
        <f aca="true">RAND()</f>
        <v>0.21744896213839</v>
      </c>
      <c r="Q840" s="40" t="n">
        <f aca="true">RAND()</f>
        <v>0.763869624794283</v>
      </c>
      <c r="R840" s="40" t="n">
        <f aca="true">RAND()</f>
        <v>0.0637936104775973</v>
      </c>
      <c r="S840" s="40" t="n">
        <f aca="true">RAND()</f>
        <v>0.797451138412239</v>
      </c>
      <c r="T840" s="40" t="n">
        <f aca="true">RAND()</f>
        <v>0.589236023080079</v>
      </c>
      <c r="U840" s="40" t="n">
        <f aca="true">RAND()</f>
        <v>0.240213832108422</v>
      </c>
    </row>
    <row r="841" customFormat="false" ht="15" hidden="false" customHeight="false" outlineLevel="0" collapsed="false">
      <c r="A841" s="36" t="n">
        <v>761</v>
      </c>
      <c r="B841" s="37" t="n">
        <f aca="false">1+IF($G$6=$E$6,$F$6,IF(P841&lt;($F$6-$E$6)/($G$6-$E$6),$E$6+SQRT(P841*($G$6-$E$6)*($F$6-$E$6)),$G$6-SQRT((1-P841)*($G$6-$E$6)*($G$6-$F$6))))</f>
        <v>0.988612017098351</v>
      </c>
      <c r="C841" s="37" t="n">
        <f aca="false">1+IF($G$7=$E$7,$F$7,IF(Q841&lt;($F$7-$E$7)/($G$7-$E$7),$E$7+SQRT(Q841*($G$7-$E$7)*($F$7-$E$7)),$G$7-SQRT((1-Q841)*($G$7-$E$7)*($G$7-$F$7))))</f>
        <v>1.12147391560754</v>
      </c>
      <c r="D841" s="37" t="n">
        <f aca="false">1+IF($G$8=$E$8,$F$8,IF(R841&lt;($F$8-$E$8)/($G$8-$E$8),$E$8+SQRT(R841*($G$8-$E$8)*($F$8-$E$8)),$G$8-SQRT((1-R841)*($G$8-$E$8)*($G$8-$F$8))))</f>
        <v>1.0604022950086</v>
      </c>
      <c r="E841" s="37" t="n">
        <f aca="false">1+IF($G$9=$E$9,$F$9,IF(S841&lt;($F$9-$E$9)/($G$9-$E$9),$E$9+SQRT(S841*($G$9-$E$9)*($F$9-$E$9)),$G$9-SQRT((1-S841)*($G$9-$E$9)*($G$9-$F$9))))</f>
        <v>0.993082100873207</v>
      </c>
      <c r="F841" s="37" t="n">
        <f aca="false">1+IF($G$10=$E$10,$F$10,IF(T841&lt;($F$10-$E$10)/($G$10-$E$10),$E$10+SQRT(T841*($G$10-$E$10)*($F$10-$E$10)),$G$10-SQRT((1-T841)*($G$10-$E$10)*($G$10-$F$10))))</f>
        <v>1.00354639277807</v>
      </c>
      <c r="G841" s="38" t="n">
        <f aca="false">IF($G$11=$E$11,$F$11,IF(U841&lt;($F$11-$E$11)/($G$11-$E$11),$E$11+SQRT(U841*($G$11-$E$11)*($F$11-$E$11)),$G$11-SQRT((1-U841)*($G$11-$E$11)*($G$11-$F$11))))</f>
        <v>0.0935089699685519</v>
      </c>
      <c r="H841" s="39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-2007092785.55614</v>
      </c>
      <c r="I841" s="39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279009.342996851</v>
      </c>
      <c r="J841" s="39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299604074.964859</v>
      </c>
      <c r="K841" s="39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649106460.225625</v>
      </c>
      <c r="L841" s="39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787198243.604172</v>
      </c>
      <c r="M841" s="39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997940431.87943</v>
      </c>
      <c r="N841" s="39" t="n">
        <f aca="false">IF(COUNT('Business Case'!B11:G11)=0,"",H841+NPV(G841,I841:M841))</f>
        <v>-71062704.5771489</v>
      </c>
      <c r="P841" s="40" t="n">
        <f aca="true">RAND()</f>
        <v>0.523472638282567</v>
      </c>
      <c r="Q841" s="40" t="n">
        <f aca="true">RAND()</f>
        <v>0.987944629766432</v>
      </c>
      <c r="R841" s="40" t="n">
        <f aca="true">RAND()</f>
        <v>0.89546811729428</v>
      </c>
      <c r="S841" s="40" t="n">
        <f aca="true">RAND()</f>
        <v>0.346571100118794</v>
      </c>
      <c r="T841" s="40" t="n">
        <f aca="true">RAND()</f>
        <v>0.190141593163988</v>
      </c>
      <c r="U841" s="40" t="n">
        <f aca="true">RAND()</f>
        <v>0.182492269611238</v>
      </c>
    </row>
    <row r="842" customFormat="false" ht="15" hidden="false" customHeight="false" outlineLevel="0" collapsed="false">
      <c r="A842" s="36" t="n">
        <v>762</v>
      </c>
      <c r="B842" s="37" t="n">
        <f aca="false">1+IF($G$6=$E$6,$F$6,IF(P842&lt;($F$6-$E$6)/($G$6-$E$6),$E$6+SQRT(P842*($G$6-$E$6)*($F$6-$E$6)),$G$6-SQRT((1-P842)*($G$6-$E$6)*($G$6-$F$6))))</f>
        <v>1.02143051536026</v>
      </c>
      <c r="C842" s="37" t="n">
        <f aca="false">1+IF($G$7=$E$7,$F$7,IF(Q842&lt;($F$7-$E$7)/($G$7-$E$7),$E$7+SQRT(Q842*($G$7-$E$7)*($F$7-$E$7)),$G$7-SQRT((1-Q842)*($G$7-$E$7)*($G$7-$F$7))))</f>
        <v>0.90444733529568</v>
      </c>
      <c r="D842" s="37" t="n">
        <f aca="false">1+IF($G$8=$E$8,$F$8,IF(R842&lt;($F$8-$E$8)/($G$8-$E$8),$E$8+SQRT(R842*($G$8-$E$8)*($F$8-$E$8)),$G$8-SQRT((1-R842)*($G$8-$E$8)*($G$8-$F$8))))</f>
        <v>0.978660432731225</v>
      </c>
      <c r="E842" s="37" t="n">
        <f aca="false">1+IF($G$9=$E$9,$F$9,IF(S842&lt;($F$9-$E$9)/($G$9-$E$9),$E$9+SQRT(S842*($G$9-$E$9)*($F$9-$E$9)),$G$9-SQRT((1-S842)*($G$9-$E$9)*($G$9-$F$9))))</f>
        <v>0.988555001692275</v>
      </c>
      <c r="F842" s="37" t="n">
        <f aca="false">1+IF($G$10=$E$10,$F$10,IF(T842&lt;($F$10-$E$10)/($G$10-$E$10),$E$10+SQRT(T842*($G$10-$E$10)*($F$10-$E$10)),$G$10-SQRT((1-T842)*($G$10-$E$10)*($G$10-$F$10))))</f>
        <v>1.22685282307071</v>
      </c>
      <c r="G842" s="38" t="n">
        <f aca="false">IF($G$11=$E$11,$F$11,IF(U842&lt;($F$11-$E$11)/($G$11-$E$11),$E$11+SQRT(U842*($G$11-$E$11)*($F$11-$E$11)),$G$11-SQRT((1-U842)*($G$11-$E$11)*($G$11-$F$11))))</f>
        <v>0.107347475672155</v>
      </c>
      <c r="H842" s="39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-2453705646.14142</v>
      </c>
      <c r="I842" s="39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-7590142.64693052</v>
      </c>
      <c r="J842" s="39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295968871.042581</v>
      </c>
      <c r="K842" s="39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660870525.885627</v>
      </c>
      <c r="L842" s="39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793984432.307951</v>
      </c>
      <c r="M842" s="39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969586059.199958</v>
      </c>
      <c r="N842" s="39" t="n">
        <f aca="false">IF(COUNT('Business Case'!B11:G11)=0,"",H842+NPV(G842,I842:M842))</f>
        <v>-622110838.489278</v>
      </c>
      <c r="P842" s="40" t="n">
        <f aca="true">RAND()</f>
        <v>0.891171272989252</v>
      </c>
      <c r="Q842" s="40" t="n">
        <f aca="true">RAND()</f>
        <v>0.309620095625958</v>
      </c>
      <c r="R842" s="40" t="n">
        <f aca="true">RAND()</f>
        <v>0.109522720578808</v>
      </c>
      <c r="S842" s="40" t="n">
        <f aca="true">RAND()</f>
        <v>0.313679532988754</v>
      </c>
      <c r="T842" s="40" t="n">
        <f aca="true">RAND()</f>
        <v>0.992856109336055</v>
      </c>
      <c r="U842" s="40" t="n">
        <f aca="true">RAND()</f>
        <v>0.657908761050939</v>
      </c>
    </row>
    <row r="843" customFormat="false" ht="15" hidden="false" customHeight="false" outlineLevel="0" collapsed="false">
      <c r="A843" s="36" t="n">
        <v>763</v>
      </c>
      <c r="B843" s="37" t="n">
        <f aca="false">1+IF($G$6=$E$6,$F$6,IF(P843&lt;($F$6-$E$6)/($G$6-$E$6),$E$6+SQRT(P843*($G$6-$E$6)*($F$6-$E$6)),$G$6-SQRT((1-P843)*($G$6-$E$6)*($G$6-$F$6))))</f>
        <v>1.0195742854035</v>
      </c>
      <c r="C843" s="37" t="n">
        <f aca="false">1+IF($G$7=$E$7,$F$7,IF(Q843&lt;($F$7-$E$7)/($G$7-$E$7),$E$7+SQRT(Q843*($G$7-$E$7)*($F$7-$E$7)),$G$7-SQRT((1-Q843)*($G$7-$E$7)*($G$7-$F$7))))</f>
        <v>1.00482165507167</v>
      </c>
      <c r="D843" s="37" t="n">
        <f aca="false">1+IF($G$8=$E$8,$F$8,IF(R843&lt;($F$8-$E$8)/($G$8-$E$8),$E$8+SQRT(R843*($G$8-$E$8)*($F$8-$E$8)),$G$8-SQRT((1-R843)*($G$8-$E$8)*($G$8-$F$8))))</f>
        <v>1.02382328754766</v>
      </c>
      <c r="E843" s="37" t="n">
        <f aca="false">1+IF($G$9=$E$9,$F$9,IF(S843&lt;($F$9-$E$9)/($G$9-$E$9),$E$9+SQRT(S843*($G$9-$E$9)*($F$9-$E$9)),$G$9-SQRT((1-S843)*($G$9-$E$9)*($G$9-$F$9))))</f>
        <v>0.986553668388526</v>
      </c>
      <c r="F843" s="37" t="n">
        <f aca="false">1+IF($G$10=$E$10,$F$10,IF(T843&lt;($F$10-$E$10)/($G$10-$E$10),$E$10+SQRT(T843*($G$10-$E$10)*($F$10-$E$10)),$G$10-SQRT((1-T843)*($G$10-$E$10)*($G$10-$F$10))))</f>
        <v>1.07386428820847</v>
      </c>
      <c r="G843" s="38" t="n">
        <f aca="false">IF($G$11=$E$11,$F$11,IF(U843&lt;($F$11-$E$11)/($G$11-$E$11),$E$11+SQRT(U843*($G$11-$E$11)*($F$11-$E$11)),$G$11-SQRT((1-U843)*($G$11-$E$11)*($G$11-$F$11))))</f>
        <v>0.100544667276955</v>
      </c>
      <c r="H843" s="39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-2147728576.41694</v>
      </c>
      <c r="I843" s="39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11704675.3542838</v>
      </c>
      <c r="J843" s="39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324193289.411153</v>
      </c>
      <c r="K843" s="39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690375117.878445</v>
      </c>
      <c r="L843" s="39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829944374.721994</v>
      </c>
      <c r="M843" s="39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1024679494.92392</v>
      </c>
      <c r="N843" s="39" t="n">
        <f aca="false">IF(COUNT('Business Case'!B11:G11)=0,"",H843+NPV(G843,I843:M843))</f>
        <v>-151096383.508284</v>
      </c>
      <c r="P843" s="40" t="n">
        <f aca="true">RAND()</f>
        <v>0.876570118838974</v>
      </c>
      <c r="Q843" s="40" t="n">
        <f aca="true">RAND()</f>
        <v>0.687751824649932</v>
      </c>
      <c r="R843" s="40" t="n">
        <f aca="true">RAND()</f>
        <v>0.61314056533025</v>
      </c>
      <c r="S843" s="40" t="n">
        <f aca="true">RAND()</f>
        <v>0.299661500460436</v>
      </c>
      <c r="T843" s="40" t="n">
        <f aca="true">RAND()</f>
        <v>0.586349480422538</v>
      </c>
      <c r="U843" s="40" t="n">
        <f aca="true">RAND()</f>
        <v>0.421588916116494</v>
      </c>
    </row>
    <row r="844" customFormat="false" ht="15" hidden="false" customHeight="false" outlineLevel="0" collapsed="false">
      <c r="A844" s="36" t="n">
        <v>764</v>
      </c>
      <c r="B844" s="37" t="n">
        <f aca="false">1+IF($G$6=$E$6,$F$6,IF(P844&lt;($F$6-$E$6)/($G$6-$E$6),$E$6+SQRT(P844*($G$6-$E$6)*($F$6-$E$6)),$G$6-SQRT((1-P844)*($G$6-$E$6)*($G$6-$F$6))))</f>
        <v>0.924389029974397</v>
      </c>
      <c r="C844" s="37" t="n">
        <f aca="false">1+IF($G$7=$E$7,$F$7,IF(Q844&lt;($F$7-$E$7)/($G$7-$E$7),$E$7+SQRT(Q844*($G$7-$E$7)*($F$7-$E$7)),$G$7-SQRT((1-Q844)*($G$7-$E$7)*($G$7-$F$7))))</f>
        <v>1.02753788635478</v>
      </c>
      <c r="D844" s="37" t="n">
        <f aca="false">1+IF($G$8=$E$8,$F$8,IF(R844&lt;($F$8-$E$8)/($G$8-$E$8),$E$8+SQRT(R844*($G$8-$E$8)*($F$8-$E$8)),$G$8-SQRT((1-R844)*($G$8-$E$8)*($G$8-$F$8))))</f>
        <v>1.05340266010448</v>
      </c>
      <c r="E844" s="37" t="n">
        <f aca="false">1+IF($G$9=$E$9,$F$9,IF(S844&lt;($F$9-$E$9)/($G$9-$E$9),$E$9+SQRT(S844*($G$9-$E$9)*($F$9-$E$9)),$G$9-SQRT((1-S844)*($G$9-$E$9)*($G$9-$F$9))))</f>
        <v>0.999212353891113</v>
      </c>
      <c r="F844" s="37" t="n">
        <f aca="false">1+IF($G$10=$E$10,$F$10,IF(T844&lt;($F$10-$E$10)/($G$10-$E$10),$E$10+SQRT(T844*($G$10-$E$10)*($F$10-$E$10)),$G$10-SQRT((1-T844)*($G$10-$E$10)*($G$10-$F$10))))</f>
        <v>1.14595724169713</v>
      </c>
      <c r="G844" s="38" t="n">
        <f aca="false">IF($G$11=$E$11,$F$11,IF(U844&lt;($F$11-$E$11)/($G$11-$E$11),$E$11+SQRT(U844*($G$11-$E$11)*($F$11-$E$11)),$G$11-SQRT((1-U844)*($G$11-$E$11)*($G$11-$F$11))))</f>
        <v>0.0911476270458924</v>
      </c>
      <c r="H844" s="39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-2291914483.39427</v>
      </c>
      <c r="I844" s="39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-82040345.8832751</v>
      </c>
      <c r="J844" s="39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141842980.968006</v>
      </c>
      <c r="K844" s="39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423024169.904143</v>
      </c>
      <c r="L844" s="39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530478580.082253</v>
      </c>
      <c r="M844" s="39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711025070.167849</v>
      </c>
      <c r="N844" s="39" t="n">
        <f aca="false">IF(COUNT('Business Case'!B11:G11)=0,"",H844+NPV(G844,I844:M844))</f>
        <v>-1088425320.34544</v>
      </c>
      <c r="P844" s="40" t="n">
        <f aca="true">RAND()</f>
        <v>0.0396549855394705</v>
      </c>
      <c r="Q844" s="40" t="n">
        <f aca="true">RAND()</f>
        <v>0.777822677356228</v>
      </c>
      <c r="R844" s="40" t="n">
        <f aca="true">RAND()</f>
        <v>0.855245860977396</v>
      </c>
      <c r="S844" s="40" t="n">
        <f aca="true">RAND()</f>
        <v>0.393723646584615</v>
      </c>
      <c r="T844" s="40" t="n">
        <f aca="true">RAND()</f>
        <v>0.855668059263086</v>
      </c>
      <c r="U844" s="40" t="n">
        <f aca="true">RAND()</f>
        <v>0.124269588754312</v>
      </c>
    </row>
    <row r="845" customFormat="false" ht="15" hidden="false" customHeight="false" outlineLevel="0" collapsed="false">
      <c r="A845" s="36" t="n">
        <v>765</v>
      </c>
      <c r="B845" s="37" t="n">
        <f aca="false">1+IF($G$6=$E$6,$F$6,IF(P845&lt;($F$6-$E$6)/($G$6-$E$6),$E$6+SQRT(P845*($G$6-$E$6)*($F$6-$E$6)),$G$6-SQRT((1-P845)*($G$6-$E$6)*($G$6-$F$6))))</f>
        <v>1.00799679847417</v>
      </c>
      <c r="C845" s="37" t="n">
        <f aca="false">1+IF($G$7=$E$7,$F$7,IF(Q845&lt;($F$7-$E$7)/($G$7-$E$7),$E$7+SQRT(Q845*($G$7-$E$7)*($F$7-$E$7)),$G$7-SQRT((1-Q845)*($G$7-$E$7)*($G$7-$F$7))))</f>
        <v>1.04602047412392</v>
      </c>
      <c r="D845" s="37" t="n">
        <f aca="false">1+IF($G$8=$E$8,$F$8,IF(R845&lt;($F$8-$E$8)/($G$8-$E$8),$E$8+SQRT(R845*($G$8-$E$8)*($F$8-$E$8)),$G$8-SQRT((1-R845)*($G$8-$E$8)*($G$8-$F$8))))</f>
        <v>1.07930924308802</v>
      </c>
      <c r="E845" s="37" t="n">
        <f aca="false">1+IF($G$9=$E$9,$F$9,IF(S845&lt;($F$9-$E$9)/($G$9-$E$9),$E$9+SQRT(S845*($G$9-$E$9)*($F$9-$E$9)),$G$9-SQRT((1-S845)*($G$9-$E$9)*($G$9-$F$9))))</f>
        <v>0.944896855580281</v>
      </c>
      <c r="F845" s="37" t="n">
        <f aca="false">1+IF($G$10=$E$10,$F$10,IF(T845&lt;($F$10-$E$10)/($G$10-$E$10),$E$10+SQRT(T845*($G$10-$E$10)*($F$10-$E$10)),$G$10-SQRT((1-T845)*($G$10-$E$10)*($G$10-$F$10))))</f>
        <v>1.20882155541853</v>
      </c>
      <c r="G845" s="38" t="n">
        <f aca="false">IF($G$11=$E$11,$F$11,IF(U845&lt;($F$11-$E$11)/($G$11-$E$11),$E$11+SQRT(U845*($G$11-$E$11)*($F$11-$E$11)),$G$11-SQRT((1-U845)*($G$11-$E$11)*($G$11-$F$11))))</f>
        <v>0.114226386063061</v>
      </c>
      <c r="H845" s="39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-2417643110.83705</v>
      </c>
      <c r="I845" s="39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-24235573.8323743</v>
      </c>
      <c r="J845" s="39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261434674.125249</v>
      </c>
      <c r="K845" s="39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607545999.853798</v>
      </c>
      <c r="L845" s="39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739208971.429425</v>
      </c>
      <c r="M845" s="39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939626527.173063</v>
      </c>
      <c r="N845" s="39" t="n">
        <f aca="false">IF(COUNT('Business Case'!B11:G11)=0,"",H845+NPV(G845,I845:M845))</f>
        <v>-762897443.636145</v>
      </c>
      <c r="P845" s="40" t="n">
        <f aca="true">RAND()</f>
        <v>0.764764141544016</v>
      </c>
      <c r="Q845" s="40" t="n">
        <f aca="true">RAND()</f>
        <v>0.839826047386451</v>
      </c>
      <c r="R845" s="40" t="n">
        <f aca="true">RAND()</f>
        <v>0.971459505227299</v>
      </c>
      <c r="S845" s="40" t="n">
        <f aca="true">RAND()</f>
        <v>0.0806291056398624</v>
      </c>
      <c r="T845" s="40" t="n">
        <f aca="true">RAND()</f>
        <v>0.97739114269134</v>
      </c>
      <c r="U845" s="40" t="n">
        <f aca="true">RAND()</f>
        <v>0.834128735578945</v>
      </c>
    </row>
    <row r="846" customFormat="false" ht="15" hidden="false" customHeight="false" outlineLevel="0" collapsed="false">
      <c r="A846" s="36" t="n">
        <v>766</v>
      </c>
      <c r="B846" s="37" t="n">
        <f aca="false">1+IF($G$6=$E$6,$F$6,IF(P846&lt;($F$6-$E$6)/($G$6-$E$6),$E$6+SQRT(P846*($G$6-$E$6)*($F$6-$E$6)),$G$6-SQRT((1-P846)*($G$6-$E$6)*($G$6-$F$6))))</f>
        <v>1.02648873495766</v>
      </c>
      <c r="C846" s="37" t="n">
        <f aca="false">1+IF($G$7=$E$7,$F$7,IF(Q846&lt;($F$7-$E$7)/($G$7-$E$7),$E$7+SQRT(Q846*($G$7-$E$7)*($F$7-$E$7)),$G$7-SQRT((1-Q846)*($G$7-$E$7)*($G$7-$F$7))))</f>
        <v>1.05729648780965</v>
      </c>
      <c r="D846" s="37" t="n">
        <f aca="false">1+IF($G$8=$E$8,$F$8,IF(R846&lt;($F$8-$E$8)/($G$8-$E$8),$E$8+SQRT(R846*($G$8-$E$8)*($F$8-$E$8)),$G$8-SQRT((1-R846)*($G$8-$E$8)*($G$8-$F$8))))</f>
        <v>1.00213446596224</v>
      </c>
      <c r="E846" s="37" t="n">
        <f aca="false">1+IF($G$9=$E$9,$F$9,IF(S846&lt;($F$9-$E$9)/($G$9-$E$9),$E$9+SQRT(S846*($G$9-$E$9)*($F$9-$E$9)),$G$9-SQRT((1-S846)*($G$9-$E$9)*($G$9-$F$9))))</f>
        <v>1.0784542957759</v>
      </c>
      <c r="F846" s="37" t="n">
        <f aca="false">1+IF($G$10=$E$10,$F$10,IF(T846&lt;($F$10-$E$10)/($G$10-$E$10),$E$10+SQRT(T846*($G$10-$E$10)*($F$10-$E$10)),$G$10-SQRT((1-T846)*($G$10-$E$10)*($G$10-$F$10))))</f>
        <v>1.03079926897533</v>
      </c>
      <c r="G846" s="38" t="n">
        <f aca="false">IF($G$11=$E$11,$F$11,IF(U846&lt;($F$11-$E$11)/($G$11-$E$11),$E$11+SQRT(U846*($G$11-$E$11)*($F$11-$E$11)),$G$11-SQRT((1-U846)*($G$11-$E$11)*($G$11-$F$11))))</f>
        <v>0.0944458324316229</v>
      </c>
      <c r="H846" s="39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-2061598537.95066</v>
      </c>
      <c r="I846" s="39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33836512.7498159</v>
      </c>
      <c r="J846" s="39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380371257.367857</v>
      </c>
      <c r="K846" s="39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778445965.434664</v>
      </c>
      <c r="L846" s="39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931465616.381585</v>
      </c>
      <c r="M846" s="39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1137759998.12324</v>
      </c>
      <c r="N846" s="39" t="n">
        <f aca="false">IF(COUNT('Business Case'!B11:G11)=0,"",H846+NPV(G846,I846:M846))</f>
        <v>254465684.444862</v>
      </c>
      <c r="P846" s="40" t="n">
        <f aca="true">RAND()</f>
        <v>0.926296055481185</v>
      </c>
      <c r="Q846" s="40" t="n">
        <f aca="true">RAND()</f>
        <v>0.872682353001089</v>
      </c>
      <c r="R846" s="40" t="n">
        <f aca="true">RAND()</f>
        <v>0.361489149833554</v>
      </c>
      <c r="S846" s="40" t="n">
        <f aca="true">RAND()</f>
        <v>0.863498992188731</v>
      </c>
      <c r="T846" s="40" t="n">
        <f aca="true">RAND()</f>
        <v>0.359347193576666</v>
      </c>
      <c r="U846" s="40" t="n">
        <f aca="true">RAND()</f>
        <v>0.208682074642527</v>
      </c>
    </row>
    <row r="847" customFormat="false" ht="15" hidden="false" customHeight="false" outlineLevel="0" collapsed="false">
      <c r="A847" s="36" t="n">
        <v>767</v>
      </c>
      <c r="B847" s="37" t="n">
        <f aca="false">1+IF($G$6=$E$6,$F$6,IF(P847&lt;($F$6-$E$6)/($G$6-$E$6),$E$6+SQRT(P847*($G$6-$E$6)*($F$6-$E$6)),$G$6-SQRT((1-P847)*($G$6-$E$6)*($G$6-$F$6))))</f>
        <v>0.999125795122875</v>
      </c>
      <c r="C847" s="37" t="n">
        <f aca="false">1+IF($G$7=$E$7,$F$7,IF(Q847&lt;($F$7-$E$7)/($G$7-$E$7),$E$7+SQRT(Q847*($G$7-$E$7)*($F$7-$E$7)),$G$7-SQRT((1-Q847)*($G$7-$E$7)*($G$7-$F$7))))</f>
        <v>0.917023822471688</v>
      </c>
      <c r="D847" s="37" t="n">
        <f aca="false">1+IF($G$8=$E$8,$F$8,IF(R847&lt;($F$8-$E$8)/($G$8-$E$8),$E$8+SQRT(R847*($G$8-$E$8)*($F$8-$E$8)),$G$8-SQRT((1-R847)*($G$8-$E$8)*($G$8-$F$8))))</f>
        <v>1.00054260318725</v>
      </c>
      <c r="E847" s="37" t="n">
        <f aca="false">1+IF($G$9=$E$9,$F$9,IF(S847&lt;($F$9-$E$9)/($G$9-$E$9),$E$9+SQRT(S847*($G$9-$E$9)*($F$9-$E$9)),$G$9-SQRT((1-S847)*($G$9-$E$9)*($G$9-$F$9))))</f>
        <v>1.03880796006664</v>
      </c>
      <c r="F847" s="37" t="n">
        <f aca="false">1+IF($G$10=$E$10,$F$10,IF(T847&lt;($F$10-$E$10)/($G$10-$E$10),$E$10+SQRT(T847*($G$10-$E$10)*($F$10-$E$10)),$G$10-SQRT((1-T847)*($G$10-$E$10)*($G$10-$F$10))))</f>
        <v>1.02186136747452</v>
      </c>
      <c r="G847" s="38" t="n">
        <f aca="false">IF($G$11=$E$11,$F$11,IF(U847&lt;($F$11-$E$11)/($G$11-$E$11),$E$11+SQRT(U847*($G$11-$E$11)*($F$11-$E$11)),$G$11-SQRT((1-U847)*($G$11-$E$11)*($G$11-$F$11))))</f>
        <v>0.0896900925843942</v>
      </c>
      <c r="H847" s="39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-2043722734.94904</v>
      </c>
      <c r="I847" s="39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-16647228.0287226</v>
      </c>
      <c r="J847" s="39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264107129.166788</v>
      </c>
      <c r="K847" s="39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595954554.736024</v>
      </c>
      <c r="L847" s="39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721203978.171398</v>
      </c>
      <c r="M847" s="39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895359485.540852</v>
      </c>
      <c r="N847" s="39" t="n">
        <f aca="false">IF(COUNT('Business Case'!B11:G11)=0,"",H847+NPV(G847,I847:M847))</f>
        <v>-281749871.687743</v>
      </c>
      <c r="P847" s="40" t="n">
        <f aca="true">RAND()</f>
        <v>0.655061550582805</v>
      </c>
      <c r="Q847" s="40" t="n">
        <f aca="true">RAND()</f>
        <v>0.348883996446095</v>
      </c>
      <c r="R847" s="40" t="n">
        <f aca="true">RAND()</f>
        <v>0.340548414615447</v>
      </c>
      <c r="S847" s="40" t="n">
        <f aca="true">RAND()</f>
        <v>0.670302140145528</v>
      </c>
      <c r="T847" s="40" t="n">
        <f aca="true">RAND()</f>
        <v>0.306036857992047</v>
      </c>
      <c r="U847" s="40" t="n">
        <f aca="true">RAND()</f>
        <v>0.0938978942941316</v>
      </c>
    </row>
    <row r="848" customFormat="false" ht="15" hidden="false" customHeight="false" outlineLevel="0" collapsed="false">
      <c r="A848" s="36" t="n">
        <v>768</v>
      </c>
      <c r="B848" s="37" t="n">
        <f aca="false">1+IF($G$6=$E$6,$F$6,IF(P848&lt;($F$6-$E$6)/($G$6-$E$6),$E$6+SQRT(P848*($G$6-$E$6)*($F$6-$E$6)),$G$6-SQRT((1-P848)*($G$6-$E$6)*($G$6-$F$6))))</f>
        <v>1.02064602846741</v>
      </c>
      <c r="C848" s="37" t="n">
        <f aca="false">1+IF($G$7=$E$7,$F$7,IF(Q848&lt;($F$7-$E$7)/($G$7-$E$7),$E$7+SQRT(Q848*($G$7-$E$7)*($F$7-$E$7)),$G$7-SQRT((1-Q848)*($G$7-$E$7)*($G$7-$F$7))))</f>
        <v>1.03389130066242</v>
      </c>
      <c r="D848" s="37" t="n">
        <f aca="false">1+IF($G$8=$E$8,$F$8,IF(R848&lt;($F$8-$E$8)/($G$8-$E$8),$E$8+SQRT(R848*($G$8-$E$8)*($F$8-$E$8)),$G$8-SQRT((1-R848)*($G$8-$E$8)*($G$8-$F$8))))</f>
        <v>0.991376987544033</v>
      </c>
      <c r="E848" s="37" t="n">
        <f aca="false">1+IF($G$9=$E$9,$F$9,IF(S848&lt;($F$9-$E$9)/($G$9-$E$9),$E$9+SQRT(S848*($G$9-$E$9)*($F$9-$E$9)),$G$9-SQRT((1-S848)*($G$9-$E$9)*($G$9-$F$9))))</f>
        <v>1.10489359350647</v>
      </c>
      <c r="F848" s="37" t="n">
        <f aca="false">1+IF($G$10=$E$10,$F$10,IF(T848&lt;($F$10-$E$10)/($G$10-$E$10),$E$10+SQRT(T848*($G$10-$E$10)*($F$10-$E$10)),$G$10-SQRT((1-T848)*($G$10-$E$10)*($G$10-$F$10))))</f>
        <v>0.972390957437401</v>
      </c>
      <c r="G848" s="38" t="n">
        <f aca="false">IF($G$11=$E$11,$F$11,IF(U848&lt;($F$11-$E$11)/($G$11-$E$11),$E$11+SQRT(U848*($G$11-$E$11)*($F$11-$E$11)),$G$11-SQRT((1-U848)*($G$11-$E$11)*($G$11-$F$11))))</f>
        <v>0.113458531510791</v>
      </c>
      <c r="H848" s="39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-1944781914.8748</v>
      </c>
      <c r="I848" s="39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30550931.5363053</v>
      </c>
      <c r="J848" s="39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370160316.47917</v>
      </c>
      <c r="K848" s="39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758389249.293904</v>
      </c>
      <c r="L848" s="39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908061370.052325</v>
      </c>
      <c r="M848" s="39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1108640828.49506</v>
      </c>
      <c r="N848" s="39" t="n">
        <f aca="false">IF(COUNT('Business Case'!B11:G11)=0,"",H848+NPV(G848,I848:M848))</f>
        <v>169139852.77144</v>
      </c>
      <c r="P848" s="40" t="n">
        <f aca="true">RAND()</f>
        <v>0.885112580701826</v>
      </c>
      <c r="Q848" s="40" t="n">
        <f aca="true">RAND()</f>
        <v>0.800278073157569</v>
      </c>
      <c r="R848" s="40" t="n">
        <f aca="true">RAND()</f>
        <v>0.228274013095875</v>
      </c>
      <c r="S848" s="40" t="n">
        <f aca="true">RAND()</f>
        <v>0.945744322486406</v>
      </c>
      <c r="T848" s="40" t="n">
        <f aca="true">RAND()</f>
        <v>0.0334236649975681</v>
      </c>
      <c r="U848" s="40" t="n">
        <f aca="true">RAND()</f>
        <v>0.817586546813664</v>
      </c>
    </row>
    <row r="849" customFormat="false" ht="15" hidden="false" customHeight="false" outlineLevel="0" collapsed="false">
      <c r="A849" s="36" t="n">
        <v>769</v>
      </c>
      <c r="B849" s="37" t="n">
        <f aca="false">1+IF($G$6=$E$6,$F$6,IF(P849&lt;($F$6-$E$6)/($G$6-$E$6),$E$6+SQRT(P849*($G$6-$E$6)*($F$6-$E$6)),$G$6-SQRT((1-P849)*($G$6-$E$6)*($G$6-$F$6))))</f>
        <v>0.969268941931593</v>
      </c>
      <c r="C849" s="37" t="n">
        <f aca="false">1+IF($G$7=$E$7,$F$7,IF(Q849&lt;($F$7-$E$7)/($G$7-$E$7),$E$7+SQRT(Q849*($G$7-$E$7)*($F$7-$E$7)),$G$7-SQRT((1-Q849)*($G$7-$E$7)*($G$7-$F$7))))</f>
        <v>1.02187765879829</v>
      </c>
      <c r="D849" s="37" t="n">
        <f aca="false">1+IF($G$8=$E$8,$F$8,IF(R849&lt;($F$8-$E$8)/($G$8-$E$8),$E$8+SQRT(R849*($G$8-$E$8)*($F$8-$E$8)),$G$8-SQRT((1-R849)*($G$8-$E$8)*($G$8-$F$8))))</f>
        <v>1.08627884294424</v>
      </c>
      <c r="E849" s="37" t="n">
        <f aca="false">1+IF($G$9=$E$9,$F$9,IF(S849&lt;($F$9-$E$9)/($G$9-$E$9),$E$9+SQRT(S849*($G$9-$E$9)*($F$9-$E$9)),$G$9-SQRT((1-S849)*($G$9-$E$9)*($G$9-$F$9))))</f>
        <v>1.04744668724686</v>
      </c>
      <c r="F849" s="37" t="n">
        <f aca="false">1+IF($G$10=$E$10,$F$10,IF(T849&lt;($F$10-$E$10)/($G$10-$E$10),$E$10+SQRT(T849*($G$10-$E$10)*($F$10-$E$10)),$G$10-SQRT((1-T849)*($G$10-$E$10)*($G$10-$F$10))))</f>
        <v>1.06075786472789</v>
      </c>
      <c r="G849" s="38" t="n">
        <f aca="false">IF($G$11=$E$11,$F$11,IF(U849&lt;($F$11-$E$11)/($G$11-$E$11),$E$11+SQRT(U849*($G$11-$E$11)*($F$11-$E$11)),$G$11-SQRT((1-U849)*($G$11-$E$11)*($G$11-$F$11))))</f>
        <v>0.114967781527036</v>
      </c>
      <c r="H849" s="39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-2121515729.45577</v>
      </c>
      <c r="I849" s="39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-63352910.6691036</v>
      </c>
      <c r="J849" s="39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179663070.587346</v>
      </c>
      <c r="K849" s="39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475716945.080189</v>
      </c>
      <c r="L849" s="39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590953063.18318</v>
      </c>
      <c r="M849" s="39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779222413.779472</v>
      </c>
      <c r="N849" s="39" t="n">
        <f aca="false">IF(COUNT('Business Case'!B11:G11)=0,"",H849+NPV(G849,I849:M849))</f>
        <v>-855995073.154143</v>
      </c>
      <c r="P849" s="40" t="n">
        <f aca="true">RAND()</f>
        <v>0.319879087754829</v>
      </c>
      <c r="Q849" s="40" t="n">
        <f aca="true">RAND()</f>
        <v>0.7568098619999</v>
      </c>
      <c r="R849" s="40" t="n">
        <f aca="true">RAND()</f>
        <v>0.987448656603402</v>
      </c>
      <c r="S849" s="40" t="n">
        <f aca="true">RAND()</f>
        <v>0.719541814489487</v>
      </c>
      <c r="T849" s="40" t="n">
        <f aca="true">RAND()</f>
        <v>0.522498856502016</v>
      </c>
      <c r="U849" s="40" t="n">
        <f aca="true">RAND()</f>
        <v>0.849354938520718</v>
      </c>
    </row>
    <row r="850" customFormat="false" ht="15" hidden="false" customHeight="false" outlineLevel="0" collapsed="false">
      <c r="A850" s="36" t="n">
        <v>770</v>
      </c>
      <c r="B850" s="37" t="n">
        <f aca="false">1+IF($G$6=$E$6,$F$6,IF(P850&lt;($F$6-$E$6)/($G$6-$E$6),$E$6+SQRT(P850*($G$6-$E$6)*($F$6-$E$6)),$G$6-SQRT((1-P850)*($G$6-$E$6)*($G$6-$F$6))))</f>
        <v>1.00099762358205</v>
      </c>
      <c r="C850" s="37" t="n">
        <f aca="false">1+IF($G$7=$E$7,$F$7,IF(Q850&lt;($F$7-$E$7)/($G$7-$E$7),$E$7+SQRT(Q850*($G$7-$E$7)*($F$7-$E$7)),$G$7-SQRT((1-Q850)*($G$7-$E$7)*($G$7-$F$7))))</f>
        <v>0.995363853701507</v>
      </c>
      <c r="D850" s="37" t="n">
        <f aca="false">1+IF($G$8=$E$8,$F$8,IF(R850&lt;($F$8-$E$8)/($G$8-$E$8),$E$8+SQRT(R850*($G$8-$E$8)*($F$8-$E$8)),$G$8-SQRT((1-R850)*($G$8-$E$8)*($G$8-$F$8))))</f>
        <v>1.02484189759934</v>
      </c>
      <c r="E850" s="37" t="n">
        <f aca="false">1+IF($G$9=$E$9,$F$9,IF(S850&lt;($F$9-$E$9)/($G$9-$E$9),$E$9+SQRT(S850*($G$9-$E$9)*($F$9-$E$9)),$G$9-SQRT((1-S850)*($G$9-$E$9)*($G$9-$F$9))))</f>
        <v>0.981009553899208</v>
      </c>
      <c r="F850" s="37" t="n">
        <f aca="false">1+IF($G$10=$E$10,$F$10,IF(T850&lt;($F$10-$E$10)/($G$10-$E$10),$E$10+SQRT(T850*($G$10-$E$10)*($F$10-$E$10)),$G$10-SQRT((1-T850)*($G$10-$E$10)*($G$10-$F$10))))</f>
        <v>1.01031714533981</v>
      </c>
      <c r="G850" s="38" t="n">
        <f aca="false">IF($G$11=$E$11,$F$11,IF(U850&lt;($F$11-$E$11)/($G$11-$E$11),$E$11+SQRT(U850*($G$11-$E$11)*($F$11-$E$11)),$G$11-SQRT((1-U850)*($G$11-$E$11)*($G$11-$F$11))))</f>
        <v>0.106274195871515</v>
      </c>
      <c r="H850" s="39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-2020634290.67963</v>
      </c>
      <c r="I850" s="39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1700817.25816332</v>
      </c>
      <c r="J850" s="39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295584046.830474</v>
      </c>
      <c r="K850" s="39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639983133.669775</v>
      </c>
      <c r="L850" s="39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772378303.004344</v>
      </c>
      <c r="M850" s="39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961765813.461905</v>
      </c>
      <c r="N850" s="39" t="n">
        <f aca="false">IF(COUNT('Business Case'!B11:G11)=0,"",H850+NPV(G850,I850:M850))</f>
        <v>-208765628.43634</v>
      </c>
      <c r="P850" s="40" t="n">
        <f aca="true">RAND()</f>
        <v>0.679835614052427</v>
      </c>
      <c r="Q850" s="40" t="n">
        <f aca="true">RAND()</f>
        <v>0.646220785728927</v>
      </c>
      <c r="R850" s="40" t="n">
        <f aca="true">RAND()</f>
        <v>0.623417309568832</v>
      </c>
      <c r="S850" s="40" t="n">
        <f aca="true">RAND()</f>
        <v>0.262501912917946</v>
      </c>
      <c r="T850" s="40" t="n">
        <f aca="true">RAND()</f>
        <v>0.23402838909258</v>
      </c>
      <c r="U850" s="40" t="n">
        <f aca="true">RAND()</f>
        <v>0.624724145637855</v>
      </c>
    </row>
    <row r="851" customFormat="false" ht="15" hidden="false" customHeight="false" outlineLevel="0" collapsed="false">
      <c r="A851" s="36" t="n">
        <v>771</v>
      </c>
      <c r="B851" s="37" t="n">
        <f aca="false">1+IF($G$6=$E$6,$F$6,IF(P851&lt;($F$6-$E$6)/($G$6-$E$6),$E$6+SQRT(P851*($G$6-$E$6)*($F$6-$E$6)),$G$6-SQRT((1-P851)*($G$6-$E$6)*($G$6-$F$6))))</f>
        <v>1.00007010206646</v>
      </c>
      <c r="C851" s="37" t="n">
        <f aca="false">1+IF($G$7=$E$7,$F$7,IF(Q851&lt;($F$7-$E$7)/($G$7-$E$7),$E$7+SQRT(Q851*($G$7-$E$7)*($F$7-$E$7)),$G$7-SQRT((1-Q851)*($G$7-$E$7)*($G$7-$F$7))))</f>
        <v>0.770590993369713</v>
      </c>
      <c r="D851" s="37" t="n">
        <f aca="false">1+IF($G$8=$E$8,$F$8,IF(R851&lt;($F$8-$E$8)/($G$8-$E$8),$E$8+SQRT(R851*($G$8-$E$8)*($F$8-$E$8)),$G$8-SQRT((1-R851)*($G$8-$E$8)*($G$8-$F$8))))</f>
        <v>0.97392368306452</v>
      </c>
      <c r="E851" s="37" t="n">
        <f aca="false">1+IF($G$9=$E$9,$F$9,IF(S851&lt;($F$9-$E$9)/($G$9-$E$9),$E$9+SQRT(S851*($G$9-$E$9)*($F$9-$E$9)),$G$9-SQRT((1-S851)*($G$9-$E$9)*($G$9-$F$9))))</f>
        <v>1.11666295796859</v>
      </c>
      <c r="F851" s="37" t="n">
        <f aca="false">1+IF($G$10=$E$10,$F$10,IF(T851&lt;($F$10-$E$10)/($G$10-$E$10),$E$10+SQRT(T851*($G$10-$E$10)*($F$10-$E$10)),$G$10-SQRT((1-T851)*($G$10-$E$10)*($G$10-$F$10))))</f>
        <v>1.16726304966914</v>
      </c>
      <c r="G851" s="38" t="n">
        <f aca="false">IF($G$11=$E$11,$F$11,IF(U851&lt;($F$11-$E$11)/($G$11-$E$11),$E$11+SQRT(U851*($G$11-$E$11)*($F$11-$E$11)),$G$11-SQRT((1-U851)*($G$11-$E$11)*($G$11-$F$11))))</f>
        <v>0.0973950920035296</v>
      </c>
      <c r="H851" s="39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-2334526099.33829</v>
      </c>
      <c r="I851" s="39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-68446593.9510475</v>
      </c>
      <c r="J851" s="39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178572827.182128</v>
      </c>
      <c r="K851" s="39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483955400.798761</v>
      </c>
      <c r="L851" s="39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592928699.505937</v>
      </c>
      <c r="M851" s="39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739412903.651249</v>
      </c>
      <c r="N851" s="39" t="n">
        <f aca="false">IF(COUNT('Business Case'!B11:G11)=0,"",H851+NPV(G851,I851:M851))</f>
        <v>-1008987928.4073</v>
      </c>
      <c r="P851" s="40" t="n">
        <f aca="true">RAND()</f>
        <v>0.66760070564612</v>
      </c>
      <c r="Q851" s="40" t="n">
        <f aca="true">RAND()</f>
        <v>0.0369117655179468</v>
      </c>
      <c r="R851" s="40" t="n">
        <f aca="true">RAND()</f>
        <v>0.0763123481828796</v>
      </c>
      <c r="S851" s="40" t="n">
        <f aca="true">RAND()</f>
        <v>0.970363776762555</v>
      </c>
      <c r="T851" s="40" t="n">
        <f aca="true">RAND()</f>
        <v>0.90872796066599</v>
      </c>
      <c r="U851" s="40" t="n">
        <f aca="true">RAND()</f>
        <v>0.302589225811258</v>
      </c>
    </row>
    <row r="852" customFormat="false" ht="15" hidden="false" customHeight="false" outlineLevel="0" collapsed="false">
      <c r="A852" s="36" t="n">
        <v>772</v>
      </c>
      <c r="B852" s="37" t="n">
        <f aca="false">1+IF($G$6=$E$6,$F$6,IF(P852&lt;($F$6-$E$6)/($G$6-$E$6),$E$6+SQRT(P852*($G$6-$E$6)*($F$6-$E$6)),$G$6-SQRT((1-P852)*($G$6-$E$6)*($G$6-$F$6))))</f>
        <v>0.966112459222407</v>
      </c>
      <c r="C852" s="37" t="n">
        <f aca="false">1+IF($G$7=$E$7,$F$7,IF(Q852&lt;($F$7-$E$7)/($G$7-$E$7),$E$7+SQRT(Q852*($G$7-$E$7)*($F$7-$E$7)),$G$7-SQRT((1-Q852)*($G$7-$E$7)*($G$7-$F$7))))</f>
        <v>0.954878082709809</v>
      </c>
      <c r="D852" s="37" t="n">
        <f aca="false">1+IF($G$8=$E$8,$F$8,IF(R852&lt;($F$8-$E$8)/($G$8-$E$8),$E$8+SQRT(R852*($G$8-$E$8)*($F$8-$E$8)),$G$8-SQRT((1-R852)*($G$8-$E$8)*($G$8-$F$8))))</f>
        <v>1.00664979680791</v>
      </c>
      <c r="E852" s="37" t="n">
        <f aca="false">1+IF($G$9=$E$9,$F$9,IF(S852&lt;($F$9-$E$9)/($G$9-$E$9),$E$9+SQRT(S852*($G$9-$E$9)*($F$9-$E$9)),$G$9-SQRT((1-S852)*($G$9-$E$9)*($G$9-$F$9))))</f>
        <v>1.08499463970429</v>
      </c>
      <c r="F852" s="37" t="n">
        <f aca="false">1+IF($G$10=$E$10,$F$10,IF(T852&lt;($F$10-$E$10)/($G$10-$E$10),$E$10+SQRT(T852*($G$10-$E$10)*($F$10-$E$10)),$G$10-SQRT((1-T852)*($G$10-$E$10)*($G$10-$F$10))))</f>
        <v>1.11974973228524</v>
      </c>
      <c r="G852" s="38" t="n">
        <f aca="false">IF($G$11=$E$11,$F$11,IF(U852&lt;($F$11-$E$11)/($G$11-$E$11),$E$11+SQRT(U852*($G$11-$E$11)*($F$11-$E$11)),$G$11-SQRT((1-U852)*($G$11-$E$11)*($G$11-$F$11))))</f>
        <v>0.107776262762064</v>
      </c>
      <c r="H852" s="39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-2239499464.57049</v>
      </c>
      <c r="I852" s="39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-50546393.1464802</v>
      </c>
      <c r="J852" s="39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212991841.426182</v>
      </c>
      <c r="K852" s="39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532517562.613106</v>
      </c>
      <c r="L852" s="39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652245918.620438</v>
      </c>
      <c r="M852" s="39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827598446.610884</v>
      </c>
      <c r="N852" s="39" t="n">
        <f aca="false">IF(COUNT('Business Case'!B11:G11)=0,"",H852+NPV(G852,I852:M852))</f>
        <v>-790638965.253949</v>
      </c>
      <c r="P852" s="40" t="n">
        <f aca="true">RAND()</f>
        <v>0.291390484295625</v>
      </c>
      <c r="Q852" s="40" t="n">
        <f aca="true">RAND()</f>
        <v>0.481206200339466</v>
      </c>
      <c r="R852" s="40" t="n">
        <f aca="true">RAND()</f>
        <v>0.419049304266406</v>
      </c>
      <c r="S852" s="40" t="n">
        <f aca="true">RAND()</f>
        <v>0.887314750208678</v>
      </c>
      <c r="T852" s="40" t="n">
        <f aca="true">RAND()</f>
        <v>0.773798236803122</v>
      </c>
      <c r="U852" s="40" t="n">
        <f aca="true">RAND()</f>
        <v>0.670737002119454</v>
      </c>
    </row>
    <row r="853" customFormat="false" ht="15" hidden="false" customHeight="false" outlineLevel="0" collapsed="false">
      <c r="A853" s="36" t="n">
        <v>773</v>
      </c>
      <c r="B853" s="37" t="n">
        <f aca="false">1+IF($G$6=$E$6,$F$6,IF(P853&lt;($F$6-$E$6)/($G$6-$E$6),$E$6+SQRT(P853*($G$6-$E$6)*($F$6-$E$6)),$G$6-SQRT((1-P853)*($G$6-$E$6)*($G$6-$F$6))))</f>
        <v>1.01914318410138</v>
      </c>
      <c r="C853" s="37" t="n">
        <f aca="false">1+IF($G$7=$E$7,$F$7,IF(Q853&lt;($F$7-$E$7)/($G$7-$E$7),$E$7+SQRT(Q853*($G$7-$E$7)*($F$7-$E$7)),$G$7-SQRT((1-Q853)*($G$7-$E$7)*($G$7-$F$7))))</f>
        <v>0.92126109879755</v>
      </c>
      <c r="D853" s="37" t="n">
        <f aca="false">1+IF($G$8=$E$8,$F$8,IF(R853&lt;($F$8-$E$8)/($G$8-$E$8),$E$8+SQRT(R853*($G$8-$E$8)*($F$8-$E$8)),$G$8-SQRT((1-R853)*($G$8-$E$8)*($G$8-$F$8))))</f>
        <v>0.972952757178198</v>
      </c>
      <c r="E853" s="37" t="n">
        <f aca="false">1+IF($G$9=$E$9,$F$9,IF(S853&lt;($F$9-$E$9)/($G$9-$E$9),$E$9+SQRT(S853*($G$9-$E$9)*($F$9-$E$9)),$G$9-SQRT((1-S853)*($G$9-$E$9)*($G$9-$F$9))))</f>
        <v>0.993754944265147</v>
      </c>
      <c r="F853" s="37" t="n">
        <f aca="false">1+IF($G$10=$E$10,$F$10,IF(T853&lt;($F$10-$E$10)/($G$10-$E$10),$E$10+SQRT(T853*($G$10-$E$10)*($F$10-$E$10)),$G$10-SQRT((1-T853)*($G$10-$E$10)*($G$10-$F$10))))</f>
        <v>1.01863379893057</v>
      </c>
      <c r="G853" s="38" t="n">
        <f aca="false">IF($G$11=$E$11,$F$11,IF(U853&lt;($F$11-$E$11)/($G$11-$E$11),$E$11+SQRT(U853*($G$11-$E$11)*($F$11-$E$11)),$G$11-SQRT((1-U853)*($G$11-$E$11)*($G$11-$F$11))))</f>
        <v>0.101026824137267</v>
      </c>
      <c r="H853" s="39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-2037267597.86113</v>
      </c>
      <c r="I853" s="39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18320288.916008</v>
      </c>
      <c r="J853" s="39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328488329.704536</v>
      </c>
      <c r="K853" s="39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689588060.439592</v>
      </c>
      <c r="L853" s="39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825425686.639074</v>
      </c>
      <c r="M853" s="39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1003891222.62392</v>
      </c>
      <c r="N853" s="39" t="n">
        <f aca="false">IF(COUNT('Business Case'!B11:G11)=0,"",H853+NPV(G853,I853:M853))</f>
        <v>-50894061.0549719</v>
      </c>
      <c r="P853" s="40" t="n">
        <f aca="true">RAND()</f>
        <v>0.873047588346455</v>
      </c>
      <c r="Q853" s="40" t="n">
        <f aca="true">RAND()</f>
        <v>0.362640546971105</v>
      </c>
      <c r="R853" s="40" t="n">
        <f aca="true">RAND()</f>
        <v>0.0702438749441736</v>
      </c>
      <c r="S853" s="40" t="n">
        <f aca="true">RAND()</f>
        <v>0.351599582966434</v>
      </c>
      <c r="T853" s="40" t="n">
        <f aca="true">RAND()</f>
        <v>0.28626241336931</v>
      </c>
      <c r="U853" s="40" t="n">
        <f aca="true">RAND()</f>
        <v>0.440370053618085</v>
      </c>
    </row>
    <row r="854" customFormat="false" ht="15" hidden="false" customHeight="false" outlineLevel="0" collapsed="false">
      <c r="A854" s="36" t="n">
        <v>774</v>
      </c>
      <c r="B854" s="37" t="n">
        <f aca="false">1+IF($G$6=$E$6,$F$6,IF(P854&lt;($F$6-$E$6)/($G$6-$E$6),$E$6+SQRT(P854*($G$6-$E$6)*($F$6-$E$6)),$G$6-SQRT((1-P854)*($G$6-$E$6)*($G$6-$F$6))))</f>
        <v>0.967009047946623</v>
      </c>
      <c r="C854" s="37" t="n">
        <f aca="false">1+IF($G$7=$E$7,$F$7,IF(Q854&lt;($F$7-$E$7)/($G$7-$E$7),$E$7+SQRT(Q854*($G$7-$E$7)*($F$7-$E$7)),$G$7-SQRT((1-Q854)*($G$7-$E$7)*($G$7-$F$7))))</f>
        <v>0.804823917553778</v>
      </c>
      <c r="D854" s="37" t="n">
        <f aca="false">1+IF($G$8=$E$8,$F$8,IF(R854&lt;($F$8-$E$8)/($G$8-$E$8),$E$8+SQRT(R854*($G$8-$E$8)*($F$8-$E$8)),$G$8-SQRT((1-R854)*($G$8-$E$8)*($G$8-$F$8))))</f>
        <v>1.03236897975741</v>
      </c>
      <c r="E854" s="37" t="n">
        <f aca="false">1+IF($G$9=$E$9,$F$9,IF(S854&lt;($F$9-$E$9)/($G$9-$E$9),$E$9+SQRT(S854*($G$9-$E$9)*($F$9-$E$9)),$G$9-SQRT((1-S854)*($G$9-$E$9)*($G$9-$F$9))))</f>
        <v>0.952524940007733</v>
      </c>
      <c r="F854" s="37" t="n">
        <f aca="false">1+IF($G$10=$E$10,$F$10,IF(T854&lt;($F$10-$E$10)/($G$10-$E$10),$E$10+SQRT(T854*($G$10-$E$10)*($F$10-$E$10)),$G$10-SQRT((1-T854)*($G$10-$E$10)*($G$10-$F$10))))</f>
        <v>1.01704452782201</v>
      </c>
      <c r="G854" s="38" t="n">
        <f aca="false">IF($G$11=$E$11,$F$11,IF(U854&lt;($F$11-$E$11)/($G$11-$E$11),$E$11+SQRT(U854*($G$11-$E$11)*($F$11-$E$11)),$G$11-SQRT((1-U854)*($G$11-$E$11)*($G$11-$F$11))))</f>
        <v>0.103970981979669</v>
      </c>
      <c r="H854" s="39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-2034089055.64402</v>
      </c>
      <c r="I854" s="39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-65379964.5261603</v>
      </c>
      <c r="J854" s="39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146739191.21181</v>
      </c>
      <c r="K854" s="39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409710573.340881</v>
      </c>
      <c r="L854" s="39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507314039.262091</v>
      </c>
      <c r="M854" s="39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655247982.9758</v>
      </c>
      <c r="N854" s="39" t="n">
        <f aca="false">IF(COUNT('Business Case'!B11:G11)=0,"",H854+NPV(G854,I854:M854))</f>
        <v>-927262303.017847</v>
      </c>
      <c r="P854" s="40" t="n">
        <f aca="true">RAND()</f>
        <v>0.299347500447518</v>
      </c>
      <c r="Q854" s="40" t="n">
        <f aca="true">RAND()</f>
        <v>0.0813929903060833</v>
      </c>
      <c r="R854" s="40" t="n">
        <f aca="true">RAND()</f>
        <v>0.695069673396431</v>
      </c>
      <c r="S854" s="40" t="n">
        <f aca="true">RAND()</f>
        <v>0.11035477291264</v>
      </c>
      <c r="T854" s="40" t="n">
        <f aca="true">RAND()</f>
        <v>0.276423306431073</v>
      </c>
      <c r="U854" s="40" t="n">
        <f aca="true">RAND()</f>
        <v>0.548326813931515</v>
      </c>
    </row>
    <row r="855" customFormat="false" ht="15" hidden="false" customHeight="false" outlineLevel="0" collapsed="false">
      <c r="A855" s="36" t="n">
        <v>775</v>
      </c>
      <c r="B855" s="37" t="n">
        <f aca="false">1+IF($G$6=$E$6,$F$6,IF(P855&lt;($F$6-$E$6)/($G$6-$E$6),$E$6+SQRT(P855*($G$6-$E$6)*($F$6-$E$6)),$G$6-SQRT((1-P855)*($G$6-$E$6)*($G$6-$F$6))))</f>
        <v>0.918369801344712</v>
      </c>
      <c r="C855" s="37" t="n">
        <f aca="false">1+IF($G$7=$E$7,$F$7,IF(Q855&lt;($F$7-$E$7)/($G$7-$E$7),$E$7+SQRT(Q855*($G$7-$E$7)*($F$7-$E$7)),$G$7-SQRT((1-Q855)*($G$7-$E$7)*($G$7-$F$7))))</f>
        <v>0.861884651070053</v>
      </c>
      <c r="D855" s="37" t="n">
        <f aca="false">1+IF($G$8=$E$8,$F$8,IF(R855&lt;($F$8-$E$8)/($G$8-$E$8),$E$8+SQRT(R855*($G$8-$E$8)*($F$8-$E$8)),$G$8-SQRT((1-R855)*($G$8-$E$8)*($G$8-$F$8))))</f>
        <v>1.06484858211508</v>
      </c>
      <c r="E855" s="37" t="n">
        <f aca="false">1+IF($G$9=$E$9,$F$9,IF(S855&lt;($F$9-$E$9)/($G$9-$E$9),$E$9+SQRT(S855*($G$9-$E$9)*($F$9-$E$9)),$G$9-SQRT((1-S855)*($G$9-$E$9)*($G$9-$F$9))))</f>
        <v>0.958632314610829</v>
      </c>
      <c r="F855" s="37" t="n">
        <f aca="false">1+IF($G$10=$E$10,$F$10,IF(T855&lt;($F$10-$E$10)/($G$10-$E$10),$E$10+SQRT(T855*($G$10-$E$10)*($F$10-$E$10)),$G$10-SQRT((1-T855)*($G$10-$E$10)*($G$10-$F$10))))</f>
        <v>1.06132858527233</v>
      </c>
      <c r="G855" s="38" t="n">
        <f aca="false">IF($G$11=$E$11,$F$11,IF(U855&lt;($F$11-$E$11)/($G$11-$E$11),$E$11+SQRT(U855*($G$11-$E$11)*($F$11-$E$11)),$G$11-SQRT((1-U855)*($G$11-$E$11)*($G$11-$F$11))))</f>
        <v>0.0976595217821417</v>
      </c>
      <c r="H855" s="39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-2122657170.54466</v>
      </c>
      <c r="I855" s="39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-104992343.898819</v>
      </c>
      <c r="J855" s="39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73498540.7143637</v>
      </c>
      <c r="K855" s="39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305055854.591162</v>
      </c>
      <c r="L855" s="39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391908052.693628</v>
      </c>
      <c r="M855" s="39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542361853.799691</v>
      </c>
      <c r="N855" s="39" t="n">
        <f aca="false">IF(COUNT('Business Case'!B11:G11)=0,"",H855+NPV(G855,I855:M855))</f>
        <v>-1316305663.92006</v>
      </c>
      <c r="P855" s="40" t="n">
        <f aca="true">RAND()</f>
        <v>0.0224966400962779</v>
      </c>
      <c r="Q855" s="40" t="n">
        <f aca="true">RAND()</f>
        <v>0.194123261126465</v>
      </c>
      <c r="R855" s="40" t="n">
        <f aca="true">RAND()</f>
        <v>0.917625188045329</v>
      </c>
      <c r="S855" s="40" t="n">
        <f aca="true">RAND()</f>
        <v>0.13750993266493</v>
      </c>
      <c r="T855" s="40" t="n">
        <f aca="true">RAND()</f>
        <v>0.52537463019546</v>
      </c>
      <c r="U855" s="40" t="n">
        <f aca="true">RAND()</f>
        <v>0.311858709573939</v>
      </c>
    </row>
    <row r="856" customFormat="false" ht="15" hidden="false" customHeight="false" outlineLevel="0" collapsed="false">
      <c r="A856" s="36" t="n">
        <v>776</v>
      </c>
      <c r="B856" s="37" t="n">
        <f aca="false">1+IF($G$6=$E$6,$F$6,IF(P856&lt;($F$6-$E$6)/($G$6-$E$6),$E$6+SQRT(P856*($G$6-$E$6)*($F$6-$E$6)),$G$6-SQRT((1-P856)*($G$6-$E$6)*($G$6-$F$6))))</f>
        <v>1.02120560640672</v>
      </c>
      <c r="C856" s="37" t="n">
        <f aca="false">1+IF($G$7=$E$7,$F$7,IF(Q856&lt;($F$7-$E$7)/($G$7-$E$7),$E$7+SQRT(Q856*($G$7-$E$7)*($F$7-$E$7)),$G$7-SQRT((1-Q856)*($G$7-$E$7)*($G$7-$F$7))))</f>
        <v>0.896771188953766</v>
      </c>
      <c r="D856" s="37" t="n">
        <f aca="false">1+IF($G$8=$E$8,$F$8,IF(R856&lt;($F$8-$E$8)/($G$8-$E$8),$E$8+SQRT(R856*($G$8-$E$8)*($F$8-$E$8)),$G$8-SQRT((1-R856)*($G$8-$E$8)*($G$8-$F$8))))</f>
        <v>1.05974982341497</v>
      </c>
      <c r="E856" s="37" t="n">
        <f aca="false">1+IF($G$9=$E$9,$F$9,IF(S856&lt;($F$9-$E$9)/($G$9-$E$9),$E$9+SQRT(S856*($G$9-$E$9)*($F$9-$E$9)),$G$9-SQRT((1-S856)*($G$9-$E$9)*($G$9-$F$9))))</f>
        <v>1.09974425740766</v>
      </c>
      <c r="F856" s="37" t="n">
        <f aca="false">1+IF($G$10=$E$10,$F$10,IF(T856&lt;($F$10-$E$10)/($G$10-$E$10),$E$10+SQRT(T856*($G$10-$E$10)*($F$10-$E$10)),$G$10-SQRT((1-T856)*($G$10-$E$10)*($G$10-$F$10))))</f>
        <v>1.1306789784323</v>
      </c>
      <c r="G856" s="38" t="n">
        <f aca="false">IF($G$11=$E$11,$F$11,IF(U856&lt;($F$11-$E$11)/($G$11-$E$11),$E$11+SQRT(U856*($G$11-$E$11)*($F$11-$E$11)),$G$11-SQRT((1-U856)*($G$11-$E$11)*($G$11-$F$11))))</f>
        <v>0.10307430594487</v>
      </c>
      <c r="H856" s="39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-2261357956.86461</v>
      </c>
      <c r="I856" s="39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-53334615.7278324</v>
      </c>
      <c r="J856" s="39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210256737.57123</v>
      </c>
      <c r="K856" s="39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530382039.791907</v>
      </c>
      <c r="L856" s="39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649895449.411792</v>
      </c>
      <c r="M856" s="39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823968387.939543</v>
      </c>
      <c r="N856" s="39" t="n">
        <f aca="false">IF(COUNT('Business Case'!B11:G11)=0,"",H856+NPV(G856,I856:M856))</f>
        <v>-798259650.49845</v>
      </c>
      <c r="P856" s="40" t="n">
        <f aca="true">RAND()</f>
        <v>0.889451053012686</v>
      </c>
      <c r="Q856" s="40" t="n">
        <f aca="true">RAND()</f>
        <v>0.286806672609471</v>
      </c>
      <c r="R856" s="40" t="n">
        <f aca="true">RAND()</f>
        <v>0.891994885658235</v>
      </c>
      <c r="S856" s="40" t="n">
        <f aca="true">RAND()</f>
        <v>0.932649608973122</v>
      </c>
      <c r="T856" s="40" t="n">
        <f aca="true">RAND()</f>
        <v>0.81016658416055</v>
      </c>
      <c r="U856" s="40" t="n">
        <f aca="true">RAND()</f>
        <v>0.516671333099704</v>
      </c>
    </row>
    <row r="857" customFormat="false" ht="15" hidden="false" customHeight="false" outlineLevel="0" collapsed="false">
      <c r="A857" s="36" t="n">
        <v>777</v>
      </c>
      <c r="B857" s="37" t="n">
        <f aca="false">1+IF($G$6=$E$6,$F$6,IF(P857&lt;($F$6-$E$6)/($G$6-$E$6),$E$6+SQRT(P857*($G$6-$E$6)*($F$6-$E$6)),$G$6-SQRT((1-P857)*($G$6-$E$6)*($G$6-$F$6))))</f>
        <v>0.99602195115654</v>
      </c>
      <c r="C857" s="37" t="n">
        <f aca="false">1+IF($G$7=$E$7,$F$7,IF(Q857&lt;($F$7-$E$7)/($G$7-$E$7),$E$7+SQRT(Q857*($G$7-$E$7)*($F$7-$E$7)),$G$7-SQRT((1-Q857)*($G$7-$E$7)*($G$7-$F$7))))</f>
        <v>1.01688400084332</v>
      </c>
      <c r="D857" s="37" t="n">
        <f aca="false">1+IF($G$8=$E$8,$F$8,IF(R857&lt;($F$8-$E$8)/($G$8-$E$8),$E$8+SQRT(R857*($G$8-$E$8)*($F$8-$E$8)),$G$8-SQRT((1-R857)*($G$8-$E$8)*($G$8-$F$8))))</f>
        <v>0.986123777687074</v>
      </c>
      <c r="E857" s="37" t="n">
        <f aca="false">1+IF($G$9=$E$9,$F$9,IF(S857&lt;($F$9-$E$9)/($G$9-$E$9),$E$9+SQRT(S857*($G$9-$E$9)*($F$9-$E$9)),$G$9-SQRT((1-S857)*($G$9-$E$9)*($G$9-$F$9))))</f>
        <v>1.05571826762207</v>
      </c>
      <c r="F857" s="37" t="n">
        <f aca="false">1+IF($G$10=$E$10,$F$10,IF(T857&lt;($F$10-$E$10)/($G$10-$E$10),$E$10+SQRT(T857*($G$10-$E$10)*($F$10-$E$10)),$G$10-SQRT((1-T857)*($G$10-$E$10)*($G$10-$F$10))))</f>
        <v>1.07923626495001</v>
      </c>
      <c r="G857" s="38" t="n">
        <f aca="false">IF($G$11=$E$11,$F$11,IF(U857&lt;($F$11-$E$11)/($G$11-$E$11),$E$11+SQRT(U857*($G$11-$E$11)*($F$11-$E$11)),$G$11-SQRT((1-U857)*($G$11-$E$11)*($G$11-$F$11))))</f>
        <v>0.117134634943694</v>
      </c>
      <c r="H857" s="39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-2158472529.90002</v>
      </c>
      <c r="I857" s="39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5695757.56528515</v>
      </c>
      <c r="J857" s="39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321943841.979801</v>
      </c>
      <c r="K857" s="39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692153739.641817</v>
      </c>
      <c r="L857" s="39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832573476.245571</v>
      </c>
      <c r="M857" s="39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1025093872.80627</v>
      </c>
      <c r="N857" s="39" t="n">
        <f aca="false">IF(COUNT('Business Case'!B11:G11)=0,"",H857+NPV(G857,I857:M857))</f>
        <v>-275213267.112358</v>
      </c>
      <c r="P857" s="40" t="n">
        <f aca="true">RAND()</f>
        <v>0.614681006927257</v>
      </c>
      <c r="Q857" s="40" t="n">
        <f aca="true">RAND()</f>
        <v>0.737483418792875</v>
      </c>
      <c r="R857" s="40" t="n">
        <f aca="true">RAND()</f>
        <v>0.173990308584682</v>
      </c>
      <c r="S857" s="40" t="n">
        <f aca="true">RAND()</f>
        <v>0.762958798395083</v>
      </c>
      <c r="T857" s="40" t="n">
        <f aca="true">RAND()</f>
        <v>0.611196623890351</v>
      </c>
      <c r="U857" s="40" t="n">
        <f aca="true">RAND()</f>
        <v>0.889654921311992</v>
      </c>
    </row>
    <row r="858" customFormat="false" ht="15" hidden="false" customHeight="false" outlineLevel="0" collapsed="false">
      <c r="A858" s="36" t="n">
        <v>778</v>
      </c>
      <c r="B858" s="37" t="n">
        <f aca="false">1+IF($G$6=$E$6,$F$6,IF(P858&lt;($F$6-$E$6)/($G$6-$E$6),$E$6+SQRT(P858*($G$6-$E$6)*($F$6-$E$6)),$G$6-SQRT((1-P858)*($G$6-$E$6)*($G$6-$F$6))))</f>
        <v>0.950309446542012</v>
      </c>
      <c r="C858" s="37" t="n">
        <f aca="false">1+IF($G$7=$E$7,$F$7,IF(Q858&lt;($F$7-$E$7)/($G$7-$E$7),$E$7+SQRT(Q858*($G$7-$E$7)*($F$7-$E$7)),$G$7-SQRT((1-Q858)*($G$7-$E$7)*($G$7-$F$7))))</f>
        <v>1.04170415849951</v>
      </c>
      <c r="D858" s="37" t="n">
        <f aca="false">1+IF($G$8=$E$8,$F$8,IF(R858&lt;($F$8-$E$8)/($G$8-$E$8),$E$8+SQRT(R858*($G$8-$E$8)*($F$8-$E$8)),$G$8-SQRT((1-R858)*($G$8-$E$8)*($G$8-$F$8))))</f>
        <v>1.03317216342958</v>
      </c>
      <c r="E858" s="37" t="n">
        <f aca="false">1+IF($G$9=$E$9,$F$9,IF(S858&lt;($F$9-$E$9)/($G$9-$E$9),$E$9+SQRT(S858*($G$9-$E$9)*($F$9-$E$9)),$G$9-SQRT((1-S858)*($G$9-$E$9)*($G$9-$F$9))))</f>
        <v>0.970360260655142</v>
      </c>
      <c r="F858" s="37" t="n">
        <f aca="false">1+IF($G$10=$E$10,$F$10,IF(T858&lt;($F$10-$E$10)/($G$10-$E$10),$E$10+SQRT(T858*($G$10-$E$10)*($F$10-$E$10)),$G$10-SQRT((1-T858)*($G$10-$E$10)*($G$10-$F$10))))</f>
        <v>1.10398765591216</v>
      </c>
      <c r="G858" s="38" t="n">
        <f aca="false">IF($G$11=$E$11,$F$11,IF(U858&lt;($F$11-$E$11)/($G$11-$E$11),$E$11+SQRT(U858*($G$11-$E$11)*($F$11-$E$11)),$G$11-SQRT((1-U858)*($G$11-$E$11)*($G$11-$F$11))))</f>
        <v>0.101860696694053</v>
      </c>
      <c r="H858" s="39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-2207975311.82431</v>
      </c>
      <c r="I858" s="39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-39828235.0268126</v>
      </c>
      <c r="J858" s="39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220046081.715237</v>
      </c>
      <c r="K858" s="39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535119781.252895</v>
      </c>
      <c r="L858" s="39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655956924.908568</v>
      </c>
      <c r="M858" s="39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844124967.654348</v>
      </c>
      <c r="N858" s="39" t="n">
        <f aca="false">IF(COUNT('Business Case'!B11:G11)=0,"",H858+NPV(G858,I858:M858))</f>
        <v>-698135625.708666</v>
      </c>
      <c r="P858" s="40" t="n">
        <f aca="true">RAND()</f>
        <v>0.168736027424236</v>
      </c>
      <c r="Q858" s="40" t="n">
        <f aca="true">RAND()</f>
        <v>0.826252010573333</v>
      </c>
      <c r="R858" s="40" t="n">
        <f aca="true">RAND()</f>
        <v>0.702269350621114</v>
      </c>
      <c r="S858" s="40" t="n">
        <f aca="true">RAND()</f>
        <v>0.198022651178378</v>
      </c>
      <c r="T858" s="40" t="n">
        <f aca="true">RAND()</f>
        <v>0.715738604986305</v>
      </c>
      <c r="U858" s="40" t="n">
        <f aca="true">RAND()</f>
        <v>0.472119739637284</v>
      </c>
    </row>
    <row r="859" customFormat="false" ht="15" hidden="false" customHeight="false" outlineLevel="0" collapsed="false">
      <c r="A859" s="36" t="n">
        <v>779</v>
      </c>
      <c r="B859" s="37" t="n">
        <f aca="false">1+IF($G$6=$E$6,$F$6,IF(P859&lt;($F$6-$E$6)/($G$6-$E$6),$E$6+SQRT(P859*($G$6-$E$6)*($F$6-$E$6)),$G$6-SQRT((1-P859)*($G$6-$E$6)*($G$6-$F$6))))</f>
        <v>1.0044195116856</v>
      </c>
      <c r="C859" s="37" t="n">
        <f aca="false">1+IF($G$7=$E$7,$F$7,IF(Q859&lt;($F$7-$E$7)/($G$7-$E$7),$E$7+SQRT(Q859*($G$7-$E$7)*($F$7-$E$7)),$G$7-SQRT((1-Q859)*($G$7-$E$7)*($G$7-$F$7))))</f>
        <v>1.06066017074548</v>
      </c>
      <c r="D859" s="37" t="n">
        <f aca="false">1+IF($G$8=$E$8,$F$8,IF(R859&lt;($F$8-$E$8)/($G$8-$E$8),$E$8+SQRT(R859*($G$8-$E$8)*($F$8-$E$8)),$G$8-SQRT((1-R859)*($G$8-$E$8)*($G$8-$F$8))))</f>
        <v>1.01872311772755</v>
      </c>
      <c r="E859" s="37" t="n">
        <f aca="false">1+IF($G$9=$E$9,$F$9,IF(S859&lt;($F$9-$E$9)/($G$9-$E$9),$E$9+SQRT(S859*($G$9-$E$9)*($F$9-$E$9)),$G$9-SQRT((1-S859)*($G$9-$E$9)*($G$9-$F$9))))</f>
        <v>1.02422440881569</v>
      </c>
      <c r="F859" s="37" t="n">
        <f aca="false">1+IF($G$10=$E$10,$F$10,IF(T859&lt;($F$10-$E$10)/($G$10-$E$10),$E$10+SQRT(T859*($G$10-$E$10)*($F$10-$E$10)),$G$10-SQRT((1-T859)*($G$10-$E$10)*($G$10-$F$10))))</f>
        <v>1.14996788915237</v>
      </c>
      <c r="G859" s="38" t="n">
        <f aca="false">IF($G$11=$E$11,$F$11,IF(U859&lt;($F$11-$E$11)/($G$11-$E$11),$E$11+SQRT(U859*($G$11-$E$11)*($F$11-$E$11)),$G$11-SQRT((1-U859)*($G$11-$E$11)*($G$11-$F$11))))</f>
        <v>0.101043862526414</v>
      </c>
      <c r="H859" s="39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-2299935778.30474</v>
      </c>
      <c r="I859" s="39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3588096.10573858</v>
      </c>
      <c r="J859" s="39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323045320.496739</v>
      </c>
      <c r="K859" s="39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700000939.345358</v>
      </c>
      <c r="L859" s="39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843305099.766647</v>
      </c>
      <c r="M859" s="39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1045806404.03357</v>
      </c>
      <c r="N859" s="39" t="n">
        <f aca="false">IF(COUNT('Business Case'!B11:G11)=0,"",H859+NPV(G859,I859:M859))</f>
        <v>-285678028.578646</v>
      </c>
      <c r="P859" s="40" t="n">
        <f aca="true">RAND()</f>
        <v>0.722989211336074</v>
      </c>
      <c r="Q859" s="40" t="n">
        <f aca="true">RAND()</f>
        <v>0.881753998648495</v>
      </c>
      <c r="R859" s="40" t="n">
        <f aca="true">RAND()</f>
        <v>0.559604560538003</v>
      </c>
      <c r="S859" s="40" t="n">
        <f aca="true">RAND()</f>
        <v>0.57814668432632</v>
      </c>
      <c r="T859" s="40" t="n">
        <f aca="true">RAND()</f>
        <v>0.866581023991572</v>
      </c>
      <c r="U859" s="40" t="n">
        <f aca="true">RAND()</f>
        <v>0.441028068407174</v>
      </c>
    </row>
    <row r="860" customFormat="false" ht="15" hidden="false" customHeight="false" outlineLevel="0" collapsed="false">
      <c r="A860" s="36" t="n">
        <v>780</v>
      </c>
      <c r="B860" s="37" t="n">
        <f aca="false">1+IF($G$6=$E$6,$F$6,IF(P860&lt;($F$6-$E$6)/($G$6-$E$6),$E$6+SQRT(P860*($G$6-$E$6)*($F$6-$E$6)),$G$6-SQRT((1-P860)*($G$6-$E$6)*($G$6-$F$6))))</f>
        <v>1.02223887098147</v>
      </c>
      <c r="C860" s="37" t="n">
        <f aca="false">1+IF($G$7=$E$7,$F$7,IF(Q860&lt;($F$7-$E$7)/($G$7-$E$7),$E$7+SQRT(Q860*($G$7-$E$7)*($F$7-$E$7)),$G$7-SQRT((1-Q860)*($G$7-$E$7)*($G$7-$F$7))))</f>
        <v>0.80241101703584</v>
      </c>
      <c r="D860" s="37" t="n">
        <f aca="false">1+IF($G$8=$E$8,$F$8,IF(R860&lt;($F$8-$E$8)/($G$8-$E$8),$E$8+SQRT(R860*($G$8-$E$8)*($F$8-$E$8)),$G$8-SQRT((1-R860)*($G$8-$E$8)*($G$8-$F$8))))</f>
        <v>1.09203940919498</v>
      </c>
      <c r="E860" s="37" t="n">
        <f aca="false">1+IF($G$9=$E$9,$F$9,IF(S860&lt;($F$9-$E$9)/($G$9-$E$9),$E$9+SQRT(S860*($G$9-$E$9)*($F$9-$E$9)),$G$9-SQRT((1-S860)*($G$9-$E$9)*($G$9-$F$9))))</f>
        <v>1.02654338134215</v>
      </c>
      <c r="F860" s="37" t="n">
        <f aca="false">1+IF($G$10=$E$10,$F$10,IF(T860&lt;($F$10-$E$10)/($G$10-$E$10),$E$10+SQRT(T860*($G$10-$E$10)*($F$10-$E$10)),$G$10-SQRT((1-T860)*($G$10-$E$10)*($G$10-$F$10))))</f>
        <v>0.973126489109276</v>
      </c>
      <c r="G860" s="38" t="n">
        <f aca="false">IF($G$11=$E$11,$F$11,IF(U860&lt;($F$11-$E$11)/($G$11-$E$11),$E$11+SQRT(U860*($G$11-$E$11)*($F$11-$E$11)),$G$11-SQRT((1-U860)*($G$11-$E$11)*($G$11-$F$11))))</f>
        <v>0.100464113380073</v>
      </c>
      <c r="H860" s="39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-1946252978.21855</v>
      </c>
      <c r="I860" s="39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-62537970.6407191</v>
      </c>
      <c r="J860" s="39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160733233.609329</v>
      </c>
      <c r="K860" s="39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432660762.314842</v>
      </c>
      <c r="L860" s="39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535432535.16685</v>
      </c>
      <c r="M860" s="39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691346744.727802</v>
      </c>
      <c r="N860" s="39" t="n">
        <f aca="false">IF(COUNT('Business Case'!B11:G11)=0,"",H860+NPV(G860,I860:M860))</f>
        <v>-752244451.706362</v>
      </c>
      <c r="P860" s="40" t="n">
        <f aca="true">RAND()</f>
        <v>0.897242628748833</v>
      </c>
      <c r="Q860" s="40" t="n">
        <f aca="true">RAND()</f>
        <v>0.077689010446779</v>
      </c>
      <c r="R860" s="40" t="n">
        <f aca="true">RAND()</f>
        <v>0.995775266269002</v>
      </c>
      <c r="S860" s="40" t="n">
        <f aca="true">RAND()</f>
        <v>0.593559021588505</v>
      </c>
      <c r="T860" s="40" t="n">
        <f aca="true">RAND()</f>
        <v>0.0356556332347637</v>
      </c>
      <c r="U860" s="40" t="n">
        <f aca="true">RAND()</f>
        <v>0.418420934383215</v>
      </c>
    </row>
    <row r="861" customFormat="false" ht="15" hidden="false" customHeight="false" outlineLevel="0" collapsed="false">
      <c r="A861" s="36" t="n">
        <v>781</v>
      </c>
      <c r="B861" s="37" t="n">
        <f aca="false">1+IF($G$6=$E$6,$F$6,IF(P861&lt;($F$6-$E$6)/($G$6-$E$6),$E$6+SQRT(P861*($G$6-$E$6)*($F$6-$E$6)),$G$6-SQRT((1-P861)*($G$6-$E$6)*($G$6-$F$6))))</f>
        <v>0.923161134937894</v>
      </c>
      <c r="C861" s="37" t="n">
        <f aca="false">1+IF($G$7=$E$7,$F$7,IF(Q861&lt;($F$7-$E$7)/($G$7-$E$7),$E$7+SQRT(Q861*($G$7-$E$7)*($F$7-$E$7)),$G$7-SQRT((1-Q861)*($G$7-$E$7)*($G$7-$F$7))))</f>
        <v>0.844757357532926</v>
      </c>
      <c r="D861" s="37" t="n">
        <f aca="false">1+IF($G$8=$E$8,$F$8,IF(R861&lt;($F$8-$E$8)/($G$8-$E$8),$E$8+SQRT(R861*($G$8-$E$8)*($F$8-$E$8)),$G$8-SQRT((1-R861)*($G$8-$E$8)*($G$8-$F$8))))</f>
        <v>1.08084355752327</v>
      </c>
      <c r="E861" s="37" t="n">
        <f aca="false">1+IF($G$9=$E$9,$F$9,IF(S861&lt;($F$9-$E$9)/($G$9-$E$9),$E$9+SQRT(S861*($G$9-$E$9)*($F$9-$E$9)),$G$9-SQRT((1-S861)*($G$9-$E$9)*($G$9-$F$9))))</f>
        <v>0.972798980721339</v>
      </c>
      <c r="F861" s="37" t="n">
        <f aca="false">1+IF($G$10=$E$10,$F$10,IF(T861&lt;($F$10-$E$10)/($G$10-$E$10),$E$10+SQRT(T861*($G$10-$E$10)*($F$10-$E$10)),$G$10-SQRT((1-T861)*($G$10-$E$10)*($G$10-$F$10))))</f>
        <v>1.08007532268511</v>
      </c>
      <c r="G861" s="38" t="n">
        <f aca="false">IF($G$11=$E$11,$F$11,IF(U861&lt;($F$11-$E$11)/($G$11-$E$11),$E$11+SQRT(U861*($G$11-$E$11)*($F$11-$E$11)),$G$11-SQRT((1-U861)*($G$11-$E$11)*($G$11-$F$11))))</f>
        <v>0.106617258446202</v>
      </c>
      <c r="H861" s="39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-2160150645.37021</v>
      </c>
      <c r="I861" s="39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-115424686.661399</v>
      </c>
      <c r="J861" s="39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55917450.8267537</v>
      </c>
      <c r="K861" s="39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281263354.449162</v>
      </c>
      <c r="L861" s="39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365328918.160192</v>
      </c>
      <c r="M861" s="39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513562266.50924</v>
      </c>
      <c r="N861" s="39" t="n">
        <f aca="false">IF(COUNT('Business Case'!B11:G11)=0,"",H861+NPV(G861,I861:M861))</f>
        <v>-1458173351.65766</v>
      </c>
      <c r="P861" s="40" t="n">
        <f aca="true">RAND()</f>
        <v>0.0357625447740887</v>
      </c>
      <c r="Q861" s="40" t="n">
        <f aca="true">RAND()</f>
        <v>0.155219944888262</v>
      </c>
      <c r="R861" s="40" t="n">
        <f aca="true">RAND()</f>
        <v>0.975535380775721</v>
      </c>
      <c r="S861" s="40" t="n">
        <f aca="true">RAND()</f>
        <v>0.211987663762637</v>
      </c>
      <c r="T861" s="40" t="n">
        <f aca="true">RAND()</f>
        <v>0.615008053859051</v>
      </c>
      <c r="U861" s="40" t="n">
        <f aca="true">RAND()</f>
        <v>0.635498264952198</v>
      </c>
    </row>
    <row r="862" customFormat="false" ht="15" hidden="false" customHeight="false" outlineLevel="0" collapsed="false">
      <c r="A862" s="36" t="n">
        <v>782</v>
      </c>
      <c r="B862" s="37" t="n">
        <f aca="false">1+IF($G$6=$E$6,$F$6,IF(P862&lt;($F$6-$E$6)/($G$6-$E$6),$E$6+SQRT(P862*($G$6-$E$6)*($F$6-$E$6)),$G$6-SQRT((1-P862)*($G$6-$E$6)*($G$6-$F$6))))</f>
        <v>0.949928925649183</v>
      </c>
      <c r="C862" s="37" t="n">
        <f aca="false">1+IF($G$7=$E$7,$F$7,IF(Q862&lt;($F$7-$E$7)/($G$7-$E$7),$E$7+SQRT(Q862*($G$7-$E$7)*($F$7-$E$7)),$G$7-SQRT((1-Q862)*($G$7-$E$7)*($G$7-$F$7))))</f>
        <v>1.02277822278099</v>
      </c>
      <c r="D862" s="37" t="n">
        <f aca="false">1+IF($G$8=$E$8,$F$8,IF(R862&lt;($F$8-$E$8)/($G$8-$E$8),$E$8+SQRT(R862*($G$8-$E$8)*($F$8-$E$8)),$G$8-SQRT((1-R862)*($G$8-$E$8)*($G$8-$F$8))))</f>
        <v>1.04173574317557</v>
      </c>
      <c r="E862" s="37" t="n">
        <f aca="false">1+IF($G$9=$E$9,$F$9,IF(S862&lt;($F$9-$E$9)/($G$9-$E$9),$E$9+SQRT(S862*($G$9-$E$9)*($F$9-$E$9)),$G$9-SQRT((1-S862)*($G$9-$E$9)*($G$9-$F$9))))</f>
        <v>0.991632621053036</v>
      </c>
      <c r="F862" s="37" t="n">
        <f aca="false">1+IF($G$10=$E$10,$F$10,IF(T862&lt;($F$10-$E$10)/($G$10-$E$10),$E$10+SQRT(T862*($G$10-$E$10)*($F$10-$E$10)),$G$10-SQRT((1-T862)*($G$10-$E$10)*($G$10-$F$10))))</f>
        <v>0.982750570653371</v>
      </c>
      <c r="G862" s="38" t="n">
        <f aca="false">IF($G$11=$E$11,$F$11,IF(U862&lt;($F$11-$E$11)/($G$11-$E$11),$E$11+SQRT(U862*($G$11-$E$11)*($F$11-$E$11)),$G$11-SQRT((1-U862)*($G$11-$E$11)*($G$11-$F$11))))</f>
        <v>0.0956722901730769</v>
      </c>
      <c r="H862" s="39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-1965501141.30674</v>
      </c>
      <c r="I862" s="39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-39300870.4738447</v>
      </c>
      <c r="J862" s="39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211049488.326328</v>
      </c>
      <c r="K862" s="39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510537375.65917</v>
      </c>
      <c r="L862" s="39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627564837.589187</v>
      </c>
      <c r="M862" s="39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812240220.403963</v>
      </c>
      <c r="N862" s="39" t="n">
        <f aca="false">IF(COUNT('Business Case'!B11:G11)=0,"",H862+NPV(G862,I862:M862))</f>
        <v>-487607198.382458</v>
      </c>
      <c r="P862" s="40" t="n">
        <f aca="true">RAND()</f>
        <v>0.166193174432112</v>
      </c>
      <c r="Q862" s="40" t="n">
        <f aca="true">RAND()</f>
        <v>0.760216583722033</v>
      </c>
      <c r="R862" s="40" t="n">
        <f aca="true">RAND()</f>
        <v>0.773685091779782</v>
      </c>
      <c r="S862" s="40" t="n">
        <f aca="true">RAND()</f>
        <v>0.335861489641971</v>
      </c>
      <c r="T862" s="40" t="n">
        <f aca="true">RAND()</f>
        <v>0.0715066585414293</v>
      </c>
      <c r="U862" s="40" t="n">
        <f aca="true">RAND()</f>
        <v>0.245620679269124</v>
      </c>
    </row>
    <row r="863" customFormat="false" ht="15" hidden="false" customHeight="false" outlineLevel="0" collapsed="false">
      <c r="A863" s="36" t="n">
        <v>783</v>
      </c>
      <c r="B863" s="37" t="n">
        <f aca="false">1+IF($G$6=$E$6,$F$6,IF(P863&lt;($F$6-$E$6)/($G$6-$E$6),$E$6+SQRT(P863*($G$6-$E$6)*($F$6-$E$6)),$G$6-SQRT((1-P863)*($G$6-$E$6)*($G$6-$F$6))))</f>
        <v>0.92039017229002</v>
      </c>
      <c r="C863" s="37" t="n">
        <f aca="false">1+IF($G$7=$E$7,$F$7,IF(Q863&lt;($F$7-$E$7)/($G$7-$E$7),$E$7+SQRT(Q863*($G$7-$E$7)*($F$7-$E$7)),$G$7-SQRT((1-Q863)*($G$7-$E$7)*($G$7-$F$7))))</f>
        <v>0.808140480715035</v>
      </c>
      <c r="D863" s="37" t="n">
        <f aca="false">1+IF($G$8=$E$8,$F$8,IF(R863&lt;($F$8-$E$8)/($G$8-$E$8),$E$8+SQRT(R863*($G$8-$E$8)*($F$8-$E$8)),$G$8-SQRT((1-R863)*($G$8-$E$8)*($G$8-$F$8))))</f>
        <v>1.02611897418425</v>
      </c>
      <c r="E863" s="37" t="n">
        <f aca="false">1+IF($G$9=$E$9,$F$9,IF(S863&lt;($F$9-$E$9)/($G$9-$E$9),$E$9+SQRT(S863*($G$9-$E$9)*($F$9-$E$9)),$G$9-SQRT((1-S863)*($G$9-$E$9)*($G$9-$F$9))))</f>
        <v>1.05435623076306</v>
      </c>
      <c r="F863" s="37" t="n">
        <f aca="false">1+IF($G$10=$E$10,$F$10,IF(T863&lt;($F$10-$E$10)/($G$10-$E$10),$E$10+SQRT(T863*($G$10-$E$10)*($F$10-$E$10)),$G$10-SQRT((1-T863)*($G$10-$E$10)*($G$10-$F$10))))</f>
        <v>1.15257494230659</v>
      </c>
      <c r="G863" s="38" t="n">
        <f aca="false">IF($G$11=$E$11,$F$11,IF(U863&lt;($F$11-$E$11)/($G$11-$E$11),$E$11+SQRT(U863*($G$11-$E$11)*($F$11-$E$11)),$G$11-SQRT((1-U863)*($G$11-$E$11)*($G$11-$F$11))))</f>
        <v>0.0985014310651393</v>
      </c>
      <c r="H863" s="39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-2305149884.61317</v>
      </c>
      <c r="I863" s="39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-119025072.965833</v>
      </c>
      <c r="J863" s="39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65695632.5110472</v>
      </c>
      <c r="K863" s="39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308045085.103257</v>
      </c>
      <c r="L863" s="39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395324539.060582</v>
      </c>
      <c r="M863" s="39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536706909.118256</v>
      </c>
      <c r="N863" s="39" t="n">
        <f aca="false">IF(COUNT('Business Case'!B11:G11)=0,"",H863+NPV(G863,I863:M863))</f>
        <v>-1519652181.2711</v>
      </c>
      <c r="P863" s="40" t="n">
        <f aca="true">RAND()</f>
        <v>0.0277172750677798</v>
      </c>
      <c r="Q863" s="40" t="n">
        <f aca="true">RAND()</f>
        <v>0.0866249153279917</v>
      </c>
      <c r="R863" s="40" t="n">
        <f aca="true">RAND()</f>
        <v>0.636106268294135</v>
      </c>
      <c r="S863" s="40" t="n">
        <f aca="true">RAND()</f>
        <v>0.756060517497375</v>
      </c>
      <c r="T863" s="40" t="n">
        <f aca="true">RAND()</f>
        <v>0.873444775112466</v>
      </c>
      <c r="U863" s="40" t="n">
        <f aca="true">RAND()</f>
        <v>0.342302951458102</v>
      </c>
    </row>
    <row r="864" customFormat="false" ht="15" hidden="false" customHeight="false" outlineLevel="0" collapsed="false">
      <c r="A864" s="36" t="n">
        <v>784</v>
      </c>
      <c r="B864" s="37" t="n">
        <f aca="false">1+IF($G$6=$E$6,$F$6,IF(P864&lt;($F$6-$E$6)/($G$6-$E$6),$E$6+SQRT(P864*($G$6-$E$6)*($F$6-$E$6)),$G$6-SQRT((1-P864)*($G$6-$E$6)*($G$6-$F$6))))</f>
        <v>1.02147527094797</v>
      </c>
      <c r="C864" s="37" t="n">
        <f aca="false">1+IF($G$7=$E$7,$F$7,IF(Q864&lt;($F$7-$E$7)/($G$7-$E$7),$E$7+SQRT(Q864*($G$7-$E$7)*($F$7-$E$7)),$G$7-SQRT((1-Q864)*($G$7-$E$7)*($G$7-$F$7))))</f>
        <v>0.88601949638812</v>
      </c>
      <c r="D864" s="37" t="n">
        <f aca="false">1+IF($G$8=$E$8,$F$8,IF(R864&lt;($F$8-$E$8)/($G$8-$E$8),$E$8+SQRT(R864*($G$8-$E$8)*($F$8-$E$8)),$G$8-SQRT((1-R864)*($G$8-$E$8)*($G$8-$F$8))))</f>
        <v>1.01206178904838</v>
      </c>
      <c r="E864" s="37" t="n">
        <f aca="false">1+IF($G$9=$E$9,$F$9,IF(S864&lt;($F$9-$E$9)/($G$9-$E$9),$E$9+SQRT(S864*($G$9-$E$9)*($F$9-$E$9)),$G$9-SQRT((1-S864)*($G$9-$E$9)*($G$9-$F$9))))</f>
        <v>1.0450598397513</v>
      </c>
      <c r="F864" s="37" t="n">
        <f aca="false">1+IF($G$10=$E$10,$F$10,IF(T864&lt;($F$10-$E$10)/($G$10-$E$10),$E$10+SQRT(T864*($G$10-$E$10)*($F$10-$E$10)),$G$10-SQRT((1-T864)*($G$10-$E$10)*($G$10-$F$10))))</f>
        <v>1.00199891371496</v>
      </c>
      <c r="G864" s="38" t="n">
        <f aca="false">IF($G$11=$E$11,$F$11,IF(U864&lt;($F$11-$E$11)/($G$11-$E$11),$E$11+SQRT(U864*($G$11-$E$11)*($F$11-$E$11)),$G$11-SQRT((1-U864)*($G$11-$E$11)*($G$11-$F$11))))</f>
        <v>0.102107419795259</v>
      </c>
      <c r="H864" s="39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-2003997827.42992</v>
      </c>
      <c r="I864" s="39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-13468356.2626873</v>
      </c>
      <c r="J864" s="39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268788324.805123</v>
      </c>
      <c r="K864" s="39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601144951.558681</v>
      </c>
      <c r="L864" s="39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726508936.412195</v>
      </c>
      <c r="M864" s="39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898540271.148871</v>
      </c>
      <c r="N864" s="39" t="n">
        <f aca="false">IF(COUNT('Business Case'!B11:G11)=0,"",H864+NPV(G864,I864:M864))</f>
        <v>-300825026.775869</v>
      </c>
      <c r="P864" s="40" t="n">
        <f aca="true">RAND()</f>
        <v>0.891511977667755</v>
      </c>
      <c r="Q864" s="40" t="n">
        <f aca="true">RAND()</f>
        <v>0.256320392862887</v>
      </c>
      <c r="R864" s="40" t="n">
        <f aca="true">RAND()</f>
        <v>0.484458070308543</v>
      </c>
      <c r="S864" s="40" t="n">
        <f aca="true">RAND()</f>
        <v>0.706335007119393</v>
      </c>
      <c r="T864" s="40" t="n">
        <f aca="true">RAND()</f>
        <v>0.179939482685872</v>
      </c>
      <c r="U864" s="40" t="n">
        <f aca="true">RAND()</f>
        <v>0.481335979681391</v>
      </c>
    </row>
    <row r="865" customFormat="false" ht="15" hidden="false" customHeight="false" outlineLevel="0" collapsed="false">
      <c r="A865" s="36" t="n">
        <v>785</v>
      </c>
      <c r="B865" s="37" t="n">
        <f aca="false">1+IF($G$6=$E$6,$F$6,IF(P865&lt;($F$6-$E$6)/($G$6-$E$6),$E$6+SQRT(P865*($G$6-$E$6)*($F$6-$E$6)),$G$6-SQRT((1-P865)*($G$6-$E$6)*($G$6-$F$6))))</f>
        <v>1.00903801833691</v>
      </c>
      <c r="C865" s="37" t="n">
        <f aca="false">1+IF($G$7=$E$7,$F$7,IF(Q865&lt;($F$7-$E$7)/($G$7-$E$7),$E$7+SQRT(Q865*($G$7-$E$7)*($F$7-$E$7)),$G$7-SQRT((1-Q865)*($G$7-$E$7)*($G$7-$F$7))))</f>
        <v>0.928438712664024</v>
      </c>
      <c r="D865" s="37" t="n">
        <f aca="false">1+IF($G$8=$E$8,$F$8,IF(R865&lt;($F$8-$E$8)/($G$8-$E$8),$E$8+SQRT(R865*($G$8-$E$8)*($F$8-$E$8)),$G$8-SQRT((1-R865)*($G$8-$E$8)*($G$8-$F$8))))</f>
        <v>1.01503577550112</v>
      </c>
      <c r="E865" s="37" t="n">
        <f aca="false">1+IF($G$9=$E$9,$F$9,IF(S865&lt;($F$9-$E$9)/($G$9-$E$9),$E$9+SQRT(S865*($G$9-$E$9)*($F$9-$E$9)),$G$9-SQRT((1-S865)*($G$9-$E$9)*($G$9-$F$9))))</f>
        <v>1.02536406111486</v>
      </c>
      <c r="F865" s="37" t="n">
        <f aca="false">1+IF($G$10=$E$10,$F$10,IF(T865&lt;($F$10-$E$10)/($G$10-$E$10),$E$10+SQRT(T865*($G$10-$E$10)*($F$10-$E$10)),$G$10-SQRT((1-T865)*($G$10-$E$10)*($G$10-$F$10))))</f>
        <v>1.10296507926371</v>
      </c>
      <c r="G865" s="38" t="n">
        <f aca="false">IF($G$11=$E$11,$F$11,IF(U865&lt;($F$11-$E$11)/($G$11-$E$11),$E$11+SQRT(U865*($G$11-$E$11)*($F$11-$E$11)),$G$11-SQRT((1-U865)*($G$11-$E$11)*($G$11-$F$11))))</f>
        <v>0.095354392328196</v>
      </c>
      <c r="H865" s="39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-2205930158.52741</v>
      </c>
      <c r="I865" s="39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-19769999.0679518</v>
      </c>
      <c r="J865" s="39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265128544.343833</v>
      </c>
      <c r="K865" s="39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605175341.718804</v>
      </c>
      <c r="L865" s="39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732518366.231287</v>
      </c>
      <c r="M865" s="39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910591004.795007</v>
      </c>
      <c r="N865" s="39" t="n">
        <f aca="false">IF(COUNT('Business Case'!B11:G11)=0,"",H865+NPV(G865,I865:M865))</f>
        <v>-456155845.820764</v>
      </c>
      <c r="P865" s="40" t="n">
        <f aca="true">RAND()</f>
        <v>0.776282141097669</v>
      </c>
      <c r="Q865" s="40" t="n">
        <f aca="true">RAND()</f>
        <v>0.386549966248863</v>
      </c>
      <c r="R865" s="40" t="n">
        <f aca="true">RAND()</f>
        <v>0.518738703686977</v>
      </c>
      <c r="S865" s="40" t="n">
        <f aca="true">RAND()</f>
        <v>0.585756873019223</v>
      </c>
      <c r="T865" s="40" t="n">
        <f aca="true">RAND()</f>
        <v>0.711743094454289</v>
      </c>
      <c r="U865" s="40" t="n">
        <f aca="true">RAND()</f>
        <v>0.235757363768163</v>
      </c>
    </row>
    <row r="866" customFormat="false" ht="15" hidden="false" customHeight="false" outlineLevel="0" collapsed="false">
      <c r="A866" s="36" t="n">
        <v>786</v>
      </c>
      <c r="B866" s="37" t="n">
        <f aca="false">1+IF($G$6=$E$6,$F$6,IF(P866&lt;($F$6-$E$6)/($G$6-$E$6),$E$6+SQRT(P866*($G$6-$E$6)*($F$6-$E$6)),$G$6-SQRT((1-P866)*($G$6-$E$6)*($G$6-$F$6))))</f>
        <v>0.995195930682658</v>
      </c>
      <c r="C866" s="37" t="n">
        <f aca="false">1+IF($G$7=$E$7,$F$7,IF(Q866&lt;($F$7-$E$7)/($G$7-$E$7),$E$7+SQRT(Q866*($G$7-$E$7)*($F$7-$E$7)),$G$7-SQRT((1-Q866)*($G$7-$E$7)*($G$7-$F$7))))</f>
        <v>0.919165704104924</v>
      </c>
      <c r="D866" s="37" t="n">
        <f aca="false">1+IF($G$8=$E$8,$F$8,IF(R866&lt;($F$8-$E$8)/($G$8-$E$8),$E$8+SQRT(R866*($G$8-$E$8)*($F$8-$E$8)),$G$8-SQRT((1-R866)*($G$8-$E$8)*($G$8-$F$8))))</f>
        <v>1.01060060461317</v>
      </c>
      <c r="E866" s="37" t="n">
        <f aca="false">1+IF($G$9=$E$9,$F$9,IF(S866&lt;($F$9-$E$9)/($G$9-$E$9),$E$9+SQRT(S866*($G$9-$E$9)*($F$9-$E$9)),$G$9-SQRT((1-S866)*($G$9-$E$9)*($G$9-$F$9))))</f>
        <v>0.91543582600096</v>
      </c>
      <c r="F866" s="37" t="n">
        <f aca="false">1+IF($G$10=$E$10,$F$10,IF(T866&lt;($F$10-$E$10)/($G$10-$E$10),$E$10+SQRT(T866*($G$10-$E$10)*($F$10-$E$10)),$G$10-SQRT((1-T866)*($G$10-$E$10)*($G$10-$F$10))))</f>
        <v>1.01082050763985</v>
      </c>
      <c r="G866" s="38" t="n">
        <f aca="false">IF($G$11=$E$11,$F$11,IF(U866&lt;($F$11-$E$11)/($G$11-$E$11),$E$11+SQRT(U866*($G$11-$E$11)*($F$11-$E$11)),$G$11-SQRT((1-U866)*($G$11-$E$11)*($G$11-$F$11))))</f>
        <v>0.104675343931075</v>
      </c>
      <c r="H866" s="39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-2021641015.27969</v>
      </c>
      <c r="I866" s="39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-4958885.90199064</v>
      </c>
      <c r="J866" s="39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268759891.776515</v>
      </c>
      <c r="K866" s="39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593019694.837012</v>
      </c>
      <c r="L866" s="39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715873046.302631</v>
      </c>
      <c r="M866" s="39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889748720.286272</v>
      </c>
      <c r="N866" s="39" t="n">
        <f aca="false">IF(COUNT('Business Case'!B11:G11)=0,"",H866+NPV(G866,I866:M866))</f>
        <v>-344382042.253829</v>
      </c>
      <c r="P866" s="40" t="n">
        <f aca="true">RAND()</f>
        <v>0.604151014569161</v>
      </c>
      <c r="Q866" s="40" t="n">
        <f aca="true">RAND()</f>
        <v>0.355804487820794</v>
      </c>
      <c r="R866" s="40" t="n">
        <f aca="true">RAND()</f>
        <v>0.467183206964651</v>
      </c>
      <c r="S866" s="40" t="n">
        <f aca="true">RAND()</f>
        <v>0.00953058897327697</v>
      </c>
      <c r="T866" s="40" t="n">
        <f aca="true">RAND()</f>
        <v>0.237242272457857</v>
      </c>
      <c r="U866" s="40" t="n">
        <f aca="true">RAND()</f>
        <v>0.572441196660446</v>
      </c>
    </row>
    <row r="867" customFormat="false" ht="15" hidden="false" customHeight="false" outlineLevel="0" collapsed="false">
      <c r="A867" s="36" t="n">
        <v>787</v>
      </c>
      <c r="B867" s="37" t="n">
        <f aca="false">1+IF($G$6=$E$6,$F$6,IF(P867&lt;($F$6-$E$6)/($G$6-$E$6),$E$6+SQRT(P867*($G$6-$E$6)*($F$6-$E$6)),$G$6-SQRT((1-P867)*($G$6-$E$6)*($G$6-$F$6))))</f>
        <v>1.01635770706712</v>
      </c>
      <c r="C867" s="37" t="n">
        <f aca="false">1+IF($G$7=$E$7,$F$7,IF(Q867&lt;($F$7-$E$7)/($G$7-$E$7),$E$7+SQRT(Q867*($G$7-$E$7)*($F$7-$E$7)),$G$7-SQRT((1-Q867)*($G$7-$E$7)*($G$7-$F$7))))</f>
        <v>1.09552744929869</v>
      </c>
      <c r="D867" s="37" t="n">
        <f aca="false">1+IF($G$8=$E$8,$F$8,IF(R867&lt;($F$8-$E$8)/($G$8-$E$8),$E$8+SQRT(R867*($G$8-$E$8)*($F$8-$E$8)),$G$8-SQRT((1-R867)*($G$8-$E$8)*($G$8-$F$8))))</f>
        <v>1.00331472744662</v>
      </c>
      <c r="E867" s="37" t="n">
        <f aca="false">1+IF($G$9=$E$9,$F$9,IF(S867&lt;($F$9-$E$9)/($G$9-$E$9),$E$9+SQRT(S867*($G$9-$E$9)*($F$9-$E$9)),$G$9-SQRT((1-S867)*($G$9-$E$9)*($G$9-$F$9))))</f>
        <v>1.02535603181623</v>
      </c>
      <c r="F867" s="37" t="n">
        <f aca="false">1+IF($G$10=$E$10,$F$10,IF(T867&lt;($F$10-$E$10)/($G$10-$E$10),$E$10+SQRT(T867*($G$10-$E$10)*($F$10-$E$10)),$G$10-SQRT((1-T867)*($G$10-$E$10)*($G$10-$F$10))))</f>
        <v>1.0347289402652</v>
      </c>
      <c r="G867" s="38" t="n">
        <f aca="false">IF($G$11=$E$11,$F$11,IF(U867&lt;($F$11-$E$11)/($G$11-$E$11),$E$11+SQRT(U867*($G$11-$E$11)*($F$11-$E$11)),$G$11-SQRT((1-U867)*($G$11-$E$11)*($G$11-$F$11))))</f>
        <v>0.115172927555986</v>
      </c>
      <c r="H867" s="39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-2069457880.5304</v>
      </c>
      <c r="I867" s="39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42312849.6723075</v>
      </c>
      <c r="J867" s="39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391625353.30549</v>
      </c>
      <c r="K867" s="39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792674303.951933</v>
      </c>
      <c r="L867" s="39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947592559.969719</v>
      </c>
      <c r="M867" s="39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1159236711.40671</v>
      </c>
      <c r="N867" s="39" t="n">
        <f aca="false">IF(COUNT('Business Case'!B11:G11)=0,"",H867+NPV(G867,I867:M867))</f>
        <v>139812110.886879</v>
      </c>
      <c r="P867" s="40" t="n">
        <f aca="true">RAND()</f>
        <v>0.849092816829079</v>
      </c>
      <c r="Q867" s="40" t="n">
        <f aca="true">RAND()</f>
        <v>0.95604061066804</v>
      </c>
      <c r="R867" s="40" t="n">
        <f aca="true">RAND()</f>
        <v>0.376797204751902</v>
      </c>
      <c r="S867" s="40" t="n">
        <f aca="true">RAND()</f>
        <v>0.585703498544067</v>
      </c>
      <c r="T867" s="40" t="n">
        <f aca="true">RAND()</f>
        <v>0.382111611208746</v>
      </c>
      <c r="U867" s="40" t="n">
        <f aca="true">RAND()</f>
        <v>0.853438615159975</v>
      </c>
    </row>
    <row r="868" customFormat="false" ht="15" hidden="false" customHeight="false" outlineLevel="0" collapsed="false">
      <c r="A868" s="36" t="n">
        <v>788</v>
      </c>
      <c r="B868" s="37" t="n">
        <f aca="false">1+IF($G$6=$E$6,$F$6,IF(P868&lt;($F$6-$E$6)/($G$6-$E$6),$E$6+SQRT(P868*($G$6-$E$6)*($F$6-$E$6)),$G$6-SQRT((1-P868)*($G$6-$E$6)*($G$6-$F$6))))</f>
        <v>0.966419945531601</v>
      </c>
      <c r="C868" s="37" t="n">
        <f aca="false">1+IF($G$7=$E$7,$F$7,IF(Q868&lt;($F$7-$E$7)/($G$7-$E$7),$E$7+SQRT(Q868*($G$7-$E$7)*($F$7-$E$7)),$G$7-SQRT((1-Q868)*($G$7-$E$7)*($G$7-$F$7))))</f>
        <v>0.928311859626482</v>
      </c>
      <c r="D868" s="37" t="n">
        <f aca="false">1+IF($G$8=$E$8,$F$8,IF(R868&lt;($F$8-$E$8)/($G$8-$E$8),$E$8+SQRT(R868*($G$8-$E$8)*($F$8-$E$8)),$G$8-SQRT((1-R868)*($G$8-$E$8)*($G$8-$F$8))))</f>
        <v>1.00868404576901</v>
      </c>
      <c r="E868" s="37" t="n">
        <f aca="false">1+IF($G$9=$E$9,$F$9,IF(S868&lt;($F$9-$E$9)/($G$9-$E$9),$E$9+SQRT(S868*($G$9-$E$9)*($F$9-$E$9)),$G$9-SQRT((1-S868)*($G$9-$E$9)*($G$9-$F$9))))</f>
        <v>0.950958365621379</v>
      </c>
      <c r="F868" s="37" t="n">
        <f aca="false">1+IF($G$10=$E$10,$F$10,IF(T868&lt;($F$10-$E$10)/($G$10-$E$10),$E$10+SQRT(T868*($G$10-$E$10)*($F$10-$E$10)),$G$10-SQRT((1-T868)*($G$10-$E$10)*($G$10-$F$10))))</f>
        <v>1.03217552317412</v>
      </c>
      <c r="G868" s="38" t="n">
        <f aca="false">IF($G$11=$E$11,$F$11,IF(U868&lt;($F$11-$E$11)/($G$11-$E$11),$E$11+SQRT(U868*($G$11-$E$11)*($F$11-$E$11)),$G$11-SQRT((1-U868)*($G$11-$E$11)*($G$11-$F$11))))</f>
        <v>0.109956758715674</v>
      </c>
      <c r="H868" s="39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-2064351046.34825</v>
      </c>
      <c r="I868" s="39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-29478260.0103594</v>
      </c>
      <c r="J868" s="39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225995002.667024</v>
      </c>
      <c r="K868" s="39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533077041.503115</v>
      </c>
      <c r="L868" s="39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649239922.91489</v>
      </c>
      <c r="M868" s="39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819768122.437782</v>
      </c>
      <c r="N868" s="39" t="n">
        <f aca="false">IF(COUNT('Business Case'!B11:G11)=0,"",H868+NPV(G868,I868:M868))</f>
        <v>-603316924.504202</v>
      </c>
      <c r="P868" s="40" t="n">
        <f aca="true">RAND()</f>
        <v>0.294107277628054</v>
      </c>
      <c r="Q868" s="40" t="n">
        <f aca="true">RAND()</f>
        <v>0.38612077960076</v>
      </c>
      <c r="R868" s="40" t="n">
        <f aca="true">RAND()</f>
        <v>0.444093100192241</v>
      </c>
      <c r="S868" s="40" t="n">
        <f aca="true">RAND()</f>
        <v>0.103870201072087</v>
      </c>
      <c r="T868" s="40" t="n">
        <f aca="true">RAND()</f>
        <v>0.36736663060711</v>
      </c>
      <c r="U868" s="40" t="n">
        <f aca="true">RAND()</f>
        <v>0.73217898587887</v>
      </c>
    </row>
    <row r="869" customFormat="false" ht="15" hidden="false" customHeight="false" outlineLevel="0" collapsed="false">
      <c r="A869" s="36" t="n">
        <v>789</v>
      </c>
      <c r="B869" s="37" t="n">
        <f aca="false">1+IF($G$6=$E$6,$F$6,IF(P869&lt;($F$6-$E$6)/($G$6-$E$6),$E$6+SQRT(P869*($G$6-$E$6)*($F$6-$E$6)),$G$6-SQRT((1-P869)*($G$6-$E$6)*($G$6-$F$6))))</f>
        <v>1.01275536368443</v>
      </c>
      <c r="C869" s="37" t="n">
        <f aca="false">1+IF($G$7=$E$7,$F$7,IF(Q869&lt;($F$7-$E$7)/($G$7-$E$7),$E$7+SQRT(Q869*($G$7-$E$7)*($F$7-$E$7)),$G$7-SQRT((1-Q869)*($G$7-$E$7)*($G$7-$F$7))))</f>
        <v>0.821409467085304</v>
      </c>
      <c r="D869" s="37" t="n">
        <f aca="false">1+IF($G$8=$E$8,$F$8,IF(R869&lt;($F$8-$E$8)/($G$8-$E$8),$E$8+SQRT(R869*($G$8-$E$8)*($F$8-$E$8)),$G$8-SQRT((1-R869)*($G$8-$E$8)*($G$8-$F$8))))</f>
        <v>1.00911295914318</v>
      </c>
      <c r="E869" s="37" t="n">
        <f aca="false">1+IF($G$9=$E$9,$F$9,IF(S869&lt;($F$9-$E$9)/($G$9-$E$9),$E$9+SQRT(S869*($G$9-$E$9)*($F$9-$E$9)),$G$9-SQRT((1-S869)*($G$9-$E$9)*($G$9-$F$9))))</f>
        <v>0.99631700657424</v>
      </c>
      <c r="F869" s="37" t="n">
        <f aca="false">1+IF($G$10=$E$10,$F$10,IF(T869&lt;($F$10-$E$10)/($G$10-$E$10),$E$10+SQRT(T869*($G$10-$E$10)*($F$10-$E$10)),$G$10-SQRT((1-T869)*($G$10-$E$10)*($G$10-$F$10))))</f>
        <v>1.14980086676169</v>
      </c>
      <c r="G869" s="38" t="n">
        <f aca="false">IF($G$11=$E$11,$F$11,IF(U869&lt;($F$11-$E$11)/($G$11-$E$11),$E$11+SQRT(U869*($G$11-$E$11)*($F$11-$E$11)),$G$11-SQRT((1-U869)*($G$11-$E$11)*($G$11-$F$11))))</f>
        <v>0.107168772833552</v>
      </c>
      <c r="H869" s="39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-2299601733.52338</v>
      </c>
      <c r="I869" s="39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-42734054.9040203</v>
      </c>
      <c r="J869" s="39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214313269.173748</v>
      </c>
      <c r="K869" s="39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528850636.589601</v>
      </c>
      <c r="L869" s="39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643283087.262699</v>
      </c>
      <c r="M869" s="39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801408138.488829</v>
      </c>
      <c r="N869" s="39" t="n">
        <f aca="false">IF(COUNT('Business Case'!B11:G11)=0,"",H869+NPV(G869,I869:M869))</f>
        <v>-863891605.572261</v>
      </c>
      <c r="P869" s="40" t="n">
        <f aca="true">RAND()</f>
        <v>0.815044942096134</v>
      </c>
      <c r="Q869" s="40" t="n">
        <f aca="true">RAND()</f>
        <v>0.109187101466204</v>
      </c>
      <c r="R869" s="40" t="n">
        <f aca="true">RAND()</f>
        <v>0.449303053619432</v>
      </c>
      <c r="S869" s="40" t="n">
        <f aca="true">RAND()</f>
        <v>0.371078630216886</v>
      </c>
      <c r="T869" s="40" t="n">
        <f aca="true">RAND()</f>
        <v>0.86613511597722</v>
      </c>
      <c r="U869" s="40" t="n">
        <f aca="true">RAND()</f>
        <v>0.65249004404935</v>
      </c>
    </row>
    <row r="870" customFormat="false" ht="15" hidden="false" customHeight="false" outlineLevel="0" collapsed="false">
      <c r="A870" s="36" t="n">
        <v>790</v>
      </c>
      <c r="B870" s="37" t="n">
        <f aca="false">1+IF($G$6=$E$6,$F$6,IF(P870&lt;($F$6-$E$6)/($G$6-$E$6),$E$6+SQRT(P870*($G$6-$E$6)*($F$6-$E$6)),$G$6-SQRT((1-P870)*($G$6-$E$6)*($G$6-$F$6))))</f>
        <v>0.930365550999728</v>
      </c>
      <c r="C870" s="37" t="n">
        <f aca="false">1+IF($G$7=$E$7,$F$7,IF(Q870&lt;($F$7-$E$7)/($G$7-$E$7),$E$7+SQRT(Q870*($G$7-$E$7)*($F$7-$E$7)),$G$7-SQRT((1-Q870)*($G$7-$E$7)*($G$7-$F$7))))</f>
        <v>1.04481363290519</v>
      </c>
      <c r="D870" s="37" t="n">
        <f aca="false">1+IF($G$8=$E$8,$F$8,IF(R870&lt;($F$8-$E$8)/($G$8-$E$8),$E$8+SQRT(R870*($G$8-$E$8)*($F$8-$E$8)),$G$8-SQRT((1-R870)*($G$8-$E$8)*($G$8-$F$8))))</f>
        <v>1.00920258026966</v>
      </c>
      <c r="E870" s="37" t="n">
        <f aca="false">1+IF($G$9=$E$9,$F$9,IF(S870&lt;($F$9-$E$9)/($G$9-$E$9),$E$9+SQRT(S870*($G$9-$E$9)*($F$9-$E$9)),$G$9-SQRT((1-S870)*($G$9-$E$9)*($G$9-$F$9))))</f>
        <v>0.930895771059615</v>
      </c>
      <c r="F870" s="37" t="n">
        <f aca="false">1+IF($G$10=$E$10,$F$10,IF(T870&lt;($F$10-$E$10)/($G$10-$E$10),$E$10+SQRT(T870*($G$10-$E$10)*($F$10-$E$10)),$G$10-SQRT((1-T870)*($G$10-$E$10)*($G$10-$F$10))))</f>
        <v>0.986256762866492</v>
      </c>
      <c r="G870" s="38" t="n">
        <f aca="false">IF($G$11=$E$11,$F$11,IF(U870&lt;($F$11-$E$11)/($G$11-$E$11),$E$11+SQRT(U870*($G$11-$E$11)*($F$11-$E$11)),$G$11-SQRT((1-U870)*($G$11-$E$11)*($G$11-$F$11))))</f>
        <v>0.108907574786491</v>
      </c>
      <c r="H870" s="39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-1972513525.73298</v>
      </c>
      <c r="I870" s="39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-24987678.6855535</v>
      </c>
      <c r="J870" s="39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231415215.968449</v>
      </c>
      <c r="K870" s="39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537130948.765777</v>
      </c>
      <c r="L870" s="39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656192925.922597</v>
      </c>
      <c r="M870" s="39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840961826.752773</v>
      </c>
      <c r="N870" s="39" t="n">
        <f aca="false">IF(COUNT('Business Case'!B11:G11)=0,"",H870+NPV(G870,I870:M870))</f>
        <v>-477454249.974777</v>
      </c>
      <c r="P870" s="40" t="n">
        <f aca="true">RAND()</f>
        <v>0.0614711125011373</v>
      </c>
      <c r="Q870" s="40" t="n">
        <f aca="true">RAND()</f>
        <v>0.836086343368824</v>
      </c>
      <c r="R870" s="40" t="n">
        <f aca="true">RAND()</f>
        <v>0.450388571354212</v>
      </c>
      <c r="S870" s="40" t="n">
        <f aca="true">RAND()</f>
        <v>0.0381819467747256</v>
      </c>
      <c r="T870" s="40" t="n">
        <f aca="true">RAND()</f>
        <v>0.0876368569038043</v>
      </c>
      <c r="U870" s="40" t="n">
        <f aca="true">RAND()</f>
        <v>0.703406399075022</v>
      </c>
    </row>
    <row r="871" customFormat="false" ht="15" hidden="false" customHeight="false" outlineLevel="0" collapsed="false">
      <c r="A871" s="36" t="n">
        <v>791</v>
      </c>
      <c r="B871" s="37" t="n">
        <f aca="false">1+IF($G$6=$E$6,$F$6,IF(P871&lt;($F$6-$E$6)/($G$6-$E$6),$E$6+SQRT(P871*($G$6-$E$6)*($F$6-$E$6)),$G$6-SQRT((1-P871)*($G$6-$E$6)*($G$6-$F$6))))</f>
        <v>0.986281768134991</v>
      </c>
      <c r="C871" s="37" t="n">
        <f aca="false">1+IF($G$7=$E$7,$F$7,IF(Q871&lt;($F$7-$E$7)/($G$7-$E$7),$E$7+SQRT(Q871*($G$7-$E$7)*($F$7-$E$7)),$G$7-SQRT((1-Q871)*($G$7-$E$7)*($G$7-$F$7))))</f>
        <v>0.969744725508401</v>
      </c>
      <c r="D871" s="37" t="n">
        <f aca="false">1+IF($G$8=$E$8,$F$8,IF(R871&lt;($F$8-$E$8)/($G$8-$E$8),$E$8+SQRT(R871*($G$8-$E$8)*($F$8-$E$8)),$G$8-SQRT((1-R871)*($G$8-$E$8)*($G$8-$F$8))))</f>
        <v>1.01232021217485</v>
      </c>
      <c r="E871" s="37" t="n">
        <f aca="false">1+IF($G$9=$E$9,$F$9,IF(S871&lt;($F$9-$E$9)/($G$9-$E$9),$E$9+SQRT(S871*($G$9-$E$9)*($F$9-$E$9)),$G$9-SQRT((1-S871)*($G$9-$E$9)*($G$9-$F$9))))</f>
        <v>1.04147342145957</v>
      </c>
      <c r="F871" s="37" t="n">
        <f aca="false">1+IF($G$10=$E$10,$F$10,IF(T871&lt;($F$10-$E$10)/($G$10-$E$10),$E$10+SQRT(T871*($G$10-$E$10)*($F$10-$E$10)),$G$10-SQRT((1-T871)*($G$10-$E$10)*($G$10-$F$10))))</f>
        <v>0.995816764041172</v>
      </c>
      <c r="G871" s="38" t="n">
        <f aca="false">IF($G$11=$E$11,$F$11,IF(U871&lt;($F$11-$E$11)/($G$11-$E$11),$E$11+SQRT(U871*($G$11-$E$11)*($F$11-$E$11)),$G$11-SQRT((1-U871)*($G$11-$E$11)*($G$11-$F$11))))</f>
        <v>0.0922690258248177</v>
      </c>
      <c r="H871" s="39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-1991633528.08234</v>
      </c>
      <c r="I871" s="39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-16414503.3910955</v>
      </c>
      <c r="J871" s="39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264432119.717403</v>
      </c>
      <c r="K871" s="39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595069581.027961</v>
      </c>
      <c r="L871" s="39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721739741.773412</v>
      </c>
      <c r="M871" s="39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903540150.174474</v>
      </c>
      <c r="N871" s="39" t="n">
        <f aca="false">IF(COUNT('Business Case'!B11:G11)=0,"",H871+NPV(G871,I871:M871))</f>
        <v>-240144592.196854</v>
      </c>
      <c r="P871" s="40" t="n">
        <f aca="true">RAND()</f>
        <v>0.496302900833361</v>
      </c>
      <c r="Q871" s="40" t="n">
        <f aca="true">RAND()</f>
        <v>0.538979384737798</v>
      </c>
      <c r="R871" s="40" t="n">
        <f aca="true">RAND()</f>
        <v>0.487483653795744</v>
      </c>
      <c r="S871" s="40" t="n">
        <f aca="true">RAND()</f>
        <v>0.685919513341553</v>
      </c>
      <c r="T871" s="40" t="n">
        <f aca="true">RAND()</f>
        <v>0.139945057813626</v>
      </c>
      <c r="U871" s="40" t="n">
        <f aca="true">RAND()</f>
        <v>0.150528994690044</v>
      </c>
    </row>
    <row r="872" customFormat="false" ht="15" hidden="false" customHeight="false" outlineLevel="0" collapsed="false">
      <c r="A872" s="36" t="n">
        <v>792</v>
      </c>
      <c r="B872" s="37" t="n">
        <f aca="false">1+IF($G$6=$E$6,$F$6,IF(P872&lt;($F$6-$E$6)/($G$6-$E$6),$E$6+SQRT(P872*($G$6-$E$6)*($F$6-$E$6)),$G$6-SQRT((1-P872)*($G$6-$E$6)*($G$6-$F$6))))</f>
        <v>1.02213373558562</v>
      </c>
      <c r="C872" s="37" t="n">
        <f aca="false">1+IF($G$7=$E$7,$F$7,IF(Q872&lt;($F$7-$E$7)/($G$7-$E$7),$E$7+SQRT(Q872*($G$7-$E$7)*($F$7-$E$7)),$G$7-SQRT((1-Q872)*($G$7-$E$7)*($G$7-$F$7))))</f>
        <v>0.795204462094572</v>
      </c>
      <c r="D872" s="37" t="n">
        <f aca="false">1+IF($G$8=$E$8,$F$8,IF(R872&lt;($F$8-$E$8)/($G$8-$E$8),$E$8+SQRT(R872*($G$8-$E$8)*($F$8-$E$8)),$G$8-SQRT((1-R872)*($G$8-$E$8)*($G$8-$F$8))))</f>
        <v>1.0094092012978</v>
      </c>
      <c r="E872" s="37" t="n">
        <f aca="false">1+IF($G$9=$E$9,$F$9,IF(S872&lt;($F$9-$E$9)/($G$9-$E$9),$E$9+SQRT(S872*($G$9-$E$9)*($F$9-$E$9)),$G$9-SQRT((1-S872)*($G$9-$E$9)*($G$9-$F$9))))</f>
        <v>1.00055736297411</v>
      </c>
      <c r="F872" s="37" t="n">
        <f aca="false">1+IF($G$10=$E$10,$F$10,IF(T872&lt;($F$10-$E$10)/($G$10-$E$10),$E$10+SQRT(T872*($G$10-$E$10)*($F$10-$E$10)),$G$10-SQRT((1-T872)*($G$10-$E$10)*($G$10-$F$10))))</f>
        <v>0.982759719492718</v>
      </c>
      <c r="G872" s="38" t="n">
        <f aca="false">IF($G$11=$E$11,$F$11,IF(U872&lt;($F$11-$E$11)/($G$11-$E$11),$E$11+SQRT(U872*($G$11-$E$11)*($F$11-$E$11)),$G$11-SQRT((1-U872)*($G$11-$E$11)*($G$11-$F$11))))</f>
        <v>0.0869022901148484</v>
      </c>
      <c r="H872" s="39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-1965519438.98544</v>
      </c>
      <c r="I872" s="39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-27856363.3118535</v>
      </c>
      <c r="J872" s="39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226978329.475844</v>
      </c>
      <c r="K872" s="39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530951008.238178</v>
      </c>
      <c r="L872" s="39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643986457.257652</v>
      </c>
      <c r="M872" s="39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798484490.087308</v>
      </c>
      <c r="N872" s="39" t="n">
        <f aca="false">IF(COUNT('Business Case'!B11:G11)=0,"",H872+NPV(G872,I872:M872))</f>
        <v>-397670746.108703</v>
      </c>
      <c r="P872" s="40" t="n">
        <f aca="true">RAND()</f>
        <v>0.89646284101172</v>
      </c>
      <c r="Q872" s="40" t="n">
        <f aca="true">RAND()</f>
        <v>0.0671399229830877</v>
      </c>
      <c r="R872" s="40" t="n">
        <f aca="true">RAND()</f>
        <v>0.452887146033165</v>
      </c>
      <c r="S872" s="40" t="n">
        <f aca="true">RAND()</f>
        <v>0.404450619699973</v>
      </c>
      <c r="T872" s="40" t="n">
        <f aca="true">RAND()</f>
        <v>0.0715466147494375</v>
      </c>
      <c r="U872" s="40" t="n">
        <f aca="true">RAND()</f>
        <v>0.0476416088295333</v>
      </c>
    </row>
    <row r="873" customFormat="false" ht="15" hidden="false" customHeight="false" outlineLevel="0" collapsed="false">
      <c r="A873" s="36" t="n">
        <v>793</v>
      </c>
      <c r="B873" s="37" t="n">
        <f aca="false">1+IF($G$6=$E$6,$F$6,IF(P873&lt;($F$6-$E$6)/($G$6-$E$6),$E$6+SQRT(P873*($G$6-$E$6)*($F$6-$E$6)),$G$6-SQRT((1-P873)*($G$6-$E$6)*($G$6-$F$6))))</f>
        <v>0.913683413701865</v>
      </c>
      <c r="C873" s="37" t="n">
        <f aca="false">1+IF($G$7=$E$7,$F$7,IF(Q873&lt;($F$7-$E$7)/($G$7-$E$7),$E$7+SQRT(Q873*($G$7-$E$7)*($F$7-$E$7)),$G$7-SQRT((1-Q873)*($G$7-$E$7)*($G$7-$F$7))))</f>
        <v>0.861383734891877</v>
      </c>
      <c r="D873" s="37" t="n">
        <f aca="false">1+IF($G$8=$E$8,$F$8,IF(R873&lt;($F$8-$E$8)/($G$8-$E$8),$E$8+SQRT(R873*($G$8-$E$8)*($F$8-$E$8)),$G$8-SQRT((1-R873)*($G$8-$E$8)*($G$8-$F$8))))</f>
        <v>1.03887092612001</v>
      </c>
      <c r="E873" s="37" t="n">
        <f aca="false">1+IF($G$9=$E$9,$F$9,IF(S873&lt;($F$9-$E$9)/($G$9-$E$9),$E$9+SQRT(S873*($G$9-$E$9)*($F$9-$E$9)),$G$9-SQRT((1-S873)*($G$9-$E$9)*($G$9-$F$9))))</f>
        <v>1.01082733477524</v>
      </c>
      <c r="F873" s="37" t="n">
        <f aca="false">1+IF($G$10=$E$10,$F$10,IF(T873&lt;($F$10-$E$10)/($G$10-$E$10),$E$10+SQRT(T873*($G$10-$E$10)*($F$10-$E$10)),$G$10-SQRT((1-T873)*($G$10-$E$10)*($G$10-$F$10))))</f>
        <v>1.06073533275999</v>
      </c>
      <c r="G873" s="38" t="n">
        <f aca="false">IF($G$11=$E$11,$F$11,IF(U873&lt;($F$11-$E$11)/($G$11-$E$11),$E$11+SQRT(U873*($G$11-$E$11)*($F$11-$E$11)),$G$11-SQRT((1-U873)*($G$11-$E$11)*($G$11-$F$11))))</f>
        <v>0.0997749151582635</v>
      </c>
      <c r="H873" s="39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-2121470665.51998</v>
      </c>
      <c r="I873" s="39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-104077088.868831</v>
      </c>
      <c r="J873" s="39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82458743.0513218</v>
      </c>
      <c r="K873" s="39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322031341.609474</v>
      </c>
      <c r="L873" s="39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411409779.254822</v>
      </c>
      <c r="M873" s="39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561008827.783956</v>
      </c>
      <c r="N873" s="39" t="n">
        <f aca="false">IF(COUNT('Business Case'!B11:G11)=0,"",H873+NPV(G873,I873:M873))</f>
        <v>-1275906965.43961</v>
      </c>
      <c r="P873" s="40" t="n">
        <f aca="true">RAND()</f>
        <v>0.0124823873690922</v>
      </c>
      <c r="Q873" s="40" t="n">
        <f aca="true">RAND()</f>
        <v>0.192923776945569</v>
      </c>
      <c r="R873" s="40" t="n">
        <f aca="true">RAND()</f>
        <v>0.750882421771656</v>
      </c>
      <c r="S873" s="40" t="n">
        <f aca="true">RAND()</f>
        <v>0.483492513446339</v>
      </c>
      <c r="T873" s="40" t="n">
        <f aca="true">RAND()</f>
        <v>0.522385143127033</v>
      </c>
      <c r="U873" s="40" t="n">
        <f aca="true">RAND()</f>
        <v>0.391047269516518</v>
      </c>
    </row>
    <row r="874" customFormat="false" ht="15" hidden="false" customHeight="false" outlineLevel="0" collapsed="false">
      <c r="A874" s="36" t="n">
        <v>794</v>
      </c>
      <c r="B874" s="37" t="n">
        <f aca="false">1+IF($G$6=$E$6,$F$6,IF(P874&lt;($F$6-$E$6)/($G$6-$E$6),$E$6+SQRT(P874*($G$6-$E$6)*($F$6-$E$6)),$G$6-SQRT((1-P874)*($G$6-$E$6)*($G$6-$F$6))))</f>
        <v>0.998350927043975</v>
      </c>
      <c r="C874" s="37" t="n">
        <f aca="false">1+IF($G$7=$E$7,$F$7,IF(Q874&lt;($F$7-$E$7)/($G$7-$E$7),$E$7+SQRT(Q874*($G$7-$E$7)*($F$7-$E$7)),$G$7-SQRT((1-Q874)*($G$7-$E$7)*($G$7-$F$7))))</f>
        <v>1.11996908776755</v>
      </c>
      <c r="D874" s="37" t="n">
        <f aca="false">1+IF($G$8=$E$8,$F$8,IF(R874&lt;($F$8-$E$8)/($G$8-$E$8),$E$8+SQRT(R874*($G$8-$E$8)*($F$8-$E$8)),$G$8-SQRT((1-R874)*($G$8-$E$8)*($G$8-$F$8))))</f>
        <v>1.04507228867461</v>
      </c>
      <c r="E874" s="37" t="n">
        <f aca="false">1+IF($G$9=$E$9,$F$9,IF(S874&lt;($F$9-$E$9)/($G$9-$E$9),$E$9+SQRT(S874*($G$9-$E$9)*($F$9-$E$9)),$G$9-SQRT((1-S874)*($G$9-$E$9)*($G$9-$F$9))))</f>
        <v>0.992497467341797</v>
      </c>
      <c r="F874" s="37" t="n">
        <f aca="false">1+IF($G$10=$E$10,$F$10,IF(T874&lt;($F$10-$E$10)/($G$10-$E$10),$E$10+SQRT(T874*($G$10-$E$10)*($F$10-$E$10)),$G$10-SQRT((1-T874)*($G$10-$E$10)*($G$10-$F$10))))</f>
        <v>1.07700630506442</v>
      </c>
      <c r="G874" s="38" t="n">
        <f aca="false">IF($G$11=$E$11,$F$11,IF(U874&lt;($F$11-$E$11)/($G$11-$E$11),$E$11+SQRT(U874*($G$11-$E$11)*($F$11-$E$11)),$G$11-SQRT((1-U874)*($G$11-$E$11)*($G$11-$F$11))))</f>
        <v>0.112547190160427</v>
      </c>
      <c r="H874" s="39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-2154012610.12884</v>
      </c>
      <c r="I874" s="39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9849266.86721362</v>
      </c>
      <c r="J874" s="39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326495757.754281</v>
      </c>
      <c r="K874" s="39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696992563.894569</v>
      </c>
      <c r="L874" s="39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841183696.62853</v>
      </c>
      <c r="M874" s="39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1053716360.03902</v>
      </c>
      <c r="N874" s="39" t="n">
        <f aca="false">IF(COUNT('Business Case'!B11:G11)=0,"",H874+NPV(G874,I874:M874))</f>
        <v>-207977787.313853</v>
      </c>
      <c r="P874" s="40" t="n">
        <f aca="true">RAND()</f>
        <v>0.644860323360614</v>
      </c>
      <c r="Q874" s="40" t="n">
        <f aca="true">RAND()</f>
        <v>0.986639174970175</v>
      </c>
      <c r="R874" s="40" t="n">
        <f aca="true">RAND()</f>
        <v>0.798863101903612</v>
      </c>
      <c r="S874" s="40" t="n">
        <f aca="true">RAND()</f>
        <v>0.342231258585873</v>
      </c>
      <c r="T874" s="40" t="n">
        <f aca="true">RAND()</f>
        <v>0.600975753500478</v>
      </c>
      <c r="U874" s="40" t="n">
        <f aca="true">RAND()</f>
        <v>0.79693295246913</v>
      </c>
    </row>
    <row r="875" customFormat="false" ht="15" hidden="false" customHeight="false" outlineLevel="0" collapsed="false">
      <c r="A875" s="36" t="n">
        <v>795</v>
      </c>
      <c r="B875" s="37" t="n">
        <f aca="false">1+IF($G$6=$E$6,$F$6,IF(P875&lt;($F$6-$E$6)/($G$6-$E$6),$E$6+SQRT(P875*($G$6-$E$6)*($F$6-$E$6)),$G$6-SQRT((1-P875)*($G$6-$E$6)*($G$6-$F$6))))</f>
        <v>0.981919322632173</v>
      </c>
      <c r="C875" s="37" t="n">
        <f aca="false">1+IF($G$7=$E$7,$F$7,IF(Q875&lt;($F$7-$E$7)/($G$7-$E$7),$E$7+SQRT(Q875*($G$7-$E$7)*($F$7-$E$7)),$G$7-SQRT((1-Q875)*($G$7-$E$7)*($G$7-$F$7))))</f>
        <v>0.926048663352349</v>
      </c>
      <c r="D875" s="37" t="n">
        <f aca="false">1+IF($G$8=$E$8,$F$8,IF(R875&lt;($F$8-$E$8)/($G$8-$E$8),$E$8+SQRT(R875*($G$8-$E$8)*($F$8-$E$8)),$G$8-SQRT((1-R875)*($G$8-$E$8)*($G$8-$F$8))))</f>
        <v>0.985145053527238</v>
      </c>
      <c r="E875" s="37" t="n">
        <f aca="false">1+IF($G$9=$E$9,$F$9,IF(S875&lt;($F$9-$E$9)/($G$9-$E$9),$E$9+SQRT(S875*($G$9-$E$9)*($F$9-$E$9)),$G$9-SQRT((1-S875)*($G$9-$E$9)*($G$9-$F$9))))</f>
        <v>0.987910929487868</v>
      </c>
      <c r="F875" s="37" t="n">
        <f aca="false">1+IF($G$10=$E$10,$F$10,IF(T875&lt;($F$10-$E$10)/($G$10-$E$10),$E$10+SQRT(T875*($G$10-$E$10)*($F$10-$E$10)),$G$10-SQRT((1-T875)*($G$10-$E$10)*($G$10-$F$10))))</f>
        <v>1.03119972366151</v>
      </c>
      <c r="G875" s="38" t="n">
        <f aca="false">IF($G$11=$E$11,$F$11,IF(U875&lt;($F$11-$E$11)/($G$11-$E$11),$E$11+SQRT(U875*($G$11-$E$11)*($F$11-$E$11)),$G$11-SQRT((1-U875)*($G$11-$E$11)*($G$11-$F$11))))</f>
        <v>0.082645192392605</v>
      </c>
      <c r="H875" s="39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-2062399447.32303</v>
      </c>
      <c r="I875" s="39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-12973608.0360363</v>
      </c>
      <c r="J875" s="39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264792065.61971</v>
      </c>
      <c r="K875" s="39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594117725.458532</v>
      </c>
      <c r="L875" s="39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718131866.778751</v>
      </c>
      <c r="M875" s="39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890972575.67109</v>
      </c>
      <c r="N875" s="39" t="n">
        <f aca="false">IF(COUNT('Business Case'!B11:G11)=0,"",H875+NPV(G875,I875:M875))</f>
        <v>-258575005.276421</v>
      </c>
      <c r="P875" s="40" t="n">
        <f aca="true">RAND()</f>
        <v>0.447385028034264</v>
      </c>
      <c r="Q875" s="40" t="n">
        <f aca="true">RAND()</f>
        <v>0.378503690395434</v>
      </c>
      <c r="R875" s="40" t="n">
        <f aca="true">RAND()</f>
        <v>0.164689971657655</v>
      </c>
      <c r="S875" s="40" t="n">
        <f aca="true">RAND()</f>
        <v>0.309133260936835</v>
      </c>
      <c r="T875" s="40" t="n">
        <f aca="true">RAND()</f>
        <v>0.361685854322698</v>
      </c>
      <c r="U875" s="40" t="n">
        <f aca="true">RAND()</f>
        <v>0.00699704279389549</v>
      </c>
    </row>
    <row r="876" customFormat="false" ht="15" hidden="false" customHeight="false" outlineLevel="0" collapsed="false">
      <c r="A876" s="36" t="n">
        <v>796</v>
      </c>
      <c r="B876" s="37" t="n">
        <f aca="false">1+IF($G$6=$E$6,$F$6,IF(P876&lt;($F$6-$E$6)/($G$6-$E$6),$E$6+SQRT(P876*($G$6-$E$6)*($F$6-$E$6)),$G$6-SQRT((1-P876)*($G$6-$E$6)*($G$6-$F$6))))</f>
        <v>0.992661118289399</v>
      </c>
      <c r="C876" s="37" t="n">
        <f aca="false">1+IF($G$7=$E$7,$F$7,IF(Q876&lt;($F$7-$E$7)/($G$7-$E$7),$E$7+SQRT(Q876*($G$7-$E$7)*($F$7-$E$7)),$G$7-SQRT((1-Q876)*($G$7-$E$7)*($G$7-$F$7))))</f>
        <v>0.927753374472909</v>
      </c>
      <c r="D876" s="37" t="n">
        <f aca="false">1+IF($G$8=$E$8,$F$8,IF(R876&lt;($F$8-$E$8)/($G$8-$E$8),$E$8+SQRT(R876*($G$8-$E$8)*($F$8-$E$8)),$G$8-SQRT((1-R876)*($G$8-$E$8)*($G$8-$F$8))))</f>
        <v>1.00067397980633</v>
      </c>
      <c r="E876" s="37" t="n">
        <f aca="false">1+IF($G$9=$E$9,$F$9,IF(S876&lt;($F$9-$E$9)/($G$9-$E$9),$E$9+SQRT(S876*($G$9-$E$9)*($F$9-$E$9)),$G$9-SQRT((1-S876)*($G$9-$E$9)*($G$9-$F$9))))</f>
        <v>1.09475987452444</v>
      </c>
      <c r="F876" s="37" t="n">
        <f aca="false">1+IF($G$10=$E$10,$F$10,IF(T876&lt;($F$10-$E$10)/($G$10-$E$10),$E$10+SQRT(T876*($G$10-$E$10)*($F$10-$E$10)),$G$10-SQRT((1-T876)*($G$10-$E$10)*($G$10-$F$10))))</f>
        <v>1.10751383808552</v>
      </c>
      <c r="G876" s="38" t="n">
        <f aca="false">IF($G$11=$E$11,$F$11,IF(U876&lt;($F$11-$E$11)/($G$11-$E$11),$E$11+SQRT(U876*($G$11-$E$11)*($F$11-$E$11)),$G$11-SQRT((1-U876)*($G$11-$E$11)*($G$11-$F$11))))</f>
        <v>0.117474929091645</v>
      </c>
      <c r="H876" s="39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-2215027676.17103</v>
      </c>
      <c r="I876" s="39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-35103596.6083246</v>
      </c>
      <c r="J876" s="39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243960818.11138</v>
      </c>
      <c r="K876" s="39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578400924.735361</v>
      </c>
      <c r="L876" s="39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703250245.216664</v>
      </c>
      <c r="M876" s="39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878303414.211038</v>
      </c>
      <c r="N876" s="39" t="n">
        <f aca="false">IF(COUNT('Business Case'!B11:G11)=0,"",H876+NPV(G876,I876:M876))</f>
        <v>-681574892.099878</v>
      </c>
      <c r="P876" s="40" t="n">
        <f aca="true">RAND()</f>
        <v>0.572405522842799</v>
      </c>
      <c r="Q876" s="40" t="n">
        <f aca="true">RAND()</f>
        <v>0.38423407099109</v>
      </c>
      <c r="R876" s="40" t="n">
        <f aca="true">RAND()</f>
        <v>0.342289447499053</v>
      </c>
      <c r="S876" s="40" t="n">
        <f aca="true">RAND()</f>
        <v>0.918627427665191</v>
      </c>
      <c r="T876" s="40" t="n">
        <f aca="true">RAND()</f>
        <v>0.729302582171724</v>
      </c>
      <c r="U876" s="40" t="n">
        <f aca="true">RAND()</f>
        <v>0.89541506582712</v>
      </c>
    </row>
    <row r="877" customFormat="false" ht="15" hidden="false" customHeight="false" outlineLevel="0" collapsed="false">
      <c r="A877" s="36" t="n">
        <v>797</v>
      </c>
      <c r="B877" s="37" t="n">
        <f aca="false">1+IF($G$6=$E$6,$F$6,IF(P877&lt;($F$6-$E$6)/($G$6-$E$6),$E$6+SQRT(P877*($G$6-$E$6)*($F$6-$E$6)),$G$6-SQRT((1-P877)*($G$6-$E$6)*($G$6-$F$6))))</f>
        <v>0.922412315675555</v>
      </c>
      <c r="C877" s="37" t="n">
        <f aca="false">1+IF($G$7=$E$7,$F$7,IF(Q877&lt;($F$7-$E$7)/($G$7-$E$7),$E$7+SQRT(Q877*($G$7-$E$7)*($F$7-$E$7)),$G$7-SQRT((1-Q877)*($G$7-$E$7)*($G$7-$F$7))))</f>
        <v>1.08439601761723</v>
      </c>
      <c r="D877" s="37" t="n">
        <f aca="false">1+IF($G$8=$E$8,$F$8,IF(R877&lt;($F$8-$E$8)/($G$8-$E$8),$E$8+SQRT(R877*($G$8-$E$8)*($F$8-$E$8)),$G$8-SQRT((1-R877)*($G$8-$E$8)*($G$8-$F$8))))</f>
        <v>1.00500271588318</v>
      </c>
      <c r="E877" s="37" t="n">
        <f aca="false">1+IF($G$9=$E$9,$F$9,IF(S877&lt;($F$9-$E$9)/($G$9-$E$9),$E$9+SQRT(S877*($G$9-$E$9)*($F$9-$E$9)),$G$9-SQRT((1-S877)*($G$9-$E$9)*($G$9-$F$9))))</f>
        <v>1.11521068311905</v>
      </c>
      <c r="F877" s="37" t="n">
        <f aca="false">1+IF($G$10=$E$10,$F$10,IF(T877&lt;($F$10-$E$10)/($G$10-$E$10),$E$10+SQRT(T877*($G$10-$E$10)*($F$10-$E$10)),$G$10-SQRT((1-T877)*($G$10-$E$10)*($G$10-$F$10))))</f>
        <v>0.99295884171411</v>
      </c>
      <c r="G877" s="38" t="n">
        <f aca="false">IF($G$11=$E$11,$F$11,IF(U877&lt;($F$11-$E$11)/($G$11-$E$11),$E$11+SQRT(U877*($G$11-$E$11)*($F$11-$E$11)),$G$11-SQRT((1-U877)*($G$11-$E$11)*($G$11-$F$11))))</f>
        <v>0.099428914652396</v>
      </c>
      <c r="H877" s="39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-1985917683.42822</v>
      </c>
      <c r="I877" s="39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-48348314.573147</v>
      </c>
      <c r="J877" s="39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213035705.095393</v>
      </c>
      <c r="K877" s="39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524067666.849639</v>
      </c>
      <c r="L877" s="39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645764667.35965</v>
      </c>
      <c r="M877" s="39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835894134.105722</v>
      </c>
      <c r="N877" s="39" t="n">
        <f aca="false">IF(COUNT('Business Case'!B11:G11)=0,"",H877+NPV(G877,I877:M877))</f>
        <v>-496937327.06043</v>
      </c>
      <c r="P877" s="40" t="n">
        <f aca="true">RAND()</f>
        <v>0.0334874595960476</v>
      </c>
      <c r="Q877" s="40" t="n">
        <f aca="true">RAND()</f>
        <v>0.936238777711421</v>
      </c>
      <c r="R877" s="40" t="n">
        <f aca="true">RAND()</f>
        <v>0.398367734028514</v>
      </c>
      <c r="S877" s="40" t="n">
        <f aca="true">RAND()</f>
        <v>0.967725424825516</v>
      </c>
      <c r="T877" s="40" t="n">
        <f aca="true">RAND()</f>
        <v>0.123030805427864</v>
      </c>
      <c r="U877" s="40" t="n">
        <f aca="true">RAND()</f>
        <v>0.377482724570089</v>
      </c>
    </row>
    <row r="878" customFormat="false" ht="15" hidden="false" customHeight="false" outlineLevel="0" collapsed="false">
      <c r="A878" s="36" t="n">
        <v>798</v>
      </c>
      <c r="B878" s="37" t="n">
        <f aca="false">1+IF($G$6=$E$6,$F$6,IF(P878&lt;($F$6-$E$6)/($G$6-$E$6),$E$6+SQRT(P878*($G$6-$E$6)*($F$6-$E$6)),$G$6-SQRT((1-P878)*($G$6-$E$6)*($G$6-$F$6))))</f>
        <v>1.01736573121587</v>
      </c>
      <c r="C878" s="37" t="n">
        <f aca="false">1+IF($G$7=$E$7,$F$7,IF(Q878&lt;($F$7-$E$7)/($G$7-$E$7),$E$7+SQRT(Q878*($G$7-$E$7)*($F$7-$E$7)),$G$7-SQRT((1-Q878)*($G$7-$E$7)*($G$7-$F$7))))</f>
        <v>1.0470788025503</v>
      </c>
      <c r="D878" s="37" t="n">
        <f aca="false">1+IF($G$8=$E$8,$F$8,IF(R878&lt;($F$8-$E$8)/($G$8-$E$8),$E$8+SQRT(R878*($G$8-$E$8)*($F$8-$E$8)),$G$8-SQRT((1-R878)*($G$8-$E$8)*($G$8-$F$8))))</f>
        <v>0.984719995247942</v>
      </c>
      <c r="E878" s="37" t="n">
        <f aca="false">1+IF($G$9=$E$9,$F$9,IF(S878&lt;($F$9-$E$9)/($G$9-$E$9),$E$9+SQRT(S878*($G$9-$E$9)*($F$9-$E$9)),$G$9-SQRT((1-S878)*($G$9-$E$9)*($G$9-$F$9))))</f>
        <v>1.08682274478177</v>
      </c>
      <c r="F878" s="37" t="n">
        <f aca="false">1+IF($G$10=$E$10,$F$10,IF(T878&lt;($F$10-$E$10)/($G$10-$E$10),$E$10+SQRT(T878*($G$10-$E$10)*($F$10-$E$10)),$G$10-SQRT((1-T878)*($G$10-$E$10)*($G$10-$F$10))))</f>
        <v>1.00168731954165</v>
      </c>
      <c r="G878" s="38" t="n">
        <f aca="false">IF($G$11=$E$11,$F$11,IF(U878&lt;($F$11-$E$11)/($G$11-$E$11),$E$11+SQRT(U878*($G$11-$E$11)*($F$11-$E$11)),$G$11-SQRT((1-U878)*($G$11-$E$11)*($G$11-$F$11))))</f>
        <v>0.0930373294865127</v>
      </c>
      <c r="H878" s="39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-2003374639.0833</v>
      </c>
      <c r="I878" s="39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34758055.215433</v>
      </c>
      <c r="J878" s="39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379454223.521399</v>
      </c>
      <c r="K878" s="39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774234757.804446</v>
      </c>
      <c r="L878" s="39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925948938.458702</v>
      </c>
      <c r="M878" s="39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1128433956.8295</v>
      </c>
      <c r="N878" s="39" t="n">
        <f aca="false">IF(COUNT('Business Case'!B11:G11)=0,"",H878+NPV(G878,I878:M878))</f>
        <v>310888522.143181</v>
      </c>
      <c r="P878" s="40" t="n">
        <f aca="true">RAND()</f>
        <v>0.858000600123352</v>
      </c>
      <c r="Q878" s="40" t="n">
        <f aca="true">RAND()</f>
        <v>0.843070031341047</v>
      </c>
      <c r="R878" s="40" t="n">
        <f aca="true">RAND()</f>
        <v>0.16073040933561</v>
      </c>
      <c r="S878" s="40" t="n">
        <f aca="true">RAND()</f>
        <v>0.893563584615736</v>
      </c>
      <c r="T878" s="40" t="n">
        <f aca="true">RAND()</f>
        <v>0.177877502981203</v>
      </c>
      <c r="U878" s="40" t="n">
        <f aca="true">RAND()</f>
        <v>0.169971960139894</v>
      </c>
    </row>
    <row r="879" customFormat="false" ht="15" hidden="false" customHeight="false" outlineLevel="0" collapsed="false">
      <c r="A879" s="36" t="n">
        <v>799</v>
      </c>
      <c r="B879" s="37" t="n">
        <f aca="false">1+IF($G$6=$E$6,$F$6,IF(P879&lt;($F$6-$E$6)/($G$6-$E$6),$E$6+SQRT(P879*($G$6-$E$6)*($F$6-$E$6)),$G$6-SQRT((1-P879)*($G$6-$E$6)*($G$6-$F$6))))</f>
        <v>0.925963147372422</v>
      </c>
      <c r="C879" s="37" t="n">
        <f aca="false">1+IF($G$7=$E$7,$F$7,IF(Q879&lt;($F$7-$E$7)/($G$7-$E$7),$E$7+SQRT(Q879*($G$7-$E$7)*($F$7-$E$7)),$G$7-SQRT((1-Q879)*($G$7-$E$7)*($G$7-$F$7))))</f>
        <v>1.00090393982378</v>
      </c>
      <c r="D879" s="37" t="n">
        <f aca="false">1+IF($G$8=$E$8,$F$8,IF(R879&lt;($F$8-$E$8)/($G$8-$E$8),$E$8+SQRT(R879*($G$8-$E$8)*($F$8-$E$8)),$G$8-SQRT((1-R879)*($G$8-$E$8)*($G$8-$F$8))))</f>
        <v>1.0094920203994</v>
      </c>
      <c r="E879" s="37" t="n">
        <f aca="false">1+IF($G$9=$E$9,$F$9,IF(S879&lt;($F$9-$E$9)/($G$9-$E$9),$E$9+SQRT(S879*($G$9-$E$9)*($F$9-$E$9)),$G$9-SQRT((1-S879)*($G$9-$E$9)*($G$9-$F$9))))</f>
        <v>1.12986847544514</v>
      </c>
      <c r="F879" s="37" t="n">
        <f aca="false">1+IF($G$10=$E$10,$F$10,IF(T879&lt;($F$10-$E$10)/($G$10-$E$10),$E$10+SQRT(T879*($G$10-$E$10)*($F$10-$E$10)),$G$10-SQRT((1-T879)*($G$10-$E$10)*($G$10-$F$10))))</f>
        <v>1.03417413236108</v>
      </c>
      <c r="G879" s="38" t="n">
        <f aca="false">IF($G$11=$E$11,$F$11,IF(U879&lt;($F$11-$E$11)/($G$11-$E$11),$E$11+SQRT(U879*($G$11-$E$11)*($F$11-$E$11)),$G$11-SQRT((1-U879)*($G$11-$E$11)*($G$11-$F$11))))</f>
        <v>0.0980530962208148</v>
      </c>
      <c r="H879" s="39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-2068348264.72216</v>
      </c>
      <c r="I879" s="39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-70260260.635746</v>
      </c>
      <c r="J879" s="39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171609509.588449</v>
      </c>
      <c r="K879" s="39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465187986.430697</v>
      </c>
      <c r="L879" s="39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577841456.782452</v>
      </c>
      <c r="M879" s="39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754007631.639409</v>
      </c>
      <c r="N879" s="39" t="n">
        <f aca="false">IF(COUNT('Business Case'!B11:G11)=0,"",H879+NPV(G879,I879:M879))</f>
        <v>-768815350.100857</v>
      </c>
      <c r="P879" s="40" t="n">
        <f aca="true">RAND()</f>
        <v>0.0449390014321385</v>
      </c>
      <c r="Q879" s="40" t="n">
        <f aca="true">RAND()</f>
        <v>0.670672071702665</v>
      </c>
      <c r="R879" s="40" t="n">
        <f aca="true">RAND()</f>
        <v>0.453887041907799</v>
      </c>
      <c r="S879" s="40" t="n">
        <f aca="true">RAND()</f>
        <v>0.989192579175921</v>
      </c>
      <c r="T879" s="40" t="n">
        <f aca="true">RAND()</f>
        <v>0.378922598105432</v>
      </c>
      <c r="U879" s="40" t="n">
        <f aca="true">RAND()</f>
        <v>0.325914283157999</v>
      </c>
    </row>
    <row r="880" customFormat="false" ht="15" hidden="false" customHeight="false" outlineLevel="0" collapsed="false">
      <c r="A880" s="36" t="n">
        <v>800</v>
      </c>
      <c r="B880" s="37" t="n">
        <f aca="false">1+IF($G$6=$E$6,$F$6,IF(P880&lt;($F$6-$E$6)/($G$6-$E$6),$E$6+SQRT(P880*($G$6-$E$6)*($F$6-$E$6)),$G$6-SQRT((1-P880)*($G$6-$E$6)*($G$6-$F$6))))</f>
        <v>0.960075198804032</v>
      </c>
      <c r="C880" s="37" t="n">
        <f aca="false">1+IF($G$7=$E$7,$F$7,IF(Q880&lt;($F$7-$E$7)/($G$7-$E$7),$E$7+SQRT(Q880*($G$7-$E$7)*($F$7-$E$7)),$G$7-SQRT((1-Q880)*($G$7-$E$7)*($G$7-$F$7))))</f>
        <v>0.905324077329607</v>
      </c>
      <c r="D880" s="37" t="n">
        <f aca="false">1+IF($G$8=$E$8,$F$8,IF(R880&lt;($F$8-$E$8)/($G$8-$E$8),$E$8+SQRT(R880*($G$8-$E$8)*($F$8-$E$8)),$G$8-SQRT((1-R880)*($G$8-$E$8)*($G$8-$F$8))))</f>
        <v>1.04126434039852</v>
      </c>
      <c r="E880" s="37" t="n">
        <f aca="false">1+IF($G$9=$E$9,$F$9,IF(S880&lt;($F$9-$E$9)/($G$9-$E$9),$E$9+SQRT(S880*($G$9-$E$9)*($F$9-$E$9)),$G$9-SQRT((1-S880)*($G$9-$E$9)*($G$9-$F$9))))</f>
        <v>1.03849200524569</v>
      </c>
      <c r="F880" s="37" t="n">
        <f aca="false">1+IF($G$10=$E$10,$F$10,IF(T880&lt;($F$10-$E$10)/($G$10-$E$10),$E$10+SQRT(T880*($G$10-$E$10)*($F$10-$E$10)),$G$10-SQRT((1-T880)*($G$10-$E$10)*($G$10-$F$10))))</f>
        <v>0.970060880278808</v>
      </c>
      <c r="G880" s="38" t="n">
        <f aca="false">IF($G$11=$E$11,$F$11,IF(U880&lt;($F$11-$E$11)/($G$11-$E$11),$E$11+SQRT(U880*($G$11-$E$11)*($F$11-$E$11)),$G$11-SQRT((1-U880)*($G$11-$E$11)*($G$11-$F$11))))</f>
        <v>0.111783012457502</v>
      </c>
      <c r="H880" s="39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-1940121760.55762</v>
      </c>
      <c r="I880" s="39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-60395164.8860095</v>
      </c>
      <c r="J880" s="39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168947570.794099</v>
      </c>
      <c r="K880" s="39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446793350.488148</v>
      </c>
      <c r="L880" s="39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553279761.976384</v>
      </c>
      <c r="M880" s="39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718493343.081482</v>
      </c>
      <c r="N880" s="39" t="n">
        <f aca="false">IF(COUNT('Business Case'!B11:G11)=0,"",H880+NPV(G880,I880:M880))</f>
        <v>-747527407.742524</v>
      </c>
      <c r="P880" s="40" t="n">
        <f aca="true">RAND()</f>
        <v>0.240601967422927</v>
      </c>
      <c r="Q880" s="40" t="n">
        <f aca="true">RAND()</f>
        <v>0.312281309120404</v>
      </c>
      <c r="R880" s="40" t="n">
        <f aca="true">RAND()</f>
        <v>0.770008152745241</v>
      </c>
      <c r="S880" s="40" t="n">
        <f aca="true">RAND()</f>
        <v>0.668425789489954</v>
      </c>
      <c r="T880" s="40" t="n">
        <f aca="true">RAND()</f>
        <v>0.0268292611707117</v>
      </c>
      <c r="U880" s="40" t="n">
        <f aca="true">RAND()</f>
        <v>0.778760909917638</v>
      </c>
    </row>
    <row r="881" customFormat="false" ht="15" hidden="false" customHeight="false" outlineLevel="0" collapsed="false">
      <c r="A881" s="36" t="n">
        <v>801</v>
      </c>
      <c r="B881" s="37" t="n">
        <f aca="false">1+IF($G$6=$E$6,$F$6,IF(P881&lt;($F$6-$E$6)/($G$6-$E$6),$E$6+SQRT(P881*($G$6-$E$6)*($F$6-$E$6)),$G$6-SQRT((1-P881)*($G$6-$E$6)*($G$6-$F$6))))</f>
        <v>0.917179275610255</v>
      </c>
      <c r="C881" s="37" t="n">
        <f aca="false">1+IF($G$7=$E$7,$F$7,IF(Q881&lt;($F$7-$E$7)/($G$7-$E$7),$E$7+SQRT(Q881*($G$7-$E$7)*($F$7-$E$7)),$G$7-SQRT((1-Q881)*($G$7-$E$7)*($G$7-$F$7))))</f>
        <v>0.864642527913347</v>
      </c>
      <c r="D881" s="37" t="n">
        <f aca="false">1+IF($G$8=$E$8,$F$8,IF(R881&lt;($F$8-$E$8)/($G$8-$E$8),$E$8+SQRT(R881*($G$8-$E$8)*($F$8-$E$8)),$G$8-SQRT((1-R881)*($G$8-$E$8)*($G$8-$F$8))))</f>
        <v>0.973931102866065</v>
      </c>
      <c r="E881" s="37" t="n">
        <f aca="false">1+IF($G$9=$E$9,$F$9,IF(S881&lt;($F$9-$E$9)/($G$9-$E$9),$E$9+SQRT(S881*($G$9-$E$9)*($F$9-$E$9)),$G$9-SQRT((1-S881)*($G$9-$E$9)*($G$9-$F$9))))</f>
        <v>1.00324234402797</v>
      </c>
      <c r="F881" s="37" t="n">
        <f aca="false">1+IF($G$10=$E$10,$F$10,IF(T881&lt;($F$10-$E$10)/($G$10-$E$10),$E$10+SQRT(T881*($G$10-$E$10)*($F$10-$E$10)),$G$10-SQRT((1-T881)*($G$10-$E$10)*($G$10-$F$10))))</f>
        <v>0.977675677530458</v>
      </c>
      <c r="G881" s="38" t="n">
        <f aca="false">IF($G$11=$E$11,$F$11,IF(U881&lt;($F$11-$E$11)/($G$11-$E$11),$E$11+SQRT(U881*($G$11-$E$11)*($F$11-$E$11)),$G$11-SQRT((1-U881)*($G$11-$E$11)*($G$11-$F$11))))</f>
        <v>0.10678745144555</v>
      </c>
      <c r="H881" s="39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-1955351355.06092</v>
      </c>
      <c r="I881" s="39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-63077926.7428948</v>
      </c>
      <c r="J881" s="39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155383565.220343</v>
      </c>
      <c r="K881" s="39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422728841.060103</v>
      </c>
      <c r="L881" s="39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522956531.469389</v>
      </c>
      <c r="M881" s="39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673696093.454525</v>
      </c>
      <c r="N881" s="39" t="n">
        <f aca="false">IF(COUNT('Business Case'!B11:G11)=0,"",H881+NPV(G881,I881:M881))</f>
        <v>-819555547.539387</v>
      </c>
      <c r="P881" s="40" t="n">
        <f aca="true">RAND()</f>
        <v>0.019675167366206</v>
      </c>
      <c r="Q881" s="40" t="n">
        <f aca="true">RAND()</f>
        <v>0.200793792575536</v>
      </c>
      <c r="R881" s="40" t="n">
        <f aca="true">RAND()</f>
        <v>0.076359691251489</v>
      </c>
      <c r="S881" s="40" t="n">
        <f aca="true">RAND()</f>
        <v>0.42565841102917</v>
      </c>
      <c r="T881" s="40" t="n">
        <f aca="true">RAND()</f>
        <v>0.0510628751179934</v>
      </c>
      <c r="U881" s="40" t="n">
        <f aca="true">RAND()</f>
        <v>0.640785059738203</v>
      </c>
    </row>
    <row r="882" customFormat="false" ht="15" hidden="false" customHeight="false" outlineLevel="0" collapsed="false">
      <c r="A882" s="36" t="n">
        <v>802</v>
      </c>
      <c r="B882" s="37" t="n">
        <f aca="false">1+IF($G$6=$E$6,$F$6,IF(P882&lt;($F$6-$E$6)/($G$6-$E$6),$E$6+SQRT(P882*($G$6-$E$6)*($F$6-$E$6)),$G$6-SQRT((1-P882)*($G$6-$E$6)*($G$6-$F$6))))</f>
        <v>1.04591715030109</v>
      </c>
      <c r="C882" s="37" t="n">
        <f aca="false">1+IF($G$7=$E$7,$F$7,IF(Q882&lt;($F$7-$E$7)/($G$7-$E$7),$E$7+SQRT(Q882*($G$7-$E$7)*($F$7-$E$7)),$G$7-SQRT((1-Q882)*($G$7-$E$7)*($G$7-$F$7))))</f>
        <v>0.975249694317095</v>
      </c>
      <c r="D882" s="37" t="n">
        <f aca="false">1+IF($G$8=$E$8,$F$8,IF(R882&lt;($F$8-$E$8)/($G$8-$E$8),$E$8+SQRT(R882*($G$8-$E$8)*($F$8-$E$8)),$G$8-SQRT((1-R882)*($G$8-$E$8)*($G$8-$F$8))))</f>
        <v>0.975939949378308</v>
      </c>
      <c r="E882" s="37" t="n">
        <f aca="false">1+IF($G$9=$E$9,$F$9,IF(S882&lt;($F$9-$E$9)/($G$9-$E$9),$E$9+SQRT(S882*($G$9-$E$9)*($F$9-$E$9)),$G$9-SQRT((1-S882)*($G$9-$E$9)*($G$9-$F$9))))</f>
        <v>0.982592888661124</v>
      </c>
      <c r="F882" s="37" t="n">
        <f aca="false">1+IF($G$10=$E$10,$F$10,IF(T882&lt;($F$10-$E$10)/($G$10-$E$10),$E$10+SQRT(T882*($G$10-$E$10)*($F$10-$E$10)),$G$10-SQRT((1-T882)*($G$10-$E$10)*($G$10-$F$10))))</f>
        <v>1.08174803742225</v>
      </c>
      <c r="G882" s="38" t="n">
        <f aca="false">IF($G$11=$E$11,$F$11,IF(U882&lt;($F$11-$E$11)/($G$11-$E$11),$E$11+SQRT(U882*($G$11-$E$11)*($F$11-$E$11)),$G$11-SQRT((1-U882)*($G$11-$E$11)*($G$11-$F$11))))</f>
        <v>0.108275380796212</v>
      </c>
      <c r="H882" s="39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-2163496074.8445</v>
      </c>
      <c r="I882" s="39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47462589.363426</v>
      </c>
      <c r="J882" s="39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395703066.193542</v>
      </c>
      <c r="K882" s="39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798030944.894771</v>
      </c>
      <c r="L882" s="39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949363353.809379</v>
      </c>
      <c r="M882" s="39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1143250728.65118</v>
      </c>
      <c r="N882" s="39" t="n">
        <f aca="false">IF(COUNT('Business Case'!B11:G11)=0,"",H882+NPV(G882,I882:M882))</f>
        <v>100768810.648151</v>
      </c>
      <c r="P882" s="40" t="n">
        <f aca="true">RAND()</f>
        <v>0.997777378444814</v>
      </c>
      <c r="Q882" s="40" t="n">
        <f aca="true">RAND()</f>
        <v>0.561202920160403</v>
      </c>
      <c r="R882" s="40" t="n">
        <f aca="true">RAND()</f>
        <v>0.0897174631665568</v>
      </c>
      <c r="S882" s="40" t="n">
        <f aca="true">RAND()</f>
        <v>0.272863410295553</v>
      </c>
      <c r="T882" s="40" t="n">
        <f aca="true">RAND()</f>
        <v>0.622550361183127</v>
      </c>
      <c r="U882" s="40" t="n">
        <f aca="true">RAND()</f>
        <v>0.685360613633595</v>
      </c>
    </row>
    <row r="883" customFormat="false" ht="15" hidden="false" customHeight="false" outlineLevel="0" collapsed="false">
      <c r="A883" s="36" t="n">
        <v>803</v>
      </c>
      <c r="B883" s="37" t="n">
        <f aca="false">1+IF($G$6=$E$6,$F$6,IF(P883&lt;($F$6-$E$6)/($G$6-$E$6),$E$6+SQRT(P883*($G$6-$E$6)*($F$6-$E$6)),$G$6-SQRT((1-P883)*($G$6-$E$6)*($G$6-$F$6))))</f>
        <v>1.01884391853394</v>
      </c>
      <c r="C883" s="37" t="n">
        <f aca="false">1+IF($G$7=$E$7,$F$7,IF(Q883&lt;($F$7-$E$7)/($G$7-$E$7),$E$7+SQRT(Q883*($G$7-$E$7)*($F$7-$E$7)),$G$7-SQRT((1-Q883)*($G$7-$E$7)*($G$7-$F$7))))</f>
        <v>0.960799268762858</v>
      </c>
      <c r="D883" s="37" t="n">
        <f aca="false">1+IF($G$8=$E$8,$F$8,IF(R883&lt;($F$8-$E$8)/($G$8-$E$8),$E$8+SQRT(R883*($G$8-$E$8)*($F$8-$E$8)),$G$8-SQRT((1-R883)*($G$8-$E$8)*($G$8-$F$8))))</f>
        <v>1.0229347910262</v>
      </c>
      <c r="E883" s="37" t="n">
        <f aca="false">1+IF($G$9=$E$9,$F$9,IF(S883&lt;($F$9-$E$9)/($G$9-$E$9),$E$9+SQRT(S883*($G$9-$E$9)*($F$9-$E$9)),$G$9-SQRT((1-S883)*($G$9-$E$9)*($G$9-$F$9))))</f>
        <v>1.02332488756036</v>
      </c>
      <c r="F883" s="37" t="n">
        <f aca="false">1+IF($G$10=$E$10,$F$10,IF(T883&lt;($F$10-$E$10)/($G$10-$E$10),$E$10+SQRT(T883*($G$10-$E$10)*($F$10-$E$10)),$G$10-SQRT((1-T883)*($G$10-$E$10)*($G$10-$F$10))))</f>
        <v>0.995362054621241</v>
      </c>
      <c r="G883" s="38" t="n">
        <f aca="false">IF($G$11=$E$11,$F$11,IF(U883&lt;($F$11-$E$11)/($G$11-$E$11),$E$11+SQRT(U883*($G$11-$E$11)*($F$11-$E$11)),$G$11-SQRT((1-U883)*($G$11-$E$11)*($G$11-$F$11))))</f>
        <v>0.115893772704555</v>
      </c>
      <c r="H883" s="39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-1990724109.24248</v>
      </c>
      <c r="I883" s="39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2860953.8689618</v>
      </c>
      <c r="J883" s="39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301521321.071792</v>
      </c>
      <c r="K883" s="39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649949791.005685</v>
      </c>
      <c r="L883" s="39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783334185.980403</v>
      </c>
      <c r="M883" s="39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969404351.802826</v>
      </c>
      <c r="N883" s="39" t="n">
        <f aca="false">IF(COUNT('Business Case'!B11:G11)=0,"",H883+NPV(G883,I883:M883))</f>
        <v>-212817349.392869</v>
      </c>
      <c r="P883" s="40" t="n">
        <f aca="true">RAND()</f>
        <v>0.870573145024049</v>
      </c>
      <c r="Q883" s="40" t="n">
        <f aca="true">RAND()</f>
        <v>0.503824137683271</v>
      </c>
      <c r="R883" s="40" t="n">
        <f aca="true">RAND()</f>
        <v>0.604063571054917</v>
      </c>
      <c r="S883" s="40" t="n">
        <f aca="true">RAND()</f>
        <v>0.572091090357483</v>
      </c>
      <c r="T883" s="40" t="n">
        <f aca="true">RAND()</f>
        <v>0.137181066630696</v>
      </c>
      <c r="U883" s="40" t="n">
        <f aca="true">RAND()</f>
        <v>0.86734290099283</v>
      </c>
    </row>
    <row r="884" customFormat="false" ht="15" hidden="false" customHeight="false" outlineLevel="0" collapsed="false">
      <c r="A884" s="36" t="n">
        <v>804</v>
      </c>
      <c r="B884" s="37" t="n">
        <f aca="false">1+IF($G$6=$E$6,$F$6,IF(P884&lt;($F$6-$E$6)/($G$6-$E$6),$E$6+SQRT(P884*($G$6-$E$6)*($F$6-$E$6)),$G$6-SQRT((1-P884)*($G$6-$E$6)*($G$6-$F$6))))</f>
        <v>0.988820726826421</v>
      </c>
      <c r="C884" s="37" t="n">
        <f aca="false">1+IF($G$7=$E$7,$F$7,IF(Q884&lt;($F$7-$E$7)/($G$7-$E$7),$E$7+SQRT(Q884*($G$7-$E$7)*($F$7-$E$7)),$G$7-SQRT((1-Q884)*($G$7-$E$7)*($G$7-$F$7))))</f>
        <v>0.958895323648869</v>
      </c>
      <c r="D884" s="37" t="n">
        <f aca="false">1+IF($G$8=$E$8,$F$8,IF(R884&lt;($F$8-$E$8)/($G$8-$E$8),$E$8+SQRT(R884*($G$8-$E$8)*($F$8-$E$8)),$G$8-SQRT((1-R884)*($G$8-$E$8)*($G$8-$F$8))))</f>
        <v>1.04404951394158</v>
      </c>
      <c r="E884" s="37" t="n">
        <f aca="false">1+IF($G$9=$E$9,$F$9,IF(S884&lt;($F$9-$E$9)/($G$9-$E$9),$E$9+SQRT(S884*($G$9-$E$9)*($F$9-$E$9)),$G$9-SQRT((1-S884)*($G$9-$E$9)*($G$9-$F$9))))</f>
        <v>1.03526214215541</v>
      </c>
      <c r="F884" s="37" t="n">
        <f aca="false">1+IF($G$10=$E$10,$F$10,IF(T884&lt;($F$10-$E$10)/($G$10-$E$10),$E$10+SQRT(T884*($G$10-$E$10)*($F$10-$E$10)),$G$10-SQRT((1-T884)*($G$10-$E$10)*($G$10-$F$10))))</f>
        <v>0.972031790875007</v>
      </c>
      <c r="G884" s="38" t="n">
        <f aca="false">IF($G$11=$E$11,$F$11,IF(U884&lt;($F$11-$E$11)/($G$11-$E$11),$E$11+SQRT(U884*($G$11-$E$11)*($F$11-$E$11)),$G$11-SQRT((1-U884)*($G$11-$E$11)*($G$11-$F$11))))</f>
        <v>0.101552292536379</v>
      </c>
      <c r="H884" s="39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-1944063581.75001</v>
      </c>
      <c r="I884" s="39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-29447434.0153025</v>
      </c>
      <c r="J884" s="39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234676009.265863</v>
      </c>
      <c r="K884" s="39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547401042.090778</v>
      </c>
      <c r="L884" s="39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668211137.580811</v>
      </c>
      <c r="M884" s="39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848440350.093859</v>
      </c>
      <c r="N884" s="39" t="n">
        <f aca="false">IF(COUNT('Business Case'!B11:G11)=0,"",H884+NPV(G884,I884:M884))</f>
        <v>-390917796.706964</v>
      </c>
      <c r="P884" s="40" t="n">
        <f aca="true">RAND()</f>
        <v>0.525941434264916</v>
      </c>
      <c r="Q884" s="40" t="n">
        <f aca="true">RAND()</f>
        <v>0.496494730424092</v>
      </c>
      <c r="R884" s="40" t="n">
        <f aca="true">RAND()</f>
        <v>0.791302873988459</v>
      </c>
      <c r="S884" s="40" t="n">
        <f aca="true">RAND()</f>
        <v>0.648939306059596</v>
      </c>
      <c r="T884" s="40" t="n">
        <f aca="true">RAND()</f>
        <v>0.0323599872773366</v>
      </c>
      <c r="U884" s="40" t="n">
        <f aca="true">RAND()</f>
        <v>0.460485293376175</v>
      </c>
    </row>
    <row r="885" customFormat="false" ht="15" hidden="false" customHeight="false" outlineLevel="0" collapsed="false">
      <c r="A885" s="36" t="n">
        <v>805</v>
      </c>
      <c r="B885" s="37" t="n">
        <f aca="false">1+IF($G$6=$E$6,$F$6,IF(P885&lt;($F$6-$E$6)/($G$6-$E$6),$E$6+SQRT(P885*($G$6-$E$6)*($F$6-$E$6)),$G$6-SQRT((1-P885)*($G$6-$E$6)*($G$6-$F$6))))</f>
        <v>1.010708419351</v>
      </c>
      <c r="C885" s="37" t="n">
        <f aca="false">1+IF($G$7=$E$7,$F$7,IF(Q885&lt;($F$7-$E$7)/($G$7-$E$7),$E$7+SQRT(Q885*($G$7-$E$7)*($F$7-$E$7)),$G$7-SQRT((1-Q885)*($G$7-$E$7)*($G$7-$F$7))))</f>
        <v>1.02923780594164</v>
      </c>
      <c r="D885" s="37" t="n">
        <f aca="false">1+IF($G$8=$E$8,$F$8,IF(R885&lt;($F$8-$E$8)/($G$8-$E$8),$E$8+SQRT(R885*($G$8-$E$8)*($F$8-$E$8)),$G$8-SQRT((1-R885)*($G$8-$E$8)*($G$8-$F$8))))</f>
        <v>1.08259790688989</v>
      </c>
      <c r="E885" s="37" t="n">
        <f aca="false">1+IF($G$9=$E$9,$F$9,IF(S885&lt;($F$9-$E$9)/($G$9-$E$9),$E$9+SQRT(S885*($G$9-$E$9)*($F$9-$E$9)),$G$9-SQRT((1-S885)*($G$9-$E$9)*($G$9-$F$9))))</f>
        <v>0.932181580438145</v>
      </c>
      <c r="F885" s="37" t="n">
        <f aca="false">1+IF($G$10=$E$10,$F$10,IF(T885&lt;($F$10-$E$10)/($G$10-$E$10),$E$10+SQRT(T885*($G$10-$E$10)*($F$10-$E$10)),$G$10-SQRT((1-T885)*($G$10-$E$10)*($G$10-$F$10))))</f>
        <v>1.02629103429046</v>
      </c>
      <c r="G885" s="38" t="n">
        <f aca="false">IF($G$11=$E$11,$F$11,IF(U885&lt;($F$11-$E$11)/($G$11-$E$11),$E$11+SQRT(U885*($G$11-$E$11)*($F$11-$E$11)),$G$11-SQRT((1-U885)*($G$11-$E$11)*($G$11-$F$11))))</f>
        <v>0.100361248279084</v>
      </c>
      <c r="H885" s="39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-2052582068.58092</v>
      </c>
      <c r="I885" s="39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-7472304.1291927</v>
      </c>
      <c r="J885" s="39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274167758.849346</v>
      </c>
      <c r="K885" s="39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607122373.542407</v>
      </c>
      <c r="L885" s="39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736953756.495507</v>
      </c>
      <c r="M885" s="39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934686247.276904</v>
      </c>
      <c r="N885" s="39" t="n">
        <f aca="false">IF(COUNT('Business Case'!B11:G11)=0,"",H885+NPV(G885,I885:M885))</f>
        <v>-295142512.874037</v>
      </c>
      <c r="P885" s="40" t="n">
        <f aca="true">RAND()</f>
        <v>0.794156225347131</v>
      </c>
      <c r="Q885" s="40" t="n">
        <f aca="true">RAND()</f>
        <v>0.78394803683276</v>
      </c>
      <c r="R885" s="40" t="n">
        <f aca="true">RAND()</f>
        <v>0.97981114369247</v>
      </c>
      <c r="S885" s="40" t="n">
        <f aca="true">RAND()</f>
        <v>0.041426164779871</v>
      </c>
      <c r="T885" s="40" t="n">
        <f aca="true">RAND()</f>
        <v>0.332723982148894</v>
      </c>
      <c r="U885" s="40" t="n">
        <f aca="true">RAND()</f>
        <v>0.414362930950592</v>
      </c>
    </row>
    <row r="886" customFormat="false" ht="15" hidden="false" customHeight="false" outlineLevel="0" collapsed="false">
      <c r="A886" s="36" t="n">
        <v>806</v>
      </c>
      <c r="B886" s="37" t="n">
        <f aca="false">1+IF($G$6=$E$6,$F$6,IF(P886&lt;($F$6-$E$6)/($G$6-$E$6),$E$6+SQRT(P886*($G$6-$E$6)*($F$6-$E$6)),$G$6-SQRT((1-P886)*($G$6-$E$6)*($G$6-$F$6))))</f>
        <v>1.03766825005741</v>
      </c>
      <c r="C886" s="37" t="n">
        <f aca="false">1+IF($G$7=$E$7,$F$7,IF(Q886&lt;($F$7-$E$7)/($G$7-$E$7),$E$7+SQRT(Q886*($G$7-$E$7)*($F$7-$E$7)),$G$7-SQRT((1-Q886)*($G$7-$E$7)*($G$7-$F$7))))</f>
        <v>1.01728935158544</v>
      </c>
      <c r="D886" s="37" t="n">
        <f aca="false">1+IF($G$8=$E$8,$F$8,IF(R886&lt;($F$8-$E$8)/($G$8-$E$8),$E$8+SQRT(R886*($G$8-$E$8)*($F$8-$E$8)),$G$8-SQRT((1-R886)*($G$8-$E$8)*($G$8-$F$8))))</f>
        <v>1.00080408320449</v>
      </c>
      <c r="E886" s="37" t="n">
        <f aca="false">1+IF($G$9=$E$9,$F$9,IF(S886&lt;($F$9-$E$9)/($G$9-$E$9),$E$9+SQRT(S886*($G$9-$E$9)*($F$9-$E$9)),$G$9-SQRT((1-S886)*($G$9-$E$9)*($G$9-$F$9))))</f>
        <v>1.10682536268506</v>
      </c>
      <c r="F886" s="37" t="n">
        <f aca="false">1+IF($G$10=$E$10,$F$10,IF(T886&lt;($F$10-$E$10)/($G$10-$E$10),$E$10+SQRT(T886*($G$10-$E$10)*($F$10-$E$10)),$G$10-SQRT((1-T886)*($G$10-$E$10)*($G$10-$F$10))))</f>
        <v>1.15623728446837</v>
      </c>
      <c r="G886" s="38" t="n">
        <f aca="false">IF($G$11=$E$11,$F$11,IF(U886&lt;($F$11-$E$11)/($G$11-$E$11),$E$11+SQRT(U886*($G$11-$E$11)*($F$11-$E$11)),$G$11-SQRT((1-U886)*($G$11-$E$11)*($G$11-$F$11))))</f>
        <v>0.0835523914140736</v>
      </c>
      <c r="H886" s="39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-2312474568.93675</v>
      </c>
      <c r="I886" s="39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15693094.9338518</v>
      </c>
      <c r="J886" s="39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359123248.256162</v>
      </c>
      <c r="K886" s="39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760365265.801891</v>
      </c>
      <c r="L886" s="39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911323825.821199</v>
      </c>
      <c r="M886" s="39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1111973958.16982</v>
      </c>
      <c r="N886" s="39" t="n">
        <f aca="false">IF(COUNT('Business Case'!B11:G11)=0,"",H886+NPV(G886,I886:M886))</f>
        <v>11143752.5679779</v>
      </c>
      <c r="P886" s="40" t="n">
        <f aca="true">RAND()</f>
        <v>0.979723725780455</v>
      </c>
      <c r="Q886" s="40" t="n">
        <f aca="true">RAND()</f>
        <v>0.739079759961283</v>
      </c>
      <c r="R886" s="40" t="n">
        <f aca="true">RAND()</f>
        <v>0.344011339406487</v>
      </c>
      <c r="S886" s="40" t="n">
        <f aca="true">RAND()</f>
        <v>0.950292018472613</v>
      </c>
      <c r="T886" s="40" t="n">
        <f aca="true">RAND()</f>
        <v>0.882780709015139</v>
      </c>
      <c r="U886" s="40" t="n">
        <f aca="true">RAND()</f>
        <v>0.0126194847587839</v>
      </c>
    </row>
    <row r="887" customFormat="false" ht="15" hidden="false" customHeight="false" outlineLevel="0" collapsed="false">
      <c r="A887" s="36" t="n">
        <v>807</v>
      </c>
      <c r="B887" s="37" t="n">
        <f aca="false">1+IF($G$6=$E$6,$F$6,IF(P887&lt;($F$6-$E$6)/($G$6-$E$6),$E$6+SQRT(P887*($G$6-$E$6)*($F$6-$E$6)),$G$6-SQRT((1-P887)*($G$6-$E$6)*($G$6-$F$6))))</f>
        <v>1.01420089627861</v>
      </c>
      <c r="C887" s="37" t="n">
        <f aca="false">1+IF($G$7=$E$7,$F$7,IF(Q887&lt;($F$7-$E$7)/($G$7-$E$7),$E$7+SQRT(Q887*($G$7-$E$7)*($F$7-$E$7)),$G$7-SQRT((1-Q887)*($G$7-$E$7)*($G$7-$F$7))))</f>
        <v>0.936919218084644</v>
      </c>
      <c r="D887" s="37" t="n">
        <f aca="false">1+IF($G$8=$E$8,$F$8,IF(R887&lt;($F$8-$E$8)/($G$8-$E$8),$E$8+SQRT(R887*($G$8-$E$8)*($F$8-$E$8)),$G$8-SQRT((1-R887)*($G$8-$E$8)*($G$8-$F$8))))</f>
        <v>1.01979293414699</v>
      </c>
      <c r="E887" s="37" t="n">
        <f aca="false">1+IF($G$9=$E$9,$F$9,IF(S887&lt;($F$9-$E$9)/($G$9-$E$9),$E$9+SQRT(S887*($G$9-$E$9)*($F$9-$E$9)),$G$9-SQRT((1-S887)*($G$9-$E$9)*($G$9-$F$9))))</f>
        <v>1.04446097302427</v>
      </c>
      <c r="F887" s="37" t="n">
        <f aca="false">1+IF($G$10=$E$10,$F$10,IF(T887&lt;($F$10-$E$10)/($G$10-$E$10),$E$10+SQRT(T887*($G$10-$E$10)*($F$10-$E$10)),$G$10-SQRT((1-T887)*($G$10-$E$10)*($G$10-$F$10))))</f>
        <v>1.08602474590208</v>
      </c>
      <c r="G887" s="38" t="n">
        <f aca="false">IF($G$11=$E$11,$F$11,IF(U887&lt;($F$11-$E$11)/($G$11-$E$11),$E$11+SQRT(U887*($G$11-$E$11)*($F$11-$E$11)),$G$11-SQRT((1-U887)*($G$11-$E$11)*($G$11-$F$11))))</f>
        <v>0.111467220882168</v>
      </c>
      <c r="H887" s="39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-2172049491.80416</v>
      </c>
      <c r="I887" s="39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-17203251.9186974</v>
      </c>
      <c r="J887" s="39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271977949.384697</v>
      </c>
      <c r="K887" s="39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615460387.983196</v>
      </c>
      <c r="L887" s="39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744693873.92955</v>
      </c>
      <c r="M887" s="39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925312510.911606</v>
      </c>
      <c r="N887" s="39" t="n">
        <f aca="false">IF(COUNT('Business Case'!B11:G11)=0,"",H887+NPV(G887,I887:M887))</f>
        <v>-485646139.885293</v>
      </c>
      <c r="P887" s="40" t="n">
        <f aca="true">RAND()</f>
        <v>0.829123223032671</v>
      </c>
      <c r="Q887" s="40" t="n">
        <f aca="true">RAND()</f>
        <v>0.415783080724733</v>
      </c>
      <c r="R887" s="40" t="n">
        <f aca="true">RAND()</f>
        <v>0.571121772483428</v>
      </c>
      <c r="S887" s="40" t="n">
        <f aca="true">RAND()</f>
        <v>0.702973700933743</v>
      </c>
      <c r="T887" s="40" t="n">
        <f aca="true">RAND()</f>
        <v>0.641494880580295</v>
      </c>
      <c r="U887" s="40" t="n">
        <f aca="true">RAND()</f>
        <v>0.771024065446433</v>
      </c>
    </row>
    <row r="888" customFormat="false" ht="15" hidden="false" customHeight="false" outlineLevel="0" collapsed="false">
      <c r="A888" s="36" t="n">
        <v>808</v>
      </c>
      <c r="B888" s="37" t="n">
        <f aca="false">1+IF($G$6=$E$6,$F$6,IF(P888&lt;($F$6-$E$6)/($G$6-$E$6),$E$6+SQRT(P888*($G$6-$E$6)*($F$6-$E$6)),$G$6-SQRT((1-P888)*($G$6-$E$6)*($G$6-$F$6))))</f>
        <v>0.931865570857629</v>
      </c>
      <c r="C888" s="37" t="n">
        <f aca="false">1+IF($G$7=$E$7,$F$7,IF(Q888&lt;($F$7-$E$7)/($G$7-$E$7),$E$7+SQRT(Q888*($G$7-$E$7)*($F$7-$E$7)),$G$7-SQRT((1-Q888)*($G$7-$E$7)*($G$7-$F$7))))</f>
        <v>0.880380742659408</v>
      </c>
      <c r="D888" s="37" t="n">
        <f aca="false">1+IF($G$8=$E$8,$F$8,IF(R888&lt;($F$8-$E$8)/($G$8-$E$8),$E$8+SQRT(R888*($G$8-$E$8)*($F$8-$E$8)),$G$8-SQRT((1-R888)*($G$8-$E$8)*($G$8-$F$8))))</f>
        <v>1.00902573131566</v>
      </c>
      <c r="E888" s="37" t="n">
        <f aca="false">1+IF($G$9=$E$9,$F$9,IF(S888&lt;($F$9-$E$9)/($G$9-$E$9),$E$9+SQRT(S888*($G$9-$E$9)*($F$9-$E$9)),$G$9-SQRT((1-S888)*($G$9-$E$9)*($G$9-$F$9))))</f>
        <v>0.962436393417232</v>
      </c>
      <c r="F888" s="37" t="n">
        <f aca="false">1+IF($G$10=$E$10,$F$10,IF(T888&lt;($F$10-$E$10)/($G$10-$E$10),$E$10+SQRT(T888*($G$10-$E$10)*($F$10-$E$10)),$G$10-SQRT((1-T888)*($G$10-$E$10)*($G$10-$F$10))))</f>
        <v>1.03210142240213</v>
      </c>
      <c r="G888" s="38" t="n">
        <f aca="false">IF($G$11=$E$11,$F$11,IF(U888&lt;($F$11-$E$11)/($G$11-$E$11),$E$11+SQRT(U888*($G$11-$E$11)*($F$11-$E$11)),$G$11-SQRT((1-U888)*($G$11-$E$11)*($G$11-$F$11))))</f>
        <v>0.0969044799046903</v>
      </c>
      <c r="H888" s="39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-2064202844.80425</v>
      </c>
      <c r="I888" s="39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-65386414.4166017</v>
      </c>
      <c r="J888" s="39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151825123.283586</v>
      </c>
      <c r="K888" s="39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420641732.103881</v>
      </c>
      <c r="L888" s="39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521398481.159041</v>
      </c>
      <c r="M888" s="39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677339448.512078</v>
      </c>
      <c r="N888" s="39" t="n">
        <f aca="false">IF(COUNT('Business Case'!B11:G11)=0,"",H888+NPV(G888,I888:M888))</f>
        <v>-892209058.330385</v>
      </c>
      <c r="P888" s="40" t="n">
        <f aca="true">RAND()</f>
        <v>0.0676943070721703</v>
      </c>
      <c r="Q888" s="40" t="n">
        <f aca="true">RAND()</f>
        <v>0.241016387573034</v>
      </c>
      <c r="R888" s="40" t="n">
        <f aca="true">RAND()</f>
        <v>0.44824549582326</v>
      </c>
      <c r="S888" s="40" t="n">
        <f aca="true">RAND()</f>
        <v>0.155932128918057</v>
      </c>
      <c r="T888" s="40" t="n">
        <f aca="true">RAND()</f>
        <v>0.366936131744318</v>
      </c>
      <c r="U888" s="40" t="n">
        <f aca="true">RAND()</f>
        <v>0.285761440848078</v>
      </c>
    </row>
    <row r="889" customFormat="false" ht="15" hidden="false" customHeight="false" outlineLevel="0" collapsed="false">
      <c r="A889" s="36" t="n">
        <v>809</v>
      </c>
      <c r="B889" s="37" t="n">
        <f aca="false">1+IF($G$6=$E$6,$F$6,IF(P889&lt;($F$6-$E$6)/($G$6-$E$6),$E$6+SQRT(P889*($G$6-$E$6)*($F$6-$E$6)),$G$6-SQRT((1-P889)*($G$6-$E$6)*($G$6-$F$6))))</f>
        <v>0.939211923567468</v>
      </c>
      <c r="C889" s="37" t="n">
        <f aca="false">1+IF($G$7=$E$7,$F$7,IF(Q889&lt;($F$7-$E$7)/($G$7-$E$7),$E$7+SQRT(Q889*($G$7-$E$7)*($F$7-$E$7)),$G$7-SQRT((1-Q889)*($G$7-$E$7)*($G$7-$F$7))))</f>
        <v>0.897272875587298</v>
      </c>
      <c r="D889" s="37" t="n">
        <f aca="false">1+IF($G$8=$E$8,$F$8,IF(R889&lt;($F$8-$E$8)/($G$8-$E$8),$E$8+SQRT(R889*($G$8-$E$8)*($F$8-$E$8)),$G$8-SQRT((1-R889)*($G$8-$E$8)*($G$8-$F$8))))</f>
        <v>1.02276408873048</v>
      </c>
      <c r="E889" s="37" t="n">
        <f aca="false">1+IF($G$9=$E$9,$F$9,IF(S889&lt;($F$9-$E$9)/($G$9-$E$9),$E$9+SQRT(S889*($G$9-$E$9)*($F$9-$E$9)),$G$9-SQRT((1-S889)*($G$9-$E$9)*($G$9-$F$9))))</f>
        <v>1.06402709306218</v>
      </c>
      <c r="F889" s="37" t="n">
        <f aca="false">1+IF($G$10=$E$10,$F$10,IF(T889&lt;($F$10-$E$10)/($G$10-$E$10),$E$10+SQRT(T889*($G$10-$E$10)*($F$10-$E$10)),$G$10-SQRT((1-T889)*($G$10-$E$10)*($G$10-$F$10))))</f>
        <v>1.12822212995307</v>
      </c>
      <c r="G889" s="38" t="n">
        <f aca="false">IF($G$11=$E$11,$F$11,IF(U889&lt;($F$11-$E$11)/($G$11-$E$11),$E$11+SQRT(U889*($G$11-$E$11)*($F$11-$E$11)),$G$11-SQRT((1-U889)*($G$11-$E$11)*($G$11-$F$11))))</f>
        <v>0.100540829460862</v>
      </c>
      <c r="H889" s="39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-2256444259.90614</v>
      </c>
      <c r="I889" s="39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-87346118.6019004</v>
      </c>
      <c r="J889" s="39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133121719.662751</v>
      </c>
      <c r="K889" s="39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410000664.425056</v>
      </c>
      <c r="L889" s="39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512614671.338474</v>
      </c>
      <c r="M889" s="39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672800672.543749</v>
      </c>
      <c r="N889" s="39" t="n">
        <f aca="false">IF(COUNT('Business Case'!B11:G11)=0,"",H889+NPV(G889,I889:M889))</f>
        <v>-1152149481.80415</v>
      </c>
      <c r="P889" s="40" t="n">
        <f aca="true">RAND()</f>
        <v>0.102504996657395</v>
      </c>
      <c r="Q889" s="40" t="n">
        <f aca="true">RAND()</f>
        <v>0.288271018092455</v>
      </c>
      <c r="R889" s="40" t="n">
        <f aca="true">RAND()</f>
        <v>0.602307600691081</v>
      </c>
      <c r="S889" s="40" t="n">
        <f aca="true">RAND()</f>
        <v>0.802897580604292</v>
      </c>
      <c r="T889" s="40" t="n">
        <f aca="true">RAND()</f>
        <v>0.802268671557779</v>
      </c>
      <c r="U889" s="40" t="n">
        <f aca="true">RAND()</f>
        <v>0.421438180763998</v>
      </c>
    </row>
    <row r="890" customFormat="false" ht="15" hidden="false" customHeight="false" outlineLevel="0" collapsed="false">
      <c r="A890" s="36" t="n">
        <v>810</v>
      </c>
      <c r="B890" s="37" t="n">
        <f aca="false">1+IF($G$6=$E$6,$F$6,IF(P890&lt;($F$6-$E$6)/($G$6-$E$6),$E$6+SQRT(P890*($G$6-$E$6)*($F$6-$E$6)),$G$6-SQRT((1-P890)*($G$6-$E$6)*($G$6-$F$6))))</f>
        <v>1.01970846036126</v>
      </c>
      <c r="C890" s="37" t="n">
        <f aca="false">1+IF($G$7=$E$7,$F$7,IF(Q890&lt;($F$7-$E$7)/($G$7-$E$7),$E$7+SQRT(Q890*($G$7-$E$7)*($F$7-$E$7)),$G$7-SQRT((1-Q890)*($G$7-$E$7)*($G$7-$F$7))))</f>
        <v>0.941388555785068</v>
      </c>
      <c r="D890" s="37" t="n">
        <f aca="false">1+IF($G$8=$E$8,$F$8,IF(R890&lt;($F$8-$E$8)/($G$8-$E$8),$E$8+SQRT(R890*($G$8-$E$8)*($F$8-$E$8)),$G$8-SQRT((1-R890)*($G$8-$E$8)*($G$8-$F$8))))</f>
        <v>1.01104815237553</v>
      </c>
      <c r="E890" s="37" t="n">
        <f aca="false">1+IF($G$9=$E$9,$F$9,IF(S890&lt;($F$9-$E$9)/($G$9-$E$9),$E$9+SQRT(S890*($G$9-$E$9)*($F$9-$E$9)),$G$9-SQRT((1-S890)*($G$9-$E$9)*($G$9-$F$9))))</f>
        <v>1.01059295681303</v>
      </c>
      <c r="F890" s="37" t="n">
        <f aca="false">1+IF($G$10=$E$10,$F$10,IF(T890&lt;($F$10-$E$10)/($G$10-$E$10),$E$10+SQRT(T890*($G$10-$E$10)*($F$10-$E$10)),$G$10-SQRT((1-T890)*($G$10-$E$10)*($G$10-$F$10))))</f>
        <v>1.17538839861649</v>
      </c>
      <c r="G890" s="38" t="n">
        <f aca="false">IF($G$11=$E$11,$F$11,IF(U890&lt;($F$11-$E$11)/($G$11-$E$11),$E$11+SQRT(U890*($G$11-$E$11)*($F$11-$E$11)),$G$11-SQRT((1-U890)*($G$11-$E$11)*($G$11-$F$11))))</f>
        <v>0.0866411913688519</v>
      </c>
      <c r="H890" s="39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-2350776797.23298</v>
      </c>
      <c r="I890" s="39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-11986940.6016722</v>
      </c>
      <c r="J890" s="39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287034663.907854</v>
      </c>
      <c r="K890" s="39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644825688.348204</v>
      </c>
      <c r="L890" s="39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777675147.711871</v>
      </c>
      <c r="M890" s="39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960140899.277905</v>
      </c>
      <c r="N890" s="39" t="n">
        <f aca="false">IF(COUNT('Business Case'!B11:G11)=0,"",H890+NPV(G890,I890:M890))</f>
        <v>-424667751.161699</v>
      </c>
      <c r="P890" s="40" t="n">
        <f aca="true">RAND()</f>
        <v>0.87765635017532</v>
      </c>
      <c r="Q890" s="40" t="n">
        <f aca="true">RAND()</f>
        <v>0.431618036029637</v>
      </c>
      <c r="R890" s="40" t="n">
        <f aca="true">RAND()</f>
        <v>0.472504586946252</v>
      </c>
      <c r="S890" s="40" t="n">
        <f aca="true">RAND()</f>
        <v>0.48175136826308</v>
      </c>
      <c r="T890" s="40" t="n">
        <f aca="true">RAND()</f>
        <v>0.925774785853179</v>
      </c>
      <c r="U890" s="40" t="n">
        <f aca="true">RAND()</f>
        <v>0.0441054227977135</v>
      </c>
    </row>
    <row r="891" customFormat="false" ht="15" hidden="false" customHeight="false" outlineLevel="0" collapsed="false">
      <c r="A891" s="36" t="n">
        <v>811</v>
      </c>
      <c r="B891" s="37" t="n">
        <f aca="false">1+IF($G$6=$E$6,$F$6,IF(P891&lt;($F$6-$E$6)/($G$6-$E$6),$E$6+SQRT(P891*($G$6-$E$6)*($F$6-$E$6)),$G$6-SQRT((1-P891)*($G$6-$E$6)*($G$6-$F$6))))</f>
        <v>0.975314005861085</v>
      </c>
      <c r="C891" s="37" t="n">
        <f aca="false">1+IF($G$7=$E$7,$F$7,IF(Q891&lt;($F$7-$E$7)/($G$7-$E$7),$E$7+SQRT(Q891*($G$7-$E$7)*($F$7-$E$7)),$G$7-SQRT((1-Q891)*($G$7-$E$7)*($G$7-$F$7))))</f>
        <v>1.07717731393641</v>
      </c>
      <c r="D891" s="37" t="n">
        <f aca="false">1+IF($G$8=$E$8,$F$8,IF(R891&lt;($F$8-$E$8)/($G$8-$E$8),$E$8+SQRT(R891*($G$8-$E$8)*($F$8-$E$8)),$G$8-SQRT((1-R891)*($G$8-$E$8)*($G$8-$F$8))))</f>
        <v>1.02344303073087</v>
      </c>
      <c r="E891" s="37" t="n">
        <f aca="false">1+IF($G$9=$E$9,$F$9,IF(S891&lt;($F$9-$E$9)/($G$9-$E$9),$E$9+SQRT(S891*($G$9-$E$9)*($F$9-$E$9)),$G$9-SQRT((1-S891)*($G$9-$E$9)*($G$9-$F$9))))</f>
        <v>0.999407244591214</v>
      </c>
      <c r="F891" s="37" t="n">
        <f aca="false">1+IF($G$10=$E$10,$F$10,IF(T891&lt;($F$10-$E$10)/($G$10-$E$10),$E$10+SQRT(T891*($G$10-$E$10)*($F$10-$E$10)),$G$10-SQRT((1-T891)*($G$10-$E$10)*($G$10-$F$10))))</f>
        <v>1.05157805420913</v>
      </c>
      <c r="G891" s="38" t="n">
        <f aca="false">IF($G$11=$E$11,$F$11,IF(U891&lt;($F$11-$E$11)/($G$11-$E$11),$E$11+SQRT(U891*($G$11-$E$11)*($F$11-$E$11)),$G$11-SQRT((1-U891)*($G$11-$E$11)*($G$11-$F$11))))</f>
        <v>0.102101663962119</v>
      </c>
      <c r="H891" s="39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-2103156108.41825</v>
      </c>
      <c r="I891" s="39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-5585993.16820285</v>
      </c>
      <c r="J891" s="39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290563913.782061</v>
      </c>
      <c r="K891" s="39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639292723.442781</v>
      </c>
      <c r="L891" s="39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774317615.437326</v>
      </c>
      <c r="M891" s="39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974013025.331832</v>
      </c>
      <c r="N891" s="39" t="n">
        <f aca="false">IF(COUNT('Business Case'!B11:G11)=0,"",H891+NPV(G891,I891:M891))</f>
        <v>-267548950.929172</v>
      </c>
      <c r="P891" s="40" t="n">
        <f aca="true">RAND()</f>
        <v>0.378146631922905</v>
      </c>
      <c r="Q891" s="40" t="n">
        <f aca="true">RAND()</f>
        <v>0.921434909547898</v>
      </c>
      <c r="R891" s="40" t="n">
        <f aca="true">RAND()</f>
        <v>0.609268697088332</v>
      </c>
      <c r="S891" s="40" t="n">
        <f aca="true">RAND()</f>
        <v>0.395272011088702</v>
      </c>
      <c r="T891" s="40" t="n">
        <f aca="true">RAND()</f>
        <v>0.475049752380846</v>
      </c>
      <c r="U891" s="40" t="n">
        <f aca="true">RAND()</f>
        <v>0.481121897544976</v>
      </c>
    </row>
    <row r="892" customFormat="false" ht="15" hidden="false" customHeight="false" outlineLevel="0" collapsed="false">
      <c r="A892" s="36" t="n">
        <v>812</v>
      </c>
      <c r="B892" s="37" t="n">
        <f aca="false">1+IF($G$6=$E$6,$F$6,IF(P892&lt;($F$6-$E$6)/($G$6-$E$6),$E$6+SQRT(P892*($G$6-$E$6)*($F$6-$E$6)),$G$6-SQRT((1-P892)*($G$6-$E$6)*($G$6-$F$6))))</f>
        <v>1.0341429017149</v>
      </c>
      <c r="C892" s="37" t="n">
        <f aca="false">1+IF($G$7=$E$7,$F$7,IF(Q892&lt;($F$7-$E$7)/($G$7-$E$7),$E$7+SQRT(Q892*($G$7-$E$7)*($F$7-$E$7)),$G$7-SQRT((1-Q892)*($G$7-$E$7)*($G$7-$F$7))))</f>
        <v>1.04138058191882</v>
      </c>
      <c r="D892" s="37" t="n">
        <f aca="false">1+IF($G$8=$E$8,$F$8,IF(R892&lt;($F$8-$E$8)/($G$8-$E$8),$E$8+SQRT(R892*($G$8-$E$8)*($F$8-$E$8)),$G$8-SQRT((1-R892)*($G$8-$E$8)*($G$8-$F$8))))</f>
        <v>1.05705738615028</v>
      </c>
      <c r="E892" s="37" t="n">
        <f aca="false">1+IF($G$9=$E$9,$F$9,IF(S892&lt;($F$9-$E$9)/($G$9-$E$9),$E$9+SQRT(S892*($G$9-$E$9)*($F$9-$E$9)),$G$9-SQRT((1-S892)*($G$9-$E$9)*($G$9-$F$9))))</f>
        <v>1.02011091837304</v>
      </c>
      <c r="F892" s="37" t="n">
        <f aca="false">1+IF($G$10=$E$10,$F$10,IF(T892&lt;($F$10-$E$10)/($G$10-$E$10),$E$10+SQRT(T892*($G$10-$E$10)*($F$10-$E$10)),$G$10-SQRT((1-T892)*($G$10-$E$10)*($G$10-$F$10))))</f>
        <v>0.976853118322951</v>
      </c>
      <c r="G892" s="38" t="n">
        <f aca="false">IF($G$11=$E$11,$F$11,IF(U892&lt;($F$11-$E$11)/($G$11-$E$11),$E$11+SQRT(U892*($G$11-$E$11)*($F$11-$E$11)),$G$11-SQRT((1-U892)*($G$11-$E$11)*($G$11-$F$11))))</f>
        <v>0.114388941598662</v>
      </c>
      <c r="H892" s="39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-1953706236.6459</v>
      </c>
      <c r="I892" s="39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19993892.6482365</v>
      </c>
      <c r="J892" s="39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338561249.419835</v>
      </c>
      <c r="K892" s="39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705971262.107582</v>
      </c>
      <c r="L892" s="39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849379300.830394</v>
      </c>
      <c r="M892" s="39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1054083359.7246</v>
      </c>
      <c r="N892" s="39" t="n">
        <f aca="false">IF(COUNT('Business Case'!B11:G11)=0,"",H892+NPV(G892,I892:M892))</f>
        <v>11059554.1208615</v>
      </c>
      <c r="P892" s="40" t="n">
        <f aca="true">RAND()</f>
        <v>0.966473657863555</v>
      </c>
      <c r="Q892" s="40" t="n">
        <f aca="true">RAND()</f>
        <v>0.825212178010462</v>
      </c>
      <c r="R892" s="40" t="n">
        <f aca="true">RAND()</f>
        <v>0.877062127716928</v>
      </c>
      <c r="S892" s="40" t="n">
        <f aca="true">RAND()</f>
        <v>0.550102039309487</v>
      </c>
      <c r="T892" s="40" t="n">
        <f aca="true">RAND()</f>
        <v>0.0480726642444262</v>
      </c>
      <c r="U892" s="40" t="n">
        <f aca="true">RAND()</f>
        <v>0.83752990372667</v>
      </c>
    </row>
    <row r="893" customFormat="false" ht="15" hidden="false" customHeight="false" outlineLevel="0" collapsed="false">
      <c r="A893" s="36" t="n">
        <v>813</v>
      </c>
      <c r="B893" s="37" t="n">
        <f aca="false">1+IF($G$6=$E$6,$F$6,IF(P893&lt;($F$6-$E$6)/($G$6-$E$6),$E$6+SQRT(P893*($G$6-$E$6)*($F$6-$E$6)),$G$6-SQRT((1-P893)*($G$6-$E$6)*($G$6-$F$6))))</f>
        <v>1.02831748709844</v>
      </c>
      <c r="C893" s="37" t="n">
        <f aca="false">1+IF($G$7=$E$7,$F$7,IF(Q893&lt;($F$7-$E$7)/($G$7-$E$7),$E$7+SQRT(Q893*($G$7-$E$7)*($F$7-$E$7)),$G$7-SQRT((1-Q893)*($G$7-$E$7)*($G$7-$F$7))))</f>
        <v>1.02300333235146</v>
      </c>
      <c r="D893" s="37" t="n">
        <f aca="false">1+IF($G$8=$E$8,$F$8,IF(R893&lt;($F$8-$E$8)/($G$8-$E$8),$E$8+SQRT(R893*($G$8-$E$8)*($F$8-$E$8)),$G$8-SQRT((1-R893)*($G$8-$E$8)*($G$8-$F$8))))</f>
        <v>1.03142209069921</v>
      </c>
      <c r="E893" s="37" t="n">
        <f aca="false">1+IF($G$9=$E$9,$F$9,IF(S893&lt;($F$9-$E$9)/($G$9-$E$9),$E$9+SQRT(S893*($G$9-$E$9)*($F$9-$E$9)),$G$9-SQRT((1-S893)*($G$9-$E$9)*($G$9-$F$9))))</f>
        <v>1.06200172267851</v>
      </c>
      <c r="F893" s="37" t="n">
        <f aca="false">1+IF($G$10=$E$10,$F$10,IF(T893&lt;($F$10-$E$10)/($G$10-$E$10),$E$10+SQRT(T893*($G$10-$E$10)*($F$10-$E$10)),$G$10-SQRT((1-T893)*($G$10-$E$10)*($G$10-$F$10))))</f>
        <v>1.01760726013409</v>
      </c>
      <c r="G893" s="38" t="n">
        <f aca="false">IF($G$11=$E$11,$F$11,IF(U893&lt;($F$11-$E$11)/($G$11-$E$11),$E$11+SQRT(U893*($G$11-$E$11)*($F$11-$E$11)),$G$11-SQRT((1-U893)*($G$11-$E$11)*($G$11-$F$11))))</f>
        <v>0.0960126302470875</v>
      </c>
      <c r="H893" s="39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-2035214520.26818</v>
      </c>
      <c r="I893" s="39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14177891.3664613</v>
      </c>
      <c r="J893" s="39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335667393.389536</v>
      </c>
      <c r="K893" s="39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708037258.419316</v>
      </c>
      <c r="L893" s="39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851556585.545888</v>
      </c>
      <c r="M893" s="39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1051515464.3664</v>
      </c>
      <c r="N893" s="39" t="n">
        <f aca="false">IF(COUNT('Business Case'!B11:G11)=0,"",H893+NPV(G893,I893:M893))</f>
        <v>49947116.4616649</v>
      </c>
      <c r="P893" s="40" t="n">
        <f aca="true">RAND()</f>
        <v>0.937315817903148</v>
      </c>
      <c r="Q893" s="40" t="n">
        <f aca="true">RAND()</f>
        <v>0.761064391202471</v>
      </c>
      <c r="R893" s="40" t="n">
        <f aca="true">RAND()</f>
        <v>0.686471357062169</v>
      </c>
      <c r="S893" s="40" t="n">
        <f aca="true">RAND()</f>
        <v>0.79350141835867</v>
      </c>
      <c r="T893" s="40" t="n">
        <f aca="true">RAND()</f>
        <v>0.279914859434873</v>
      </c>
      <c r="U893" s="40" t="n">
        <f aca="true">RAND()</f>
        <v>0.256404327429941</v>
      </c>
    </row>
    <row r="894" customFormat="false" ht="15" hidden="false" customHeight="false" outlineLevel="0" collapsed="false">
      <c r="A894" s="36" t="n">
        <v>814</v>
      </c>
      <c r="B894" s="37" t="n">
        <f aca="false">1+IF($G$6=$E$6,$F$6,IF(P894&lt;($F$6-$E$6)/($G$6-$E$6),$E$6+SQRT(P894*($G$6-$E$6)*($F$6-$E$6)),$G$6-SQRT((1-P894)*($G$6-$E$6)*($G$6-$F$6))))</f>
        <v>0.998092678102368</v>
      </c>
      <c r="C894" s="37" t="n">
        <f aca="false">1+IF($G$7=$E$7,$F$7,IF(Q894&lt;($F$7-$E$7)/($G$7-$E$7),$E$7+SQRT(Q894*($G$7-$E$7)*($F$7-$E$7)),$G$7-SQRT((1-Q894)*($G$7-$E$7)*($G$7-$F$7))))</f>
        <v>1.07024116656824</v>
      </c>
      <c r="D894" s="37" t="n">
        <f aca="false">1+IF($G$8=$E$8,$F$8,IF(R894&lt;($F$8-$E$8)/($G$8-$E$8),$E$8+SQRT(R894*($G$8-$E$8)*($F$8-$E$8)),$G$8-SQRT((1-R894)*($G$8-$E$8)*($G$8-$F$8))))</f>
        <v>1.02191162299701</v>
      </c>
      <c r="E894" s="37" t="n">
        <f aca="false">1+IF($G$9=$E$9,$F$9,IF(S894&lt;($F$9-$E$9)/($G$9-$E$9),$E$9+SQRT(S894*($G$9-$E$9)*($F$9-$E$9)),$G$9-SQRT((1-S894)*($G$9-$E$9)*($G$9-$F$9))))</f>
        <v>1.00484396084652</v>
      </c>
      <c r="F894" s="37" t="n">
        <f aca="false">1+IF($G$10=$E$10,$F$10,IF(T894&lt;($F$10-$E$10)/($G$10-$E$10),$E$10+SQRT(T894*($G$10-$E$10)*($F$10-$E$10)),$G$10-SQRT((1-T894)*($G$10-$E$10)*($G$10-$F$10))))</f>
        <v>1.19520226269529</v>
      </c>
      <c r="G894" s="38" t="n">
        <f aca="false">IF($G$11=$E$11,$F$11,IF(U894&lt;($F$11-$E$11)/($G$11-$E$11),$E$11+SQRT(U894*($G$11-$E$11)*($F$11-$E$11)),$G$11-SQRT((1-U894)*($G$11-$E$11)*($G$11-$F$11))))</f>
        <v>0.0875122354915495</v>
      </c>
      <c r="H894" s="39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-2390404525.39058</v>
      </c>
      <c r="I894" s="39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-2734664.25058725</v>
      </c>
      <c r="J894" s="39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312315190.373271</v>
      </c>
      <c r="K894" s="39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687125158.131894</v>
      </c>
      <c r="L894" s="39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829058763.921541</v>
      </c>
      <c r="M894" s="39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1032102195.62086</v>
      </c>
      <c r="N894" s="39" t="n">
        <f aca="false">IF(COUNT('Business Case'!B11:G11)=0,"",H894+NPV(G894,I894:M894))</f>
        <v>-323387268.350633</v>
      </c>
      <c r="P894" s="40" t="n">
        <f aca="true">RAND()</f>
        <v>0.641478233152981</v>
      </c>
      <c r="Q894" s="40" t="n">
        <f aca="true">RAND()</f>
        <v>0.905755977623775</v>
      </c>
      <c r="R894" s="40" t="n">
        <f aca="true">RAND()</f>
        <v>0.593480358469214</v>
      </c>
      <c r="S894" s="40" t="n">
        <f aca="true">RAND()</f>
        <v>0.438125981260645</v>
      </c>
      <c r="T894" s="40" t="n">
        <f aca="true">RAND()</f>
        <v>0.959962773150452</v>
      </c>
      <c r="U894" s="40" t="n">
        <f aca="true">RAND()</f>
        <v>0.056433682080496</v>
      </c>
    </row>
    <row r="895" customFormat="false" ht="15" hidden="false" customHeight="false" outlineLevel="0" collapsed="false">
      <c r="A895" s="36" t="n">
        <v>815</v>
      </c>
      <c r="B895" s="37" t="n">
        <f aca="false">1+IF($G$6=$E$6,$F$6,IF(P895&lt;($F$6-$E$6)/($G$6-$E$6),$E$6+SQRT(P895*($G$6-$E$6)*($F$6-$E$6)),$G$6-SQRT((1-P895)*($G$6-$E$6)*($G$6-$F$6))))</f>
        <v>0.991823145919672</v>
      </c>
      <c r="C895" s="37" t="n">
        <f aca="false">1+IF($G$7=$E$7,$F$7,IF(Q895&lt;($F$7-$E$7)/($G$7-$E$7),$E$7+SQRT(Q895*($G$7-$E$7)*($F$7-$E$7)),$G$7-SQRT((1-Q895)*($G$7-$E$7)*($G$7-$F$7))))</f>
        <v>0.864109365962418</v>
      </c>
      <c r="D895" s="37" t="n">
        <f aca="false">1+IF($G$8=$E$8,$F$8,IF(R895&lt;($F$8-$E$8)/($G$8-$E$8),$E$8+SQRT(R895*($G$8-$E$8)*($F$8-$E$8)),$G$8-SQRT((1-R895)*($G$8-$E$8)*($G$8-$F$8))))</f>
        <v>1.00416944430568</v>
      </c>
      <c r="E895" s="37" t="n">
        <f aca="false">1+IF($G$9=$E$9,$F$9,IF(S895&lt;($F$9-$E$9)/($G$9-$E$9),$E$9+SQRT(S895*($G$9-$E$9)*($F$9-$E$9)),$G$9-SQRT((1-S895)*($G$9-$E$9)*($G$9-$F$9))))</f>
        <v>0.933511361287763</v>
      </c>
      <c r="F895" s="37" t="n">
        <f aca="false">1+IF($G$10=$E$10,$F$10,IF(T895&lt;($F$10-$E$10)/($G$10-$E$10),$E$10+SQRT(T895*($G$10-$E$10)*($F$10-$E$10)),$G$10-SQRT((1-T895)*($G$10-$E$10)*($G$10-$F$10))))</f>
        <v>0.989380464318359</v>
      </c>
      <c r="G895" s="38" t="n">
        <f aca="false">IF($G$11=$E$11,$F$11,IF(U895&lt;($F$11-$E$11)/($G$11-$E$11),$E$11+SQRT(U895*($G$11-$E$11)*($F$11-$E$11)),$G$11-SQRT((1-U895)*($G$11-$E$11)*($G$11-$F$11))))</f>
        <v>0.107853677489976</v>
      </c>
      <c r="H895" s="39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-1978760928.63672</v>
      </c>
      <c r="I895" s="39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-18331273.7671142</v>
      </c>
      <c r="J895" s="39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239449958.313474</v>
      </c>
      <c r="K895" s="39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546700213.609981</v>
      </c>
      <c r="L895" s="39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662246720.197342</v>
      </c>
      <c r="M895" s="39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825153580.946748</v>
      </c>
      <c r="N895" s="39" t="n">
        <f aca="false">IF(COUNT('Business Case'!B11:G11)=0,"",H895+NPV(G895,I895:M895))</f>
        <v>-464057173.958691</v>
      </c>
      <c r="P895" s="40" t="n">
        <f aca="true">RAND()</f>
        <v>0.562099341772363</v>
      </c>
      <c r="Q895" s="40" t="n">
        <f aca="true">RAND()</f>
        <v>0.199495437011753</v>
      </c>
      <c r="R895" s="40" t="n">
        <f aca="true">RAND()</f>
        <v>0.387766973021244</v>
      </c>
      <c r="S895" s="40" t="n">
        <f aca="true">RAND()</f>
        <v>0.0449204534143581</v>
      </c>
      <c r="T895" s="40" t="n">
        <f aca="true">RAND()</f>
        <v>0.103388064661968</v>
      </c>
      <c r="U895" s="40" t="n">
        <f aca="true">RAND()</f>
        <v>0.673026932854655</v>
      </c>
    </row>
    <row r="896" customFormat="false" ht="15" hidden="false" customHeight="false" outlineLevel="0" collapsed="false">
      <c r="A896" s="36" t="n">
        <v>816</v>
      </c>
      <c r="B896" s="37" t="n">
        <f aca="false">1+IF($G$6=$E$6,$F$6,IF(P896&lt;($F$6-$E$6)/($G$6-$E$6),$E$6+SQRT(P896*($G$6-$E$6)*($F$6-$E$6)),$G$6-SQRT((1-P896)*($G$6-$E$6)*($G$6-$F$6))))</f>
        <v>0.99446166374589</v>
      </c>
      <c r="C896" s="37" t="n">
        <f aca="false">1+IF($G$7=$E$7,$F$7,IF(Q896&lt;($F$7-$E$7)/($G$7-$E$7),$E$7+SQRT(Q896*($G$7-$E$7)*($F$7-$E$7)),$G$7-SQRT((1-Q896)*($G$7-$E$7)*($G$7-$F$7))))</f>
        <v>0.803628726368874</v>
      </c>
      <c r="D896" s="37" t="n">
        <f aca="false">1+IF($G$8=$E$8,$F$8,IF(R896&lt;($F$8-$E$8)/($G$8-$E$8),$E$8+SQRT(R896*($G$8-$E$8)*($F$8-$E$8)),$G$8-SQRT((1-R896)*($G$8-$E$8)*($G$8-$F$8))))</f>
        <v>0.997919604071398</v>
      </c>
      <c r="E896" s="37" t="n">
        <f aca="false">1+IF($G$9=$E$9,$F$9,IF(S896&lt;($F$9-$E$9)/($G$9-$E$9),$E$9+SQRT(S896*($G$9-$E$9)*($F$9-$E$9)),$G$9-SQRT((1-S896)*($G$9-$E$9)*($G$9-$F$9))))</f>
        <v>0.953898788366744</v>
      </c>
      <c r="F896" s="37" t="n">
        <f aca="false">1+IF($G$10=$E$10,$F$10,IF(T896&lt;($F$10-$E$10)/($G$10-$E$10),$E$10+SQRT(T896*($G$10-$E$10)*($F$10-$E$10)),$G$10-SQRT((1-T896)*($G$10-$E$10)*($G$10-$F$10))))</f>
        <v>1.13304505274567</v>
      </c>
      <c r="G896" s="38" t="n">
        <f aca="false">IF($G$11=$E$11,$F$11,IF(U896&lt;($F$11-$E$11)/($G$11-$E$11),$E$11+SQRT(U896*($G$11-$E$11)*($F$11-$E$11)),$G$11-SQRT((1-U896)*($G$11-$E$11)*($G$11-$F$11))))</f>
        <v>0.0942551484553661</v>
      </c>
      <c r="H896" s="39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-2266090105.49134</v>
      </c>
      <c r="I896" s="39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-46331764.1706929</v>
      </c>
      <c r="J896" s="39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197714770.098747</v>
      </c>
      <c r="K896" s="39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498413557.005471</v>
      </c>
      <c r="L896" s="39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607381992.068495</v>
      </c>
      <c r="M896" s="39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759289738.754484</v>
      </c>
      <c r="N896" s="39" t="n">
        <f aca="false">IF(COUNT('Business Case'!B11:G11)=0,"",H896+NPV(G896,I896:M896))</f>
        <v>-855319387.303098</v>
      </c>
      <c r="P896" s="40" t="n">
        <f aca="true">RAND()</f>
        <v>0.594867061176109</v>
      </c>
      <c r="Q896" s="40" t="n">
        <f aca="true">RAND()</f>
        <v>0.0795475031765558</v>
      </c>
      <c r="R896" s="40" t="n">
        <f aca="true">RAND()</f>
        <v>0.306171793914607</v>
      </c>
      <c r="S896" s="40" t="n">
        <f aca="true">RAND()</f>
        <v>0.116203175496124</v>
      </c>
      <c r="T896" s="40" t="n">
        <f aca="true">RAND()</f>
        <v>0.817620537503152</v>
      </c>
      <c r="U896" s="40" t="n">
        <f aca="true">RAND()</f>
        <v>0.203209257484527</v>
      </c>
    </row>
    <row r="897" customFormat="false" ht="15" hidden="false" customHeight="false" outlineLevel="0" collapsed="false">
      <c r="A897" s="36" t="n">
        <v>817</v>
      </c>
      <c r="B897" s="37" t="n">
        <f aca="false">1+IF($G$6=$E$6,$F$6,IF(P897&lt;($F$6-$E$6)/($G$6-$E$6),$E$6+SQRT(P897*($G$6-$E$6)*($F$6-$E$6)),$G$6-SQRT((1-P897)*($G$6-$E$6)*($G$6-$F$6))))</f>
        <v>1.0388788625046</v>
      </c>
      <c r="C897" s="37" t="n">
        <f aca="false">1+IF($G$7=$E$7,$F$7,IF(Q897&lt;($F$7-$E$7)/($G$7-$E$7),$E$7+SQRT(Q897*($G$7-$E$7)*($F$7-$E$7)),$G$7-SQRT((1-Q897)*($G$7-$E$7)*($G$7-$F$7))))</f>
        <v>0.815714533054513</v>
      </c>
      <c r="D897" s="37" t="n">
        <f aca="false">1+IF($G$8=$E$8,$F$8,IF(R897&lt;($F$8-$E$8)/($G$8-$E$8),$E$8+SQRT(R897*($G$8-$E$8)*($F$8-$E$8)),$G$8-SQRT((1-R897)*($G$8-$E$8)*($G$8-$F$8))))</f>
        <v>1.04216170088195</v>
      </c>
      <c r="E897" s="37" t="n">
        <f aca="false">1+IF($G$9=$E$9,$F$9,IF(S897&lt;($F$9-$E$9)/($G$9-$E$9),$E$9+SQRT(S897*($G$9-$E$9)*($F$9-$E$9)),$G$9-SQRT((1-S897)*($G$9-$E$9)*($G$9-$F$9))))</f>
        <v>1.02171915017797</v>
      </c>
      <c r="F897" s="37" t="n">
        <f aca="false">1+IF($G$10=$E$10,$F$10,IF(T897&lt;($F$10-$E$10)/($G$10-$E$10),$E$10+SQRT(T897*($G$10-$E$10)*($F$10-$E$10)),$G$10-SQRT((1-T897)*($G$10-$E$10)*($G$10-$F$10))))</f>
        <v>1.04030926157402</v>
      </c>
      <c r="G897" s="38" t="n">
        <f aca="false">IF($G$11=$E$11,$F$11,IF(U897&lt;($F$11-$E$11)/($G$11-$E$11),$E$11+SQRT(U897*($G$11-$E$11)*($F$11-$E$11)),$G$11-SQRT((1-U897)*($G$11-$E$11)*($G$11-$F$11))))</f>
        <v>0.115033279699575</v>
      </c>
      <c r="H897" s="39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-2080618523.14804</v>
      </c>
      <c r="I897" s="39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-34331551.6716364</v>
      </c>
      <c r="J897" s="39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224586983.879503</v>
      </c>
      <c r="K897" s="39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535520982.509344</v>
      </c>
      <c r="L897" s="39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651114292.966435</v>
      </c>
      <c r="M897" s="39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812193518.636681</v>
      </c>
      <c r="N897" s="39" t="n">
        <f aca="false">IF(COUNT('Business Case'!B11:G11)=0,"",H897+NPV(G897,I897:M897))</f>
        <v>-652047334.712495</v>
      </c>
      <c r="P897" s="40" t="n">
        <f aca="true">RAND()</f>
        <v>0.983509373441132</v>
      </c>
      <c r="Q897" s="40" t="n">
        <f aca="true">RAND()</f>
        <v>0.0991840974816585</v>
      </c>
      <c r="R897" s="40" t="n">
        <f aca="true">RAND()</f>
        <v>0.776982077008763</v>
      </c>
      <c r="S897" s="40" t="n">
        <f aca="true">RAND()</f>
        <v>0.561173961838316</v>
      </c>
      <c r="T897" s="40" t="n">
        <f aca="true">RAND()</f>
        <v>0.413730589578233</v>
      </c>
      <c r="U897" s="40" t="n">
        <f aca="true">RAND()</f>
        <v>0.850664855632559</v>
      </c>
    </row>
    <row r="898" customFormat="false" ht="15" hidden="false" customHeight="false" outlineLevel="0" collapsed="false">
      <c r="A898" s="36" t="n">
        <v>818</v>
      </c>
      <c r="B898" s="37" t="n">
        <f aca="false">1+IF($G$6=$E$6,$F$6,IF(P898&lt;($F$6-$E$6)/($G$6-$E$6),$E$6+SQRT(P898*($G$6-$E$6)*($F$6-$E$6)),$G$6-SQRT((1-P898)*($G$6-$E$6)*($G$6-$F$6))))</f>
        <v>0.989314038769562</v>
      </c>
      <c r="C898" s="37" t="n">
        <f aca="false">1+IF($G$7=$E$7,$F$7,IF(Q898&lt;($F$7-$E$7)/($G$7-$E$7),$E$7+SQRT(Q898*($G$7-$E$7)*($F$7-$E$7)),$G$7-SQRT((1-Q898)*($G$7-$E$7)*($G$7-$F$7))))</f>
        <v>0.958221375331541</v>
      </c>
      <c r="D898" s="37" t="n">
        <f aca="false">1+IF($G$8=$E$8,$F$8,IF(R898&lt;($F$8-$E$8)/($G$8-$E$8),$E$8+SQRT(R898*($G$8-$E$8)*($F$8-$E$8)),$G$8-SQRT((1-R898)*($G$8-$E$8)*($G$8-$F$8))))</f>
        <v>0.998995670977687</v>
      </c>
      <c r="E898" s="37" t="n">
        <f aca="false">1+IF($G$9=$E$9,$F$9,IF(S898&lt;($F$9-$E$9)/($G$9-$E$9),$E$9+SQRT(S898*($G$9-$E$9)*($F$9-$E$9)),$G$9-SQRT((1-S898)*($G$9-$E$9)*($G$9-$F$9))))</f>
        <v>0.993225676497673</v>
      </c>
      <c r="F898" s="37" t="n">
        <f aca="false">1+IF($G$10=$E$10,$F$10,IF(T898&lt;($F$10-$E$10)/($G$10-$E$10),$E$10+SQRT(T898*($G$10-$E$10)*($F$10-$E$10)),$G$10-SQRT((1-T898)*($G$10-$E$10)*($G$10-$F$10))))</f>
        <v>1.07501753154532</v>
      </c>
      <c r="G898" s="38" t="n">
        <f aca="false">IF($G$11=$E$11,$F$11,IF(U898&lt;($F$11-$E$11)/($G$11-$E$11),$E$11+SQRT(U898*($G$11-$E$11)*($F$11-$E$11)),$G$11-SQRT((1-U898)*($G$11-$E$11)*($G$11-$F$11))))</f>
        <v>0.0948249700306422</v>
      </c>
      <c r="H898" s="39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-2150035063.09064</v>
      </c>
      <c r="I898" s="39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-11456457.0584363</v>
      </c>
      <c r="J898" s="39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274968909.799168</v>
      </c>
      <c r="K898" s="39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615145153.234038</v>
      </c>
      <c r="L898" s="39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743382528.562266</v>
      </c>
      <c r="M898" s="39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923574920.295243</v>
      </c>
      <c r="N898" s="39" t="n">
        <f aca="false">IF(COUNT('Business Case'!B11:G11)=0,"",H898+NPV(G898,I898:M898))</f>
        <v>-357788442.261073</v>
      </c>
      <c r="P898" s="40" t="n">
        <f aca="true">RAND()</f>
        <v>0.531799834755385</v>
      </c>
      <c r="Q898" s="40" t="n">
        <f aca="true">RAND()</f>
        <v>0.493913175393427</v>
      </c>
      <c r="R898" s="40" t="n">
        <f aca="true">RAND()</f>
        <v>0.3200767699405</v>
      </c>
      <c r="S898" s="40" t="n">
        <f aca="true">RAND()</f>
        <v>0.347641070337954</v>
      </c>
      <c r="T898" s="40" t="n">
        <f aca="true">RAND()</f>
        <v>0.591748476446752</v>
      </c>
      <c r="U898" s="40" t="n">
        <f aca="true">RAND()</f>
        <v>0.219779736409439</v>
      </c>
    </row>
    <row r="899" customFormat="false" ht="15" hidden="false" customHeight="false" outlineLevel="0" collapsed="false">
      <c r="A899" s="36" t="n">
        <v>819</v>
      </c>
      <c r="B899" s="37" t="n">
        <f aca="false">1+IF($G$6=$E$6,$F$6,IF(P899&lt;($F$6-$E$6)/($G$6-$E$6),$E$6+SQRT(P899*($G$6-$E$6)*($F$6-$E$6)),$G$6-SQRT((1-P899)*($G$6-$E$6)*($G$6-$F$6))))</f>
        <v>1.00064977245234</v>
      </c>
      <c r="C899" s="37" t="n">
        <f aca="false">1+IF($G$7=$E$7,$F$7,IF(Q899&lt;($F$7-$E$7)/($G$7-$E$7),$E$7+SQRT(Q899*($G$7-$E$7)*($F$7-$E$7)),$G$7-SQRT((1-Q899)*($G$7-$E$7)*($G$7-$F$7))))</f>
        <v>1.0376684546486</v>
      </c>
      <c r="D899" s="37" t="n">
        <f aca="false">1+IF($G$8=$E$8,$F$8,IF(R899&lt;($F$8-$E$8)/($G$8-$E$8),$E$8+SQRT(R899*($G$8-$E$8)*($F$8-$E$8)),$G$8-SQRT((1-R899)*($G$8-$E$8)*($G$8-$F$8))))</f>
        <v>1.03524370417786</v>
      </c>
      <c r="E899" s="37" t="n">
        <f aca="false">1+IF($G$9=$E$9,$F$9,IF(S899&lt;($F$9-$E$9)/($G$9-$E$9),$E$9+SQRT(S899*($G$9-$E$9)*($F$9-$E$9)),$G$9-SQRT((1-S899)*($G$9-$E$9)*($G$9-$F$9))))</f>
        <v>1.0038266122471</v>
      </c>
      <c r="F899" s="37" t="n">
        <f aca="false">1+IF($G$10=$E$10,$F$10,IF(T899&lt;($F$10-$E$10)/($G$10-$E$10),$E$10+SQRT(T899*($G$10-$E$10)*($F$10-$E$10)),$G$10-SQRT((1-T899)*($G$10-$E$10)*($G$10-$F$10))))</f>
        <v>0.999181796281419</v>
      </c>
      <c r="G899" s="38" t="n">
        <f aca="false">IF($G$11=$E$11,$F$11,IF(U899&lt;($F$11-$E$11)/($G$11-$E$11),$E$11+SQRT(U899*($G$11-$E$11)*($F$11-$E$11)),$G$11-SQRT((1-U899)*($G$11-$E$11)*($G$11-$F$11))))</f>
        <v>0.0993721673030449</v>
      </c>
      <c r="H899" s="39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-1998363592.56284</v>
      </c>
      <c r="I899" s="39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4062619.85059473</v>
      </c>
      <c r="J899" s="39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304615249.31569</v>
      </c>
      <c r="K899" s="39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655126968.594856</v>
      </c>
      <c r="L899" s="39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791196302.233102</v>
      </c>
      <c r="M899" s="39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988564483.224112</v>
      </c>
      <c r="N899" s="39" t="n">
        <f aca="false">IF(COUNT('Business Case'!B11:G11)=0,"",H899+NPV(G899,I899:M899))</f>
        <v>-92373381.8710852</v>
      </c>
      <c r="P899" s="40" t="n">
        <f aca="true">RAND()</f>
        <v>0.675274005465951</v>
      </c>
      <c r="Q899" s="40" t="n">
        <f aca="true">RAND()</f>
        <v>0.813061095095783</v>
      </c>
      <c r="R899" s="40" t="n">
        <f aca="true">RAND()</f>
        <v>0.720441476759681</v>
      </c>
      <c r="S899" s="40" t="n">
        <f aca="true">RAND()</f>
        <v>0.430222419009082</v>
      </c>
      <c r="T899" s="40" t="n">
        <f aca="true">RAND()</f>
        <v>0.161256605697797</v>
      </c>
      <c r="U899" s="40" t="n">
        <f aca="true">RAND()</f>
        <v>0.375280866017162</v>
      </c>
    </row>
    <row r="900" customFormat="false" ht="15" hidden="false" customHeight="false" outlineLevel="0" collapsed="false">
      <c r="A900" s="36" t="n">
        <v>820</v>
      </c>
      <c r="B900" s="37" t="n">
        <f aca="false">1+IF($G$6=$E$6,$F$6,IF(P900&lt;($F$6-$E$6)/($G$6-$E$6),$E$6+SQRT(P900*($G$6-$E$6)*($F$6-$E$6)),$G$6-SQRT((1-P900)*($G$6-$E$6)*($G$6-$F$6))))</f>
        <v>0.999843196983007</v>
      </c>
      <c r="C900" s="37" t="n">
        <f aca="false">1+IF($G$7=$E$7,$F$7,IF(Q900&lt;($F$7-$E$7)/($G$7-$E$7),$E$7+SQRT(Q900*($G$7-$E$7)*($F$7-$E$7)),$G$7-SQRT((1-Q900)*($G$7-$E$7)*($G$7-$F$7))))</f>
        <v>1.01366311603472</v>
      </c>
      <c r="D900" s="37" t="n">
        <f aca="false">1+IF($G$8=$E$8,$F$8,IF(R900&lt;($F$8-$E$8)/($G$8-$E$8),$E$8+SQRT(R900*($G$8-$E$8)*($F$8-$E$8)),$G$8-SQRT((1-R900)*($G$8-$E$8)*($G$8-$F$8))))</f>
        <v>1.03751954656624</v>
      </c>
      <c r="E900" s="37" t="n">
        <f aca="false">1+IF($G$9=$E$9,$F$9,IF(S900&lt;($F$9-$E$9)/($G$9-$E$9),$E$9+SQRT(S900*($G$9-$E$9)*($F$9-$E$9)),$G$9-SQRT((1-S900)*($G$9-$E$9)*($G$9-$F$9))))</f>
        <v>1.00680751996991</v>
      </c>
      <c r="F900" s="37" t="n">
        <f aca="false">1+IF($G$10=$E$10,$F$10,IF(T900&lt;($F$10-$E$10)/($G$10-$E$10),$E$10+SQRT(T900*($G$10-$E$10)*($F$10-$E$10)),$G$10-SQRT((1-T900)*($G$10-$E$10)*($G$10-$F$10))))</f>
        <v>1.02557585263714</v>
      </c>
      <c r="G900" s="38" t="n">
        <f aca="false">IF($G$11=$E$11,$F$11,IF(U900&lt;($F$11-$E$11)/($G$11-$E$11),$E$11+SQRT(U900*($G$11-$E$11)*($F$11-$E$11)),$G$11-SQRT((1-U900)*($G$11-$E$11)*($G$11-$F$11))))</f>
        <v>0.0942478636302001</v>
      </c>
      <c r="H900" s="39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-2051151705.27427</v>
      </c>
      <c r="I900" s="39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-6516638.97986481</v>
      </c>
      <c r="J900" s="39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285232392.847604</v>
      </c>
      <c r="K900" s="39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628260217.306931</v>
      </c>
      <c r="L900" s="39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760536598.718687</v>
      </c>
      <c r="M900" s="39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953183471.466318</v>
      </c>
      <c r="N900" s="39" t="n">
        <f aca="false">IF(COUNT('Business Case'!B11:G11)=0,"",H900+NPV(G900,I900:M900))</f>
        <v>-201350780.571679</v>
      </c>
      <c r="P900" s="40" t="n">
        <f aca="true">RAND()</f>
        <v>0.664577598919167</v>
      </c>
      <c r="Q900" s="40" t="n">
        <f aca="true">RAND()</f>
        <v>0.724625986231679</v>
      </c>
      <c r="R900" s="40" t="n">
        <f aca="true">RAND()</f>
        <v>0.739746195914112</v>
      </c>
      <c r="S900" s="40" t="n">
        <f aca="true">RAND()</f>
        <v>0.45322436434218</v>
      </c>
      <c r="T900" s="40" t="n">
        <f aca="true">RAND()</f>
        <v>0.328450694406024</v>
      </c>
      <c r="U900" s="40" t="n">
        <f aca="true">RAND()</f>
        <v>0.20300161802478</v>
      </c>
    </row>
    <row r="901" customFormat="false" ht="15" hidden="false" customHeight="false" outlineLevel="0" collapsed="false">
      <c r="A901" s="36" t="n">
        <v>821</v>
      </c>
      <c r="B901" s="37" t="n">
        <f aca="false">1+IF($G$6=$E$6,$F$6,IF(P901&lt;($F$6-$E$6)/($G$6-$E$6),$E$6+SQRT(P901*($G$6-$E$6)*($F$6-$E$6)),$G$6-SQRT((1-P901)*($G$6-$E$6)*($G$6-$F$6))))</f>
        <v>1.02670433456348</v>
      </c>
      <c r="C901" s="37" t="n">
        <f aca="false">1+IF($G$7=$E$7,$F$7,IF(Q901&lt;($F$7-$E$7)/($G$7-$E$7),$E$7+SQRT(Q901*($G$7-$E$7)*($F$7-$E$7)),$G$7-SQRT((1-Q901)*($G$7-$E$7)*($G$7-$F$7))))</f>
        <v>0.793093286770864</v>
      </c>
      <c r="D901" s="37" t="n">
        <f aca="false">1+IF($G$8=$E$8,$F$8,IF(R901&lt;($F$8-$E$8)/($G$8-$E$8),$E$8+SQRT(R901*($G$8-$E$8)*($F$8-$E$8)),$G$8-SQRT((1-R901)*($G$8-$E$8)*($G$8-$F$8))))</f>
        <v>0.955577316879037</v>
      </c>
      <c r="E901" s="37" t="n">
        <f aca="false">1+IF($G$9=$E$9,$F$9,IF(S901&lt;($F$9-$E$9)/($G$9-$E$9),$E$9+SQRT(S901*($G$9-$E$9)*($F$9-$E$9)),$G$9-SQRT((1-S901)*($G$9-$E$9)*($G$9-$F$9))))</f>
        <v>1.08508191349625</v>
      </c>
      <c r="F901" s="37" t="n">
        <f aca="false">1+IF($G$10=$E$10,$F$10,IF(T901&lt;($F$10-$E$10)/($G$10-$E$10),$E$10+SQRT(T901*($G$10-$E$10)*($F$10-$E$10)),$G$10-SQRT((1-T901)*($G$10-$E$10)*($G$10-$F$10))))</f>
        <v>1.00797215714882</v>
      </c>
      <c r="G901" s="38" t="n">
        <f aca="false">IF($G$11=$E$11,$F$11,IF(U901&lt;($F$11-$E$11)/($G$11-$E$11),$E$11+SQRT(U901*($G$11-$E$11)*($F$11-$E$11)),$G$11-SQRT((1-U901)*($G$11-$E$11)*($G$11-$F$11))))</f>
        <v>0.119432427714985</v>
      </c>
      <c r="H901" s="39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-2015944314.29763</v>
      </c>
      <c r="I901" s="39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-18324778.854512</v>
      </c>
      <c r="J901" s="39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260658182.92711</v>
      </c>
      <c r="K901" s="39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590039752.566174</v>
      </c>
      <c r="L901" s="39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711175324.374771</v>
      </c>
      <c r="M901" s="39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865952206.055751</v>
      </c>
      <c r="N901" s="39" t="n">
        <f aca="false">IF(COUNT('Business Case'!B11:G11)=0,"",H901+NPV(G901,I901:M901))</f>
        <v>-458196827.343871</v>
      </c>
      <c r="P901" s="40" t="n">
        <f aca="true">RAND()</f>
        <v>0.927641596249302</v>
      </c>
      <c r="Q901" s="40" t="n">
        <f aca="true">RAND()</f>
        <v>0.0641952595689056</v>
      </c>
      <c r="R901" s="40" t="n">
        <f aca="true">RAND()</f>
        <v>0.00414752847589149</v>
      </c>
      <c r="S901" s="40" t="n">
        <f aca="true">RAND()</f>
        <v>0.887617121191794</v>
      </c>
      <c r="T901" s="40" t="n">
        <f aca="true">RAND()</f>
        <v>0.218966977130699</v>
      </c>
      <c r="U901" s="40" t="n">
        <f aca="true">RAND()</f>
        <v>0.925550944000658</v>
      </c>
    </row>
    <row r="902" customFormat="false" ht="15" hidden="false" customHeight="false" outlineLevel="0" collapsed="false">
      <c r="A902" s="36" t="n">
        <v>822</v>
      </c>
      <c r="B902" s="37" t="n">
        <f aca="false">1+IF($G$6=$E$6,$F$6,IF(P902&lt;($F$6-$E$6)/($G$6-$E$6),$E$6+SQRT(P902*($G$6-$E$6)*($F$6-$E$6)),$G$6-SQRT((1-P902)*($G$6-$E$6)*($G$6-$F$6))))</f>
        <v>0.969923554354044</v>
      </c>
      <c r="C902" s="37" t="n">
        <f aca="false">1+IF($G$7=$E$7,$F$7,IF(Q902&lt;($F$7-$E$7)/($G$7-$E$7),$E$7+SQRT(Q902*($G$7-$E$7)*($F$7-$E$7)),$G$7-SQRT((1-Q902)*($G$7-$E$7)*($G$7-$F$7))))</f>
        <v>0.901573447864322</v>
      </c>
      <c r="D902" s="37" t="n">
        <f aca="false">1+IF($G$8=$E$8,$F$8,IF(R902&lt;($F$8-$E$8)/($G$8-$E$8),$E$8+SQRT(R902*($G$8-$E$8)*($F$8-$E$8)),$G$8-SQRT((1-R902)*($G$8-$E$8)*($G$8-$F$8))))</f>
        <v>0.95891821708564</v>
      </c>
      <c r="E902" s="37" t="n">
        <f aca="false">1+IF($G$9=$E$9,$F$9,IF(S902&lt;($F$9-$E$9)/($G$9-$E$9),$E$9+SQRT(S902*($G$9-$E$9)*($F$9-$E$9)),$G$9-SQRT((1-S902)*($G$9-$E$9)*($G$9-$F$9))))</f>
        <v>0.955592530621782</v>
      </c>
      <c r="F902" s="37" t="n">
        <f aca="false">1+IF($G$10=$E$10,$F$10,IF(T902&lt;($F$10-$E$10)/($G$10-$E$10),$E$10+SQRT(T902*($G$10-$E$10)*($F$10-$E$10)),$G$10-SQRT((1-T902)*($G$10-$E$10)*($G$10-$F$10))))</f>
        <v>1.16572311955904</v>
      </c>
      <c r="G902" s="38" t="n">
        <f aca="false">IF($G$11=$E$11,$F$11,IF(U902&lt;($F$11-$E$11)/($G$11-$E$11),$E$11+SQRT(U902*($G$11-$E$11)*($F$11-$E$11)),$G$11-SQRT((1-U902)*($G$11-$E$11)*($G$11-$F$11))))</f>
        <v>0.0890756898844172</v>
      </c>
      <c r="H902" s="39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-2331446239.11807</v>
      </c>
      <c r="I902" s="39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-24118790.142463</v>
      </c>
      <c r="J902" s="39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249551857.153022</v>
      </c>
      <c r="K902" s="39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581508660.426459</v>
      </c>
      <c r="L902" s="39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702953454.610039</v>
      </c>
      <c r="M902" s="39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869170302.578004</v>
      </c>
      <c r="N902" s="39" t="n">
        <f aca="false">IF(COUNT('Business Case'!B11:G11)=0,"",H902+NPV(G902,I902:M902))</f>
        <v>-626032196.326953</v>
      </c>
      <c r="P902" s="40" t="n">
        <f aca="true">RAND()</f>
        <v>0.325953563566863</v>
      </c>
      <c r="Q902" s="40" t="n">
        <f aca="true">RAND()</f>
        <v>0.300976702843781</v>
      </c>
      <c r="R902" s="40" t="n">
        <f aca="true">RAND()</f>
        <v>0.0106046127982133</v>
      </c>
      <c r="S902" s="40" t="n">
        <f aca="true">RAND()</f>
        <v>0.123621178437351</v>
      </c>
      <c r="T902" s="40" t="n">
        <f aca="true">RAND()</f>
        <v>0.905298765641862</v>
      </c>
      <c r="U902" s="40" t="n">
        <f aca="true">RAND()</f>
        <v>0.0823681468781129</v>
      </c>
    </row>
    <row r="903" customFormat="false" ht="15" hidden="false" customHeight="false" outlineLevel="0" collapsed="false">
      <c r="A903" s="36" t="n">
        <v>823</v>
      </c>
      <c r="B903" s="37" t="n">
        <f aca="false">1+IF($G$6=$E$6,$F$6,IF(P903&lt;($F$6-$E$6)/($G$6-$E$6),$E$6+SQRT(P903*($G$6-$E$6)*($F$6-$E$6)),$G$6-SQRT((1-P903)*($G$6-$E$6)*($G$6-$F$6))))</f>
        <v>0.989168338307129</v>
      </c>
      <c r="C903" s="37" t="n">
        <f aca="false">1+IF($G$7=$E$7,$F$7,IF(Q903&lt;($F$7-$E$7)/($G$7-$E$7),$E$7+SQRT(Q903*($G$7-$E$7)*($F$7-$E$7)),$G$7-SQRT((1-Q903)*($G$7-$E$7)*($G$7-$F$7))))</f>
        <v>1.12202562828282</v>
      </c>
      <c r="D903" s="37" t="n">
        <f aca="false">1+IF($G$8=$E$8,$F$8,IF(R903&lt;($F$8-$E$8)/($G$8-$E$8),$E$8+SQRT(R903*($G$8-$E$8)*($F$8-$E$8)),$G$8-SQRT((1-R903)*($G$8-$E$8)*($G$8-$F$8))))</f>
        <v>1.05851492733861</v>
      </c>
      <c r="E903" s="37" t="n">
        <f aca="false">1+IF($G$9=$E$9,$F$9,IF(S903&lt;($F$9-$E$9)/($G$9-$E$9),$E$9+SQRT(S903*($G$9-$E$9)*($F$9-$E$9)),$G$9-SQRT((1-S903)*($G$9-$E$9)*($G$9-$F$9))))</f>
        <v>1.06889309902111</v>
      </c>
      <c r="F903" s="37" t="n">
        <f aca="false">1+IF($G$10=$E$10,$F$10,IF(T903&lt;($F$10-$E$10)/($G$10-$E$10),$E$10+SQRT(T903*($G$10-$E$10)*($F$10-$E$10)),$G$10-SQRT((1-T903)*($G$10-$E$10)*($G$10-$F$10))))</f>
        <v>1.00100468906725</v>
      </c>
      <c r="G903" s="38" t="n">
        <f aca="false">IF($G$11=$E$11,$F$11,IF(U903&lt;($F$11-$E$11)/($G$11-$E$11),$E$11+SQRT(U903*($G$11-$E$11)*($F$11-$E$11)),$G$11-SQRT((1-U903)*($G$11-$E$11)*($G$11-$F$11))))</f>
        <v>0.110192443847648</v>
      </c>
      <c r="H903" s="39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-2002009378.1345</v>
      </c>
      <c r="I903" s="39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-8565173.9281458</v>
      </c>
      <c r="J903" s="39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292502495.940892</v>
      </c>
      <c r="K903" s="39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643620400.263294</v>
      </c>
      <c r="L903" s="39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782333474.359411</v>
      </c>
      <c r="M903" s="39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993297987.128152</v>
      </c>
      <c r="N903" s="39" t="n">
        <f aca="false">IF(COUNT('Business Case'!B11:G11)=0,"",H903+NPV(G903,I903:M903))</f>
        <v>-198086781.986067</v>
      </c>
      <c r="P903" s="40" t="n">
        <f aca="true">RAND()</f>
        <v>0.530066170430303</v>
      </c>
      <c r="Q903" s="40" t="n">
        <f aca="true">RAND()</f>
        <v>0.988406437437467</v>
      </c>
      <c r="R903" s="40" t="n">
        <f aca="true">RAND()</f>
        <v>0.885265916418628</v>
      </c>
      <c r="S903" s="40" t="n">
        <f aca="true">RAND()</f>
        <v>0.824577883029367</v>
      </c>
      <c r="T903" s="40" t="n">
        <f aca="true">RAND()</f>
        <v>0.173351135113362</v>
      </c>
      <c r="U903" s="40" t="n">
        <f aca="true">RAND()</f>
        <v>0.738440479514281</v>
      </c>
    </row>
    <row r="904" customFormat="false" ht="15" hidden="false" customHeight="false" outlineLevel="0" collapsed="false">
      <c r="A904" s="36" t="n">
        <v>824</v>
      </c>
      <c r="B904" s="37" t="n">
        <f aca="false">1+IF($G$6=$E$6,$F$6,IF(P904&lt;($F$6-$E$6)/($G$6-$E$6),$E$6+SQRT(P904*($G$6-$E$6)*($F$6-$E$6)),$G$6-SQRT((1-P904)*($G$6-$E$6)*($G$6-$F$6))))</f>
        <v>1.00893154931293</v>
      </c>
      <c r="C904" s="37" t="n">
        <f aca="false">1+IF($G$7=$E$7,$F$7,IF(Q904&lt;($F$7-$E$7)/($G$7-$E$7),$E$7+SQRT(Q904*($G$7-$E$7)*($F$7-$E$7)),$G$7-SQRT((1-Q904)*($G$7-$E$7)*($G$7-$F$7))))</f>
        <v>1.06030049570836</v>
      </c>
      <c r="D904" s="37" t="n">
        <f aca="false">1+IF($G$8=$E$8,$F$8,IF(R904&lt;($F$8-$E$8)/($G$8-$E$8),$E$8+SQRT(R904*($G$8-$E$8)*($F$8-$E$8)),$G$8-SQRT((1-R904)*($G$8-$E$8)*($G$8-$F$8))))</f>
        <v>1.09171137916093</v>
      </c>
      <c r="E904" s="37" t="n">
        <f aca="false">1+IF($G$9=$E$9,$F$9,IF(S904&lt;($F$9-$E$9)/($G$9-$E$9),$E$9+SQRT(S904*($G$9-$E$9)*($F$9-$E$9)),$G$9-SQRT((1-S904)*($G$9-$E$9)*($G$9-$F$9))))</f>
        <v>1.05142958231596</v>
      </c>
      <c r="F904" s="37" t="n">
        <f aca="false">1+IF($G$10=$E$10,$F$10,IF(T904&lt;($F$10-$E$10)/($G$10-$E$10),$E$10+SQRT(T904*($G$10-$E$10)*($F$10-$E$10)),$G$10-SQRT((1-T904)*($G$10-$E$10)*($G$10-$F$10))))</f>
        <v>1.05638990966508</v>
      </c>
      <c r="G904" s="38" t="n">
        <f aca="false">IF($G$11=$E$11,$F$11,IF(U904&lt;($F$11-$E$11)/($G$11-$E$11),$E$11+SQRT(U904*($G$11-$E$11)*($F$11-$E$11)),$G$11-SQRT((1-U904)*($G$11-$E$11)*($G$11-$F$11))))</f>
        <v>0.0863345265777349</v>
      </c>
      <c r="H904" s="39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-2112779819.33016</v>
      </c>
      <c r="I904" s="39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-26958984.0875226</v>
      </c>
      <c r="J904" s="39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256691218.434652</v>
      </c>
      <c r="K904" s="39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593160916.440081</v>
      </c>
      <c r="L904" s="39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724682256.63938</v>
      </c>
      <c r="M904" s="39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928024256.444866</v>
      </c>
      <c r="N904" s="39" t="n">
        <f aca="false">IF(COUNT('Business Case'!B11:G11)=0,"",H904+NPV(G904,I904:M904))</f>
        <v>-323658892.142009</v>
      </c>
      <c r="P904" s="40" t="n">
        <f aca="true">RAND()</f>
        <v>0.775117647755159</v>
      </c>
      <c r="Q904" s="40" t="n">
        <f aca="true">RAND()</f>
        <v>0.880799984145679</v>
      </c>
      <c r="R904" s="40" t="n">
        <f aca="true">RAND()</f>
        <v>0.995419917639079</v>
      </c>
      <c r="S904" s="40" t="n">
        <f aca="true">RAND()</f>
        <v>0.74090327353584</v>
      </c>
      <c r="T904" s="40" t="n">
        <f aca="true">RAND()</f>
        <v>0.500201772273393</v>
      </c>
      <c r="U904" s="40" t="n">
        <f aca="true">RAND()</f>
        <v>0.0401262269640293</v>
      </c>
    </row>
    <row r="905" customFormat="false" ht="15" hidden="false" customHeight="false" outlineLevel="0" collapsed="false">
      <c r="A905" s="36" t="n">
        <v>825</v>
      </c>
      <c r="B905" s="37" t="n">
        <f aca="false">1+IF($G$6=$E$6,$F$6,IF(P905&lt;($F$6-$E$6)/($G$6-$E$6),$E$6+SQRT(P905*($G$6-$E$6)*($F$6-$E$6)),$G$6-SQRT((1-P905)*($G$6-$E$6)*($G$6-$F$6))))</f>
        <v>0.94019851606087</v>
      </c>
      <c r="C905" s="37" t="n">
        <f aca="false">1+IF($G$7=$E$7,$F$7,IF(Q905&lt;($F$7-$E$7)/($G$7-$E$7),$E$7+SQRT(Q905*($G$7-$E$7)*($F$7-$E$7)),$G$7-SQRT((1-Q905)*($G$7-$E$7)*($G$7-$F$7))))</f>
        <v>0.871722443270692</v>
      </c>
      <c r="D905" s="37" t="n">
        <f aca="false">1+IF($G$8=$E$8,$F$8,IF(R905&lt;($F$8-$E$8)/($G$8-$E$8),$E$8+SQRT(R905*($G$8-$E$8)*($F$8-$E$8)),$G$8-SQRT((1-R905)*($G$8-$E$8)*($G$8-$F$8))))</f>
        <v>1.02043664059433</v>
      </c>
      <c r="E905" s="37" t="n">
        <f aca="false">1+IF($G$9=$E$9,$F$9,IF(S905&lt;($F$9-$E$9)/($G$9-$E$9),$E$9+SQRT(S905*($G$9-$E$9)*($F$9-$E$9)),$G$9-SQRT((1-S905)*($G$9-$E$9)*($G$9-$F$9))))</f>
        <v>1.09966336161529</v>
      </c>
      <c r="F905" s="37" t="n">
        <f aca="false">1+IF($G$10=$E$10,$F$10,IF(T905&lt;($F$10-$E$10)/($G$10-$E$10),$E$10+SQRT(T905*($G$10-$E$10)*($F$10-$E$10)),$G$10-SQRT((1-T905)*($G$10-$E$10)*($G$10-$F$10))))</f>
        <v>1.15492639441211</v>
      </c>
      <c r="G905" s="38" t="n">
        <f aca="false">IF($G$11=$E$11,$F$11,IF(U905&lt;($F$11-$E$11)/($G$11-$E$11),$E$11+SQRT(U905*($G$11-$E$11)*($F$11-$E$11)),$G$11-SQRT((1-U905)*($G$11-$E$11)*($G$11-$F$11))))</f>
        <v>0.10230158841431</v>
      </c>
      <c r="H905" s="39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-2309852788.82421</v>
      </c>
      <c r="I905" s="39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-98419494.9184529</v>
      </c>
      <c r="J905" s="39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117513436.55655</v>
      </c>
      <c r="K905" s="39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391192687.752158</v>
      </c>
      <c r="L905" s="39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491495436.197526</v>
      </c>
      <c r="M905" s="39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647283511.609544</v>
      </c>
      <c r="N905" s="39" t="n">
        <f aca="false">IF(COUNT('Business Case'!B11:G11)=0,"",H905+NPV(G905,I905:M905))</f>
        <v>-1279716446.37231</v>
      </c>
      <c r="P905" s="40" t="n">
        <f aca="true">RAND()</f>
        <v>0.107728046233065</v>
      </c>
      <c r="Q905" s="40" t="n">
        <f aca="true">RAND()</f>
        <v>0.218434055724859</v>
      </c>
      <c r="R905" s="40" t="n">
        <f aca="true">RAND()</f>
        <v>0.577978122672287</v>
      </c>
      <c r="S905" s="40" t="n">
        <f aca="true">RAND()</f>
        <v>0.932432608963393</v>
      </c>
      <c r="T905" s="40" t="n">
        <f aca="true">RAND()</f>
        <v>0.879480126940238</v>
      </c>
      <c r="U905" s="40" t="n">
        <f aca="true">RAND()</f>
        <v>0.48853199708647</v>
      </c>
    </row>
    <row r="906" customFormat="false" ht="15" hidden="false" customHeight="false" outlineLevel="0" collapsed="false">
      <c r="A906" s="36" t="n">
        <v>826</v>
      </c>
      <c r="B906" s="37" t="n">
        <f aca="false">1+IF($G$6=$E$6,$F$6,IF(P906&lt;($F$6-$E$6)/($G$6-$E$6),$E$6+SQRT(P906*($G$6-$E$6)*($F$6-$E$6)),$G$6-SQRT((1-P906)*($G$6-$E$6)*($G$6-$F$6))))</f>
        <v>0.939568265987592</v>
      </c>
      <c r="C906" s="37" t="n">
        <f aca="false">1+IF($G$7=$E$7,$F$7,IF(Q906&lt;($F$7-$E$7)/($G$7-$E$7),$E$7+SQRT(Q906*($G$7-$E$7)*($F$7-$E$7)),$G$7-SQRT((1-Q906)*($G$7-$E$7)*($G$7-$F$7))))</f>
        <v>0.96427536580426</v>
      </c>
      <c r="D906" s="37" t="n">
        <f aca="false">1+IF($G$8=$E$8,$F$8,IF(R906&lt;($F$8-$E$8)/($G$8-$E$8),$E$8+SQRT(R906*($G$8-$E$8)*($F$8-$E$8)),$G$8-SQRT((1-R906)*($G$8-$E$8)*($G$8-$F$8))))</f>
        <v>0.995717640336886</v>
      </c>
      <c r="E906" s="37" t="n">
        <f aca="false">1+IF($G$9=$E$9,$F$9,IF(S906&lt;($F$9-$E$9)/($G$9-$E$9),$E$9+SQRT(S906*($G$9-$E$9)*($F$9-$E$9)),$G$9-SQRT((1-S906)*($G$9-$E$9)*($G$9-$F$9))))</f>
        <v>0.963331855342815</v>
      </c>
      <c r="F906" s="37" t="n">
        <f aca="false">1+IF($G$10=$E$10,$F$10,IF(T906&lt;($F$10-$E$10)/($G$10-$E$10),$E$10+SQRT(T906*($G$10-$E$10)*($F$10-$E$10)),$G$10-SQRT((1-T906)*($G$10-$E$10)*($G$10-$F$10))))</f>
        <v>0.987055415925769</v>
      </c>
      <c r="G906" s="38" t="n">
        <f aca="false">IF($G$11=$E$11,$F$11,IF(U906&lt;($F$11-$E$11)/($G$11-$E$11),$E$11+SQRT(U906*($G$11-$E$11)*($F$11-$E$11)),$G$11-SQRT((1-U906)*($G$11-$E$11)*($G$11-$F$11))))</f>
        <v>0.104393447882743</v>
      </c>
      <c r="H906" s="39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-1974110831.85154</v>
      </c>
      <c r="I906" s="39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-32095131.8895559</v>
      </c>
      <c r="J906" s="39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218468238.973802</v>
      </c>
      <c r="K906" s="39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518384380.633447</v>
      </c>
      <c r="L906" s="39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633216951.808292</v>
      </c>
      <c r="M906" s="39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805429913.353782</v>
      </c>
      <c r="N906" s="39" t="n">
        <f aca="false">IF(COUNT('Business Case'!B11:G11)=0,"",H906+NPV(G906,I906:M906))</f>
        <v>-523318940.856616</v>
      </c>
      <c r="P906" s="40" t="n">
        <f aca="true">RAND()</f>
        <v>0.104376511550989</v>
      </c>
      <c r="Q906" s="40" t="n">
        <f aca="true">RAND()</f>
        <v>0.517344214599819</v>
      </c>
      <c r="R906" s="40" t="n">
        <f aca="true">RAND()</f>
        <v>0.278680351729711</v>
      </c>
      <c r="S906" s="40" t="n">
        <f aca="true">RAND()</f>
        <v>0.160436956046527</v>
      </c>
      <c r="T906" s="40" t="n">
        <f aca="true">RAND()</f>
        <v>0.0915402566287845</v>
      </c>
      <c r="U906" s="40" t="n">
        <f aca="true">RAND()</f>
        <v>0.562869659110794</v>
      </c>
    </row>
    <row r="907" customFormat="false" ht="15" hidden="false" customHeight="false" outlineLevel="0" collapsed="false">
      <c r="A907" s="36" t="n">
        <v>827</v>
      </c>
      <c r="B907" s="37" t="n">
        <f aca="false">1+IF($G$6=$E$6,$F$6,IF(P907&lt;($F$6-$E$6)/($G$6-$E$6),$E$6+SQRT(P907*($G$6-$E$6)*($F$6-$E$6)),$G$6-SQRT((1-P907)*($G$6-$E$6)*($G$6-$F$6))))</f>
        <v>0.969047883577668</v>
      </c>
      <c r="C907" s="37" t="n">
        <f aca="false">1+IF($G$7=$E$7,$F$7,IF(Q907&lt;($F$7-$E$7)/($G$7-$E$7),$E$7+SQRT(Q907*($G$7-$E$7)*($F$7-$E$7)),$G$7-SQRT((1-Q907)*($G$7-$E$7)*($G$7-$F$7))))</f>
        <v>0.937982841319048</v>
      </c>
      <c r="D907" s="37" t="n">
        <f aca="false">1+IF($G$8=$E$8,$F$8,IF(R907&lt;($F$8-$E$8)/($G$8-$E$8),$E$8+SQRT(R907*($G$8-$E$8)*($F$8-$E$8)),$G$8-SQRT((1-R907)*($G$8-$E$8)*($G$8-$F$8))))</f>
        <v>0.997730964310429</v>
      </c>
      <c r="E907" s="37" t="n">
        <f aca="false">1+IF($G$9=$E$9,$F$9,IF(S907&lt;($F$9-$E$9)/($G$9-$E$9),$E$9+SQRT(S907*($G$9-$E$9)*($F$9-$E$9)),$G$9-SQRT((1-S907)*($G$9-$E$9)*($G$9-$F$9))))</f>
        <v>1.05363497814033</v>
      </c>
      <c r="F907" s="37" t="n">
        <f aca="false">1+IF($G$10=$E$10,$F$10,IF(T907&lt;($F$10-$E$10)/($G$10-$E$10),$E$10+SQRT(T907*($G$10-$E$10)*($F$10-$E$10)),$G$10-SQRT((1-T907)*($G$10-$E$10)*($G$10-$F$10))))</f>
        <v>1.04072294021582</v>
      </c>
      <c r="G907" s="38" t="n">
        <f aca="false">IF($G$11=$E$11,$F$11,IF(U907&lt;($F$11-$E$11)/($G$11-$E$11),$E$11+SQRT(U907*($G$11-$E$11)*($F$11-$E$11)),$G$11-SQRT((1-U907)*($G$11-$E$11)*($G$11-$F$11))))</f>
        <v>0.10594497407127</v>
      </c>
      <c r="H907" s="39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-2081445880.43165</v>
      </c>
      <c r="I907" s="39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-35606089.4778738</v>
      </c>
      <c r="J907" s="39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229806991.846481</v>
      </c>
      <c r="K907" s="39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547256220.181626</v>
      </c>
      <c r="L907" s="39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667140569.215804</v>
      </c>
      <c r="M907" s="39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839913839.809136</v>
      </c>
      <c r="N907" s="39" t="n">
        <f aca="false">IF(COUNT('Business Case'!B11:G11)=0,"",H907+NPV(G907,I907:M907))</f>
        <v>-567587326.417714</v>
      </c>
      <c r="P907" s="40" t="n">
        <f aca="true">RAND()</f>
        <v>0.317840681770347</v>
      </c>
      <c r="Q907" s="40" t="n">
        <f aca="true">RAND()</f>
        <v>0.419524687128053</v>
      </c>
      <c r="R907" s="40" t="n">
        <f aca="true">RAND()</f>
        <v>0.30376599386712</v>
      </c>
      <c r="S907" s="40" t="n">
        <f aca="true">RAND()</f>
        <v>0.752367534986293</v>
      </c>
      <c r="T907" s="40" t="n">
        <f aca="true">RAND()</f>
        <v>0.416041496641204</v>
      </c>
      <c r="U907" s="40" t="n">
        <f aca="true">RAND()</f>
        <v>0.614237151712076</v>
      </c>
    </row>
    <row r="908" customFormat="false" ht="15" hidden="false" customHeight="false" outlineLevel="0" collapsed="false">
      <c r="A908" s="36" t="n">
        <v>828</v>
      </c>
      <c r="B908" s="37" t="n">
        <f aca="false">1+IF($G$6=$E$6,$F$6,IF(P908&lt;($F$6-$E$6)/($G$6-$E$6),$E$6+SQRT(P908*($G$6-$E$6)*($F$6-$E$6)),$G$6-SQRT((1-P908)*($G$6-$E$6)*($G$6-$F$6))))</f>
        <v>0.972582044734667</v>
      </c>
      <c r="C908" s="37" t="n">
        <f aca="false">1+IF($G$7=$E$7,$F$7,IF(Q908&lt;($F$7-$E$7)/($G$7-$E$7),$E$7+SQRT(Q908*($G$7-$E$7)*($F$7-$E$7)),$G$7-SQRT((1-Q908)*($G$7-$E$7)*($G$7-$F$7))))</f>
        <v>0.983560048859874</v>
      </c>
      <c r="D908" s="37" t="n">
        <f aca="false">1+IF($G$8=$E$8,$F$8,IF(R908&lt;($F$8-$E$8)/($G$8-$E$8),$E$8+SQRT(R908*($G$8-$E$8)*($F$8-$E$8)),$G$8-SQRT((1-R908)*($G$8-$E$8)*($G$8-$F$8))))</f>
        <v>0.987481486028204</v>
      </c>
      <c r="E908" s="37" t="n">
        <f aca="false">1+IF($G$9=$E$9,$F$9,IF(S908&lt;($F$9-$E$9)/($G$9-$E$9),$E$9+SQRT(S908*($G$9-$E$9)*($F$9-$E$9)),$G$9-SQRT((1-S908)*($G$9-$E$9)*($G$9-$F$9))))</f>
        <v>1.08219025654071</v>
      </c>
      <c r="F908" s="37" t="n">
        <f aca="false">1+IF($G$10=$E$10,$F$10,IF(T908&lt;($F$10-$E$10)/($G$10-$E$10),$E$10+SQRT(T908*($G$10-$E$10)*($F$10-$E$10)),$G$10-SQRT((1-T908)*($G$10-$E$10)*($G$10-$F$10))))</f>
        <v>1.06666879132538</v>
      </c>
      <c r="G908" s="38" t="n">
        <f aca="false">IF($G$11=$E$11,$F$11,IF(U908&lt;($F$11-$E$11)/($G$11-$E$11),$E$11+SQRT(U908*($G$11-$E$11)*($F$11-$E$11)),$G$11-SQRT((1-U908)*($G$11-$E$11)*($G$11-$F$11))))</f>
        <v>0.111912718338477</v>
      </c>
      <c r="H908" s="39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-2133337582.65076</v>
      </c>
      <c r="I908" s="39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-23826630.7546021</v>
      </c>
      <c r="J908" s="39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262490845.107325</v>
      </c>
      <c r="K908" s="39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602141760.535521</v>
      </c>
      <c r="L908" s="39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730640767.825431</v>
      </c>
      <c r="M908" s="39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912469935.506404</v>
      </c>
      <c r="N908" s="39" t="n">
        <f aca="false">IF(COUNT('Business Case'!B11:G11)=0,"",H908+NPV(G908,I908:M908))</f>
        <v>-489584798.533861</v>
      </c>
      <c r="P908" s="40" t="n">
        <f aca="true">RAND()</f>
        <v>0.351210214524344</v>
      </c>
      <c r="Q908" s="40" t="n">
        <f aca="true">RAND()</f>
        <v>0.595602231921584</v>
      </c>
      <c r="R908" s="40" t="n">
        <f aca="true">RAND()</f>
        <v>0.187314905984329</v>
      </c>
      <c r="S908" s="40" t="n">
        <f aca="true">RAND()</f>
        <v>0.877382365119604</v>
      </c>
      <c r="T908" s="40" t="n">
        <f aca="true">RAND()</f>
        <v>0.551862239012042</v>
      </c>
      <c r="U908" s="40" t="n">
        <f aca="true">RAND()</f>
        <v>0.781900161397814</v>
      </c>
    </row>
    <row r="909" customFormat="false" ht="15" hidden="false" customHeight="false" outlineLevel="0" collapsed="false">
      <c r="A909" s="36" t="n">
        <v>829</v>
      </c>
      <c r="B909" s="37" t="n">
        <f aca="false">1+IF($G$6=$E$6,$F$6,IF(P909&lt;($F$6-$E$6)/($G$6-$E$6),$E$6+SQRT(P909*($G$6-$E$6)*($F$6-$E$6)),$G$6-SQRT((1-P909)*($G$6-$E$6)*($G$6-$F$6))))</f>
        <v>0.96652938409699</v>
      </c>
      <c r="C909" s="37" t="n">
        <f aca="false">1+IF($G$7=$E$7,$F$7,IF(Q909&lt;($F$7-$E$7)/($G$7-$E$7),$E$7+SQRT(Q909*($G$7-$E$7)*($F$7-$E$7)),$G$7-SQRT((1-Q909)*($G$7-$E$7)*($G$7-$F$7))))</f>
        <v>1.05560215239886</v>
      </c>
      <c r="D909" s="37" t="n">
        <f aca="false">1+IF($G$8=$E$8,$F$8,IF(R909&lt;($F$8-$E$8)/($G$8-$E$8),$E$8+SQRT(R909*($G$8-$E$8)*($F$8-$E$8)),$G$8-SQRT((1-R909)*($G$8-$E$8)*($G$8-$F$8))))</f>
        <v>0.988696186376756</v>
      </c>
      <c r="E909" s="37" t="n">
        <f aca="false">1+IF($G$9=$E$9,$F$9,IF(S909&lt;($F$9-$E$9)/($G$9-$E$9),$E$9+SQRT(S909*($G$9-$E$9)*($F$9-$E$9)),$G$9-SQRT((1-S909)*($G$9-$E$9)*($G$9-$F$9))))</f>
        <v>1.12972241737001</v>
      </c>
      <c r="F909" s="37" t="n">
        <f aca="false">1+IF($G$10=$E$10,$F$10,IF(T909&lt;($F$10-$E$10)/($G$10-$E$10),$E$10+SQRT(T909*($G$10-$E$10)*($F$10-$E$10)),$G$10-SQRT((1-T909)*($G$10-$E$10)*($G$10-$F$10))))</f>
        <v>1.15500138627789</v>
      </c>
      <c r="G909" s="38" t="n">
        <f aca="false">IF($G$11=$E$11,$F$11,IF(U909&lt;($F$11-$E$11)/($G$11-$E$11),$E$11+SQRT(U909*($G$11-$E$11)*($F$11-$E$11)),$G$11-SQRT((1-U909)*($G$11-$E$11)*($G$11-$F$11))))</f>
        <v>0.124698079339481</v>
      </c>
      <c r="H909" s="39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-2310002772.55578</v>
      </c>
      <c r="I909" s="39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-27637946.9825387</v>
      </c>
      <c r="J909" s="39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273761595.039909</v>
      </c>
      <c r="K909" s="39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632911206.376251</v>
      </c>
      <c r="L909" s="39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768638268.801855</v>
      </c>
      <c r="M909" s="39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962571285.101521</v>
      </c>
      <c r="N909" s="39" t="n">
        <f aca="false">IF(COUNT('Business Case'!B11:G11)=0,"",H909+NPV(G909,I909:M909))</f>
        <v>-658034390.625945</v>
      </c>
      <c r="P909" s="40" t="n">
        <f aca="true">RAND()</f>
        <v>0.295077263221655</v>
      </c>
      <c r="Q909" s="40" t="n">
        <f aca="true">RAND()</f>
        <v>0.867985872122543</v>
      </c>
      <c r="R909" s="40" t="n">
        <f aca="true">RAND()</f>
        <v>0.199652645347288</v>
      </c>
      <c r="S909" s="40" t="n">
        <f aca="true">RAND()</f>
        <v>0.989035190471573</v>
      </c>
      <c r="T909" s="40" t="n">
        <f aca="true">RAND()</f>
        <v>0.879670178545033</v>
      </c>
      <c r="U909" s="40" t="n">
        <f aca="true">RAND()</f>
        <v>0.981259758206372</v>
      </c>
    </row>
    <row r="910" customFormat="false" ht="15" hidden="false" customHeight="false" outlineLevel="0" collapsed="false">
      <c r="A910" s="36" t="n">
        <v>830</v>
      </c>
      <c r="B910" s="37" t="n">
        <f aca="false">1+IF($G$6=$E$6,$F$6,IF(P910&lt;($F$6-$E$6)/($G$6-$E$6),$E$6+SQRT(P910*($G$6-$E$6)*($F$6-$E$6)),$G$6-SQRT((1-P910)*($G$6-$E$6)*($G$6-$F$6))))</f>
        <v>1.04148700718761</v>
      </c>
      <c r="C910" s="37" t="n">
        <f aca="false">1+IF($G$7=$E$7,$F$7,IF(Q910&lt;($F$7-$E$7)/($G$7-$E$7),$E$7+SQRT(Q910*($G$7-$E$7)*($F$7-$E$7)),$G$7-SQRT((1-Q910)*($G$7-$E$7)*($G$7-$F$7))))</f>
        <v>0.802364652942854</v>
      </c>
      <c r="D910" s="37" t="n">
        <f aca="false">1+IF($G$8=$E$8,$F$8,IF(R910&lt;($F$8-$E$8)/($G$8-$E$8),$E$8+SQRT(R910*($G$8-$E$8)*($F$8-$E$8)),$G$8-SQRT((1-R910)*($G$8-$E$8)*($G$8-$F$8))))</f>
        <v>1.02783311013595</v>
      </c>
      <c r="E910" s="37" t="n">
        <f aca="false">1+IF($G$9=$E$9,$F$9,IF(S910&lt;($F$9-$E$9)/($G$9-$E$9),$E$9+SQRT(S910*($G$9-$E$9)*($F$9-$E$9)),$G$9-SQRT((1-S910)*($G$9-$E$9)*($G$9-$F$9))))</f>
        <v>0.954215247438435</v>
      </c>
      <c r="F910" s="37" t="n">
        <f aca="false">1+IF($G$10=$E$10,$F$10,IF(T910&lt;($F$10-$E$10)/($G$10-$E$10),$E$10+SQRT(T910*($G$10-$E$10)*($F$10-$E$10)),$G$10-SQRT((1-T910)*($G$10-$E$10)*($G$10-$F$10))))</f>
        <v>1.06705042602808</v>
      </c>
      <c r="G910" s="38" t="n">
        <f aca="false">IF($G$11=$E$11,$F$11,IF(U910&lt;($F$11-$E$11)/($G$11-$E$11),$E$11+SQRT(U910*($G$11-$E$11)*($F$11-$E$11)),$G$11-SQRT((1-U910)*($G$11-$E$11)*($G$11-$F$11))))</f>
        <v>0.111712295249445</v>
      </c>
      <c r="H910" s="39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-2134100852.05616</v>
      </c>
      <c r="I910" s="39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-23434084.5752593</v>
      </c>
      <c r="J910" s="39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238846500.035726</v>
      </c>
      <c r="K910" s="39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554479605.948115</v>
      </c>
      <c r="L910" s="39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670786613.08357</v>
      </c>
      <c r="M910" s="39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829627413.875105</v>
      </c>
      <c r="N910" s="39" t="n">
        <f aca="false">IF(COUNT('Business Case'!B11:G11)=0,"",H910+NPV(G910,I910:M910))</f>
        <v>-630648002.224109</v>
      </c>
      <c r="P910" s="40" t="n">
        <f aca="true">RAND()</f>
        <v>0.990337193783484</v>
      </c>
      <c r="Q910" s="40" t="n">
        <f aca="true">RAND()</f>
        <v>0.0776186827563779</v>
      </c>
      <c r="R910" s="40" t="n">
        <f aca="true">RAND()</f>
        <v>0.652796000490027</v>
      </c>
      <c r="S910" s="40" t="n">
        <f aca="true">RAND()</f>
        <v>0.117571722192428</v>
      </c>
      <c r="T910" s="40" t="n">
        <f aca="true">RAND()</f>
        <v>0.553726045113228</v>
      </c>
      <c r="U910" s="40" t="n">
        <f aca="true">RAND()</f>
        <v>0.777039903304361</v>
      </c>
    </row>
    <row r="911" customFormat="false" ht="15" hidden="false" customHeight="false" outlineLevel="0" collapsed="false">
      <c r="A911" s="36" t="n">
        <v>831</v>
      </c>
      <c r="B911" s="37" t="n">
        <f aca="false">1+IF($G$6=$E$6,$F$6,IF(P911&lt;($F$6-$E$6)/($G$6-$E$6),$E$6+SQRT(P911*($G$6-$E$6)*($F$6-$E$6)),$G$6-SQRT((1-P911)*($G$6-$E$6)*($G$6-$F$6))))</f>
        <v>0.997830549505361</v>
      </c>
      <c r="C911" s="37" t="n">
        <f aca="false">1+IF($G$7=$E$7,$F$7,IF(Q911&lt;($F$7-$E$7)/($G$7-$E$7),$E$7+SQRT(Q911*($G$7-$E$7)*($F$7-$E$7)),$G$7-SQRT((1-Q911)*($G$7-$E$7)*($G$7-$F$7))))</f>
        <v>0.957263300145433</v>
      </c>
      <c r="D911" s="37" t="n">
        <f aca="false">1+IF($G$8=$E$8,$F$8,IF(R911&lt;($F$8-$E$8)/($G$8-$E$8),$E$8+SQRT(R911*($G$8-$E$8)*($F$8-$E$8)),$G$8-SQRT((1-R911)*($G$8-$E$8)*($G$8-$F$8))))</f>
        <v>1.05096867926114</v>
      </c>
      <c r="E911" s="37" t="n">
        <f aca="false">1+IF($G$9=$E$9,$F$9,IF(S911&lt;($F$9-$E$9)/($G$9-$E$9),$E$9+SQRT(S911*($G$9-$E$9)*($F$9-$E$9)),$G$9-SQRT((1-S911)*($G$9-$E$9)*($G$9-$F$9))))</f>
        <v>1.04456900416217</v>
      </c>
      <c r="F911" s="37" t="n">
        <f aca="false">1+IF($G$10=$E$10,$F$10,IF(T911&lt;($F$10-$E$10)/($G$10-$E$10),$E$10+SQRT(T911*($G$10-$E$10)*($F$10-$E$10)),$G$10-SQRT((1-T911)*($G$10-$E$10)*($G$10-$F$10))))</f>
        <v>0.997315023241902</v>
      </c>
      <c r="G911" s="38" t="n">
        <f aca="false">IF($G$11=$E$11,$F$11,IF(U911&lt;($F$11-$E$11)/($G$11-$E$11),$E$11+SQRT(U911*($G$11-$E$11)*($F$11-$E$11)),$G$11-SQRT((1-U911)*($G$11-$E$11)*($G$11-$F$11))))</f>
        <v>0.0966487339365779</v>
      </c>
      <c r="H911" s="39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-1994630046.4838</v>
      </c>
      <c r="I911" s="39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-30438550.0121616</v>
      </c>
      <c r="J911" s="39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236908986.211241</v>
      </c>
      <c r="K911" s="39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554122273.59674</v>
      </c>
      <c r="L911" s="39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676249366.684216</v>
      </c>
      <c r="M911" s="39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857811228.922433</v>
      </c>
      <c r="N911" s="39" t="n">
        <f aca="false">IF(COUNT('Business Case'!B11:G11)=0,"",H911+NPV(G911,I911:M911))</f>
        <v>-396865433.218611</v>
      </c>
      <c r="P911" s="40" t="n">
        <f aca="true">RAND()</f>
        <v>0.638054427768066</v>
      </c>
      <c r="Q911" s="40" t="n">
        <f aca="true">RAND()</f>
        <v>0.490254856309029</v>
      </c>
      <c r="R911" s="40" t="n">
        <f aca="true">RAND()</f>
        <v>0.8397286391069</v>
      </c>
      <c r="S911" s="40" t="n">
        <f aca="true">RAND()</f>
        <v>0.703581469777165</v>
      </c>
      <c r="T911" s="40" t="n">
        <f aca="true">RAND()</f>
        <v>0.149247428292112</v>
      </c>
      <c r="U911" s="40" t="n">
        <f aca="true">RAND()</f>
        <v>0.27718034169096</v>
      </c>
    </row>
    <row r="912" customFormat="false" ht="15" hidden="false" customHeight="false" outlineLevel="0" collapsed="false">
      <c r="A912" s="36" t="n">
        <v>832</v>
      </c>
      <c r="B912" s="37" t="n">
        <f aca="false">1+IF($G$6=$E$6,$F$6,IF(P912&lt;($F$6-$E$6)/($G$6-$E$6),$E$6+SQRT(P912*($G$6-$E$6)*($F$6-$E$6)),$G$6-SQRT((1-P912)*($G$6-$E$6)*($G$6-$F$6))))</f>
        <v>1.00305784755001</v>
      </c>
      <c r="C912" s="37" t="n">
        <f aca="false">1+IF($G$7=$E$7,$F$7,IF(Q912&lt;($F$7-$E$7)/($G$7-$E$7),$E$7+SQRT(Q912*($G$7-$E$7)*($F$7-$E$7)),$G$7-SQRT((1-Q912)*($G$7-$E$7)*($G$7-$F$7))))</f>
        <v>0.889269650021184</v>
      </c>
      <c r="D912" s="37" t="n">
        <f aca="false">1+IF($G$8=$E$8,$F$8,IF(R912&lt;($F$8-$E$8)/($G$8-$E$8),$E$8+SQRT(R912*($G$8-$E$8)*($F$8-$E$8)),$G$8-SQRT((1-R912)*($G$8-$E$8)*($G$8-$F$8))))</f>
        <v>0.975265413147278</v>
      </c>
      <c r="E912" s="37" t="n">
        <f aca="false">1+IF($G$9=$E$9,$F$9,IF(S912&lt;($F$9-$E$9)/($G$9-$E$9),$E$9+SQRT(S912*($G$9-$E$9)*($F$9-$E$9)),$G$9-SQRT((1-S912)*($G$9-$E$9)*($G$9-$F$9))))</f>
        <v>1.09967054879164</v>
      </c>
      <c r="F912" s="37" t="n">
        <f aca="false">1+IF($G$10=$E$10,$F$10,IF(T912&lt;($F$10-$E$10)/($G$10-$E$10),$E$10+SQRT(T912*($G$10-$E$10)*($F$10-$E$10)),$G$10-SQRT((1-T912)*($G$10-$E$10)*($G$10-$F$10))))</f>
        <v>1.00968254874693</v>
      </c>
      <c r="G912" s="38" t="n">
        <f aca="false">IF($G$11=$E$11,$F$11,IF(U912&lt;($F$11-$E$11)/($G$11-$E$11),$E$11+SQRT(U912*($G$11-$E$11)*($F$11-$E$11)),$G$11-SQRT((1-U912)*($G$11-$E$11)*($G$11-$F$11))))</f>
        <v>0.0949884161834801</v>
      </c>
      <c r="H912" s="39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-2019365097.49386</v>
      </c>
      <c r="I912" s="39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-16953849.9793021</v>
      </c>
      <c r="J912" s="39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269674411.584266</v>
      </c>
      <c r="K912" s="39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606786800.585181</v>
      </c>
      <c r="L912" s="39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733156690.859709</v>
      </c>
      <c r="M912" s="39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902705941.169734</v>
      </c>
      <c r="N912" s="39" t="n">
        <f aca="false">IF(COUNT('Business Case'!B11:G11)=0,"",H912+NPV(G912,I912:M912))</f>
        <v>-264315236.150895</v>
      </c>
      <c r="P912" s="40" t="n">
        <f aca="true">RAND()</f>
        <v>0.706191243114907</v>
      </c>
      <c r="Q912" s="40" t="n">
        <f aca="true">RAND()</f>
        <v>0.265355558660307</v>
      </c>
      <c r="R912" s="40" t="n">
        <f aca="true">RAND()</f>
        <v>0.0851121468670216</v>
      </c>
      <c r="S912" s="40" t="n">
        <f aca="true">RAND()</f>
        <v>0.932451902428396</v>
      </c>
      <c r="T912" s="40" t="n">
        <f aca="true">RAND()</f>
        <v>0.229966968309723</v>
      </c>
      <c r="U912" s="40" t="n">
        <f aca="true">RAND()</f>
        <v>0.224652619689208</v>
      </c>
    </row>
    <row r="913" customFormat="false" ht="15" hidden="false" customHeight="false" outlineLevel="0" collapsed="false">
      <c r="A913" s="36" t="n">
        <v>833</v>
      </c>
      <c r="B913" s="37" t="n">
        <f aca="false">1+IF($G$6=$E$6,$F$6,IF(P913&lt;($F$6-$E$6)/($G$6-$E$6),$E$6+SQRT(P913*($G$6-$E$6)*($F$6-$E$6)),$G$6-SQRT((1-P913)*($G$6-$E$6)*($G$6-$F$6))))</f>
        <v>1.02152637307673</v>
      </c>
      <c r="C913" s="37" t="n">
        <f aca="false">1+IF($G$7=$E$7,$F$7,IF(Q913&lt;($F$7-$E$7)/($G$7-$E$7),$E$7+SQRT(Q913*($G$7-$E$7)*($F$7-$E$7)),$G$7-SQRT((1-Q913)*($G$7-$E$7)*($G$7-$F$7))))</f>
        <v>0.894523311454472</v>
      </c>
      <c r="D913" s="37" t="n">
        <f aca="false">1+IF($G$8=$E$8,$F$8,IF(R913&lt;($F$8-$E$8)/($G$8-$E$8),$E$8+SQRT(R913*($G$8-$E$8)*($F$8-$E$8)),$G$8-SQRT((1-R913)*($G$8-$E$8)*($G$8-$F$8))))</f>
        <v>0.994089212231149</v>
      </c>
      <c r="E913" s="37" t="n">
        <f aca="false">1+IF($G$9=$E$9,$F$9,IF(S913&lt;($F$9-$E$9)/($G$9-$E$9),$E$9+SQRT(S913*($G$9-$E$9)*($F$9-$E$9)),$G$9-SQRT((1-S913)*($G$9-$E$9)*($G$9-$F$9))))</f>
        <v>1.00935732655742</v>
      </c>
      <c r="F913" s="37" t="n">
        <f aca="false">1+IF($G$10=$E$10,$F$10,IF(T913&lt;($F$10-$E$10)/($G$10-$E$10),$E$10+SQRT(T913*($G$10-$E$10)*($F$10-$E$10)),$G$10-SQRT((1-T913)*($G$10-$E$10)*($G$10-$F$10))))</f>
        <v>1.03706818256791</v>
      </c>
      <c r="G913" s="38" t="n">
        <f aca="false">IF($G$11=$E$11,$F$11,IF(U913&lt;($F$11-$E$11)/($G$11-$E$11),$E$11+SQRT(U913*($G$11-$E$11)*($F$11-$E$11)),$G$11-SQRT((1-U913)*($G$11-$E$11)*($G$11-$F$11))))</f>
        <v>0.109184403408182</v>
      </c>
      <c r="H913" s="39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-2074136365.13582</v>
      </c>
      <c r="I913" s="39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-1374502.03806528</v>
      </c>
      <c r="J913" s="39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291858737.359588</v>
      </c>
      <c r="K913" s="39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636945385.885636</v>
      </c>
      <c r="L913" s="39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766270006.579829</v>
      </c>
      <c r="M913" s="39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939961148.168855</v>
      </c>
      <c r="N913" s="39" t="n">
        <f aca="false">IF(COUNT('Business Case'!B11:G11)=0,"",H913+NPV(G913,I913:M913))</f>
        <v>-305263738.028888</v>
      </c>
      <c r="P913" s="40" t="n">
        <f aca="true">RAND()</f>
        <v>0.891900342644573</v>
      </c>
      <c r="Q913" s="40" t="n">
        <f aca="true">RAND()</f>
        <v>0.280291249623804</v>
      </c>
      <c r="R913" s="40" t="n">
        <f aca="true">RAND()</f>
        <v>0.259181151355111</v>
      </c>
      <c r="S913" s="40" t="n">
        <f aca="true">RAND()</f>
        <v>0.472523690851323</v>
      </c>
      <c r="T913" s="40" t="n">
        <f aca="true">RAND()</f>
        <v>0.395467215000891</v>
      </c>
      <c r="U913" s="40" t="n">
        <f aca="true">RAND()</f>
        <v>0.71114062568447</v>
      </c>
    </row>
    <row r="914" customFormat="false" ht="15" hidden="false" customHeight="false" outlineLevel="0" collapsed="false">
      <c r="A914" s="36" t="n">
        <v>834</v>
      </c>
      <c r="B914" s="37" t="n">
        <f aca="false">1+IF($G$6=$E$6,$F$6,IF(P914&lt;($F$6-$E$6)/($G$6-$E$6),$E$6+SQRT(P914*($G$6-$E$6)*($F$6-$E$6)),$G$6-SQRT((1-P914)*($G$6-$E$6)*($G$6-$F$6))))</f>
        <v>0.974946646931576</v>
      </c>
      <c r="C914" s="37" t="n">
        <f aca="false">1+IF($G$7=$E$7,$F$7,IF(Q914&lt;($F$7-$E$7)/($G$7-$E$7),$E$7+SQRT(Q914*($G$7-$E$7)*($F$7-$E$7)),$G$7-SQRT((1-Q914)*($G$7-$E$7)*($G$7-$F$7))))</f>
        <v>0.988244853547536</v>
      </c>
      <c r="D914" s="37" t="n">
        <f aca="false">1+IF($G$8=$E$8,$F$8,IF(R914&lt;($F$8-$E$8)/($G$8-$E$8),$E$8+SQRT(R914*($G$8-$E$8)*($F$8-$E$8)),$G$8-SQRT((1-R914)*($G$8-$E$8)*($G$8-$F$8))))</f>
        <v>1.0134287669073</v>
      </c>
      <c r="E914" s="37" t="n">
        <f aca="false">1+IF($G$9=$E$9,$F$9,IF(S914&lt;($F$9-$E$9)/($G$9-$E$9),$E$9+SQRT(S914*($G$9-$E$9)*($F$9-$E$9)),$G$9-SQRT((1-S914)*($G$9-$E$9)*($G$9-$F$9))))</f>
        <v>1.04604461572834</v>
      </c>
      <c r="F914" s="37" t="n">
        <f aca="false">1+IF($G$10=$E$10,$F$10,IF(T914&lt;($F$10-$E$10)/($G$10-$E$10),$E$10+SQRT(T914*($G$10-$E$10)*($F$10-$E$10)),$G$10-SQRT((1-T914)*($G$10-$E$10)*($G$10-$F$10))))</f>
        <v>0.963444208044865</v>
      </c>
      <c r="G914" s="38" t="n">
        <f aca="false">IF($G$11=$E$11,$F$11,IF(U914&lt;($F$11-$E$11)/($G$11-$E$11),$E$11+SQRT(U914*($G$11-$E$11)*($F$11-$E$11)),$G$11-SQRT((1-U914)*($G$11-$E$11)*($G$11-$F$11))))</f>
        <v>0.101514766766349</v>
      </c>
      <c r="H914" s="39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-1926888416.08973</v>
      </c>
      <c r="I914" s="39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-18570619.1306073</v>
      </c>
      <c r="J914" s="39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257897841.467136</v>
      </c>
      <c r="K914" s="39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582538512.467124</v>
      </c>
      <c r="L914" s="39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707992742.377901</v>
      </c>
      <c r="M914" s="39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891132162.457981</v>
      </c>
      <c r="N914" s="39" t="n">
        <f aca="false">IF(COUNT('Business Case'!B11:G11)=0,"",H914+NPV(G914,I914:M914))</f>
        <v>-264885033.1942</v>
      </c>
      <c r="P914" s="40" t="n">
        <f aca="true">RAND()</f>
        <v>0.374466659085756</v>
      </c>
      <c r="Q914" s="40" t="n">
        <f aca="true">RAND()</f>
        <v>0.615445152567706</v>
      </c>
      <c r="R914" s="40" t="n">
        <f aca="true">RAND()</f>
        <v>0.500361440053967</v>
      </c>
      <c r="S914" s="40" t="n">
        <f aca="true">RAND()</f>
        <v>0.711820748824827</v>
      </c>
      <c r="T914" s="40" t="n">
        <f aca="true">RAND()</f>
        <v>0.0120497819969078</v>
      </c>
      <c r="U914" s="40" t="n">
        <f aca="true">RAND()</f>
        <v>0.459060991749673</v>
      </c>
    </row>
    <row r="915" customFormat="false" ht="15" hidden="false" customHeight="false" outlineLevel="0" collapsed="false">
      <c r="A915" s="36" t="n">
        <v>835</v>
      </c>
      <c r="B915" s="37" t="n">
        <f aca="false">1+IF($G$6=$E$6,$F$6,IF(P915&lt;($F$6-$E$6)/($G$6-$E$6),$E$6+SQRT(P915*($G$6-$E$6)*($F$6-$E$6)),$G$6-SQRT((1-P915)*($G$6-$E$6)*($G$6-$F$6))))</f>
        <v>0.965365520308587</v>
      </c>
      <c r="C915" s="37" t="n">
        <f aca="false">1+IF($G$7=$E$7,$F$7,IF(Q915&lt;($F$7-$E$7)/($G$7-$E$7),$E$7+SQRT(Q915*($G$7-$E$7)*($F$7-$E$7)),$G$7-SQRT((1-Q915)*($G$7-$E$7)*($G$7-$F$7))))</f>
        <v>0.9249343209478</v>
      </c>
      <c r="D915" s="37" t="n">
        <f aca="false">1+IF($G$8=$E$8,$F$8,IF(R915&lt;($F$8-$E$8)/($G$8-$E$8),$E$8+SQRT(R915*($G$8-$E$8)*($F$8-$E$8)),$G$8-SQRT((1-R915)*($G$8-$E$8)*($G$8-$F$8))))</f>
        <v>1.01426233807148</v>
      </c>
      <c r="E915" s="37" t="n">
        <f aca="false">1+IF($G$9=$E$9,$F$9,IF(S915&lt;($F$9-$E$9)/($G$9-$E$9),$E$9+SQRT(S915*($G$9-$E$9)*($F$9-$E$9)),$G$9-SQRT((1-S915)*($G$9-$E$9)*($G$9-$F$9))))</f>
        <v>1.08126995397788</v>
      </c>
      <c r="F915" s="37" t="n">
        <f aca="false">1+IF($G$10=$E$10,$F$10,IF(T915&lt;($F$10-$E$10)/($G$10-$E$10),$E$10+SQRT(T915*($G$10-$E$10)*($F$10-$E$10)),$G$10-SQRT((1-T915)*($G$10-$E$10)*($G$10-$F$10))))</f>
        <v>1.0037907757808</v>
      </c>
      <c r="G915" s="38" t="n">
        <f aca="false">IF($G$11=$E$11,$F$11,IF(U915&lt;($F$11-$E$11)/($G$11-$E$11),$E$11+SQRT(U915*($G$11-$E$11)*($F$11-$E$11)),$G$11-SQRT((1-U915)*($G$11-$E$11)*($G$11-$F$11))))</f>
        <v>0.118475365427921</v>
      </c>
      <c r="H915" s="39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-2007581551.56159</v>
      </c>
      <c r="I915" s="39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-49319926.8171147</v>
      </c>
      <c r="J915" s="39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201783731.950823</v>
      </c>
      <c r="K915" s="39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503076929.507801</v>
      </c>
      <c r="L915" s="39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617636762.797994</v>
      </c>
      <c r="M915" s="39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787359138.152831</v>
      </c>
      <c r="N915" s="39" t="n">
        <f aca="false">IF(COUNT('Business Case'!B11:G11)=0,"",H915+NPV(G915,I915:M915))</f>
        <v>-686345061.857863</v>
      </c>
      <c r="P915" s="40" t="n">
        <f aca="true">RAND()</f>
        <v>0.284843416347482</v>
      </c>
      <c r="Q915" s="40" t="n">
        <f aca="true">RAND()</f>
        <v>0.374781101779614</v>
      </c>
      <c r="R915" s="40" t="n">
        <f aca="true">RAND()</f>
        <v>0.509936888468718</v>
      </c>
      <c r="S915" s="40" t="n">
        <f aca="true">RAND()</f>
        <v>0.874031487301247</v>
      </c>
      <c r="T915" s="40" t="n">
        <f aca="true">RAND()</f>
        <v>0.191746905458367</v>
      </c>
      <c r="U915" s="40" t="n">
        <f aca="true">RAND()</f>
        <v>0.911455198653357</v>
      </c>
    </row>
    <row r="916" customFormat="false" ht="15" hidden="false" customHeight="false" outlineLevel="0" collapsed="false">
      <c r="A916" s="36" t="n">
        <v>836</v>
      </c>
      <c r="B916" s="37" t="n">
        <f aca="false">1+IF($G$6=$E$6,$F$6,IF(P916&lt;($F$6-$E$6)/($G$6-$E$6),$E$6+SQRT(P916*($G$6-$E$6)*($F$6-$E$6)),$G$6-SQRT((1-P916)*($G$6-$E$6)*($G$6-$F$6))))</f>
        <v>1.00446863739912</v>
      </c>
      <c r="C916" s="37" t="n">
        <f aca="false">1+IF($G$7=$E$7,$F$7,IF(Q916&lt;($F$7-$E$7)/($G$7-$E$7),$E$7+SQRT(Q916*($G$7-$E$7)*($F$7-$E$7)),$G$7-SQRT((1-Q916)*($G$7-$E$7)*($G$7-$F$7))))</f>
        <v>0.955485502701762</v>
      </c>
      <c r="D916" s="37" t="n">
        <f aca="false">1+IF($G$8=$E$8,$F$8,IF(R916&lt;($F$8-$E$8)/($G$8-$E$8),$E$8+SQRT(R916*($G$8-$E$8)*($F$8-$E$8)),$G$8-SQRT((1-R916)*($G$8-$E$8)*($G$8-$F$8))))</f>
        <v>1.03254135194162</v>
      </c>
      <c r="E916" s="37" t="n">
        <f aca="false">1+IF($G$9=$E$9,$F$9,IF(S916&lt;($F$9-$E$9)/($G$9-$E$9),$E$9+SQRT(S916*($G$9-$E$9)*($F$9-$E$9)),$G$9-SQRT((1-S916)*($G$9-$E$9)*($G$9-$F$9))))</f>
        <v>1.00341580379791</v>
      </c>
      <c r="F916" s="37" t="n">
        <f aca="false">1+IF($G$10=$E$10,$F$10,IF(T916&lt;($F$10-$E$10)/($G$10-$E$10),$E$10+SQRT(T916*($G$10-$E$10)*($F$10-$E$10)),$G$10-SQRT((1-T916)*($G$10-$E$10)*($G$10-$F$10))))</f>
        <v>1.1119056923025</v>
      </c>
      <c r="G916" s="38" t="n">
        <f aca="false">IF($G$11=$E$11,$F$11,IF(U916&lt;($F$11-$E$11)/($G$11-$E$11),$E$11+SQRT(U916*($G$11-$E$11)*($F$11-$E$11)),$G$11-SQRT((1-U916)*($G$11-$E$11)*($G$11-$F$11))))</f>
        <v>0.111000873313315</v>
      </c>
      <c r="H916" s="39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-2223811384.60501</v>
      </c>
      <c r="I916" s="39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-22570538.4571261</v>
      </c>
      <c r="J916" s="39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258488930.270288</v>
      </c>
      <c r="K916" s="39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595143683.612828</v>
      </c>
      <c r="L916" s="39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721999313.624784</v>
      </c>
      <c r="M916" s="39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904429586.023616</v>
      </c>
      <c r="N916" s="39" t="n">
        <f aca="false">IF(COUNT('Business Case'!B11:G11)=0,"",H916+NPV(G916,I916:M916))</f>
        <v>-592506969.974515</v>
      </c>
      <c r="P916" s="40" t="n">
        <f aca="true">RAND()</f>
        <v>0.723586002627642</v>
      </c>
      <c r="Q916" s="40" t="n">
        <f aca="true">RAND()</f>
        <v>0.48350253400572</v>
      </c>
      <c r="R916" s="40" t="n">
        <f aca="true">RAND()</f>
        <v>0.696622053475686</v>
      </c>
      <c r="S916" s="40" t="n">
        <f aca="true">RAND()</f>
        <v>0.42701529130101</v>
      </c>
      <c r="T916" s="40" t="n">
        <f aca="true">RAND()</f>
        <v>0.745732829087319</v>
      </c>
      <c r="U916" s="40" t="n">
        <f aca="true">RAND()</f>
        <v>0.7593554567622</v>
      </c>
    </row>
    <row r="917" customFormat="false" ht="15" hidden="false" customHeight="false" outlineLevel="0" collapsed="false">
      <c r="A917" s="36" t="n">
        <v>837</v>
      </c>
      <c r="B917" s="37" t="n">
        <f aca="false">1+IF($G$6=$E$6,$F$6,IF(P917&lt;($F$6-$E$6)/($G$6-$E$6),$E$6+SQRT(P917*($G$6-$E$6)*($F$6-$E$6)),$G$6-SQRT((1-P917)*($G$6-$E$6)*($G$6-$F$6))))</f>
        <v>0.969233230370794</v>
      </c>
      <c r="C917" s="37" t="n">
        <f aca="false">1+IF($G$7=$E$7,$F$7,IF(Q917&lt;($F$7-$E$7)/($G$7-$E$7),$E$7+SQRT(Q917*($G$7-$E$7)*($F$7-$E$7)),$G$7-SQRT((1-Q917)*($G$7-$E$7)*($G$7-$F$7))))</f>
        <v>0.909827326799851</v>
      </c>
      <c r="D917" s="37" t="n">
        <f aca="false">1+IF($G$8=$E$8,$F$8,IF(R917&lt;($F$8-$E$8)/($G$8-$E$8),$E$8+SQRT(R917*($G$8-$E$8)*($F$8-$E$8)),$G$8-SQRT((1-R917)*($G$8-$E$8)*($G$8-$F$8))))</f>
        <v>1.06526674674762</v>
      </c>
      <c r="E917" s="37" t="n">
        <f aca="false">1+IF($G$9=$E$9,$F$9,IF(S917&lt;($F$9-$E$9)/($G$9-$E$9),$E$9+SQRT(S917*($G$9-$E$9)*($F$9-$E$9)),$G$9-SQRT((1-S917)*($G$9-$E$9)*($G$9-$F$9))))</f>
        <v>0.92680645419992</v>
      </c>
      <c r="F917" s="37" t="n">
        <f aca="false">1+IF($G$10=$E$10,$F$10,IF(T917&lt;($F$10-$E$10)/($G$10-$E$10),$E$10+SQRT(T917*($G$10-$E$10)*($F$10-$E$10)),$G$10-SQRT((1-T917)*($G$10-$E$10)*($G$10-$F$10))))</f>
        <v>0.979462656235526</v>
      </c>
      <c r="G917" s="38" t="n">
        <f aca="false">IF($G$11=$E$11,$F$11,IF(U917&lt;($F$11-$E$11)/($G$11-$E$11),$E$11+SQRT(U917*($G$11-$E$11)*($F$11-$E$11)),$G$11-SQRT((1-U917)*($G$11-$E$11)*($G$11-$F$11))))</f>
        <v>0.113302390613468</v>
      </c>
      <c r="H917" s="39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-1958925312.47105</v>
      </c>
      <c r="I917" s="39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-49323572.6155133</v>
      </c>
      <c r="J917" s="39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176805318.308869</v>
      </c>
      <c r="K917" s="39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451907342.045028</v>
      </c>
      <c r="L917" s="39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557759852.439231</v>
      </c>
      <c r="M917" s="39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725379026.245984</v>
      </c>
      <c r="N917" s="39" t="n">
        <f aca="false">IF(COUNT('Business Case'!B11:G11)=0,"",H917+NPV(G917,I917:M917))</f>
        <v>-745877159.547854</v>
      </c>
      <c r="P917" s="40" t="n">
        <f aca="true">RAND()</f>
        <v>0.319549345838361</v>
      </c>
      <c r="Q917" s="40" t="n">
        <f aca="true">RAND()</f>
        <v>0.326129682014603</v>
      </c>
      <c r="R917" s="40" t="n">
        <f aca="true">RAND()</f>
        <v>0.919573407900416</v>
      </c>
      <c r="S917" s="40" t="n">
        <f aca="true">RAND()</f>
        <v>0.0287434394708954</v>
      </c>
      <c r="T917" s="40" t="n">
        <f aca="true">RAND()</f>
        <v>0.0578698741635187</v>
      </c>
      <c r="U917" s="40" t="n">
        <f aca="true">RAND()</f>
        <v>0.814126560516537</v>
      </c>
    </row>
    <row r="918" customFormat="false" ht="15" hidden="false" customHeight="false" outlineLevel="0" collapsed="false">
      <c r="A918" s="36" t="n">
        <v>838</v>
      </c>
      <c r="B918" s="37" t="n">
        <f aca="false">1+IF($G$6=$E$6,$F$6,IF(P918&lt;($F$6-$E$6)/($G$6-$E$6),$E$6+SQRT(P918*($G$6-$E$6)*($F$6-$E$6)),$G$6-SQRT((1-P918)*($G$6-$E$6)*($G$6-$F$6))))</f>
        <v>0.951485841197034</v>
      </c>
      <c r="C918" s="37" t="n">
        <f aca="false">1+IF($G$7=$E$7,$F$7,IF(Q918&lt;($F$7-$E$7)/($G$7-$E$7),$E$7+SQRT(Q918*($G$7-$E$7)*($F$7-$E$7)),$G$7-SQRT((1-Q918)*($G$7-$E$7)*($G$7-$F$7))))</f>
        <v>0.956877942866307</v>
      </c>
      <c r="D918" s="37" t="n">
        <f aca="false">1+IF($G$8=$E$8,$F$8,IF(R918&lt;($F$8-$E$8)/($G$8-$E$8),$E$8+SQRT(R918*($G$8-$E$8)*($F$8-$E$8)),$G$8-SQRT((1-R918)*($G$8-$E$8)*($G$8-$F$8))))</f>
        <v>1.00101075001326</v>
      </c>
      <c r="E918" s="37" t="n">
        <f aca="false">1+IF($G$9=$E$9,$F$9,IF(S918&lt;($F$9-$E$9)/($G$9-$E$9),$E$9+SQRT(S918*($G$9-$E$9)*($F$9-$E$9)),$G$9-SQRT((1-S918)*($G$9-$E$9)*($G$9-$F$9))))</f>
        <v>1.00138963799722</v>
      </c>
      <c r="F918" s="37" t="n">
        <f aca="false">1+IF($G$10=$E$10,$F$10,IF(T918&lt;($F$10-$E$10)/($G$10-$E$10),$E$10+SQRT(T918*($G$10-$E$10)*($F$10-$E$10)),$G$10-SQRT((1-T918)*($G$10-$E$10)*($G$10-$F$10))))</f>
        <v>1.02529314151112</v>
      </c>
      <c r="G918" s="38" t="n">
        <f aca="false">IF($G$11=$E$11,$F$11,IF(U918&lt;($F$11-$E$11)/($G$11-$E$11),$E$11+SQRT(U918*($G$11-$E$11)*($F$11-$E$11)),$G$11-SQRT((1-U918)*($G$11-$E$11)*($G$11-$F$11))))</f>
        <v>0.101804168304443</v>
      </c>
      <c r="H918" s="39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-2050586283.02224</v>
      </c>
      <c r="I918" s="39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-36736152.5958626</v>
      </c>
      <c r="J918" s="39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218652644.900623</v>
      </c>
      <c r="K918" s="39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525306099.472665</v>
      </c>
      <c r="L918" s="39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641901051.583514</v>
      </c>
      <c r="M918" s="39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814960492.782962</v>
      </c>
      <c r="N918" s="39" t="n">
        <f aca="false">IF(COUNT('Business Case'!B11:G11)=0,"",H918+NPV(G918,I918:M918))</f>
        <v>-573620758.031101</v>
      </c>
      <c r="P918" s="40" t="n">
        <f aca="true">RAND()</f>
        <v>0.17671945625108</v>
      </c>
      <c r="Q918" s="40" t="n">
        <f aca="true">RAND()</f>
        <v>0.488787240972042</v>
      </c>
      <c r="R918" s="40" t="n">
        <f aca="true">RAND()</f>
        <v>0.346741892470814</v>
      </c>
      <c r="S918" s="40" t="n">
        <f aca="true">RAND()</f>
        <v>0.411065608144099</v>
      </c>
      <c r="T918" s="40" t="n">
        <f aca="true">RAND()</f>
        <v>0.326757703307432</v>
      </c>
      <c r="U918" s="40" t="n">
        <f aca="true">RAND()</f>
        <v>0.469996716663884</v>
      </c>
    </row>
    <row r="919" customFormat="false" ht="15" hidden="false" customHeight="false" outlineLevel="0" collapsed="false">
      <c r="A919" s="36" t="n">
        <v>839</v>
      </c>
      <c r="B919" s="37" t="n">
        <f aca="false">1+IF($G$6=$E$6,$F$6,IF(P919&lt;($F$6-$E$6)/($G$6-$E$6),$E$6+SQRT(P919*($G$6-$E$6)*($F$6-$E$6)),$G$6-SQRT((1-P919)*($G$6-$E$6)*($G$6-$F$6))))</f>
        <v>1.00375185101363</v>
      </c>
      <c r="C919" s="37" t="n">
        <f aca="false">1+IF($G$7=$E$7,$F$7,IF(Q919&lt;($F$7-$E$7)/($G$7-$E$7),$E$7+SQRT(Q919*($G$7-$E$7)*($F$7-$E$7)),$G$7-SQRT((1-Q919)*($G$7-$E$7)*($G$7-$F$7))))</f>
        <v>0.925490565603304</v>
      </c>
      <c r="D919" s="37" t="n">
        <f aca="false">1+IF($G$8=$E$8,$F$8,IF(R919&lt;($F$8-$E$8)/($G$8-$E$8),$E$8+SQRT(R919*($G$8-$E$8)*($F$8-$E$8)),$G$8-SQRT((1-R919)*($G$8-$E$8)*($G$8-$F$8))))</f>
        <v>1.01986265149015</v>
      </c>
      <c r="E919" s="37" t="n">
        <f aca="false">1+IF($G$9=$E$9,$F$9,IF(S919&lt;($F$9-$E$9)/($G$9-$E$9),$E$9+SQRT(S919*($G$9-$E$9)*($F$9-$E$9)),$G$9-SQRT((1-S919)*($G$9-$E$9)*($G$9-$F$9))))</f>
        <v>1.1120745704572</v>
      </c>
      <c r="F919" s="37" t="n">
        <f aca="false">1+IF($G$10=$E$10,$F$10,IF(T919&lt;($F$10-$E$10)/($G$10-$E$10),$E$10+SQRT(T919*($G$10-$E$10)*($F$10-$E$10)),$G$10-SQRT((1-T919)*($G$10-$E$10)*($G$10-$F$10))))</f>
        <v>1.00256951767386</v>
      </c>
      <c r="G919" s="38" t="n">
        <f aca="false">IF($G$11=$E$11,$F$11,IF(U919&lt;($F$11-$E$11)/($G$11-$E$11),$E$11+SQRT(U919*($G$11-$E$11)*($F$11-$E$11)),$G$11-SQRT((1-U919)*($G$11-$E$11)*($G$11-$F$11))))</f>
        <v>0.107400473897541</v>
      </c>
      <c r="H919" s="39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-2005139035.34772</v>
      </c>
      <c r="I919" s="39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-28851516.6672009</v>
      </c>
      <c r="J919" s="39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248848357.445705</v>
      </c>
      <c r="K919" s="39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576676707.442304</v>
      </c>
      <c r="L919" s="39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701348288.875744</v>
      </c>
      <c r="M919" s="39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877925550.886003</v>
      </c>
      <c r="N919" s="39" t="n">
        <f aca="false">IF(COUNT('Business Case'!B11:G11)=0,"",H919+NPV(G919,I919:M919))</f>
        <v>-410131614.818261</v>
      </c>
      <c r="P919" s="40" t="n">
        <f aca="true">RAND()</f>
        <v>0.714814495377908</v>
      </c>
      <c r="Q919" s="40" t="n">
        <f aca="true">RAND()</f>
        <v>0.376637001304428</v>
      </c>
      <c r="R919" s="40" t="n">
        <f aca="true">RAND()</f>
        <v>0.571867024920772</v>
      </c>
      <c r="S919" s="40" t="n">
        <f aca="true">RAND()</f>
        <v>0.961644314506514</v>
      </c>
      <c r="T919" s="40" t="n">
        <f aca="true">RAND()</f>
        <v>0.18370875221137</v>
      </c>
      <c r="U919" s="40" t="n">
        <f aca="true">RAND()</f>
        <v>0.659507613296172</v>
      </c>
    </row>
    <row r="920" customFormat="false" ht="15" hidden="false" customHeight="false" outlineLevel="0" collapsed="false">
      <c r="A920" s="36" t="n">
        <v>840</v>
      </c>
      <c r="B920" s="37" t="n">
        <f aca="false">1+IF($G$6=$E$6,$F$6,IF(P920&lt;($F$6-$E$6)/($G$6-$E$6),$E$6+SQRT(P920*($G$6-$E$6)*($F$6-$E$6)),$G$6-SQRT((1-P920)*($G$6-$E$6)*($G$6-$F$6))))</f>
        <v>0.967486788933887</v>
      </c>
      <c r="C920" s="37" t="n">
        <f aca="false">1+IF($G$7=$E$7,$F$7,IF(Q920&lt;($F$7-$E$7)/($G$7-$E$7),$E$7+SQRT(Q920*($G$7-$E$7)*($F$7-$E$7)),$G$7-SQRT((1-Q920)*($G$7-$E$7)*($G$7-$F$7))))</f>
        <v>0.991165014618204</v>
      </c>
      <c r="D920" s="37" t="n">
        <f aca="false">1+IF($G$8=$E$8,$F$8,IF(R920&lt;($F$8-$E$8)/($G$8-$E$8),$E$8+SQRT(R920*($G$8-$E$8)*($F$8-$E$8)),$G$8-SQRT((1-R920)*($G$8-$E$8)*($G$8-$F$8))))</f>
        <v>1.02946400478268</v>
      </c>
      <c r="E920" s="37" t="n">
        <f aca="false">1+IF($G$9=$E$9,$F$9,IF(S920&lt;($F$9-$E$9)/($G$9-$E$9),$E$9+SQRT(S920*($G$9-$E$9)*($F$9-$E$9)),$G$9-SQRT((1-S920)*($G$9-$E$9)*($G$9-$F$9))))</f>
        <v>1.02784705486886</v>
      </c>
      <c r="F920" s="37" t="n">
        <f aca="false">1+IF($G$10=$E$10,$F$10,IF(T920&lt;($F$10-$E$10)/($G$10-$E$10),$E$10+SQRT(T920*($G$10-$E$10)*($F$10-$E$10)),$G$10-SQRT((1-T920)*($G$10-$E$10)*($G$10-$F$10))))</f>
        <v>1.04024303783323</v>
      </c>
      <c r="G920" s="38" t="n">
        <f aca="false">IF($G$11=$E$11,$F$11,IF(U920&lt;($F$11-$E$11)/($G$11-$E$11),$E$11+SQRT(U920*($G$11-$E$11)*($F$11-$E$11)),$G$11-SQRT((1-U920)*($G$11-$E$11)*($G$11-$F$11))))</f>
        <v>0.116015237946679</v>
      </c>
      <c r="H920" s="39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-2080486075.66647</v>
      </c>
      <c r="I920" s="39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-36802571.820345</v>
      </c>
      <c r="J920" s="39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226290412.07524</v>
      </c>
      <c r="K920" s="39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541395547.862487</v>
      </c>
      <c r="L920" s="39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662234142.981185</v>
      </c>
      <c r="M920" s="39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844509278.992117</v>
      </c>
      <c r="N920" s="39" t="n">
        <f aca="false">IF(COUNT('Business Case'!B11:G11)=0,"",H920+NPV(G920,I920:M920))</f>
        <v>-627559493.567491</v>
      </c>
      <c r="P920" s="40" t="n">
        <f aca="true">RAND()</f>
        <v>0.303631112040465</v>
      </c>
      <c r="Q920" s="40" t="n">
        <f aca="true">RAND()</f>
        <v>0.627978264723102</v>
      </c>
      <c r="R920" s="40" t="n">
        <f aca="true">RAND()</f>
        <v>0.66831155858017</v>
      </c>
      <c r="S920" s="40" t="n">
        <f aca="true">RAND()</f>
        <v>0.602097546554383</v>
      </c>
      <c r="T920" s="40" t="n">
        <f aca="true">RAND()</f>
        <v>0.413360224300929</v>
      </c>
      <c r="U920" s="40" t="n">
        <f aca="true">RAND()</f>
        <v>0.869617620207992</v>
      </c>
    </row>
    <row r="921" customFormat="false" ht="15" hidden="false" customHeight="false" outlineLevel="0" collapsed="false">
      <c r="A921" s="36" t="n">
        <v>841</v>
      </c>
      <c r="B921" s="37" t="n">
        <f aca="false">1+IF($G$6=$E$6,$F$6,IF(P921&lt;($F$6-$E$6)/($G$6-$E$6),$E$6+SQRT(P921*($G$6-$E$6)*($F$6-$E$6)),$G$6-SQRT((1-P921)*($G$6-$E$6)*($G$6-$F$6))))</f>
        <v>1.01377763418672</v>
      </c>
      <c r="C921" s="37" t="n">
        <f aca="false">1+IF($G$7=$E$7,$F$7,IF(Q921&lt;($F$7-$E$7)/($G$7-$E$7),$E$7+SQRT(Q921*($G$7-$E$7)*($F$7-$E$7)),$G$7-SQRT((1-Q921)*($G$7-$E$7)*($G$7-$F$7))))</f>
        <v>1.03686661773899</v>
      </c>
      <c r="D921" s="37" t="n">
        <f aca="false">1+IF($G$8=$E$8,$F$8,IF(R921&lt;($F$8-$E$8)/($G$8-$E$8),$E$8+SQRT(R921*($G$8-$E$8)*($F$8-$E$8)),$G$8-SQRT((1-R921)*($G$8-$E$8)*($G$8-$F$8))))</f>
        <v>1.03510753420701</v>
      </c>
      <c r="E921" s="37" t="n">
        <f aca="false">1+IF($G$9=$E$9,$F$9,IF(S921&lt;($F$9-$E$9)/($G$9-$E$9),$E$9+SQRT(S921*($G$9-$E$9)*($F$9-$E$9)),$G$9-SQRT((1-S921)*($G$9-$E$9)*($G$9-$F$9))))</f>
        <v>1.06755029533076</v>
      </c>
      <c r="F921" s="37" t="n">
        <f aca="false">1+IF($G$10=$E$10,$F$10,IF(T921&lt;($F$10-$E$10)/($G$10-$E$10),$E$10+SQRT(T921*($G$10-$E$10)*($F$10-$E$10)),$G$10-SQRT((1-T921)*($G$10-$E$10)*($G$10-$F$10))))</f>
        <v>0.992080377982376</v>
      </c>
      <c r="G921" s="38" t="n">
        <f aca="false">IF($G$11=$E$11,$F$11,IF(U921&lt;($F$11-$E$11)/($G$11-$E$11),$E$11+SQRT(U921*($G$11-$E$11)*($F$11-$E$11)),$G$11-SQRT((1-U921)*($G$11-$E$11)*($G$11-$F$11))))</f>
        <v>0.103835606982093</v>
      </c>
      <c r="H921" s="39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-1984160755.96475</v>
      </c>
      <c r="I921" s="39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6036320.81616376</v>
      </c>
      <c r="J921" s="39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317578060.785055</v>
      </c>
      <c r="K921" s="39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678723819.653066</v>
      </c>
      <c r="L921" s="39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818898885.881667</v>
      </c>
      <c r="M921" s="39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1018701893.52934</v>
      </c>
      <c r="N921" s="39" t="n">
        <f aca="false">IF(COUNT('Business Case'!B11:G11)=0,"",H921+NPV(G921,I921:M921))</f>
        <v>-40208451.9525068</v>
      </c>
      <c r="P921" s="40" t="n">
        <f aca="true">RAND()</f>
        <v>0.825058695318505</v>
      </c>
      <c r="Q921" s="40" t="n">
        <f aca="true">RAND()</f>
        <v>0.810382782491629</v>
      </c>
      <c r="R921" s="40" t="n">
        <f aca="true">RAND()</f>
        <v>0.719264525553745</v>
      </c>
      <c r="S921" s="40" t="n">
        <f aca="true">RAND()</f>
        <v>0.818721231998784</v>
      </c>
      <c r="T921" s="40" t="n">
        <f aca="true">RAND()</f>
        <v>0.11805054740931</v>
      </c>
      <c r="U921" s="40" t="n">
        <f aca="true">RAND()</f>
        <v>0.543616358669653</v>
      </c>
    </row>
    <row r="922" customFormat="false" ht="15" hidden="false" customHeight="false" outlineLevel="0" collapsed="false">
      <c r="A922" s="36" t="n">
        <v>842</v>
      </c>
      <c r="B922" s="37" t="n">
        <f aca="false">1+IF($G$6=$E$6,$F$6,IF(P922&lt;($F$6-$E$6)/($G$6-$E$6),$E$6+SQRT(P922*($G$6-$E$6)*($F$6-$E$6)),$G$6-SQRT((1-P922)*($G$6-$E$6)*($G$6-$F$6))))</f>
        <v>1.00177018628409</v>
      </c>
      <c r="C922" s="37" t="n">
        <f aca="false">1+IF($G$7=$E$7,$F$7,IF(Q922&lt;($F$7-$E$7)/($G$7-$E$7),$E$7+SQRT(Q922*($G$7-$E$7)*($F$7-$E$7)),$G$7-SQRT((1-Q922)*($G$7-$E$7)*($G$7-$F$7))))</f>
        <v>1.00404038544449</v>
      </c>
      <c r="D922" s="37" t="n">
        <f aca="false">1+IF($G$8=$E$8,$F$8,IF(R922&lt;($F$8-$E$8)/($G$8-$E$8),$E$8+SQRT(R922*($G$8-$E$8)*($F$8-$E$8)),$G$8-SQRT((1-R922)*($G$8-$E$8)*($G$8-$F$8))))</f>
        <v>1.00047550145346</v>
      </c>
      <c r="E922" s="37" t="n">
        <f aca="false">1+IF($G$9=$E$9,$F$9,IF(S922&lt;($F$9-$E$9)/($G$9-$E$9),$E$9+SQRT(S922*($G$9-$E$9)*($F$9-$E$9)),$G$9-SQRT((1-S922)*($G$9-$E$9)*($G$9-$F$9))))</f>
        <v>1.03317581767005</v>
      </c>
      <c r="F922" s="37" t="n">
        <f aca="false">1+IF($G$10=$E$10,$F$10,IF(T922&lt;($F$10-$E$10)/($G$10-$E$10),$E$10+SQRT(T922*($G$10-$E$10)*($F$10-$E$10)),$G$10-SQRT((1-T922)*($G$10-$E$10)*($G$10-$F$10))))</f>
        <v>1.19885589162426</v>
      </c>
      <c r="G922" s="38" t="n">
        <f aca="false">IF($G$11=$E$11,$F$11,IF(U922&lt;($F$11-$E$11)/($G$11-$E$11),$E$11+SQRT(U922*($G$11-$E$11)*($F$11-$E$11)),$G$11-SQRT((1-U922)*($G$11-$E$11)*($G$11-$F$11))))</f>
        <v>0.0912973362419533</v>
      </c>
      <c r="H922" s="39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-2397711783.24851</v>
      </c>
      <c r="I922" s="39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-9340402.76934221</v>
      </c>
      <c r="J922" s="39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300263975.706689</v>
      </c>
      <c r="K922" s="39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669811148.763934</v>
      </c>
      <c r="L922" s="39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807773668.796122</v>
      </c>
      <c r="M922" s="39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998959501.767101</v>
      </c>
      <c r="N922" s="39" t="n">
        <f aca="false">IF(COUNT('Business Case'!B11:G11)=0,"",H922+NPV(G922,I922:M922))</f>
        <v>-423834381.220439</v>
      </c>
      <c r="P922" s="40" t="n">
        <f aca="true">RAND()</f>
        <v>0.689851342523858</v>
      </c>
      <c r="Q922" s="40" t="n">
        <f aca="true">RAND()</f>
        <v>0.684382087686044</v>
      </c>
      <c r="R922" s="40" t="n">
        <f aca="true">RAND()</f>
        <v>0.339658279270587</v>
      </c>
      <c r="S922" s="40" t="n">
        <f aca="true">RAND()</f>
        <v>0.636056277945023</v>
      </c>
      <c r="T922" s="40" t="n">
        <f aca="true">RAND()</f>
        <v>0.965123735712669</v>
      </c>
      <c r="U922" s="40" t="n">
        <f aca="true">RAND()</f>
        <v>0.127629806163751</v>
      </c>
    </row>
    <row r="923" customFormat="false" ht="15" hidden="false" customHeight="false" outlineLevel="0" collapsed="false">
      <c r="A923" s="36" t="n">
        <v>843</v>
      </c>
      <c r="B923" s="37" t="n">
        <f aca="false">1+IF($G$6=$E$6,$F$6,IF(P923&lt;($F$6-$E$6)/($G$6-$E$6),$E$6+SQRT(P923*($G$6-$E$6)*($F$6-$E$6)),$G$6-SQRT((1-P923)*($G$6-$E$6)*($G$6-$F$6))))</f>
        <v>0.969450255423013</v>
      </c>
      <c r="C923" s="37" t="n">
        <f aca="false">1+IF($G$7=$E$7,$F$7,IF(Q923&lt;($F$7-$E$7)/($G$7-$E$7),$E$7+SQRT(Q923*($G$7-$E$7)*($F$7-$E$7)),$G$7-SQRT((1-Q923)*($G$7-$E$7)*($G$7-$F$7))))</f>
        <v>0.892110348879576</v>
      </c>
      <c r="D923" s="37" t="n">
        <f aca="false">1+IF($G$8=$E$8,$F$8,IF(R923&lt;($F$8-$E$8)/($G$8-$E$8),$E$8+SQRT(R923*($G$8-$E$8)*($F$8-$E$8)),$G$8-SQRT((1-R923)*($G$8-$E$8)*($G$8-$F$8))))</f>
        <v>0.984714506023177</v>
      </c>
      <c r="E923" s="37" t="n">
        <f aca="false">1+IF($G$9=$E$9,$F$9,IF(S923&lt;($F$9-$E$9)/($G$9-$E$9),$E$9+SQRT(S923*($G$9-$E$9)*($F$9-$E$9)),$G$9-SQRT((1-S923)*($G$9-$E$9)*($G$9-$F$9))))</f>
        <v>0.990757062668425</v>
      </c>
      <c r="F923" s="37" t="n">
        <f aca="false">1+IF($G$10=$E$10,$F$10,IF(T923&lt;($F$10-$E$10)/($G$10-$E$10),$E$10+SQRT(T923*($G$10-$E$10)*($F$10-$E$10)),$G$10-SQRT((1-T923)*($G$10-$E$10)*($G$10-$F$10))))</f>
        <v>1.11043167433473</v>
      </c>
      <c r="G923" s="38" t="n">
        <f aca="false">IF($G$11=$E$11,$F$11,IF(U923&lt;($F$11-$E$11)/($G$11-$E$11),$E$11+SQRT(U923*($G$11-$E$11)*($F$11-$E$11)),$G$11-SQRT((1-U923)*($G$11-$E$11)*($G$11-$F$11))))</f>
        <v>0.0888323114924053</v>
      </c>
      <c r="H923" s="39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-2220863348.66947</v>
      </c>
      <c r="I923" s="39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-38091569.3829557</v>
      </c>
      <c r="J923" s="39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220579849.412632</v>
      </c>
      <c r="K923" s="39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534772851.924957</v>
      </c>
      <c r="L923" s="39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650886102.479234</v>
      </c>
      <c r="M923" s="39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815278046.069176</v>
      </c>
      <c r="N923" s="39" t="n">
        <f aca="false">IF(COUNT('Business Case'!B11:G11)=0,"",H923+NPV(G923,I923:M923))</f>
        <v>-659710975.62116</v>
      </c>
      <c r="P923" s="40" t="n">
        <f aca="true">RAND()</f>
        <v>0.321555865221449</v>
      </c>
      <c r="Q923" s="40" t="n">
        <f aca="true">RAND()</f>
        <v>0.273380638123202</v>
      </c>
      <c r="R923" s="40" t="n">
        <f aca="true">RAND()</f>
        <v>0.160679590457756</v>
      </c>
      <c r="S923" s="40" t="n">
        <f aca="true">RAND()</f>
        <v>0.329473776968016</v>
      </c>
      <c r="T923" s="40" t="n">
        <f aca="true">RAND()</f>
        <v>0.740275766279917</v>
      </c>
      <c r="U923" s="40" t="n">
        <f aca="true">RAND()</f>
        <v>0.078009726298875</v>
      </c>
    </row>
    <row r="924" customFormat="false" ht="15" hidden="false" customHeight="false" outlineLevel="0" collapsed="false">
      <c r="A924" s="36" t="n">
        <v>844</v>
      </c>
      <c r="B924" s="37" t="n">
        <f aca="false">1+IF($G$6=$E$6,$F$6,IF(P924&lt;($F$6-$E$6)/($G$6-$E$6),$E$6+SQRT(P924*($G$6-$E$6)*($F$6-$E$6)),$G$6-SQRT((1-P924)*($G$6-$E$6)*($G$6-$F$6))))</f>
        <v>1.04158177922298</v>
      </c>
      <c r="C924" s="37" t="n">
        <f aca="false">1+IF($G$7=$E$7,$F$7,IF(Q924&lt;($F$7-$E$7)/($G$7-$E$7),$E$7+SQRT(Q924*($G$7-$E$7)*($F$7-$E$7)),$G$7-SQRT((1-Q924)*($G$7-$E$7)*($G$7-$F$7))))</f>
        <v>0.928508015090748</v>
      </c>
      <c r="D924" s="37" t="n">
        <f aca="false">1+IF($G$8=$E$8,$F$8,IF(R924&lt;($F$8-$E$8)/($G$8-$E$8),$E$8+SQRT(R924*($G$8-$E$8)*($F$8-$E$8)),$G$8-SQRT((1-R924)*($G$8-$E$8)*($G$8-$F$8))))</f>
        <v>1.0246617106851</v>
      </c>
      <c r="E924" s="37" t="n">
        <f aca="false">1+IF($G$9=$E$9,$F$9,IF(S924&lt;($F$9-$E$9)/($G$9-$E$9),$E$9+SQRT(S924*($G$9-$E$9)*($F$9-$E$9)),$G$9-SQRT((1-S924)*($G$9-$E$9)*($G$9-$F$9))))</f>
        <v>1.07737080540364</v>
      </c>
      <c r="F924" s="37" t="n">
        <f aca="false">1+IF($G$10=$E$10,$F$10,IF(T924&lt;($F$10-$E$10)/($G$10-$E$10),$E$10+SQRT(T924*($G$10-$E$10)*($F$10-$E$10)),$G$10-SQRT((1-T924)*($G$10-$E$10)*($G$10-$F$10))))</f>
        <v>1.10598880394848</v>
      </c>
      <c r="G924" s="38" t="n">
        <f aca="false">IF($G$11=$E$11,$F$11,IF(U924&lt;($F$11-$E$11)/($G$11-$E$11),$E$11+SQRT(U924*($G$11-$E$11)*($F$11-$E$11)),$G$11-SQRT((1-U924)*($G$11-$E$11)*($G$11-$F$11))))</f>
        <v>0.0914354215174402</v>
      </c>
      <c r="H924" s="39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-2211977607.89696</v>
      </c>
      <c r="I924" s="39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-8841947.83844878</v>
      </c>
      <c r="J924" s="39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296252460.1013</v>
      </c>
      <c r="K924" s="39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656646308.238473</v>
      </c>
      <c r="L924" s="39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791768008.788357</v>
      </c>
      <c r="M924" s="39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975597613.923182</v>
      </c>
      <c r="N924" s="39" t="n">
        <f aca="false">IF(COUNT('Business Case'!B11:G11)=0,"",H924+NPV(G924,I924:M924))</f>
        <v>-278454618.547122</v>
      </c>
      <c r="P924" s="40" t="n">
        <f aca="true">RAND()</f>
        <v>0.990551141193257</v>
      </c>
      <c r="Q924" s="40" t="n">
        <f aca="true">RAND()</f>
        <v>0.386784540449729</v>
      </c>
      <c r="R924" s="40" t="n">
        <f aca="true">RAND()</f>
        <v>0.621609477540247</v>
      </c>
      <c r="S924" s="40" t="n">
        <f aca="true">RAND()</f>
        <v>0.859333335794232</v>
      </c>
      <c r="T924" s="40" t="n">
        <f aca="true">RAND()</f>
        <v>0.723477005490813</v>
      </c>
      <c r="U924" s="40" t="n">
        <f aca="true">RAND()</f>
        <v>0.130768865281535</v>
      </c>
    </row>
    <row r="925" customFormat="false" ht="15" hidden="false" customHeight="false" outlineLevel="0" collapsed="false">
      <c r="A925" s="36" t="n">
        <v>845</v>
      </c>
      <c r="B925" s="37" t="n">
        <f aca="false">1+IF($G$6=$E$6,$F$6,IF(P925&lt;($F$6-$E$6)/($G$6-$E$6),$E$6+SQRT(P925*($G$6-$E$6)*($F$6-$E$6)),$G$6-SQRT((1-P925)*($G$6-$E$6)*($G$6-$F$6))))</f>
        <v>0.981627335344062</v>
      </c>
      <c r="C925" s="37" t="n">
        <f aca="false">1+IF($G$7=$E$7,$F$7,IF(Q925&lt;($F$7-$E$7)/($G$7-$E$7),$E$7+SQRT(Q925*($G$7-$E$7)*($F$7-$E$7)),$G$7-SQRT((1-Q925)*($G$7-$E$7)*($G$7-$F$7))))</f>
        <v>0.91352324096098</v>
      </c>
      <c r="D925" s="37" t="n">
        <f aca="false">1+IF($G$8=$E$8,$F$8,IF(R925&lt;($F$8-$E$8)/($G$8-$E$8),$E$8+SQRT(R925*($G$8-$E$8)*($F$8-$E$8)),$G$8-SQRT((1-R925)*($G$8-$E$8)*($G$8-$F$8))))</f>
        <v>1.00590316124655</v>
      </c>
      <c r="E925" s="37" t="n">
        <f aca="false">1+IF($G$9=$E$9,$F$9,IF(S925&lt;($F$9-$E$9)/($G$9-$E$9),$E$9+SQRT(S925*($G$9-$E$9)*($F$9-$E$9)),$G$9-SQRT((1-S925)*($G$9-$E$9)*($G$9-$F$9))))</f>
        <v>1.07960798514518</v>
      </c>
      <c r="F925" s="37" t="n">
        <f aca="false">1+IF($G$10=$E$10,$F$10,IF(T925&lt;($F$10-$E$10)/($G$10-$E$10),$E$10+SQRT(T925*($G$10-$E$10)*($F$10-$E$10)),$G$10-SQRT((1-T925)*($G$10-$E$10)*($G$10-$F$10))))</f>
        <v>1.02065289514554</v>
      </c>
      <c r="G925" s="38" t="n">
        <f aca="false">IF($G$11=$E$11,$F$11,IF(U925&lt;($F$11-$E$11)/($G$11-$E$11),$E$11+SQRT(U925*($G$11-$E$11)*($F$11-$E$11)),$G$11-SQRT((1-U925)*($G$11-$E$11)*($G$11-$F$11))))</f>
        <v>0.0989275170228988</v>
      </c>
      <c r="H925" s="39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-2041305790.29109</v>
      </c>
      <c r="I925" s="39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-37989829.01939</v>
      </c>
      <c r="J925" s="39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226092856.67142</v>
      </c>
      <c r="K925" s="39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541208187.119507</v>
      </c>
      <c r="L925" s="39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660227062.155111</v>
      </c>
      <c r="M925" s="39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830679284.417781</v>
      </c>
      <c r="N925" s="39" t="n">
        <f aca="false">IF(COUNT('Business Case'!B11:G11)=0,"",H925+NPV(G925,I925:M925))</f>
        <v>-509832642.06078</v>
      </c>
      <c r="P925" s="40" t="n">
        <f aca="true">RAND()</f>
        <v>0.444201458358125</v>
      </c>
      <c r="Q925" s="40" t="n">
        <f aca="true">RAND()</f>
        <v>0.337719810596152</v>
      </c>
      <c r="R925" s="40" t="n">
        <f aca="true">RAND()</f>
        <v>0.409718995773781</v>
      </c>
      <c r="S925" s="40" t="n">
        <f aca="true">RAND()</f>
        <v>0.86786571319144</v>
      </c>
      <c r="T925" s="40" t="n">
        <f aca="true">RAND()</f>
        <v>0.298665406598391</v>
      </c>
      <c r="U925" s="40" t="n">
        <f aca="true">RAND()</f>
        <v>0.358250900652123</v>
      </c>
    </row>
    <row r="926" customFormat="false" ht="15" hidden="false" customHeight="false" outlineLevel="0" collapsed="false">
      <c r="A926" s="36" t="n">
        <v>846</v>
      </c>
      <c r="B926" s="37" t="n">
        <f aca="false">1+IF($G$6=$E$6,$F$6,IF(P926&lt;($F$6-$E$6)/($G$6-$E$6),$E$6+SQRT(P926*($G$6-$E$6)*($F$6-$E$6)),$G$6-SQRT((1-P926)*($G$6-$E$6)*($G$6-$F$6))))</f>
        <v>0.999073858252824</v>
      </c>
      <c r="C926" s="37" t="n">
        <f aca="false">1+IF($G$7=$E$7,$F$7,IF(Q926&lt;($F$7-$E$7)/($G$7-$E$7),$E$7+SQRT(Q926*($G$7-$E$7)*($F$7-$E$7)),$G$7-SQRT((1-Q926)*($G$7-$E$7)*($G$7-$F$7))))</f>
        <v>1.1048229265489</v>
      </c>
      <c r="D926" s="37" t="n">
        <f aca="false">1+IF($G$8=$E$8,$F$8,IF(R926&lt;($F$8-$E$8)/($G$8-$E$8),$E$8+SQRT(R926*($G$8-$E$8)*($F$8-$E$8)),$G$8-SQRT((1-R926)*($G$8-$E$8)*($G$8-$F$8))))</f>
        <v>1.05207579603345</v>
      </c>
      <c r="E926" s="37" t="n">
        <f aca="false">1+IF($G$9=$E$9,$F$9,IF(S926&lt;($F$9-$E$9)/($G$9-$E$9),$E$9+SQRT(S926*($G$9-$E$9)*($F$9-$E$9)),$G$9-SQRT((1-S926)*($G$9-$E$9)*($G$9-$F$9))))</f>
        <v>1.02841411460364</v>
      </c>
      <c r="F926" s="37" t="n">
        <f aca="false">1+IF($G$10=$E$10,$F$10,IF(T926&lt;($F$10-$E$10)/($G$10-$E$10),$E$10+SQRT(T926*($G$10-$E$10)*($F$10-$E$10)),$G$10-SQRT((1-T926)*($G$10-$E$10)*($G$10-$F$10))))</f>
        <v>1.00120012850381</v>
      </c>
      <c r="G926" s="38" t="n">
        <f aca="false">IF($G$11=$E$11,$F$11,IF(U926&lt;($F$11-$E$11)/($G$11-$E$11),$E$11+SQRT(U926*($G$11-$E$11)*($F$11-$E$11)),$G$11-SQRT((1-U926)*($G$11-$E$11)*($G$11-$F$11))))</f>
        <v>0.0828182101652312</v>
      </c>
      <c r="H926" s="39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-2002400257.00761</v>
      </c>
      <c r="I926" s="39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5475923.60108213</v>
      </c>
      <c r="J926" s="39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314533323.800052</v>
      </c>
      <c r="K926" s="39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673650730.424212</v>
      </c>
      <c r="L926" s="39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814817181.591114</v>
      </c>
      <c r="M926" s="39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1024627429.31097</v>
      </c>
      <c r="N926" s="39" t="n">
        <f aca="false">IF(COUNT('Business Case'!B11:G11)=0,"",H926+NPV(G926,I926:M926))</f>
        <v>82538436.2780283</v>
      </c>
      <c r="P926" s="40" t="n">
        <f aca="true">RAND()</f>
        <v>0.654375292606705</v>
      </c>
      <c r="Q926" s="40" t="n">
        <f aca="true">RAND()</f>
        <v>0.969763437546578</v>
      </c>
      <c r="R926" s="40" t="n">
        <f aca="true">RAND()</f>
        <v>0.846884711611499</v>
      </c>
      <c r="S926" s="40" t="n">
        <f aca="true">RAND()</f>
        <v>0.605783265930189</v>
      </c>
      <c r="T926" s="40" t="n">
        <f aca="true">RAND()</f>
        <v>0.174648319246365</v>
      </c>
      <c r="U926" s="40" t="n">
        <f aca="true">RAND()</f>
        <v>0.00794230853541267</v>
      </c>
    </row>
    <row r="927" customFormat="false" ht="15" hidden="false" customHeight="false" outlineLevel="0" collapsed="false">
      <c r="A927" s="36" t="n">
        <v>847</v>
      </c>
      <c r="B927" s="37" t="n">
        <f aca="false">1+IF($G$6=$E$6,$F$6,IF(P927&lt;($F$6-$E$6)/($G$6-$E$6),$E$6+SQRT(P927*($G$6-$E$6)*($F$6-$E$6)),$G$6-SQRT((1-P927)*($G$6-$E$6)*($G$6-$F$6))))</f>
        <v>0.985207645564029</v>
      </c>
      <c r="C927" s="37" t="n">
        <f aca="false">1+IF($G$7=$E$7,$F$7,IF(Q927&lt;($F$7-$E$7)/($G$7-$E$7),$E$7+SQRT(Q927*($G$7-$E$7)*($F$7-$E$7)),$G$7-SQRT((1-Q927)*($G$7-$E$7)*($G$7-$F$7))))</f>
        <v>0.853304425637627</v>
      </c>
      <c r="D927" s="37" t="n">
        <f aca="false">1+IF($G$8=$E$8,$F$8,IF(R927&lt;($F$8-$E$8)/($G$8-$E$8),$E$8+SQRT(R927*($G$8-$E$8)*($F$8-$E$8)),$G$8-SQRT((1-R927)*($G$8-$E$8)*($G$8-$F$8))))</f>
        <v>0.988431430977785</v>
      </c>
      <c r="E927" s="37" t="n">
        <f aca="false">1+IF($G$9=$E$9,$F$9,IF(S927&lt;($F$9-$E$9)/($G$9-$E$9),$E$9+SQRT(S927*($G$9-$E$9)*($F$9-$E$9)),$G$9-SQRT((1-S927)*($G$9-$E$9)*($G$9-$F$9))))</f>
        <v>1.04633337881473</v>
      </c>
      <c r="F927" s="37" t="n">
        <f aca="false">1+IF($G$10=$E$10,$F$10,IF(T927&lt;($F$10-$E$10)/($G$10-$E$10),$E$10+SQRT(T927*($G$10-$E$10)*($F$10-$E$10)),$G$10-SQRT((1-T927)*($G$10-$E$10)*($G$10-$F$10))))</f>
        <v>0.962349663025894</v>
      </c>
      <c r="G927" s="38" t="n">
        <f aca="false">IF($G$11=$E$11,$F$11,IF(U927&lt;($F$11-$E$11)/($G$11-$E$11),$E$11+SQRT(U927*($G$11-$E$11)*($F$11-$E$11)),$G$11-SQRT((1-U927)*($G$11-$E$11)*($G$11-$F$11))))</f>
        <v>0.0988455827508685</v>
      </c>
      <c r="H927" s="39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-1924699326.05179</v>
      </c>
      <c r="I927" s="39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-31795584.2737959</v>
      </c>
      <c r="J927" s="39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225013361.390245</v>
      </c>
      <c r="K927" s="39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529939790.20558</v>
      </c>
      <c r="L927" s="39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644596743.538789</v>
      </c>
      <c r="M927" s="39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804393586.487364</v>
      </c>
      <c r="N927" s="39" t="n">
        <f aca="false">IF(COUNT('Business Case'!B11:G11)=0,"",H927+NPV(G927,I927:M927))</f>
        <v>-423659015.285503</v>
      </c>
      <c r="P927" s="40" t="n">
        <f aca="true">RAND()</f>
        <v>0.484022857504343</v>
      </c>
      <c r="Q927" s="40" t="n">
        <f aca="true">RAND()</f>
        <v>0.174090717926539</v>
      </c>
      <c r="R927" s="40" t="n">
        <f aca="true">RAND()</f>
        <v>0.196929984933371</v>
      </c>
      <c r="S927" s="40" t="n">
        <f aca="true">RAND()</f>
        <v>0.713419510720769</v>
      </c>
      <c r="T927" s="40" t="n">
        <f aca="true">RAND()</f>
        <v>0.0101676117902081</v>
      </c>
      <c r="U927" s="40" t="n">
        <f aca="true">RAND()</f>
        <v>0.355155989219831</v>
      </c>
    </row>
    <row r="928" customFormat="false" ht="15" hidden="false" customHeight="false" outlineLevel="0" collapsed="false">
      <c r="A928" s="36" t="n">
        <v>848</v>
      </c>
      <c r="B928" s="37" t="n">
        <f aca="false">1+IF($G$6=$E$6,$F$6,IF(P928&lt;($F$6-$E$6)/($G$6-$E$6),$E$6+SQRT(P928*($G$6-$E$6)*($F$6-$E$6)),$G$6-SQRT((1-P928)*($G$6-$E$6)*($G$6-$F$6))))</f>
        <v>0.935089068126917</v>
      </c>
      <c r="C928" s="37" t="n">
        <f aca="false">1+IF($G$7=$E$7,$F$7,IF(Q928&lt;($F$7-$E$7)/($G$7-$E$7),$E$7+SQRT(Q928*($G$7-$E$7)*($F$7-$E$7)),$G$7-SQRT((1-Q928)*($G$7-$E$7)*($G$7-$F$7))))</f>
        <v>0.950100809857005</v>
      </c>
      <c r="D928" s="37" t="n">
        <f aca="false">1+IF($G$8=$E$8,$F$8,IF(R928&lt;($F$8-$E$8)/($G$8-$E$8),$E$8+SQRT(R928*($G$8-$E$8)*($F$8-$E$8)),$G$8-SQRT((1-R928)*($G$8-$E$8)*($G$8-$F$8))))</f>
        <v>1.02025668181552</v>
      </c>
      <c r="E928" s="37" t="n">
        <f aca="false">1+IF($G$9=$E$9,$F$9,IF(S928&lt;($F$9-$E$9)/($G$9-$E$9),$E$9+SQRT(S928*($G$9-$E$9)*($F$9-$E$9)),$G$9-SQRT((1-S928)*($G$9-$E$9)*($G$9-$F$9))))</f>
        <v>1.01531458167825</v>
      </c>
      <c r="F928" s="37" t="n">
        <f aca="false">1+IF($G$10=$E$10,$F$10,IF(T928&lt;($F$10-$E$10)/($G$10-$E$10),$E$10+SQRT(T928*($G$10-$E$10)*($F$10-$E$10)),$G$10-SQRT((1-T928)*($G$10-$E$10)*($G$10-$F$10))))</f>
        <v>1.0309730126243</v>
      </c>
      <c r="G928" s="38" t="n">
        <f aca="false">IF($G$11=$E$11,$F$11,IF(U928&lt;($F$11-$E$11)/($G$11-$E$11),$E$11+SQRT(U928*($G$11-$E$11)*($F$11-$E$11)),$G$11-SQRT((1-U928)*($G$11-$E$11)*($G$11-$F$11))))</f>
        <v>0.0873203933789925</v>
      </c>
      <c r="H928" s="39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-2061946025.2486</v>
      </c>
      <c r="I928" s="39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-62071930.1016328</v>
      </c>
      <c r="J928" s="39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169387327.760487</v>
      </c>
      <c r="K928" s="39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452395236.253821</v>
      </c>
      <c r="L928" s="39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560252424.332311</v>
      </c>
      <c r="M928" s="39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729124986.01679</v>
      </c>
      <c r="N928" s="39" t="n">
        <f aca="false">IF(COUNT('Business Case'!B11:G11)=0,"",H928+NPV(G928,I928:M928))</f>
        <v>-743265242.823292</v>
      </c>
      <c r="P928" s="40" t="n">
        <f aca="true">RAND()</f>
        <v>0.0820828468010299</v>
      </c>
      <c r="Q928" s="40" t="n">
        <f aca="true">RAND()</f>
        <v>0.463336408082444</v>
      </c>
      <c r="R928" s="40" t="n">
        <f aca="true">RAND()</f>
        <v>0.576066880328586</v>
      </c>
      <c r="S928" s="40" t="n">
        <f aca="true">RAND()</f>
        <v>0.516262349106507</v>
      </c>
      <c r="T928" s="40" t="n">
        <f aca="true">RAND()</f>
        <v>0.360362384014984</v>
      </c>
      <c r="U928" s="40" t="n">
        <f aca="true">RAND()</f>
        <v>0.0535881592231969</v>
      </c>
    </row>
    <row r="929" customFormat="false" ht="15" hidden="false" customHeight="false" outlineLevel="0" collapsed="false">
      <c r="A929" s="36" t="n">
        <v>849</v>
      </c>
      <c r="B929" s="37" t="n">
        <f aca="false">1+IF($G$6=$E$6,$F$6,IF(P929&lt;($F$6-$E$6)/($G$6-$E$6),$E$6+SQRT(P929*($G$6-$E$6)*($F$6-$E$6)),$G$6-SQRT((1-P929)*($G$6-$E$6)*($G$6-$F$6))))</f>
        <v>1.01627172071444</v>
      </c>
      <c r="C929" s="37" t="n">
        <f aca="false">1+IF($G$7=$E$7,$F$7,IF(Q929&lt;($F$7-$E$7)/($G$7-$E$7),$E$7+SQRT(Q929*($G$7-$E$7)*($F$7-$E$7)),$G$7-SQRT((1-Q929)*($G$7-$E$7)*($G$7-$F$7))))</f>
        <v>0.987269090487233</v>
      </c>
      <c r="D929" s="37" t="n">
        <f aca="false">1+IF($G$8=$E$8,$F$8,IF(R929&lt;($F$8-$E$8)/($G$8-$E$8),$E$8+SQRT(R929*($G$8-$E$8)*($F$8-$E$8)),$G$8-SQRT((1-R929)*($G$8-$E$8)*($G$8-$F$8))))</f>
        <v>1.00854235355791</v>
      </c>
      <c r="E929" s="37" t="n">
        <f aca="false">1+IF($G$9=$E$9,$F$9,IF(S929&lt;($F$9-$E$9)/($G$9-$E$9),$E$9+SQRT(S929*($G$9-$E$9)*($F$9-$E$9)),$G$9-SQRT((1-S929)*($G$9-$E$9)*($G$9-$F$9))))</f>
        <v>1.01621804856487</v>
      </c>
      <c r="F929" s="37" t="n">
        <f aca="false">1+IF($G$10=$E$10,$F$10,IF(T929&lt;($F$10-$E$10)/($G$10-$E$10),$E$10+SQRT(T929*($G$10-$E$10)*($F$10-$E$10)),$G$10-SQRT((1-T929)*($G$10-$E$10)*($G$10-$F$10))))</f>
        <v>1.0644257469708</v>
      </c>
      <c r="G929" s="38" t="n">
        <f aca="false">IF($G$11=$E$11,$F$11,IF(U929&lt;($F$11-$E$11)/($G$11-$E$11),$E$11+SQRT(U929*($G$11-$E$11)*($F$11-$E$11)),$G$11-SQRT((1-U929)*($G$11-$E$11)*($G$11-$F$11))))</f>
        <v>0.110127474825488</v>
      </c>
      <c r="H929" s="39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-2128851493.94159</v>
      </c>
      <c r="I929" s="39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9120785.2820069</v>
      </c>
      <c r="J929" s="39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321203168.566512</v>
      </c>
      <c r="K929" s="39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686506839.199558</v>
      </c>
      <c r="L929" s="39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825209511.494056</v>
      </c>
      <c r="M929" s="39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1015923173.0922</v>
      </c>
      <c r="N929" s="39" t="n">
        <f aca="false">IF(COUNT('Business Case'!B11:G11)=0,"",H929+NPV(G929,I929:M929))</f>
        <v>-212308389.991484</v>
      </c>
      <c r="P929" s="40" t="n">
        <f aca="true">RAND()</f>
        <v>0.848320423524725</v>
      </c>
      <c r="Q929" s="40" t="n">
        <f aca="true">RAND()</f>
        <v>0.611285409995273</v>
      </c>
      <c r="R929" s="40" t="n">
        <f aca="true">RAND()</f>
        <v>0.442366593818257</v>
      </c>
      <c r="S929" s="40" t="n">
        <f aca="true">RAND()</f>
        <v>0.522730385872262</v>
      </c>
      <c r="T929" s="40" t="n">
        <f aca="true">RAND()</f>
        <v>0.54082928816871</v>
      </c>
      <c r="U929" s="40" t="n">
        <f aca="true">RAND()</f>
        <v>0.736721828792266</v>
      </c>
    </row>
    <row r="930" customFormat="false" ht="15" hidden="false" customHeight="false" outlineLevel="0" collapsed="false">
      <c r="A930" s="36" t="n">
        <v>850</v>
      </c>
      <c r="B930" s="37" t="n">
        <f aca="false">1+IF($G$6=$E$6,$F$6,IF(P930&lt;($F$6-$E$6)/($G$6-$E$6),$E$6+SQRT(P930*($G$6-$E$6)*($F$6-$E$6)),$G$6-SQRT((1-P930)*($G$6-$E$6)*($G$6-$F$6))))</f>
        <v>0.954567086351651</v>
      </c>
      <c r="C930" s="37" t="n">
        <f aca="false">1+IF($G$7=$E$7,$F$7,IF(Q930&lt;($F$7-$E$7)/($G$7-$E$7),$E$7+SQRT(Q930*($G$7-$E$7)*($F$7-$E$7)),$G$7-SQRT((1-Q930)*($G$7-$E$7)*($G$7-$F$7))))</f>
        <v>1.03291033096887</v>
      </c>
      <c r="D930" s="37" t="n">
        <f aca="false">1+IF($G$8=$E$8,$F$8,IF(R930&lt;($F$8-$E$8)/($G$8-$E$8),$E$8+SQRT(R930*($G$8-$E$8)*($F$8-$E$8)),$G$8-SQRT((1-R930)*($G$8-$E$8)*($G$8-$F$8))))</f>
        <v>1.04433219942825</v>
      </c>
      <c r="E930" s="37" t="n">
        <f aca="false">1+IF($G$9=$E$9,$F$9,IF(S930&lt;($F$9-$E$9)/($G$9-$E$9),$E$9+SQRT(S930*($G$9-$E$9)*($F$9-$E$9)),$G$9-SQRT((1-S930)*($G$9-$E$9)*($G$9-$F$9))))</f>
        <v>0.943779889382903</v>
      </c>
      <c r="F930" s="37" t="n">
        <f aca="false">1+IF($G$10=$E$10,$F$10,IF(T930&lt;($F$10-$E$10)/($G$10-$E$10),$E$10+SQRT(T930*($G$10-$E$10)*($F$10-$E$10)),$G$10-SQRT((1-T930)*($G$10-$E$10)*($G$10-$F$10))))</f>
        <v>1.09816712938962</v>
      </c>
      <c r="G930" s="38" t="n">
        <f aca="false">IF($G$11=$E$11,$F$11,IF(U930&lt;($F$11-$E$11)/($G$11-$E$11),$E$11+SQRT(U930*($G$11-$E$11)*($F$11-$E$11)),$G$11-SQRT((1-U930)*($G$11-$E$11)*($G$11-$F$11))))</f>
        <v>0.115670897574198</v>
      </c>
      <c r="H930" s="39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-2196334258.77925</v>
      </c>
      <c r="I930" s="39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-39753994.997455</v>
      </c>
      <c r="J930" s="39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215627540.726451</v>
      </c>
      <c r="K930" s="39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525917432.919838</v>
      </c>
      <c r="L930" s="39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645120156.502573</v>
      </c>
      <c r="M930" s="39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832535654.04712</v>
      </c>
      <c r="N930" s="39" t="n">
        <f aca="false">IF(COUNT('Business Case'!B11:G11)=0,"",H930+NPV(G930,I930:M930))</f>
        <v>-781995090.149787</v>
      </c>
      <c r="P930" s="40" t="n">
        <f aca="true">RAND()</f>
        <v>0.198504460860568</v>
      </c>
      <c r="Q930" s="40" t="n">
        <f aca="true">RAND()</f>
        <v>0.796889028239712</v>
      </c>
      <c r="R930" s="40" t="n">
        <f aca="true">RAND()</f>
        <v>0.79340639863358</v>
      </c>
      <c r="S930" s="40" t="n">
        <f aca="true">RAND()</f>
        <v>0.0766671485751672</v>
      </c>
      <c r="T930" s="40" t="n">
        <f aca="true">RAND()</f>
        <v>0.692623725362838</v>
      </c>
      <c r="U930" s="40" t="n">
        <f aca="true">RAND()</f>
        <v>0.863117882447255</v>
      </c>
    </row>
    <row r="931" customFormat="false" ht="15" hidden="false" customHeight="false" outlineLevel="0" collapsed="false">
      <c r="A931" s="36" t="n">
        <v>851</v>
      </c>
      <c r="B931" s="37" t="n">
        <f aca="false">1+IF($G$6=$E$6,$F$6,IF(P931&lt;($F$6-$E$6)/($G$6-$E$6),$E$6+SQRT(P931*($G$6-$E$6)*($F$6-$E$6)),$G$6-SQRT((1-P931)*($G$6-$E$6)*($G$6-$F$6))))</f>
        <v>1.00126627282318</v>
      </c>
      <c r="C931" s="37" t="n">
        <f aca="false">1+IF($G$7=$E$7,$F$7,IF(Q931&lt;($F$7-$E$7)/($G$7-$E$7),$E$7+SQRT(Q931*($G$7-$E$7)*($F$7-$E$7)),$G$7-SQRT((1-Q931)*($G$7-$E$7)*($G$7-$F$7))))</f>
        <v>1.00730795223049</v>
      </c>
      <c r="D931" s="37" t="n">
        <f aca="false">1+IF($G$8=$E$8,$F$8,IF(R931&lt;($F$8-$E$8)/($G$8-$E$8),$E$8+SQRT(R931*($G$8-$E$8)*($F$8-$E$8)),$G$8-SQRT((1-R931)*($G$8-$E$8)*($G$8-$F$8))))</f>
        <v>1.02724790937825</v>
      </c>
      <c r="E931" s="37" t="n">
        <f aca="false">1+IF($G$9=$E$9,$F$9,IF(S931&lt;($F$9-$E$9)/($G$9-$E$9),$E$9+SQRT(S931*($G$9-$E$9)*($F$9-$E$9)),$G$9-SQRT((1-S931)*($G$9-$E$9)*($G$9-$F$9))))</f>
        <v>0.98562566287699</v>
      </c>
      <c r="F931" s="37" t="n">
        <f aca="false">1+IF($G$10=$E$10,$F$10,IF(T931&lt;($F$10-$E$10)/($G$10-$E$10),$E$10+SQRT(T931*($G$10-$E$10)*($F$10-$E$10)),$G$10-SQRT((1-T931)*($G$10-$E$10)*($G$10-$F$10))))</f>
        <v>1.10125521293029</v>
      </c>
      <c r="G931" s="38" t="n">
        <f aca="false">IF($G$11=$E$11,$F$11,IF(U931&lt;($F$11-$E$11)/($G$11-$E$11),$E$11+SQRT(U931*($G$11-$E$11)*($F$11-$E$11)),$G$11-SQRT((1-U931)*($G$11-$E$11)*($G$11-$F$11))))</f>
        <v>0.0994174873387486</v>
      </c>
      <c r="H931" s="39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-2202510425.86057</v>
      </c>
      <c r="I931" s="39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-6175744.33097892</v>
      </c>
      <c r="J931" s="39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290214969.439131</v>
      </c>
      <c r="K931" s="39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641668443.855754</v>
      </c>
      <c r="L931" s="39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775321993.477092</v>
      </c>
      <c r="M931" s="39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967033541.149248</v>
      </c>
      <c r="N931" s="39" t="n">
        <f aca="false">IF(COUNT('Business Case'!B11:G11)=0,"",H931+NPV(G931,I931:M931))</f>
        <v>-352442001.725736</v>
      </c>
      <c r="P931" s="40" t="n">
        <f aca="true">RAND()</f>
        <v>0.683336511394</v>
      </c>
      <c r="Q931" s="40" t="n">
        <f aca="true">RAND()</f>
        <v>0.698355251901372</v>
      </c>
      <c r="R931" s="40" t="n">
        <f aca="true">RAND()</f>
        <v>0.647142220677623</v>
      </c>
      <c r="S931" s="40" t="n">
        <f aca="true">RAND()</f>
        <v>0.293270165724954</v>
      </c>
      <c r="T931" s="40" t="n">
        <f aca="true">RAND()</f>
        <v>0.704999844261144</v>
      </c>
      <c r="U931" s="40" t="n">
        <f aca="true">RAND()</f>
        <v>0.377038814550463</v>
      </c>
    </row>
    <row r="932" customFormat="false" ht="15" hidden="false" customHeight="false" outlineLevel="0" collapsed="false">
      <c r="A932" s="36" t="n">
        <v>852</v>
      </c>
      <c r="B932" s="37" t="n">
        <f aca="false">1+IF($G$6=$E$6,$F$6,IF(P932&lt;($F$6-$E$6)/($G$6-$E$6),$E$6+SQRT(P932*($G$6-$E$6)*($F$6-$E$6)),$G$6-SQRT((1-P932)*($G$6-$E$6)*($G$6-$F$6))))</f>
        <v>1.01315588059247</v>
      </c>
      <c r="C932" s="37" t="n">
        <f aca="false">1+IF($G$7=$E$7,$F$7,IF(Q932&lt;($F$7-$E$7)/($G$7-$E$7),$E$7+SQRT(Q932*($G$7-$E$7)*($F$7-$E$7)),$G$7-SQRT((1-Q932)*($G$7-$E$7)*($G$7-$F$7))))</f>
        <v>1.05910829818089</v>
      </c>
      <c r="D932" s="37" t="n">
        <f aca="false">1+IF($G$8=$E$8,$F$8,IF(R932&lt;($F$8-$E$8)/($G$8-$E$8),$E$8+SQRT(R932*($G$8-$E$8)*($F$8-$E$8)),$G$8-SQRT((1-R932)*($G$8-$E$8)*($G$8-$F$8))))</f>
        <v>1.00271257023818</v>
      </c>
      <c r="E932" s="37" t="n">
        <f aca="false">1+IF($G$9=$E$9,$F$9,IF(S932&lt;($F$9-$E$9)/($G$9-$E$9),$E$9+SQRT(S932*($G$9-$E$9)*($F$9-$E$9)),$G$9-SQRT((1-S932)*($G$9-$E$9)*($G$9-$F$9))))</f>
        <v>0.983744798326478</v>
      </c>
      <c r="F932" s="37" t="n">
        <f aca="false">1+IF($G$10=$E$10,$F$10,IF(T932&lt;($F$10-$E$10)/($G$10-$E$10),$E$10+SQRT(T932*($G$10-$E$10)*($F$10-$E$10)),$G$10-SQRT((1-T932)*($G$10-$E$10)*($G$10-$F$10))))</f>
        <v>1.06904408607612</v>
      </c>
      <c r="G932" s="38" t="n">
        <f aca="false">IF($G$11=$E$11,$F$11,IF(U932&lt;($F$11-$E$11)/($G$11-$E$11),$E$11+SQRT(U932*($G$11-$E$11)*($F$11-$E$11)),$G$11-SQRT((1-U932)*($G$11-$E$11)*($G$11-$F$11))))</f>
        <v>0.106732668643274</v>
      </c>
      <c r="H932" s="39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-2138088172.15224</v>
      </c>
      <c r="I932" s="39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32829669.8766094</v>
      </c>
      <c r="J932" s="39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368078745.620063</v>
      </c>
      <c r="K932" s="39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756780025.667323</v>
      </c>
      <c r="L932" s="39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905614042.206612</v>
      </c>
      <c r="M932" s="39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1109577827.64304</v>
      </c>
      <c r="N932" s="39" t="n">
        <f aca="false">IF(COUNT('Business Case'!B11:G11)=0,"",H932+NPV(G932,I932:M932))</f>
        <v>22239170.5857499</v>
      </c>
      <c r="P932" s="40" t="n">
        <f aca="true">RAND()</f>
        <v>0.819001448677803</v>
      </c>
      <c r="Q932" s="40" t="n">
        <f aca="true">RAND()</f>
        <v>0.877610348747065</v>
      </c>
      <c r="R932" s="40" t="n">
        <f aca="true">RAND()</f>
        <v>0.36901040068928</v>
      </c>
      <c r="S932" s="40" t="n">
        <f aca="true">RAND()</f>
        <v>0.280527649869697</v>
      </c>
      <c r="T932" s="40" t="n">
        <f aca="true">RAND()</f>
        <v>0.563399429546301</v>
      </c>
      <c r="U932" s="40" t="n">
        <f aca="true">RAND()</f>
        <v>0.639087527690878</v>
      </c>
    </row>
    <row r="933" customFormat="false" ht="15" hidden="false" customHeight="false" outlineLevel="0" collapsed="false">
      <c r="A933" s="36" t="n">
        <v>853</v>
      </c>
      <c r="B933" s="37" t="n">
        <f aca="false">1+IF($G$6=$E$6,$F$6,IF(P933&lt;($F$6-$E$6)/($G$6-$E$6),$E$6+SQRT(P933*($G$6-$E$6)*($F$6-$E$6)),$G$6-SQRT((1-P933)*($G$6-$E$6)*($G$6-$F$6))))</f>
        <v>1.00739652841882</v>
      </c>
      <c r="C933" s="37" t="n">
        <f aca="false">1+IF($G$7=$E$7,$F$7,IF(Q933&lt;($F$7-$E$7)/($G$7-$E$7),$E$7+SQRT(Q933*($G$7-$E$7)*($F$7-$E$7)),$G$7-SQRT((1-Q933)*($G$7-$E$7)*($G$7-$F$7))))</f>
        <v>0.947573519469198</v>
      </c>
      <c r="D933" s="37" t="n">
        <f aca="false">1+IF($G$8=$E$8,$F$8,IF(R933&lt;($F$8-$E$8)/($G$8-$E$8),$E$8+SQRT(R933*($G$8-$E$8)*($F$8-$E$8)),$G$8-SQRT((1-R933)*($G$8-$E$8)*($G$8-$F$8))))</f>
        <v>1.057555242542</v>
      </c>
      <c r="E933" s="37" t="n">
        <f aca="false">1+IF($G$9=$E$9,$F$9,IF(S933&lt;($F$9-$E$9)/($G$9-$E$9),$E$9+SQRT(S933*($G$9-$E$9)*($F$9-$E$9)),$G$9-SQRT((1-S933)*($G$9-$E$9)*($G$9-$F$9))))</f>
        <v>1.0974000769749</v>
      </c>
      <c r="F933" s="37" t="n">
        <f aca="false">1+IF($G$10=$E$10,$F$10,IF(T933&lt;($F$10-$E$10)/($G$10-$E$10),$E$10+SQRT(T933*($G$10-$E$10)*($F$10-$E$10)),$G$10-SQRT((1-T933)*($G$10-$E$10)*($G$10-$F$10))))</f>
        <v>0.955876410953805</v>
      </c>
      <c r="G933" s="38" t="n">
        <f aca="false">IF($G$11=$E$11,$F$11,IF(U933&lt;($F$11-$E$11)/($G$11-$E$11),$E$11+SQRT(U933*($G$11-$E$11)*($F$11-$E$11)),$G$11-SQRT((1-U933)*($G$11-$E$11)*($G$11-$F$11))))</f>
        <v>0.108661046759933</v>
      </c>
      <c r="H933" s="39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-1911752821.90761</v>
      </c>
      <c r="I933" s="39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-32252703.6609663</v>
      </c>
      <c r="J933" s="39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236618069.800062</v>
      </c>
      <c r="K933" s="39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553282663.808782</v>
      </c>
      <c r="L933" s="39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675896618.349647</v>
      </c>
      <c r="M933" s="39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857343616.979188</v>
      </c>
      <c r="N933" s="39" t="n">
        <f aca="false">IF(COUNT('Business Case'!B11:G11)=0,"",H933+NPV(G933,I933:M933))</f>
        <v>-383052319.082489</v>
      </c>
      <c r="P933" s="40" t="n">
        <f aca="true">RAND()</f>
        <v>0.757992561230891</v>
      </c>
      <c r="Q933" s="40" t="n">
        <f aca="true">RAND()</f>
        <v>0.45401961142493</v>
      </c>
      <c r="R933" s="40" t="n">
        <f aca="true">RAND()</f>
        <v>0.879896170955409</v>
      </c>
      <c r="S933" s="40" t="n">
        <f aca="true">RAND()</f>
        <v>0.926219949273427</v>
      </c>
      <c r="T933" s="40" t="n">
        <f aca="true">RAND()</f>
        <v>0.00230214704653346</v>
      </c>
      <c r="U933" s="40" t="n">
        <f aca="true">RAND()</f>
        <v>0.696432716412165</v>
      </c>
    </row>
    <row r="934" customFormat="false" ht="15" hidden="false" customHeight="false" outlineLevel="0" collapsed="false">
      <c r="A934" s="36" t="n">
        <v>854</v>
      </c>
      <c r="B934" s="37" t="n">
        <f aca="false">1+IF($G$6=$E$6,$F$6,IF(P934&lt;($F$6-$E$6)/($G$6-$E$6),$E$6+SQRT(P934*($G$6-$E$6)*($F$6-$E$6)),$G$6-SQRT((1-P934)*($G$6-$E$6)*($G$6-$F$6))))</f>
        <v>1.00993864840568</v>
      </c>
      <c r="C934" s="37" t="n">
        <f aca="false">1+IF($G$7=$E$7,$F$7,IF(Q934&lt;($F$7-$E$7)/($G$7-$E$7),$E$7+SQRT(Q934*($G$7-$E$7)*($F$7-$E$7)),$G$7-SQRT((1-Q934)*($G$7-$E$7)*($G$7-$F$7))))</f>
        <v>0.874970076957313</v>
      </c>
      <c r="D934" s="37" t="n">
        <f aca="false">1+IF($G$8=$E$8,$F$8,IF(R934&lt;($F$8-$E$8)/($G$8-$E$8),$E$8+SQRT(R934*($G$8-$E$8)*($F$8-$E$8)),$G$8-SQRT((1-R934)*($G$8-$E$8)*($G$8-$F$8))))</f>
        <v>1.04937956096282</v>
      </c>
      <c r="E934" s="37" t="n">
        <f aca="false">1+IF($G$9=$E$9,$F$9,IF(S934&lt;($F$9-$E$9)/($G$9-$E$9),$E$9+SQRT(S934*($G$9-$E$9)*($F$9-$E$9)),$G$9-SQRT((1-S934)*($G$9-$E$9)*($G$9-$F$9))))</f>
        <v>1.02144277474336</v>
      </c>
      <c r="F934" s="37" t="n">
        <f aca="false">1+IF($G$10=$E$10,$F$10,IF(T934&lt;($F$10-$E$10)/($G$10-$E$10),$E$10+SQRT(T934*($G$10-$E$10)*($F$10-$E$10)),$G$10-SQRT((1-T934)*($G$10-$E$10)*($G$10-$F$10))))</f>
        <v>1.00591494896317</v>
      </c>
      <c r="G934" s="38" t="n">
        <f aca="false">IF($G$11=$E$11,$F$11,IF(U934&lt;($F$11-$E$11)/($G$11-$E$11),$E$11+SQRT(U934*($G$11-$E$11)*($F$11-$E$11)),$G$11-SQRT((1-U934)*($G$11-$E$11)*($G$11-$F$11))))</f>
        <v>0.0945472146713304</v>
      </c>
      <c r="H934" s="39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-2011829897.92633</v>
      </c>
      <c r="I934" s="39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-37896262.7263512</v>
      </c>
      <c r="J934" s="39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215857382.476333</v>
      </c>
      <c r="K934" s="39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519906775.127175</v>
      </c>
      <c r="L934" s="39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635030823.837544</v>
      </c>
      <c r="M934" s="39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802998075.539657</v>
      </c>
      <c r="N934" s="39" t="n">
        <f aca="false">IF(COUNT('Business Case'!B11:G11)=0,"",H934+NPV(G934,I934:M934))</f>
        <v>-516210661.567415</v>
      </c>
      <c r="P934" s="40" t="n">
        <f aca="true">RAND()</f>
        <v>0.786011747791505</v>
      </c>
      <c r="Q934" s="40" t="n">
        <f aca="true">RAND()</f>
        <v>0.226774280225541</v>
      </c>
      <c r="R934" s="40" t="n">
        <f aca="true">RAND()</f>
        <v>0.829171410112236</v>
      </c>
      <c r="S934" s="40" t="n">
        <f aca="true">RAND()</f>
        <v>0.55928106224835</v>
      </c>
      <c r="T934" s="40" t="n">
        <f aca="true">RAND()</f>
        <v>0.20563317147129</v>
      </c>
      <c r="U934" s="40" t="n">
        <f aca="true">RAND()</f>
        <v>0.21162145469377</v>
      </c>
    </row>
    <row r="935" customFormat="false" ht="15" hidden="false" customHeight="false" outlineLevel="0" collapsed="false">
      <c r="A935" s="36" t="n">
        <v>855</v>
      </c>
      <c r="B935" s="37" t="n">
        <f aca="false">1+IF($G$6=$E$6,$F$6,IF(P935&lt;($F$6-$E$6)/($G$6-$E$6),$E$6+SQRT(P935*($G$6-$E$6)*($F$6-$E$6)),$G$6-SQRT((1-P935)*($G$6-$E$6)*($G$6-$F$6))))</f>
        <v>0.951118225881254</v>
      </c>
      <c r="C935" s="37" t="n">
        <f aca="false">1+IF($G$7=$E$7,$F$7,IF(Q935&lt;($F$7-$E$7)/($G$7-$E$7),$E$7+SQRT(Q935*($G$7-$E$7)*($F$7-$E$7)),$G$7-SQRT((1-Q935)*($G$7-$E$7)*($G$7-$F$7))))</f>
        <v>1.10458757529828</v>
      </c>
      <c r="D935" s="37" t="n">
        <f aca="false">1+IF($G$8=$E$8,$F$8,IF(R935&lt;($F$8-$E$8)/($G$8-$E$8),$E$8+SQRT(R935*($G$8-$E$8)*($F$8-$E$8)),$G$8-SQRT((1-R935)*($G$8-$E$8)*($G$8-$F$8))))</f>
        <v>1.00668480500194</v>
      </c>
      <c r="E935" s="37" t="n">
        <f aca="false">1+IF($G$9=$E$9,$F$9,IF(S935&lt;($F$9-$E$9)/($G$9-$E$9),$E$9+SQRT(S935*($G$9-$E$9)*($F$9-$E$9)),$G$9-SQRT((1-S935)*($G$9-$E$9)*($G$9-$F$9))))</f>
        <v>1.02181600103658</v>
      </c>
      <c r="F935" s="37" t="n">
        <f aca="false">1+IF($G$10=$E$10,$F$10,IF(T935&lt;($F$10-$E$10)/($G$10-$E$10),$E$10+SQRT(T935*($G$10-$E$10)*($F$10-$E$10)),$G$10-SQRT((1-T935)*($G$10-$E$10)*($G$10-$F$10))))</f>
        <v>1.0507194915142</v>
      </c>
      <c r="G935" s="38" t="n">
        <f aca="false">IF($G$11=$E$11,$F$11,IF(U935&lt;($F$11-$E$11)/($G$11-$E$11),$E$11+SQRT(U935*($G$11-$E$11)*($F$11-$E$11)),$G$11-SQRT((1-U935)*($G$11-$E$11)*($G$11-$F$11))))</f>
        <v>0.112843707026807</v>
      </c>
      <c r="H935" s="39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-2101438983.0284</v>
      </c>
      <c r="I935" s="39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-13565792.7858722</v>
      </c>
      <c r="J935" s="39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277705359.484391</v>
      </c>
      <c r="K935" s="39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621512486.330365</v>
      </c>
      <c r="L935" s="39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754911377.458661</v>
      </c>
      <c r="M935" s="39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954608166.168811</v>
      </c>
      <c r="N935" s="39" t="n">
        <f aca="false">IF(COUNT('Business Case'!B11:G11)=0,"",H935+NPV(G935,I935:M935))</f>
        <v>-386885860.680221</v>
      </c>
      <c r="P935" s="40" t="n">
        <f aca="true">RAND()</f>
        <v>0.174204867816463</v>
      </c>
      <c r="Q935" s="40" t="n">
        <f aca="true">RAND()</f>
        <v>0.969447580484607</v>
      </c>
      <c r="R935" s="40" t="n">
        <f aca="true">RAND()</f>
        <v>0.419484958831611</v>
      </c>
      <c r="S935" s="40" t="n">
        <f aca="true">RAND()</f>
        <v>0.56183633092656</v>
      </c>
      <c r="T935" s="40" t="n">
        <f aca="true">RAND()</f>
        <v>0.470497052501886</v>
      </c>
      <c r="U935" s="40" t="n">
        <f aca="true">RAND()</f>
        <v>0.803774407611972</v>
      </c>
    </row>
    <row r="936" customFormat="false" ht="15" hidden="false" customHeight="false" outlineLevel="0" collapsed="false">
      <c r="A936" s="36" t="n">
        <v>856</v>
      </c>
      <c r="B936" s="37" t="n">
        <f aca="false">1+IF($G$6=$E$6,$F$6,IF(P936&lt;($F$6-$E$6)/($G$6-$E$6),$E$6+SQRT(P936*($G$6-$E$6)*($F$6-$E$6)),$G$6-SQRT((1-P936)*($G$6-$E$6)*($G$6-$F$6))))</f>
        <v>1.01355564638913</v>
      </c>
      <c r="C936" s="37" t="n">
        <f aca="false">1+IF($G$7=$E$7,$F$7,IF(Q936&lt;($F$7-$E$7)/($G$7-$E$7),$E$7+SQRT(Q936*($G$7-$E$7)*($F$7-$E$7)),$G$7-SQRT((1-Q936)*($G$7-$E$7)*($G$7-$F$7))))</f>
        <v>0.962298878238002</v>
      </c>
      <c r="D936" s="37" t="n">
        <f aca="false">1+IF($G$8=$E$8,$F$8,IF(R936&lt;($F$8-$E$8)/($G$8-$E$8),$E$8+SQRT(R936*($G$8-$E$8)*($F$8-$E$8)),$G$8-SQRT((1-R936)*($G$8-$E$8)*($G$8-$F$8))))</f>
        <v>1.02284035448605</v>
      </c>
      <c r="E936" s="37" t="n">
        <f aca="false">1+IF($G$9=$E$9,$F$9,IF(S936&lt;($F$9-$E$9)/($G$9-$E$9),$E$9+SQRT(S936*($G$9-$E$9)*($F$9-$E$9)),$G$9-SQRT((1-S936)*($G$9-$E$9)*($G$9-$F$9))))</f>
        <v>0.998364375722885</v>
      </c>
      <c r="F936" s="37" t="n">
        <f aca="false">1+IF($G$10=$E$10,$F$10,IF(T936&lt;($F$10-$E$10)/($G$10-$E$10),$E$10+SQRT(T936*($G$10-$E$10)*($F$10-$E$10)),$G$10-SQRT((1-T936)*($G$10-$E$10)*($G$10-$F$10))))</f>
        <v>1.03050749654766</v>
      </c>
      <c r="G936" s="38" t="n">
        <f aca="false">IF($G$11=$E$11,$F$11,IF(U936&lt;($F$11-$E$11)/($G$11-$E$11),$E$11+SQRT(U936*($G$11-$E$11)*($F$11-$E$11)),$G$11-SQRT((1-U936)*($G$11-$E$11)*($G$11-$F$11))))</f>
        <v>0.100679026025868</v>
      </c>
      <c r="H936" s="39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-2061014993.09531</v>
      </c>
      <c r="I936" s="39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-575107.317100242</v>
      </c>
      <c r="J936" s="39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294429754.295218</v>
      </c>
      <c r="K936" s="39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640959990.734919</v>
      </c>
      <c r="L936" s="39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773002814.63693</v>
      </c>
      <c r="M936" s="39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958396099.808745</v>
      </c>
      <c r="N936" s="39" t="n">
        <f aca="false">IF(COUNT('Business Case'!B11:G11)=0,"",H936+NPV(G936,I936:M936))</f>
        <v>-217910314.667433</v>
      </c>
      <c r="P936" s="40" t="n">
        <f aca="true">RAND()</f>
        <v>0.822907878651469</v>
      </c>
      <c r="Q936" s="40" t="n">
        <f aca="true">RAND()</f>
        <v>0.509634826110474</v>
      </c>
      <c r="R936" s="40" t="n">
        <f aca="true">RAND()</f>
        <v>0.603092606944116</v>
      </c>
      <c r="S936" s="40" t="n">
        <f aca="true">RAND()</f>
        <v>0.387022016454115</v>
      </c>
      <c r="T936" s="40" t="n">
        <f aca="true">RAND()</f>
        <v>0.357640545709633</v>
      </c>
      <c r="U936" s="40" t="n">
        <f aca="true">RAND()</f>
        <v>0.426853656805503</v>
      </c>
    </row>
    <row r="937" customFormat="false" ht="15" hidden="false" customHeight="false" outlineLevel="0" collapsed="false">
      <c r="A937" s="36" t="n">
        <v>857</v>
      </c>
      <c r="B937" s="37" t="n">
        <f aca="false">1+IF($G$6=$E$6,$F$6,IF(P937&lt;($F$6-$E$6)/($G$6-$E$6),$E$6+SQRT(P937*($G$6-$E$6)*($F$6-$E$6)),$G$6-SQRT((1-P937)*($G$6-$E$6)*($G$6-$F$6))))</f>
        <v>1.01201313872859</v>
      </c>
      <c r="C937" s="37" t="n">
        <f aca="false">1+IF($G$7=$E$7,$F$7,IF(Q937&lt;($F$7-$E$7)/($G$7-$E$7),$E$7+SQRT(Q937*($G$7-$E$7)*($F$7-$E$7)),$G$7-SQRT((1-Q937)*($G$7-$E$7)*($G$7-$F$7))))</f>
        <v>0.945823228316802</v>
      </c>
      <c r="D937" s="37" t="n">
        <f aca="false">1+IF($G$8=$E$8,$F$8,IF(R937&lt;($F$8-$E$8)/($G$8-$E$8),$E$8+SQRT(R937*($G$8-$E$8)*($F$8-$E$8)),$G$8-SQRT((1-R937)*($G$8-$E$8)*($G$8-$F$8))))</f>
        <v>1.04020057316421</v>
      </c>
      <c r="E937" s="37" t="n">
        <f aca="false">1+IF($G$9=$E$9,$F$9,IF(S937&lt;($F$9-$E$9)/($G$9-$E$9),$E$9+SQRT(S937*($G$9-$E$9)*($F$9-$E$9)),$G$9-SQRT((1-S937)*($G$9-$E$9)*($G$9-$F$9))))</f>
        <v>0.990381202337687</v>
      </c>
      <c r="F937" s="37" t="n">
        <f aca="false">1+IF($G$10=$E$10,$F$10,IF(T937&lt;($F$10-$E$10)/($G$10-$E$10),$E$10+SQRT(T937*($G$10-$E$10)*($F$10-$E$10)),$G$10-SQRT((1-T937)*($G$10-$E$10)*($G$10-$F$10))))</f>
        <v>1.04275864372684</v>
      </c>
      <c r="G937" s="38" t="n">
        <f aca="false">IF($G$11=$E$11,$F$11,IF(U937&lt;($F$11-$E$11)/($G$11-$E$11),$E$11+SQRT(U937*($G$11-$E$11)*($F$11-$E$11)),$G$11-SQRT((1-U937)*($G$11-$E$11)*($G$11-$F$11))))</f>
        <v>0.113633342931692</v>
      </c>
      <c r="H937" s="39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-2085517287.45369</v>
      </c>
      <c r="I937" s="39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-14375074.5501694</v>
      </c>
      <c r="J937" s="39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265978420.325837</v>
      </c>
      <c r="K937" s="39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598469847.388184</v>
      </c>
      <c r="L937" s="39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725001344.400901</v>
      </c>
      <c r="M937" s="39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906943170.698165</v>
      </c>
      <c r="N937" s="39" t="n">
        <f aca="false">IF(COUNT('Business Case'!B11:G11)=0,"",H937+NPV(G937,I937:M937))</f>
        <v>-449748688.303474</v>
      </c>
      <c r="P937" s="40" t="n">
        <f aca="true">RAND()</f>
        <v>0.807599782766215</v>
      </c>
      <c r="Q937" s="40" t="n">
        <f aca="true">RAND()</f>
        <v>0.447622663556258</v>
      </c>
      <c r="R937" s="40" t="n">
        <f aca="true">RAND()</f>
        <v>0.761601903340738</v>
      </c>
      <c r="S937" s="40" t="n">
        <f aca="true">RAND()</f>
        <v>0.326750469440239</v>
      </c>
      <c r="T937" s="40" t="n">
        <f aca="true">RAND()</f>
        <v>0.427346936667498</v>
      </c>
      <c r="U937" s="40" t="n">
        <f aca="true">RAND()</f>
        <v>0.821421690938942</v>
      </c>
    </row>
    <row r="938" customFormat="false" ht="15" hidden="false" customHeight="false" outlineLevel="0" collapsed="false">
      <c r="A938" s="36" t="n">
        <v>858</v>
      </c>
      <c r="B938" s="37" t="n">
        <f aca="false">1+IF($G$6=$E$6,$F$6,IF(P938&lt;($F$6-$E$6)/($G$6-$E$6),$E$6+SQRT(P938*($G$6-$E$6)*($F$6-$E$6)),$G$6-SQRT((1-P938)*($G$6-$E$6)*($G$6-$F$6))))</f>
        <v>0.992505860682855</v>
      </c>
      <c r="C938" s="37" t="n">
        <f aca="false">1+IF($G$7=$E$7,$F$7,IF(Q938&lt;($F$7-$E$7)/($G$7-$E$7),$E$7+SQRT(Q938*($G$7-$E$7)*($F$7-$E$7)),$G$7-SQRT((1-Q938)*($G$7-$E$7)*($G$7-$F$7))))</f>
        <v>0.776533725458983</v>
      </c>
      <c r="D938" s="37" t="n">
        <f aca="false">1+IF($G$8=$E$8,$F$8,IF(R938&lt;($F$8-$E$8)/($G$8-$E$8),$E$8+SQRT(R938*($G$8-$E$8)*($F$8-$E$8)),$G$8-SQRT((1-R938)*($G$8-$E$8)*($G$8-$F$8))))</f>
        <v>1.05830030658827</v>
      </c>
      <c r="E938" s="37" t="n">
        <f aca="false">1+IF($G$9=$E$9,$F$9,IF(S938&lt;($F$9-$E$9)/($G$9-$E$9),$E$9+SQRT(S938*($G$9-$E$9)*($F$9-$E$9)),$G$9-SQRT((1-S938)*($G$9-$E$9)*($G$9-$F$9))))</f>
        <v>1.02977728935772</v>
      </c>
      <c r="F938" s="37" t="n">
        <f aca="false">1+IF($G$10=$E$10,$F$10,IF(T938&lt;($F$10-$E$10)/($G$10-$E$10),$E$10+SQRT(T938*($G$10-$E$10)*($F$10-$E$10)),$G$10-SQRT((1-T938)*($G$10-$E$10)*($G$10-$F$10))))</f>
        <v>1.05201286508948</v>
      </c>
      <c r="G938" s="38" t="n">
        <f aca="false">IF($G$11=$E$11,$F$11,IF(U938&lt;($F$11-$E$11)/($G$11-$E$11),$E$11+SQRT(U938*($G$11-$E$11)*($F$11-$E$11)),$G$11-SQRT((1-U938)*($G$11-$E$11)*($G$11-$F$11))))</f>
        <v>0.10054193006337</v>
      </c>
      <c r="H938" s="39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-2104025730.17897</v>
      </c>
      <c r="I938" s="39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-81017829.4931566</v>
      </c>
      <c r="J938" s="39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129553786.009406</v>
      </c>
      <c r="K938" s="39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392726044.766443</v>
      </c>
      <c r="L938" s="39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489552468.560699</v>
      </c>
      <c r="M938" s="39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636049837.674409</v>
      </c>
      <c r="N938" s="39" t="n">
        <f aca="false">IF(COUNT('Business Case'!B11:G11)=0,"",H938+NPV(G938,I938:M938))</f>
        <v>-1048374696.12318</v>
      </c>
      <c r="P938" s="40" t="n">
        <f aca="true">RAND()</f>
        <v>0.570488950711718</v>
      </c>
      <c r="Q938" s="40" t="n">
        <f aca="true">RAND()</f>
        <v>0.0433882306120817</v>
      </c>
      <c r="R938" s="40" t="n">
        <f aca="true">RAND()</f>
        <v>0.884075704624505</v>
      </c>
      <c r="S938" s="40" t="n">
        <f aca="true">RAND()</f>
        <v>0.61457332922196</v>
      </c>
      <c r="T938" s="40" t="n">
        <f aca="true">RAND()</f>
        <v>0.477347925465666</v>
      </c>
      <c r="U938" s="40" t="n">
        <f aca="true">RAND()</f>
        <v>0.421481410405729</v>
      </c>
    </row>
    <row r="939" customFormat="false" ht="15" hidden="false" customHeight="false" outlineLevel="0" collapsed="false">
      <c r="A939" s="36" t="n">
        <v>859</v>
      </c>
      <c r="B939" s="37" t="n">
        <f aca="false">1+IF($G$6=$E$6,$F$6,IF(P939&lt;($F$6-$E$6)/($G$6-$E$6),$E$6+SQRT(P939*($G$6-$E$6)*($F$6-$E$6)),$G$6-SQRT((1-P939)*($G$6-$E$6)*($G$6-$F$6))))</f>
        <v>0.998419275834276</v>
      </c>
      <c r="C939" s="37" t="n">
        <f aca="false">1+IF($G$7=$E$7,$F$7,IF(Q939&lt;($F$7-$E$7)/($G$7-$E$7),$E$7+SQRT(Q939*($G$7-$E$7)*($F$7-$E$7)),$G$7-SQRT((1-Q939)*($G$7-$E$7)*($G$7-$F$7))))</f>
        <v>0.839201864240312</v>
      </c>
      <c r="D939" s="37" t="n">
        <f aca="false">1+IF($G$8=$E$8,$F$8,IF(R939&lt;($F$8-$E$8)/($G$8-$E$8),$E$8+SQRT(R939*($G$8-$E$8)*($F$8-$E$8)),$G$8-SQRT((1-R939)*($G$8-$E$8)*($G$8-$F$8))))</f>
        <v>0.973563455426608</v>
      </c>
      <c r="E939" s="37" t="n">
        <f aca="false">1+IF($G$9=$E$9,$F$9,IF(S939&lt;($F$9-$E$9)/($G$9-$E$9),$E$9+SQRT(S939*($G$9-$E$9)*($F$9-$E$9)),$G$9-SQRT((1-S939)*($G$9-$E$9)*($G$9-$F$9))))</f>
        <v>1.03563455414596</v>
      </c>
      <c r="F939" s="37" t="n">
        <f aca="false">1+IF($G$10=$E$10,$F$10,IF(T939&lt;($F$10-$E$10)/($G$10-$E$10),$E$10+SQRT(T939*($G$10-$E$10)*($F$10-$E$10)),$G$10-SQRT((1-T939)*($G$10-$E$10)*($G$10-$F$10))))</f>
        <v>1.0463543241413</v>
      </c>
      <c r="G939" s="38" t="n">
        <f aca="false">IF($G$11=$E$11,$F$11,IF(U939&lt;($F$11-$E$11)/($G$11-$E$11),$E$11+SQRT(U939*($G$11-$E$11)*($F$11-$E$11)),$G$11-SQRT((1-U939)*($G$11-$E$11)*($G$11-$F$11))))</f>
        <v>0.105191855532045</v>
      </c>
      <c r="H939" s="39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-2092708648.28261</v>
      </c>
      <c r="I939" s="39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-27304877.6358551</v>
      </c>
      <c r="J939" s="39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240728367.20499</v>
      </c>
      <c r="K939" s="39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561079328.2529</v>
      </c>
      <c r="L939" s="39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679380714.175191</v>
      </c>
      <c r="M939" s="39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838644054.539578</v>
      </c>
      <c r="N939" s="39" t="n">
        <f aca="false">IF(COUNT('Business Case'!B11:G11)=0,"",H939+NPV(G939,I939:M939))</f>
        <v>-540713084.690934</v>
      </c>
      <c r="P939" s="40" t="n">
        <f aca="true">RAND()</f>
        <v>0.645756923716215</v>
      </c>
      <c r="Q939" s="40" t="n">
        <f aca="true">RAND()</f>
        <v>0.143534511170209</v>
      </c>
      <c r="R939" s="40" t="n">
        <f aca="true">RAND()</f>
        <v>0.0740315242188998</v>
      </c>
      <c r="S939" s="40" t="n">
        <f aca="true">RAND()</f>
        <v>0.651214527856155</v>
      </c>
      <c r="T939" s="40" t="n">
        <f aca="true">RAND()</f>
        <v>0.447045849387392</v>
      </c>
      <c r="U939" s="40" t="n">
        <f aca="true">RAND()</f>
        <v>0.589703978704712</v>
      </c>
    </row>
    <row r="940" customFormat="false" ht="15" hidden="false" customHeight="false" outlineLevel="0" collapsed="false">
      <c r="A940" s="36" t="n">
        <v>860</v>
      </c>
      <c r="B940" s="37" t="n">
        <f aca="false">1+IF($G$6=$E$6,$F$6,IF(P940&lt;($F$6-$E$6)/($G$6-$E$6),$E$6+SQRT(P940*($G$6-$E$6)*($F$6-$E$6)),$G$6-SQRT((1-P940)*($G$6-$E$6)*($G$6-$F$6))))</f>
        <v>0.936023378419209</v>
      </c>
      <c r="C940" s="37" t="n">
        <f aca="false">1+IF($G$7=$E$7,$F$7,IF(Q940&lt;($F$7-$E$7)/($G$7-$E$7),$E$7+SQRT(Q940*($G$7-$E$7)*($F$7-$E$7)),$G$7-SQRT((1-Q940)*($G$7-$E$7)*($G$7-$F$7))))</f>
        <v>1.14490996409437</v>
      </c>
      <c r="D940" s="37" t="n">
        <f aca="false">1+IF($G$8=$E$8,$F$8,IF(R940&lt;($F$8-$E$8)/($G$8-$E$8),$E$8+SQRT(R940*($G$8-$E$8)*($F$8-$E$8)),$G$8-SQRT((1-R940)*($G$8-$E$8)*($G$8-$F$8))))</f>
        <v>0.964176077989596</v>
      </c>
      <c r="E940" s="37" t="n">
        <f aca="false">1+IF($G$9=$E$9,$F$9,IF(S940&lt;($F$9-$E$9)/($G$9-$E$9),$E$9+SQRT(S940*($G$9-$E$9)*($F$9-$E$9)),$G$9-SQRT((1-S940)*($G$9-$E$9)*($G$9-$F$9))))</f>
        <v>1.06765780136597</v>
      </c>
      <c r="F940" s="37" t="n">
        <f aca="false">1+IF($G$10=$E$10,$F$10,IF(T940&lt;($F$10-$E$10)/($G$10-$E$10),$E$10+SQRT(T940*($G$10-$E$10)*($F$10-$E$10)),$G$10-SQRT((1-T940)*($G$10-$E$10)*($G$10-$F$10))))</f>
        <v>1.10135317052085</v>
      </c>
      <c r="G940" s="38" t="n">
        <f aca="false">IF($G$11=$E$11,$F$11,IF(U940&lt;($F$11-$E$11)/($G$11-$E$11),$E$11+SQRT(U940*($G$11-$E$11)*($F$11-$E$11)),$G$11-SQRT((1-U940)*($G$11-$E$11)*($G$11-$F$11))))</f>
        <v>0.0941089896625382</v>
      </c>
      <c r="H940" s="39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-2202706341.0417</v>
      </c>
      <c r="I940" s="39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-4848324.31909396</v>
      </c>
      <c r="J940" s="39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307814591.383352</v>
      </c>
      <c r="K940" s="39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675545165.611841</v>
      </c>
      <c r="L940" s="39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816802793.256132</v>
      </c>
      <c r="M940" s="39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1020504399.84525</v>
      </c>
      <c r="N940" s="39" t="n">
        <f aca="false">IF(COUNT('Business Case'!B11:G11)=0,"",H940+NPV(G940,I940:M940))</f>
        <v>-213312396.74857</v>
      </c>
      <c r="P940" s="40" t="n">
        <f aca="true">RAND()</f>
        <v>0.086512252848901</v>
      </c>
      <c r="Q940" s="40" t="n">
        <f aca="true">RAND()</f>
        <v>0.999616170881177</v>
      </c>
      <c r="R940" s="40" t="n">
        <f aca="true">RAND()</f>
        <v>0.0267948249556155</v>
      </c>
      <c r="S940" s="40" t="n">
        <f aca="true">RAND()</f>
        <v>0.819193661976374</v>
      </c>
      <c r="T940" s="40" t="n">
        <f aca="true">RAND()</f>
        <v>0.705388267810619</v>
      </c>
      <c r="U940" s="40" t="n">
        <f aca="true">RAND()</f>
        <v>0.199063589297609</v>
      </c>
    </row>
    <row r="941" customFormat="false" ht="15" hidden="false" customHeight="false" outlineLevel="0" collapsed="false">
      <c r="A941" s="36" t="n">
        <v>861</v>
      </c>
      <c r="B941" s="37" t="n">
        <f aca="false">1+IF($G$6=$E$6,$F$6,IF(P941&lt;($F$6-$E$6)/($G$6-$E$6),$E$6+SQRT(P941*($G$6-$E$6)*($F$6-$E$6)),$G$6-SQRT((1-P941)*($G$6-$E$6)*($G$6-$F$6))))</f>
        <v>0.954661987698826</v>
      </c>
      <c r="C941" s="37" t="n">
        <f aca="false">1+IF($G$7=$E$7,$F$7,IF(Q941&lt;($F$7-$E$7)/($G$7-$E$7),$E$7+SQRT(Q941*($G$7-$E$7)*($F$7-$E$7)),$G$7-SQRT((1-Q941)*($G$7-$E$7)*($G$7-$F$7))))</f>
        <v>0.945464838389392</v>
      </c>
      <c r="D941" s="37" t="n">
        <f aca="false">1+IF($G$8=$E$8,$F$8,IF(R941&lt;($F$8-$E$8)/($G$8-$E$8),$E$8+SQRT(R941*($G$8-$E$8)*($F$8-$E$8)),$G$8-SQRT((1-R941)*($G$8-$E$8)*($G$8-$F$8))))</f>
        <v>1.04192011375492</v>
      </c>
      <c r="E941" s="37" t="n">
        <f aca="false">1+IF($G$9=$E$9,$F$9,IF(S941&lt;($F$9-$E$9)/($G$9-$E$9),$E$9+SQRT(S941*($G$9-$E$9)*($F$9-$E$9)),$G$9-SQRT((1-S941)*($G$9-$E$9)*($G$9-$F$9))))</f>
        <v>0.996867403186497</v>
      </c>
      <c r="F941" s="37" t="n">
        <f aca="false">1+IF($G$10=$E$10,$F$10,IF(T941&lt;($F$10-$E$10)/($G$10-$E$10),$E$10+SQRT(T941*($G$10-$E$10)*($F$10-$E$10)),$G$10-SQRT((1-T941)*($G$10-$E$10)*($G$10-$F$10))))</f>
        <v>1.16898169660747</v>
      </c>
      <c r="G941" s="38" t="n">
        <f aca="false">IF($G$11=$E$11,$F$11,IF(U941&lt;($F$11-$E$11)/($G$11-$E$11),$E$11+SQRT(U941*($G$11-$E$11)*($F$11-$E$11)),$G$11-SQRT((1-U941)*($G$11-$E$11)*($G$11-$F$11))))</f>
        <v>0.0962925632608954</v>
      </c>
      <c r="H941" s="39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-2337963393.21494</v>
      </c>
      <c r="I941" s="39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-70441410.1568546</v>
      </c>
      <c r="J941" s="39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164560643.965092</v>
      </c>
      <c r="K941" s="39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458011782.917412</v>
      </c>
      <c r="L941" s="39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567539634.214684</v>
      </c>
      <c r="M941" s="39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739105717.126108</v>
      </c>
      <c r="N941" s="39" t="n">
        <f aca="false">IF(COUNT('Business Case'!B11:G11)=0,"",H941+NPV(G941,I941:M941))</f>
        <v>-1058035027.58776</v>
      </c>
      <c r="P941" s="40" t="n">
        <f aca="true">RAND()</f>
        <v>0.199195526612436</v>
      </c>
      <c r="Q941" s="40" t="n">
        <f aca="true">RAND()</f>
        <v>0.446318421374299</v>
      </c>
      <c r="R941" s="40" t="n">
        <f aca="true">RAND()</f>
        <v>0.775115120917251</v>
      </c>
      <c r="S941" s="40" t="n">
        <f aca="true">RAND()</f>
        <v>0.375331752003816</v>
      </c>
      <c r="T941" s="40" t="n">
        <f aca="true">RAND()</f>
        <v>0.912480460205283</v>
      </c>
      <c r="U941" s="40" t="n">
        <f aca="true">RAND()</f>
        <v>0.26544761761028</v>
      </c>
    </row>
    <row r="942" customFormat="false" ht="15" hidden="false" customHeight="false" outlineLevel="0" collapsed="false">
      <c r="A942" s="36" t="n">
        <v>862</v>
      </c>
      <c r="B942" s="37" t="n">
        <f aca="false">1+IF($G$6=$E$6,$F$6,IF(P942&lt;($F$6-$E$6)/($G$6-$E$6),$E$6+SQRT(P942*($G$6-$E$6)*($F$6-$E$6)),$G$6-SQRT((1-P942)*($G$6-$E$6)*($G$6-$F$6))))</f>
        <v>0.996236470970406</v>
      </c>
      <c r="C942" s="37" t="n">
        <f aca="false">1+IF($G$7=$E$7,$F$7,IF(Q942&lt;($F$7-$E$7)/($G$7-$E$7),$E$7+SQRT(Q942*($G$7-$E$7)*($F$7-$E$7)),$G$7-SQRT((1-Q942)*($G$7-$E$7)*($G$7-$F$7))))</f>
        <v>0.8202758273227</v>
      </c>
      <c r="D942" s="37" t="n">
        <f aca="false">1+IF($G$8=$E$8,$F$8,IF(R942&lt;($F$8-$E$8)/($G$8-$E$8),$E$8+SQRT(R942*($G$8-$E$8)*($F$8-$E$8)),$G$8-SQRT((1-R942)*($G$8-$E$8)*($G$8-$F$8))))</f>
        <v>1.04409844138416</v>
      </c>
      <c r="E942" s="37" t="n">
        <f aca="false">1+IF($G$9=$E$9,$F$9,IF(S942&lt;($F$9-$E$9)/($G$9-$E$9),$E$9+SQRT(S942*($G$9-$E$9)*($F$9-$E$9)),$G$9-SQRT((1-S942)*($G$9-$E$9)*($G$9-$F$9))))</f>
        <v>1.00350625720659</v>
      </c>
      <c r="F942" s="37" t="n">
        <f aca="false">1+IF($G$10=$E$10,$F$10,IF(T942&lt;($F$10-$E$10)/($G$10-$E$10),$E$10+SQRT(T942*($G$10-$E$10)*($F$10-$E$10)),$G$10-SQRT((1-T942)*($G$10-$E$10)*($G$10-$F$10))))</f>
        <v>1.14424750821901</v>
      </c>
      <c r="G942" s="38" t="n">
        <f aca="false">IF($G$11=$E$11,$F$11,IF(U942&lt;($F$11-$E$11)/($G$11-$E$11),$E$11+SQRT(U942*($G$11-$E$11)*($F$11-$E$11)),$G$11-SQRT((1-U942)*($G$11-$E$11)*($G$11-$F$11))))</f>
        <v>0.108705677695573</v>
      </c>
      <c r="H942" s="39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-2288495016.43803</v>
      </c>
      <c r="I942" s="39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-68583248.4843281</v>
      </c>
      <c r="J942" s="39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162319905.599337</v>
      </c>
      <c r="K942" s="39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450435435.093952</v>
      </c>
      <c r="L942" s="39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555645194.43605</v>
      </c>
      <c r="M942" s="39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710976421.6642</v>
      </c>
      <c r="N942" s="39" t="n">
        <f aca="false">IF(COUNT('Business Case'!B11:G11)=0,"",H942+NPV(G942,I942:M942))</f>
        <v>-1095662875.25065</v>
      </c>
      <c r="P942" s="40" t="n">
        <f aca="true">RAND()</f>
        <v>0.617430556322521</v>
      </c>
      <c r="Q942" s="40" t="n">
        <f aca="true">RAND()</f>
        <v>0.107157589912296</v>
      </c>
      <c r="R942" s="40" t="n">
        <f aca="true">RAND()</f>
        <v>0.791667716288011</v>
      </c>
      <c r="S942" s="40" t="n">
        <f aca="true">RAND()</f>
        <v>0.427722221930097</v>
      </c>
      <c r="T942" s="40" t="n">
        <f aca="true">RAND()</f>
        <v>0.850885473094835</v>
      </c>
      <c r="U942" s="40" t="n">
        <f aca="true">RAND()</f>
        <v>0.697701225063442</v>
      </c>
    </row>
    <row r="943" customFormat="false" ht="15" hidden="false" customHeight="false" outlineLevel="0" collapsed="false">
      <c r="A943" s="36" t="n">
        <v>863</v>
      </c>
      <c r="B943" s="37" t="n">
        <f aca="false">1+IF($G$6=$E$6,$F$6,IF(P943&lt;($F$6-$E$6)/($G$6-$E$6),$E$6+SQRT(P943*($G$6-$E$6)*($F$6-$E$6)),$G$6-SQRT((1-P943)*($G$6-$E$6)*($G$6-$F$6))))</f>
        <v>0.924945255784666</v>
      </c>
      <c r="C943" s="37" t="n">
        <f aca="false">1+IF($G$7=$E$7,$F$7,IF(Q943&lt;($F$7-$E$7)/($G$7-$E$7),$E$7+SQRT(Q943*($G$7-$E$7)*($F$7-$E$7)),$G$7-SQRT((1-Q943)*($G$7-$E$7)*($G$7-$F$7))))</f>
        <v>0.99348301125257</v>
      </c>
      <c r="D943" s="37" t="n">
        <f aca="false">1+IF($G$8=$E$8,$F$8,IF(R943&lt;($F$8-$E$8)/($G$8-$E$8),$E$8+SQRT(R943*($G$8-$E$8)*($F$8-$E$8)),$G$8-SQRT((1-R943)*($G$8-$E$8)*($G$8-$F$8))))</f>
        <v>0.997005345920522</v>
      </c>
      <c r="E943" s="37" t="n">
        <f aca="false">1+IF($G$9=$E$9,$F$9,IF(S943&lt;($F$9-$E$9)/($G$9-$E$9),$E$9+SQRT(S943*($G$9-$E$9)*($F$9-$E$9)),$G$9-SQRT((1-S943)*($G$9-$E$9)*($G$9-$F$9))))</f>
        <v>0.98578113544044</v>
      </c>
      <c r="F943" s="37" t="n">
        <f aca="false">1+IF($G$10=$E$10,$F$10,IF(T943&lt;($F$10-$E$10)/($G$10-$E$10),$E$10+SQRT(T943*($G$10-$E$10)*($F$10-$E$10)),$G$10-SQRT((1-T943)*($G$10-$E$10)*($G$10-$F$10))))</f>
        <v>1.00786368116706</v>
      </c>
      <c r="G943" s="38" t="n">
        <f aca="false">IF($G$11=$E$11,$F$11,IF(U943&lt;($F$11-$E$11)/($G$11-$E$11),$E$11+SQRT(U943*($G$11-$E$11)*($F$11-$E$11)),$G$11-SQRT((1-U943)*($G$11-$E$11)*($G$11-$F$11))))</f>
        <v>0.0988380261293536</v>
      </c>
      <c r="H943" s="39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-2015727362.33412</v>
      </c>
      <c r="I943" s="39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-43002403.0038823</v>
      </c>
      <c r="J943" s="39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202596317.478856</v>
      </c>
      <c r="K943" s="39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498588222.019948</v>
      </c>
      <c r="L943" s="39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612212247.454384</v>
      </c>
      <c r="M943" s="39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786880066.458759</v>
      </c>
      <c r="N943" s="39" t="n">
        <f aca="false">IF(COUNT('Business Case'!B11:G11)=0,"",H943+NPV(G943,I943:M943))</f>
        <v>-600186088.938407</v>
      </c>
      <c r="P943" s="40" t="n">
        <f aca="true">RAND()</f>
        <v>0.0414843857441614</v>
      </c>
      <c r="Q943" s="40" t="n">
        <f aca="true">RAND()</f>
        <v>0.638016873287973</v>
      </c>
      <c r="R943" s="40" t="n">
        <f aca="true">RAND()</f>
        <v>0.294600339347723</v>
      </c>
      <c r="S943" s="40" t="n">
        <f aca="true">RAND()</f>
        <v>0.294336127898043</v>
      </c>
      <c r="T943" s="40" t="n">
        <f aca="true">RAND()</f>
        <v>0.218266708027115</v>
      </c>
      <c r="U943" s="40" t="n">
        <f aca="true">RAND()</f>
        <v>0.35487122845021</v>
      </c>
    </row>
    <row r="944" customFormat="false" ht="15" hidden="false" customHeight="false" outlineLevel="0" collapsed="false">
      <c r="A944" s="36" t="n">
        <v>864</v>
      </c>
      <c r="B944" s="37" t="n">
        <f aca="false">1+IF($G$6=$E$6,$F$6,IF(P944&lt;($F$6-$E$6)/($G$6-$E$6),$E$6+SQRT(P944*($G$6-$E$6)*($F$6-$E$6)),$G$6-SQRT((1-P944)*($G$6-$E$6)*($G$6-$F$6))))</f>
        <v>1.02870419969655</v>
      </c>
      <c r="C944" s="37" t="n">
        <f aca="false">1+IF($G$7=$E$7,$F$7,IF(Q944&lt;($F$7-$E$7)/($G$7-$E$7),$E$7+SQRT(Q944*($G$7-$E$7)*($F$7-$E$7)),$G$7-SQRT((1-Q944)*($G$7-$E$7)*($G$7-$F$7))))</f>
        <v>0.857751455819515</v>
      </c>
      <c r="D944" s="37" t="n">
        <f aca="false">1+IF($G$8=$E$8,$F$8,IF(R944&lt;($F$8-$E$8)/($G$8-$E$8),$E$8+SQRT(R944*($G$8-$E$8)*($F$8-$E$8)),$G$8-SQRT((1-R944)*($G$8-$E$8)*($G$8-$F$8))))</f>
        <v>1.02425376955865</v>
      </c>
      <c r="E944" s="37" t="n">
        <f aca="false">1+IF($G$9=$E$9,$F$9,IF(S944&lt;($F$9-$E$9)/($G$9-$E$9),$E$9+SQRT(S944*($G$9-$E$9)*($F$9-$E$9)),$G$9-SQRT((1-S944)*($G$9-$E$9)*($G$9-$F$9))))</f>
        <v>1.00535018252521</v>
      </c>
      <c r="F944" s="37" t="n">
        <f aca="false">1+IF($G$10=$E$10,$F$10,IF(T944&lt;($F$10-$E$10)/($G$10-$E$10),$E$10+SQRT(T944*($G$10-$E$10)*($F$10-$E$10)),$G$10-SQRT((1-T944)*($G$10-$E$10)*($G$10-$F$10))))</f>
        <v>1.02976879518435</v>
      </c>
      <c r="G944" s="38" t="n">
        <f aca="false">IF($G$11=$E$11,$F$11,IF(U944&lt;($F$11-$E$11)/($G$11-$E$11),$E$11+SQRT(U944*($G$11-$E$11)*($F$11-$E$11)),$G$11-SQRT((1-U944)*($G$11-$E$11)*($G$11-$F$11))))</f>
        <v>0.0994592856148837</v>
      </c>
      <c r="H944" s="39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-2059537590.3687</v>
      </c>
      <c r="I944" s="39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-18703196.9658937</v>
      </c>
      <c r="J944" s="39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254273473.232412</v>
      </c>
      <c r="K944" s="39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578738583.189934</v>
      </c>
      <c r="L944" s="39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700225601.049823</v>
      </c>
      <c r="M944" s="39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867946970.582314</v>
      </c>
      <c r="N944" s="39" t="n">
        <f aca="false">IF(COUNT('Business Case'!B11:G11)=0,"",H944+NPV(G944,I944:M944))</f>
        <v>-411283690.031615</v>
      </c>
      <c r="P944" s="40" t="n">
        <f aca="true">RAND()</f>
        <v>0.939531851924764</v>
      </c>
      <c r="Q944" s="40" t="n">
        <f aca="true">RAND()</f>
        <v>0.184337198616122</v>
      </c>
      <c r="R944" s="40" t="n">
        <f aca="true">RAND()</f>
        <v>0.617500571595046</v>
      </c>
      <c r="S944" s="40" t="n">
        <f aca="true">RAND()</f>
        <v>0.442038141453564</v>
      </c>
      <c r="T944" s="40" t="n">
        <f aca="true">RAND()</f>
        <v>0.353309552339304</v>
      </c>
      <c r="U944" s="40" t="n">
        <f aca="true">RAND()</f>
        <v>0.37866379664162</v>
      </c>
    </row>
    <row r="945" customFormat="false" ht="15" hidden="false" customHeight="false" outlineLevel="0" collapsed="false">
      <c r="A945" s="36" t="n">
        <v>865</v>
      </c>
      <c r="B945" s="37" t="n">
        <f aca="false">1+IF($G$6=$E$6,$F$6,IF(P945&lt;($F$6-$E$6)/($G$6-$E$6),$E$6+SQRT(P945*($G$6-$E$6)*($F$6-$E$6)),$G$6-SQRT((1-P945)*($G$6-$E$6)*($G$6-$F$6))))</f>
        <v>1.01243682536658</v>
      </c>
      <c r="C945" s="37" t="n">
        <f aca="false">1+IF($G$7=$E$7,$F$7,IF(Q945&lt;($F$7-$E$7)/($G$7-$E$7),$E$7+SQRT(Q945*($G$7-$E$7)*($F$7-$E$7)),$G$7-SQRT((1-Q945)*($G$7-$E$7)*($G$7-$F$7))))</f>
        <v>0.914460037281974</v>
      </c>
      <c r="D945" s="37" t="n">
        <f aca="false">1+IF($G$8=$E$8,$F$8,IF(R945&lt;($F$8-$E$8)/($G$8-$E$8),$E$8+SQRT(R945*($G$8-$E$8)*($F$8-$E$8)),$G$8-SQRT((1-R945)*($G$8-$E$8)*($G$8-$F$8))))</f>
        <v>1.08408284077307</v>
      </c>
      <c r="E945" s="37" t="n">
        <f aca="false">1+IF($G$9=$E$9,$F$9,IF(S945&lt;($F$9-$E$9)/($G$9-$E$9),$E$9+SQRT(S945*($G$9-$E$9)*($F$9-$E$9)),$G$9-SQRT((1-S945)*($G$9-$E$9)*($G$9-$F$9))))</f>
        <v>1.00176560892234</v>
      </c>
      <c r="F945" s="37" t="n">
        <f aca="false">1+IF($G$10=$E$10,$F$10,IF(T945&lt;($F$10-$E$10)/($G$10-$E$10),$E$10+SQRT(T945*($G$10-$E$10)*($F$10-$E$10)),$G$10-SQRT((1-T945)*($G$10-$E$10)*($G$10-$F$10))))</f>
        <v>1.01183812305125</v>
      </c>
      <c r="G945" s="38" t="n">
        <f aca="false">IF($G$11=$E$11,$F$11,IF(U945&lt;($F$11-$E$11)/($G$11-$E$11),$E$11+SQRT(U945*($G$11-$E$11)*($F$11-$E$11)),$G$11-SQRT((1-U945)*($G$11-$E$11)*($G$11-$F$11))))</f>
        <v>0.116796961879787</v>
      </c>
      <c r="H945" s="39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-2023676246.10251</v>
      </c>
      <c r="I945" s="39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-40798279.2210773</v>
      </c>
      <c r="J945" s="39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210033507.056655</v>
      </c>
      <c r="K945" s="39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511457199.48695</v>
      </c>
      <c r="L945" s="39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627064583.982813</v>
      </c>
      <c r="M945" s="39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803046923.867547</v>
      </c>
      <c r="N945" s="39" t="n">
        <f aca="false">IF(COUNT('Business Case'!B11:G11)=0,"",H945+NPV(G945,I945:M945))</f>
        <v>-659277260.584081</v>
      </c>
      <c r="P945" s="40" t="n">
        <f aca="true">RAND()</f>
        <v>0.811867721527864</v>
      </c>
      <c r="Q945" s="40" t="n">
        <f aca="true">RAND()</f>
        <v>0.340689685859152</v>
      </c>
      <c r="R945" s="40" t="n">
        <f aca="true">RAND()</f>
        <v>0.983109602809626</v>
      </c>
      <c r="S945" s="40" t="n">
        <f aca="true">RAND()</f>
        <v>0.41404174138227</v>
      </c>
      <c r="T945" s="40" t="n">
        <f aca="true">RAND()</f>
        <v>0.243718938243334</v>
      </c>
      <c r="U945" s="40" t="n">
        <f aca="true">RAND()</f>
        <v>0.883786522930801</v>
      </c>
    </row>
    <row r="946" customFormat="false" ht="15" hidden="false" customHeight="false" outlineLevel="0" collapsed="false">
      <c r="A946" s="36" t="n">
        <v>866</v>
      </c>
      <c r="B946" s="37" t="n">
        <f aca="false">1+IF($G$6=$E$6,$F$6,IF(P946&lt;($F$6-$E$6)/($G$6-$E$6),$E$6+SQRT(P946*($G$6-$E$6)*($F$6-$E$6)),$G$6-SQRT((1-P946)*($G$6-$E$6)*($G$6-$F$6))))</f>
        <v>0.942022415844569</v>
      </c>
      <c r="C946" s="37" t="n">
        <f aca="false">1+IF($G$7=$E$7,$F$7,IF(Q946&lt;($F$7-$E$7)/($G$7-$E$7),$E$7+SQRT(Q946*($G$7-$E$7)*($F$7-$E$7)),$G$7-SQRT((1-Q946)*($G$7-$E$7)*($G$7-$F$7))))</f>
        <v>0.820347954704327</v>
      </c>
      <c r="D946" s="37" t="n">
        <f aca="false">1+IF($G$8=$E$8,$F$8,IF(R946&lt;($F$8-$E$8)/($G$8-$E$8),$E$8+SQRT(R946*($G$8-$E$8)*($F$8-$E$8)),$G$8-SQRT((1-R946)*($G$8-$E$8)*($G$8-$F$8))))</f>
        <v>1.05636852475759</v>
      </c>
      <c r="E946" s="37" t="n">
        <f aca="false">1+IF($G$9=$E$9,$F$9,IF(S946&lt;($F$9-$E$9)/($G$9-$E$9),$E$9+SQRT(S946*($G$9-$E$9)*($F$9-$E$9)),$G$9-SQRT((1-S946)*($G$9-$E$9)*($G$9-$F$9))))</f>
        <v>0.996999760487299</v>
      </c>
      <c r="F946" s="37" t="n">
        <f aca="false">1+IF($G$10=$E$10,$F$10,IF(T946&lt;($F$10-$E$10)/($G$10-$E$10),$E$10+SQRT(T946*($G$10-$E$10)*($F$10-$E$10)),$G$10-SQRT((1-T946)*($G$10-$E$10)*($G$10-$F$10))))</f>
        <v>1.02003508010055</v>
      </c>
      <c r="G946" s="38" t="n">
        <f aca="false">IF($G$11=$E$11,$F$11,IF(U946&lt;($F$11-$E$11)/($G$11-$E$11),$E$11+SQRT(U946*($G$11-$E$11)*($F$11-$E$11)),$G$11-SQRT((1-U946)*($G$11-$E$11)*($G$11-$F$11))))</f>
        <v>0.0890094520023958</v>
      </c>
      <c r="H946" s="39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-2040070160.20111</v>
      </c>
      <c r="I946" s="39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-94495230.4859916</v>
      </c>
      <c r="J946" s="39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94847647.6238598</v>
      </c>
      <c r="K946" s="39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335192279.738739</v>
      </c>
      <c r="L946" s="39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425014062.205018</v>
      </c>
      <c r="M946" s="39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571905255.901495</v>
      </c>
      <c r="N946" s="39" t="n">
        <f aca="false">IF(COUNT('Business Case'!B11:G11)=0,"",H946+NPV(G946,I946:M946))</f>
        <v>-1111747998.14418</v>
      </c>
      <c r="P946" s="40" t="n">
        <f aca="true">RAND()</f>
        <v>0.117725562227591</v>
      </c>
      <c r="Q946" s="40" t="n">
        <f aca="true">RAND()</f>
        <v>0.10728614964085</v>
      </c>
      <c r="R946" s="40" t="n">
        <f aca="true">RAND()</f>
        <v>0.873086291211395</v>
      </c>
      <c r="S946" s="40" t="n">
        <f aca="true">RAND()</f>
        <v>0.376358141383733</v>
      </c>
      <c r="T946" s="40" t="n">
        <f aca="true">RAND()</f>
        <v>0.294881808208549</v>
      </c>
      <c r="U946" s="40" t="n">
        <f aca="true">RAND()</f>
        <v>0.081170225383474</v>
      </c>
    </row>
    <row r="947" customFormat="false" ht="15" hidden="false" customHeight="false" outlineLevel="0" collapsed="false">
      <c r="A947" s="36" t="n">
        <v>867</v>
      </c>
      <c r="B947" s="37" t="n">
        <f aca="false">1+IF($G$6=$E$6,$F$6,IF(P947&lt;($F$6-$E$6)/($G$6-$E$6),$E$6+SQRT(P947*($G$6-$E$6)*($F$6-$E$6)),$G$6-SQRT((1-P947)*($G$6-$E$6)*($G$6-$F$6))))</f>
        <v>1.00193992283796</v>
      </c>
      <c r="C947" s="37" t="n">
        <f aca="false">1+IF($G$7=$E$7,$F$7,IF(Q947&lt;($F$7-$E$7)/($G$7-$E$7),$E$7+SQRT(Q947*($G$7-$E$7)*($F$7-$E$7)),$G$7-SQRT((1-Q947)*($G$7-$E$7)*($G$7-$F$7))))</f>
        <v>0.944406902870579</v>
      </c>
      <c r="D947" s="37" t="n">
        <f aca="false">1+IF($G$8=$E$8,$F$8,IF(R947&lt;($F$8-$E$8)/($G$8-$E$8),$E$8+SQRT(R947*($G$8-$E$8)*($F$8-$E$8)),$G$8-SQRT((1-R947)*($G$8-$E$8)*($G$8-$F$8))))</f>
        <v>0.966586575701895</v>
      </c>
      <c r="E947" s="37" t="n">
        <f aca="false">1+IF($G$9=$E$9,$F$9,IF(S947&lt;($F$9-$E$9)/($G$9-$E$9),$E$9+SQRT(S947*($G$9-$E$9)*($F$9-$E$9)),$G$9-SQRT((1-S947)*($G$9-$E$9)*($G$9-$F$9))))</f>
        <v>1.009954435605</v>
      </c>
      <c r="F947" s="37" t="n">
        <f aca="false">1+IF($G$10=$E$10,$F$10,IF(T947&lt;($F$10-$E$10)/($G$10-$E$10),$E$10+SQRT(T947*($G$10-$E$10)*($F$10-$E$10)),$G$10-SQRT((1-T947)*($G$10-$E$10)*($G$10-$F$10))))</f>
        <v>1.0107178152209</v>
      </c>
      <c r="G947" s="38" t="n">
        <f aca="false">IF($G$11=$E$11,$F$11,IF(U947&lt;($F$11-$E$11)/($G$11-$E$11),$E$11+SQRT(U947*($G$11-$E$11)*($F$11-$E$11)),$G$11-SQRT((1-U947)*($G$11-$E$11)*($G$11-$F$11))))</f>
        <v>0.090689274844733</v>
      </c>
      <c r="H947" s="39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-2021435630.44179</v>
      </c>
      <c r="I947" s="39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13990820.8835763</v>
      </c>
      <c r="J947" s="39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321721972.72384</v>
      </c>
      <c r="K947" s="39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679989015.325148</v>
      </c>
      <c r="L947" s="39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815268085.06628</v>
      </c>
      <c r="M947" s="39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995129190.268691</v>
      </c>
      <c r="N947" s="39" t="n">
        <f aca="false">IF(COUNT('Business Case'!B11:G11)=0,"",H947+NPV(G947,I947:M947))</f>
        <v>6740591.57987094</v>
      </c>
      <c r="P947" s="40" t="n">
        <f aca="true">RAND()</f>
        <v>0.692030531090497</v>
      </c>
      <c r="Q947" s="40" t="n">
        <f aca="true">RAND()</f>
        <v>0.442479512376213</v>
      </c>
      <c r="R947" s="40" t="n">
        <f aca="true">RAND()</f>
        <v>0.0366819324686246</v>
      </c>
      <c r="S947" s="40" t="n">
        <f aca="true">RAND()</f>
        <v>0.476993063820965</v>
      </c>
      <c r="T947" s="40" t="n">
        <f aca="true">RAND()</f>
        <v>0.236587147297851</v>
      </c>
      <c r="U947" s="40" t="n">
        <f aca="true">RAND()</f>
        <v>0.114260596706242</v>
      </c>
    </row>
    <row r="948" customFormat="false" ht="15" hidden="false" customHeight="false" outlineLevel="0" collapsed="false">
      <c r="A948" s="36" t="n">
        <v>868</v>
      </c>
      <c r="B948" s="37" t="n">
        <f aca="false">1+IF($G$6=$E$6,$F$6,IF(P948&lt;($F$6-$E$6)/($G$6-$E$6),$E$6+SQRT(P948*($G$6-$E$6)*($F$6-$E$6)),$G$6-SQRT((1-P948)*($G$6-$E$6)*($G$6-$F$6))))</f>
        <v>0.975761668651641</v>
      </c>
      <c r="C948" s="37" t="n">
        <f aca="false">1+IF($G$7=$E$7,$F$7,IF(Q948&lt;($F$7-$E$7)/($G$7-$E$7),$E$7+SQRT(Q948*($G$7-$E$7)*($F$7-$E$7)),$G$7-SQRT((1-Q948)*($G$7-$E$7)*($G$7-$F$7))))</f>
        <v>0.912632768052418</v>
      </c>
      <c r="D948" s="37" t="n">
        <f aca="false">1+IF($G$8=$E$8,$F$8,IF(R948&lt;($F$8-$E$8)/($G$8-$E$8),$E$8+SQRT(R948*($G$8-$E$8)*($F$8-$E$8)),$G$8-SQRT((1-R948)*($G$8-$E$8)*($G$8-$F$8))))</f>
        <v>0.96757857094759</v>
      </c>
      <c r="E948" s="37" t="n">
        <f aca="false">1+IF($G$9=$E$9,$F$9,IF(S948&lt;($F$9-$E$9)/($G$9-$E$9),$E$9+SQRT(S948*($G$9-$E$9)*($F$9-$E$9)),$G$9-SQRT((1-S948)*($G$9-$E$9)*($G$9-$F$9))))</f>
        <v>1.10537260511116</v>
      </c>
      <c r="F948" s="37" t="n">
        <f aca="false">1+IF($G$10=$E$10,$F$10,IF(T948&lt;($F$10-$E$10)/($G$10-$E$10),$E$10+SQRT(T948*($G$10-$E$10)*($F$10-$E$10)),$G$10-SQRT((1-T948)*($G$10-$E$10)*($G$10-$F$10))))</f>
        <v>1.20165541783261</v>
      </c>
      <c r="G948" s="38" t="n">
        <f aca="false">IF($G$11=$E$11,$F$11,IF(U948&lt;($F$11-$E$11)/($G$11-$E$11),$E$11+SQRT(U948*($G$11-$E$11)*($F$11-$E$11)),$G$11-SQRT((1-U948)*($G$11-$E$11)*($G$11-$F$11))))</f>
        <v>0.0982643427136603</v>
      </c>
      <c r="H948" s="39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-2403310835.66521</v>
      </c>
      <c r="I948" s="39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-46168005.8863531</v>
      </c>
      <c r="J948" s="39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231177660.302034</v>
      </c>
      <c r="K948" s="39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568606097.382051</v>
      </c>
      <c r="L948" s="39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691830750.007961</v>
      </c>
      <c r="M948" s="39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861099284.77176</v>
      </c>
      <c r="N948" s="39" t="n">
        <f aca="false">IF(COUNT('Business Case'!B11:G11)=0,"",H948+NPV(G948,I948:M948))</f>
        <v>-810019963.155333</v>
      </c>
      <c r="P948" s="40" t="n">
        <f aca="true">RAND()</f>
        <v>0.382655362458733</v>
      </c>
      <c r="Q948" s="40" t="n">
        <f aca="true">RAND()</f>
        <v>0.3349088448121</v>
      </c>
      <c r="R948" s="40" t="n">
        <f aca="true">RAND()</f>
        <v>0.0412008208745959</v>
      </c>
      <c r="S948" s="40" t="n">
        <f aca="true">RAND()</f>
        <v>0.946890550011613</v>
      </c>
      <c r="T948" s="40" t="n">
        <f aca="true">RAND()</f>
        <v>0.968837351667469</v>
      </c>
      <c r="U948" s="40" t="n">
        <f aca="true">RAND()</f>
        <v>0.333586214762036</v>
      </c>
    </row>
    <row r="949" customFormat="false" ht="15" hidden="false" customHeight="false" outlineLevel="0" collapsed="false">
      <c r="A949" s="36" t="n">
        <v>869</v>
      </c>
      <c r="B949" s="37" t="n">
        <f aca="false">1+IF($G$6=$E$6,$F$6,IF(P949&lt;($F$6-$E$6)/($G$6-$E$6),$E$6+SQRT(P949*($G$6-$E$6)*($F$6-$E$6)),$G$6-SQRT((1-P949)*($G$6-$E$6)*($G$6-$F$6))))</f>
        <v>0.912128353286302</v>
      </c>
      <c r="C949" s="37" t="n">
        <f aca="false">1+IF($G$7=$E$7,$F$7,IF(Q949&lt;($F$7-$E$7)/($G$7-$E$7),$E$7+SQRT(Q949*($G$7-$E$7)*($F$7-$E$7)),$G$7-SQRT((1-Q949)*($G$7-$E$7)*($G$7-$F$7))))</f>
        <v>0.96364378669661</v>
      </c>
      <c r="D949" s="37" t="n">
        <f aca="false">1+IF($G$8=$E$8,$F$8,IF(R949&lt;($F$8-$E$8)/($G$8-$E$8),$E$8+SQRT(R949*($G$8-$E$8)*($F$8-$E$8)),$G$8-SQRT((1-R949)*($G$8-$E$8)*($G$8-$F$8))))</f>
        <v>0.984542935498972</v>
      </c>
      <c r="E949" s="37" t="n">
        <f aca="false">1+IF($G$9=$E$9,$F$9,IF(S949&lt;($F$9-$E$9)/($G$9-$E$9),$E$9+SQRT(S949*($G$9-$E$9)*($F$9-$E$9)),$G$9-SQRT((1-S949)*($G$9-$E$9)*($G$9-$F$9))))</f>
        <v>0.928211138801968</v>
      </c>
      <c r="F949" s="37" t="n">
        <f aca="false">1+IF($G$10=$E$10,$F$10,IF(T949&lt;($F$10-$E$10)/($G$10-$E$10),$E$10+SQRT(T949*($G$10-$E$10)*($F$10-$E$10)),$G$10-SQRT((1-T949)*($G$10-$E$10)*($G$10-$F$10))))</f>
        <v>1.09108289396175</v>
      </c>
      <c r="G949" s="38" t="n">
        <f aca="false">IF($G$11=$E$11,$F$11,IF(U949&lt;($F$11-$E$11)/($G$11-$E$11),$E$11+SQRT(U949*($G$11-$E$11)*($F$11-$E$11)),$G$11-SQRT((1-U949)*($G$11-$E$11)*($G$11-$F$11))))</f>
        <v>0.0999043517623456</v>
      </c>
      <c r="H949" s="39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-2182165787.9235</v>
      </c>
      <c r="I949" s="39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-52411867.4111112</v>
      </c>
      <c r="J949" s="39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181841818.476678</v>
      </c>
      <c r="K949" s="39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470649649.062555</v>
      </c>
      <c r="L949" s="39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579111304.335209</v>
      </c>
      <c r="M949" s="39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746185317.540524</v>
      </c>
      <c r="N949" s="39" t="n">
        <f aca="false">IF(COUNT('Business Case'!B11:G11)=0,"",H949+NPV(G949,I949:M949))</f>
        <v>-866607865.753707</v>
      </c>
      <c r="P949" s="40" t="n">
        <f aca="true">RAND()</f>
        <v>0.00980646356248998</v>
      </c>
      <c r="Q949" s="40" t="n">
        <f aca="true">RAND()</f>
        <v>0.514874416768352</v>
      </c>
      <c r="R949" s="40" t="n">
        <f aca="true">RAND()</f>
        <v>0.159095252384822</v>
      </c>
      <c r="S949" s="40" t="n">
        <f aca="true">RAND()</f>
        <v>0.0318347341001564</v>
      </c>
      <c r="T949" s="40" t="n">
        <f aca="true">RAND()</f>
        <v>0.663271378779039</v>
      </c>
      <c r="U949" s="40" t="n">
        <f aca="true">RAND()</f>
        <v>0.396183219079191</v>
      </c>
    </row>
    <row r="950" customFormat="false" ht="15" hidden="false" customHeight="false" outlineLevel="0" collapsed="false">
      <c r="A950" s="36" t="n">
        <v>870</v>
      </c>
      <c r="B950" s="37" t="n">
        <f aca="false">1+IF($G$6=$E$6,$F$6,IF(P950&lt;($F$6-$E$6)/($G$6-$E$6),$E$6+SQRT(P950*($G$6-$E$6)*($F$6-$E$6)),$G$6-SQRT((1-P950)*($G$6-$E$6)*($G$6-$F$6))))</f>
        <v>0.988321922184802</v>
      </c>
      <c r="C950" s="37" t="n">
        <f aca="false">1+IF($G$7=$E$7,$F$7,IF(Q950&lt;($F$7-$E$7)/($G$7-$E$7),$E$7+SQRT(Q950*($G$7-$E$7)*($F$7-$E$7)),$G$7-SQRT((1-Q950)*($G$7-$E$7)*($G$7-$F$7))))</f>
        <v>1.03214656899298</v>
      </c>
      <c r="D950" s="37" t="n">
        <f aca="false">1+IF($G$8=$E$8,$F$8,IF(R950&lt;($F$8-$E$8)/($G$8-$E$8),$E$8+SQRT(R950*($G$8-$E$8)*($F$8-$E$8)),$G$8-SQRT((1-R950)*($G$8-$E$8)*($G$8-$F$8))))</f>
        <v>0.974275965888667</v>
      </c>
      <c r="E950" s="37" t="n">
        <f aca="false">1+IF($G$9=$E$9,$F$9,IF(S950&lt;($F$9-$E$9)/($G$9-$E$9),$E$9+SQRT(S950*($G$9-$E$9)*($F$9-$E$9)),$G$9-SQRT((1-S950)*($G$9-$E$9)*($G$9-$F$9))))</f>
        <v>0.988885561784484</v>
      </c>
      <c r="F950" s="37" t="n">
        <f aca="false">1+IF($G$10=$E$10,$F$10,IF(T950&lt;($F$10-$E$10)/($G$10-$E$10),$E$10+SQRT(T950*($G$10-$E$10)*($F$10-$E$10)),$G$10-SQRT((1-T950)*($G$10-$E$10)*($G$10-$F$10))))</f>
        <v>1.02603223612208</v>
      </c>
      <c r="G950" s="38" t="n">
        <f aca="false">IF($G$11=$E$11,$F$11,IF(U950&lt;($F$11-$E$11)/($G$11-$E$11),$E$11+SQRT(U950*($G$11-$E$11)*($F$11-$E$11)),$G$11-SQRT((1-U950)*($G$11-$E$11)*($G$11-$F$11))))</f>
        <v>0.0902407386245925</v>
      </c>
      <c r="H950" s="39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-2052064472.24415</v>
      </c>
      <c r="I950" s="39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24640807.0374248</v>
      </c>
      <c r="J950" s="39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345385989.894111</v>
      </c>
      <c r="K950" s="39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717432784.556901</v>
      </c>
      <c r="L950" s="39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859602262.389996</v>
      </c>
      <c r="M950" s="39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1053501555.23476</v>
      </c>
      <c r="N950" s="39" t="n">
        <f aca="false">IF(COUNT('Business Case'!B11:G11)=0,"",H950+NPV(G950,I950:M950))</f>
        <v>107110062.62022</v>
      </c>
      <c r="P950" s="40" t="n">
        <f aca="true">RAND()</f>
        <v>0.520050795894553</v>
      </c>
      <c r="Q950" s="40" t="n">
        <f aca="true">RAND()</f>
        <v>0.794230648887023</v>
      </c>
      <c r="R950" s="40" t="n">
        <f aca="true">RAND()</f>
        <v>0.0785763359770281</v>
      </c>
      <c r="S950" s="40" t="n">
        <f aca="true">RAND()</f>
        <v>0.316025723749733</v>
      </c>
      <c r="T950" s="40" t="n">
        <f aca="true">RAND()</f>
        <v>0.33117920991364</v>
      </c>
      <c r="U950" s="40" t="n">
        <f aca="true">RAND()</f>
        <v>0.10487272757722</v>
      </c>
    </row>
    <row r="951" customFormat="false" ht="15" hidden="false" customHeight="false" outlineLevel="0" collapsed="false">
      <c r="A951" s="36" t="n">
        <v>871</v>
      </c>
      <c r="B951" s="37" t="n">
        <f aca="false">1+IF($G$6=$E$6,$F$6,IF(P951&lt;($F$6-$E$6)/($G$6-$E$6),$E$6+SQRT(P951*($G$6-$E$6)*($F$6-$E$6)),$G$6-SQRT((1-P951)*($G$6-$E$6)*($G$6-$F$6))))</f>
        <v>0.927588322708635</v>
      </c>
      <c r="C951" s="37" t="n">
        <f aca="false">1+IF($G$7=$E$7,$F$7,IF(Q951&lt;($F$7-$E$7)/($G$7-$E$7),$E$7+SQRT(Q951*($G$7-$E$7)*($F$7-$E$7)),$G$7-SQRT((1-Q951)*($G$7-$E$7)*($G$7-$F$7))))</f>
        <v>1.01684177541427</v>
      </c>
      <c r="D951" s="37" t="n">
        <f aca="false">1+IF($G$8=$E$8,$F$8,IF(R951&lt;($F$8-$E$8)/($G$8-$E$8),$E$8+SQRT(R951*($G$8-$E$8)*($F$8-$E$8)),$G$8-SQRT((1-R951)*($G$8-$E$8)*($G$8-$F$8))))</f>
        <v>1.0470565905185</v>
      </c>
      <c r="E951" s="37" t="n">
        <f aca="false">1+IF($G$9=$E$9,$F$9,IF(S951&lt;($F$9-$E$9)/($G$9-$E$9),$E$9+SQRT(S951*($G$9-$E$9)*($F$9-$E$9)),$G$9-SQRT((1-S951)*($G$9-$E$9)*($G$9-$F$9))))</f>
        <v>1.08789173732361</v>
      </c>
      <c r="F951" s="37" t="n">
        <f aca="false">1+IF($G$10=$E$10,$F$10,IF(T951&lt;($F$10-$E$10)/($G$10-$E$10),$E$10+SQRT(T951*($G$10-$E$10)*($F$10-$E$10)),$G$10-SQRT((1-T951)*($G$10-$E$10)*($G$10-$F$10))))</f>
        <v>0.982277742994693</v>
      </c>
      <c r="G951" s="38" t="n">
        <f aca="false">IF($G$11=$E$11,$F$11,IF(U951&lt;($F$11-$E$11)/($G$11-$E$11),$E$11+SQRT(U951*($G$11-$E$11)*($F$11-$E$11)),$G$11-SQRT((1-U951)*($G$11-$E$11)*($G$11-$F$11))))</f>
        <v>0.107966594742211</v>
      </c>
      <c r="H951" s="39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-1964555485.98939</v>
      </c>
      <c r="I951" s="39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-74301213.8926262</v>
      </c>
      <c r="J951" s="39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153219586.83219</v>
      </c>
      <c r="K951" s="39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429854274.706741</v>
      </c>
      <c r="L951" s="39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538291898.46205</v>
      </c>
      <c r="M951" s="39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717577361.120756</v>
      </c>
      <c r="N951" s="39" t="n">
        <f aca="false">IF(COUNT('Business Case'!B11:G11)=0,"",H951+NPV(G951,I951:M951))</f>
        <v>-803794542.05754</v>
      </c>
      <c r="P951" s="40" t="n">
        <f aca="true">RAND()</f>
        <v>0.0507410366583866</v>
      </c>
      <c r="Q951" s="40" t="n">
        <f aca="true">RAND()</f>
        <v>0.737316847780385</v>
      </c>
      <c r="R951" s="40" t="n">
        <f aca="true">RAND()</f>
        <v>0.813133026164976</v>
      </c>
      <c r="S951" s="40" t="n">
        <f aca="true">RAND()</f>
        <v>0.897135032195206</v>
      </c>
      <c r="T951" s="40" t="n">
        <f aca="true">RAND()</f>
        <v>0.0694568461887633</v>
      </c>
      <c r="U951" s="40" t="n">
        <f aca="true">RAND()</f>
        <v>0.676352701830689</v>
      </c>
    </row>
    <row r="952" customFormat="false" ht="15" hidden="false" customHeight="false" outlineLevel="0" collapsed="false">
      <c r="A952" s="36" t="n">
        <v>872</v>
      </c>
      <c r="B952" s="37" t="n">
        <f aca="false">1+IF($G$6=$E$6,$F$6,IF(P952&lt;($F$6-$E$6)/($G$6-$E$6),$E$6+SQRT(P952*($G$6-$E$6)*($F$6-$E$6)),$G$6-SQRT((1-P952)*($G$6-$E$6)*($G$6-$F$6))))</f>
        <v>0.992002746101863</v>
      </c>
      <c r="C952" s="37" t="n">
        <f aca="false">1+IF($G$7=$E$7,$F$7,IF(Q952&lt;($F$7-$E$7)/($G$7-$E$7),$E$7+SQRT(Q952*($G$7-$E$7)*($F$7-$E$7)),$G$7-SQRT((1-Q952)*($G$7-$E$7)*($G$7-$F$7))))</f>
        <v>0.837258646237033</v>
      </c>
      <c r="D952" s="37" t="n">
        <f aca="false">1+IF($G$8=$E$8,$F$8,IF(R952&lt;($F$8-$E$8)/($G$8-$E$8),$E$8+SQRT(R952*($G$8-$E$8)*($F$8-$E$8)),$G$8-SQRT((1-R952)*($G$8-$E$8)*($G$8-$F$8))))</f>
        <v>0.972141370582518</v>
      </c>
      <c r="E952" s="37" t="n">
        <f aca="false">1+IF($G$9=$E$9,$F$9,IF(S952&lt;($F$9-$E$9)/($G$9-$E$9),$E$9+SQRT(S952*($G$9-$E$9)*($F$9-$E$9)),$G$9-SQRT((1-S952)*($G$9-$E$9)*($G$9-$F$9))))</f>
        <v>0.998783551866961</v>
      </c>
      <c r="F952" s="37" t="n">
        <f aca="false">1+IF($G$10=$E$10,$F$10,IF(T952&lt;($F$10-$E$10)/($G$10-$E$10),$E$10+SQRT(T952*($G$10-$E$10)*($F$10-$E$10)),$G$10-SQRT((1-T952)*($G$10-$E$10)*($G$10-$F$10))))</f>
        <v>1.02734068834173</v>
      </c>
      <c r="G952" s="38" t="n">
        <f aca="false">IF($G$11=$E$11,$F$11,IF(U952&lt;($F$11-$E$11)/($G$11-$E$11),$E$11+SQRT(U952*($G$11-$E$11)*($F$11-$E$11)),$G$11-SQRT((1-U952)*($G$11-$E$11)*($G$11-$F$11))))</f>
        <v>0.0851807414519583</v>
      </c>
      <c r="H952" s="39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-2054681376.68346</v>
      </c>
      <c r="I952" s="39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-24195647.6830184</v>
      </c>
      <c r="J952" s="39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239426174.049178</v>
      </c>
      <c r="K952" s="39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554415030.198462</v>
      </c>
      <c r="L952" s="39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670993223.779568</v>
      </c>
      <c r="M952" s="39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828866615.299956</v>
      </c>
      <c r="N952" s="39" t="n">
        <f aca="false">IF(COUNT('Business Case'!B11:G11)=0,"",H952+NPV(G952,I952:M952))</f>
        <v>-405200517.593514</v>
      </c>
      <c r="P952" s="40" t="n">
        <f aca="true">RAND()</f>
        <v>0.564300352685594</v>
      </c>
      <c r="Q952" s="40" t="n">
        <f aca="true">RAND()</f>
        <v>0.139555081235726</v>
      </c>
      <c r="R952" s="40" t="n">
        <f aca="true">RAND()</f>
        <v>0.0653653721696538</v>
      </c>
      <c r="S952" s="40" t="n">
        <f aca="true">RAND()</f>
        <v>0.390327604778103</v>
      </c>
      <c r="T952" s="40" t="n">
        <f aca="true">RAND()</f>
        <v>0.33897107909155</v>
      </c>
      <c r="U952" s="40" t="n">
        <f aca="true">RAND()</f>
        <v>0.0268400819920388</v>
      </c>
    </row>
    <row r="953" customFormat="false" ht="15" hidden="false" customHeight="false" outlineLevel="0" collapsed="false">
      <c r="A953" s="36" t="n">
        <v>873</v>
      </c>
      <c r="B953" s="37" t="n">
        <f aca="false">1+IF($G$6=$E$6,$F$6,IF(P953&lt;($F$6-$E$6)/($G$6-$E$6),$E$6+SQRT(P953*($G$6-$E$6)*($F$6-$E$6)),$G$6-SQRT((1-P953)*($G$6-$E$6)*($G$6-$F$6))))</f>
        <v>0.945445197479746</v>
      </c>
      <c r="C953" s="37" t="n">
        <f aca="false">1+IF($G$7=$E$7,$F$7,IF(Q953&lt;($F$7-$E$7)/($G$7-$E$7),$E$7+SQRT(Q953*($G$7-$E$7)*($F$7-$E$7)),$G$7-SQRT((1-Q953)*($G$7-$E$7)*($G$7-$F$7))))</f>
        <v>0.886944805745795</v>
      </c>
      <c r="D953" s="37" t="n">
        <f aca="false">1+IF($G$8=$E$8,$F$8,IF(R953&lt;($F$8-$E$8)/($G$8-$E$8),$E$8+SQRT(R953*($G$8-$E$8)*($F$8-$E$8)),$G$8-SQRT((1-R953)*($G$8-$E$8)*($G$8-$F$8))))</f>
        <v>0.997767522130345</v>
      </c>
      <c r="E953" s="37" t="n">
        <f aca="false">1+IF($G$9=$E$9,$F$9,IF(S953&lt;($F$9-$E$9)/($G$9-$E$9),$E$9+SQRT(S953*($G$9-$E$9)*($F$9-$E$9)),$G$9-SQRT((1-S953)*($G$9-$E$9)*($G$9-$F$9))))</f>
        <v>1.13129532559988</v>
      </c>
      <c r="F953" s="37" t="n">
        <f aca="false">1+IF($G$10=$E$10,$F$10,IF(T953&lt;($F$10-$E$10)/($G$10-$E$10),$E$10+SQRT(T953*($G$10-$E$10)*($F$10-$E$10)),$G$10-SQRT((1-T953)*($G$10-$E$10)*($G$10-$F$10))))</f>
        <v>1.02131125799743</v>
      </c>
      <c r="G953" s="38" t="n">
        <f aca="false">IF($G$11=$E$11,$F$11,IF(U953&lt;($F$11-$E$11)/($G$11-$E$11),$E$11+SQRT(U953*($G$11-$E$11)*($F$11-$E$11)),$G$11-SQRT((1-U953)*($G$11-$E$11)*($G$11-$F$11))))</f>
        <v>0.112082692169824</v>
      </c>
      <c r="H953" s="39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-2042622515.99486</v>
      </c>
      <c r="I953" s="39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-72664154.4493043</v>
      </c>
      <c r="J953" s="39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161143843.733456</v>
      </c>
      <c r="K953" s="39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446017404.816087</v>
      </c>
      <c r="L953" s="39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552933958.56502</v>
      </c>
      <c r="M953" s="39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712327007.515756</v>
      </c>
      <c r="N953" s="39" t="n">
        <f aca="false">IF(COUNT('Business Case'!B11:G11)=0,"",H953+NPV(G953,I953:M953))</f>
        <v>-873067719.299909</v>
      </c>
      <c r="P953" s="40" t="n">
        <f aca="true">RAND()</f>
        <v>0.137684398264876</v>
      </c>
      <c r="Q953" s="40" t="n">
        <f aca="true">RAND()</f>
        <v>0.258876743669134</v>
      </c>
      <c r="R953" s="40" t="n">
        <f aca="true">RAND()</f>
        <v>0.304231489396396</v>
      </c>
      <c r="S953" s="40" t="n">
        <f aca="true">RAND()</f>
        <v>0.99067027081561</v>
      </c>
      <c r="T953" s="40" t="n">
        <f aca="true">RAND()</f>
        <v>0.302686123750424</v>
      </c>
      <c r="U953" s="40" t="n">
        <f aca="true">RAND()</f>
        <v>0.785980053412466</v>
      </c>
    </row>
    <row r="954" customFormat="false" ht="15" hidden="false" customHeight="false" outlineLevel="0" collapsed="false">
      <c r="A954" s="36" t="n">
        <v>874</v>
      </c>
      <c r="B954" s="37" t="n">
        <f aca="false">1+IF($G$6=$E$6,$F$6,IF(P954&lt;($F$6-$E$6)/($G$6-$E$6),$E$6+SQRT(P954*($G$6-$E$6)*($F$6-$E$6)),$G$6-SQRT((1-P954)*($G$6-$E$6)*($G$6-$F$6))))</f>
        <v>0.949440129528151</v>
      </c>
      <c r="C954" s="37" t="n">
        <f aca="false">1+IF($G$7=$E$7,$F$7,IF(Q954&lt;($F$7-$E$7)/($G$7-$E$7),$E$7+SQRT(Q954*($G$7-$E$7)*($F$7-$E$7)),$G$7-SQRT((1-Q954)*($G$7-$E$7)*($G$7-$F$7))))</f>
        <v>0.81590125848097</v>
      </c>
      <c r="D954" s="37" t="n">
        <f aca="false">1+IF($G$8=$E$8,$F$8,IF(R954&lt;($F$8-$E$8)/($G$8-$E$8),$E$8+SQRT(R954*($G$8-$E$8)*($F$8-$E$8)),$G$8-SQRT((1-R954)*($G$8-$E$8)*($G$8-$F$8))))</f>
        <v>1.00151519812927</v>
      </c>
      <c r="E954" s="37" t="n">
        <f aca="false">1+IF($G$9=$E$9,$F$9,IF(S954&lt;($F$9-$E$9)/($G$9-$E$9),$E$9+SQRT(S954*($G$9-$E$9)*($F$9-$E$9)),$G$9-SQRT((1-S954)*($G$9-$E$9)*($G$9-$F$9))))</f>
        <v>0.995538201016869</v>
      </c>
      <c r="F954" s="37" t="n">
        <f aca="false">1+IF($G$10=$E$10,$F$10,IF(T954&lt;($F$10-$E$10)/($G$10-$E$10),$E$10+SQRT(T954*($G$10-$E$10)*($F$10-$E$10)),$G$10-SQRT((1-T954)*($G$10-$E$10)*($G$10-$F$10))))</f>
        <v>1.12747839630199</v>
      </c>
      <c r="G954" s="38" t="n">
        <f aca="false">IF($G$11=$E$11,$F$11,IF(U954&lt;($F$11-$E$11)/($G$11-$E$11),$E$11+SQRT(U954*($G$11-$E$11)*($F$11-$E$11)),$G$11-SQRT((1-U954)*($G$11-$E$11)*($G$11-$F$11))))</f>
        <v>0.107920003625249</v>
      </c>
      <c r="H954" s="39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-2254956792.60397</v>
      </c>
      <c r="I954" s="39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-78286600.4093532</v>
      </c>
      <c r="J954" s="39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137897995.712432</v>
      </c>
      <c r="K954" s="39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410456511.649317</v>
      </c>
      <c r="L954" s="39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509289926.834139</v>
      </c>
      <c r="M954" s="39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656535284.127389</v>
      </c>
      <c r="N954" s="39" t="n">
        <f aca="false">IF(COUNT('Business Case'!B11:G11)=0,"",H954+NPV(G954,I954:M954))</f>
        <v>-1180155805.13489</v>
      </c>
      <c r="P954" s="40" t="n">
        <f aca="true">RAND()</f>
        <v>0.162955093850692</v>
      </c>
      <c r="Q954" s="40" t="n">
        <f aca="true">RAND()</f>
        <v>0.0995044571664644</v>
      </c>
      <c r="R954" s="40" t="n">
        <f aca="true">RAND()</f>
        <v>0.353382920032264</v>
      </c>
      <c r="S954" s="40" t="n">
        <f aca="true">RAND()</f>
        <v>0.365101914141588</v>
      </c>
      <c r="T954" s="40" t="n">
        <f aca="true">RAND()</f>
        <v>0.79984608836356</v>
      </c>
      <c r="U954" s="40" t="n">
        <f aca="true">RAND()</f>
        <v>0.674982506727336</v>
      </c>
    </row>
    <row r="955" customFormat="false" ht="15" hidden="false" customHeight="false" outlineLevel="0" collapsed="false">
      <c r="A955" s="36" t="n">
        <v>875</v>
      </c>
      <c r="B955" s="37" t="n">
        <f aca="false">1+IF($G$6=$E$6,$F$6,IF(P955&lt;($F$6-$E$6)/($G$6-$E$6),$E$6+SQRT(P955*($G$6-$E$6)*($F$6-$E$6)),$G$6-SQRT((1-P955)*($G$6-$E$6)*($G$6-$F$6))))</f>
        <v>0.995725228350916</v>
      </c>
      <c r="C955" s="37" t="n">
        <f aca="false">1+IF($G$7=$E$7,$F$7,IF(Q955&lt;($F$7-$E$7)/($G$7-$E$7),$E$7+SQRT(Q955*($G$7-$E$7)*($F$7-$E$7)),$G$7-SQRT((1-Q955)*($G$7-$E$7)*($G$7-$F$7))))</f>
        <v>1.05371363739834</v>
      </c>
      <c r="D955" s="37" t="n">
        <f aca="false">1+IF($G$8=$E$8,$F$8,IF(R955&lt;($F$8-$E$8)/($G$8-$E$8),$E$8+SQRT(R955*($G$8-$E$8)*($F$8-$E$8)),$G$8-SQRT((1-R955)*($G$8-$E$8)*($G$8-$F$8))))</f>
        <v>1.03376058773158</v>
      </c>
      <c r="E955" s="37" t="n">
        <f aca="false">1+IF($G$9=$E$9,$F$9,IF(S955&lt;($F$9-$E$9)/($G$9-$E$9),$E$9+SQRT(S955*($G$9-$E$9)*($F$9-$E$9)),$G$9-SQRT((1-S955)*($G$9-$E$9)*($G$9-$F$9))))</f>
        <v>0.954064501536861</v>
      </c>
      <c r="F955" s="37" t="n">
        <f aca="false">1+IF($G$10=$E$10,$F$10,IF(T955&lt;($F$10-$E$10)/($G$10-$E$10),$E$10+SQRT(T955*($G$10-$E$10)*($F$10-$E$10)),$G$10-SQRT((1-T955)*($G$10-$E$10)*($G$10-$F$10))))</f>
        <v>1.02240440212494</v>
      </c>
      <c r="G955" s="38" t="n">
        <f aca="false">IF($G$11=$E$11,$F$11,IF(U955&lt;($F$11-$E$11)/($G$11-$E$11),$E$11+SQRT(U955*($G$11-$E$11)*($F$11-$E$11)),$G$11-SQRT((1-U955)*($G$11-$E$11)*($G$11-$F$11))))</f>
        <v>0.108194671842225</v>
      </c>
      <c r="H955" s="39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-2044808804.24988</v>
      </c>
      <c r="I955" s="39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9450377.57664555</v>
      </c>
      <c r="J955" s="39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311200175.119149</v>
      </c>
      <c r="K955" s="39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664070192.7679</v>
      </c>
      <c r="L955" s="39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800914130.371949</v>
      </c>
      <c r="M955" s="39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1000347825.03296</v>
      </c>
      <c r="N955" s="39" t="n">
        <f aca="false">IF(COUNT('Business Case'!B11:G11)=0,"",H955+NPV(G955,I955:M955))</f>
        <v>-165398776.052757</v>
      </c>
      <c r="P955" s="40" t="n">
        <f aca="true">RAND()</f>
        <v>0.610887956189006</v>
      </c>
      <c r="Q955" s="40" t="n">
        <f aca="true">RAND()</f>
        <v>0.862650909288021</v>
      </c>
      <c r="R955" s="40" t="n">
        <f aca="true">RAND()</f>
        <v>0.707489350822284</v>
      </c>
      <c r="S955" s="40" t="n">
        <f aca="true">RAND()</f>
        <v>0.116918813057171</v>
      </c>
      <c r="T955" s="40" t="n">
        <f aca="true">RAND()</f>
        <v>0.309336584371925</v>
      </c>
      <c r="U955" s="40" t="n">
        <f aca="true">RAND()</f>
        <v>0.683018442621174</v>
      </c>
    </row>
    <row r="956" customFormat="false" ht="15" hidden="false" customHeight="false" outlineLevel="0" collapsed="false">
      <c r="A956" s="36" t="n">
        <v>876</v>
      </c>
      <c r="B956" s="37" t="n">
        <f aca="false">1+IF($G$6=$E$6,$F$6,IF(P956&lt;($F$6-$E$6)/($G$6-$E$6),$E$6+SQRT(P956*($G$6-$E$6)*($F$6-$E$6)),$G$6-SQRT((1-P956)*($G$6-$E$6)*($G$6-$F$6))))</f>
        <v>0.910997150038962</v>
      </c>
      <c r="C956" s="37" t="n">
        <f aca="false">1+IF($G$7=$E$7,$F$7,IF(Q956&lt;($F$7-$E$7)/($G$7-$E$7),$E$7+SQRT(Q956*($G$7-$E$7)*($F$7-$E$7)),$G$7-SQRT((1-Q956)*($G$7-$E$7)*($G$7-$F$7))))</f>
        <v>1.02828779597692</v>
      </c>
      <c r="D956" s="37" t="n">
        <f aca="false">1+IF($G$8=$E$8,$F$8,IF(R956&lt;($F$8-$E$8)/($G$8-$E$8),$E$8+SQRT(R956*($G$8-$E$8)*($F$8-$E$8)),$G$8-SQRT((1-R956)*($G$8-$E$8)*($G$8-$F$8))))</f>
        <v>1.0120107229337</v>
      </c>
      <c r="E956" s="37" t="n">
        <f aca="false">1+IF($G$9=$E$9,$F$9,IF(S956&lt;($F$9-$E$9)/($G$9-$E$9),$E$9+SQRT(S956*($G$9-$E$9)*($F$9-$E$9)),$G$9-SQRT((1-S956)*($G$9-$E$9)*($G$9-$F$9))))</f>
        <v>1.02584327849752</v>
      </c>
      <c r="F956" s="37" t="n">
        <f aca="false">1+IF($G$10=$E$10,$F$10,IF(T956&lt;($F$10-$E$10)/($G$10-$E$10),$E$10+SQRT(T956*($G$10-$E$10)*($F$10-$E$10)),$G$10-SQRT((1-T956)*($G$10-$E$10)*($G$10-$F$10))))</f>
        <v>1.12902946104254</v>
      </c>
      <c r="G956" s="38" t="n">
        <f aca="false">IF($G$11=$E$11,$F$11,IF(U956&lt;($F$11-$E$11)/($G$11-$E$11),$E$11+SQRT(U956*($G$11-$E$11)*($F$11-$E$11)),$G$11-SQRT((1-U956)*($G$11-$E$11)*($G$11-$F$11))))</f>
        <v>0.118923312431687</v>
      </c>
      <c r="H956" s="39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-2258058922.08508</v>
      </c>
      <c r="I956" s="39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-72783594.5043693</v>
      </c>
      <c r="J956" s="39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161772685.618465</v>
      </c>
      <c r="K956" s="39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452780438.793426</v>
      </c>
      <c r="L956" s="39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563340541.714771</v>
      </c>
      <c r="M956" s="39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741401260.890311</v>
      </c>
      <c r="N956" s="39" t="n">
        <f aca="false">IF(COUNT('Business Case'!B11:G11)=0,"",H956+NPV(G956,I956:M956))</f>
        <v>-1088570858.97197</v>
      </c>
      <c r="P956" s="40" t="n">
        <f aca="true">RAND()</f>
        <v>0.00806248726529629</v>
      </c>
      <c r="Q956" s="40" t="n">
        <f aca="true">RAND()</f>
        <v>0.780535398397677</v>
      </c>
      <c r="R956" s="40" t="n">
        <f aca="true">RAND()</f>
        <v>0.483859141423322</v>
      </c>
      <c r="S956" s="40" t="n">
        <f aca="true">RAND()</f>
        <v>0.58893622682016</v>
      </c>
      <c r="T956" s="40" t="n">
        <f aca="true">RAND()</f>
        <v>0.804881716057887</v>
      </c>
      <c r="U956" s="40" t="n">
        <f aca="true">RAND()</f>
        <v>0.91820466167599</v>
      </c>
    </row>
    <row r="957" customFormat="false" ht="15" hidden="false" customHeight="false" outlineLevel="0" collapsed="false">
      <c r="A957" s="36" t="n">
        <v>877</v>
      </c>
      <c r="B957" s="37" t="n">
        <f aca="false">1+IF($G$6=$E$6,$F$6,IF(P957&lt;($F$6-$E$6)/($G$6-$E$6),$E$6+SQRT(P957*($G$6-$E$6)*($F$6-$E$6)),$G$6-SQRT((1-P957)*($G$6-$E$6)*($G$6-$F$6))))</f>
        <v>0.949194239752061</v>
      </c>
      <c r="C957" s="37" t="n">
        <f aca="false">1+IF($G$7=$E$7,$F$7,IF(Q957&lt;($F$7-$E$7)/($G$7-$E$7),$E$7+SQRT(Q957*($G$7-$E$7)*($F$7-$E$7)),$G$7-SQRT((1-Q957)*($G$7-$E$7)*($G$7-$F$7))))</f>
        <v>1.03289510705958</v>
      </c>
      <c r="D957" s="37" t="n">
        <f aca="false">1+IF($G$8=$E$8,$F$8,IF(R957&lt;($F$8-$E$8)/($G$8-$E$8),$E$8+SQRT(R957*($G$8-$E$8)*($F$8-$E$8)),$G$8-SQRT((1-R957)*($G$8-$E$8)*($G$8-$F$8))))</f>
        <v>0.998465796625987</v>
      </c>
      <c r="E957" s="37" t="n">
        <f aca="false">1+IF($G$9=$E$9,$F$9,IF(S957&lt;($F$9-$E$9)/($G$9-$E$9),$E$9+SQRT(S957*($G$9-$E$9)*($F$9-$E$9)),$G$9-SQRT((1-S957)*($G$9-$E$9)*($G$9-$F$9))))</f>
        <v>1.09508788313768</v>
      </c>
      <c r="F957" s="37" t="n">
        <f aca="false">1+IF($G$10=$E$10,$F$10,IF(T957&lt;($F$10-$E$10)/($G$10-$E$10),$E$10+SQRT(T957*($G$10-$E$10)*($F$10-$E$10)),$G$10-SQRT((1-T957)*($G$10-$E$10)*($G$10-$F$10))))</f>
        <v>1.06554281872676</v>
      </c>
      <c r="G957" s="38" t="n">
        <f aca="false">IF($G$11=$E$11,$F$11,IF(U957&lt;($F$11-$E$11)/($G$11-$E$11),$E$11+SQRT(U957*($G$11-$E$11)*($F$11-$E$11)),$G$11-SQRT((1-U957)*($G$11-$E$11)*($G$11-$F$11))))</f>
        <v>0.117158513824107</v>
      </c>
      <c r="H957" s="39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-2131085637.45352</v>
      </c>
      <c r="I957" s="39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-38016088.3286399</v>
      </c>
      <c r="J957" s="39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237068475.770062</v>
      </c>
      <c r="K957" s="39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565430180.805103</v>
      </c>
      <c r="L957" s="39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691008284.552995</v>
      </c>
      <c r="M957" s="39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877366154.318785</v>
      </c>
      <c r="N957" s="39" t="n">
        <f aca="false">IF(COUNT('Business Case'!B11:G11)=0,"",H957+NPV(G957,I957:M957))</f>
        <v>-621784024.440546</v>
      </c>
      <c r="P957" s="40" t="n">
        <f aca="true">RAND()</f>
        <v>0.161338214985548</v>
      </c>
      <c r="Q957" s="40" t="n">
        <f aca="true">RAND()</f>
        <v>0.796836208139459</v>
      </c>
      <c r="R957" s="40" t="n">
        <f aca="true">RAND()</f>
        <v>0.313191125678865</v>
      </c>
      <c r="S957" s="40" t="n">
        <f aca="true">RAND()</f>
        <v>0.91959091791197</v>
      </c>
      <c r="T957" s="40" t="n">
        <f aca="true">RAND()</f>
        <v>0.546340643689746</v>
      </c>
      <c r="U957" s="40" t="n">
        <f aca="true">RAND()</f>
        <v>0.890064155196228</v>
      </c>
    </row>
    <row r="958" customFormat="false" ht="15" hidden="false" customHeight="false" outlineLevel="0" collapsed="false">
      <c r="A958" s="36" t="n">
        <v>878</v>
      </c>
      <c r="B958" s="37" t="n">
        <f aca="false">1+IF($G$6=$E$6,$F$6,IF(P958&lt;($F$6-$E$6)/($G$6-$E$6),$E$6+SQRT(P958*($G$6-$E$6)*($F$6-$E$6)),$G$6-SQRT((1-P958)*($G$6-$E$6)*($G$6-$F$6))))</f>
        <v>1.01512099162598</v>
      </c>
      <c r="C958" s="37" t="n">
        <f aca="false">1+IF($G$7=$E$7,$F$7,IF(Q958&lt;($F$7-$E$7)/($G$7-$E$7),$E$7+SQRT(Q958*($G$7-$E$7)*($F$7-$E$7)),$G$7-SQRT((1-Q958)*($G$7-$E$7)*($G$7-$F$7))))</f>
        <v>1.105489722296</v>
      </c>
      <c r="D958" s="37" t="n">
        <f aca="false">1+IF($G$8=$E$8,$F$8,IF(R958&lt;($F$8-$E$8)/($G$8-$E$8),$E$8+SQRT(R958*($G$8-$E$8)*($F$8-$E$8)),$G$8-SQRT((1-R958)*($G$8-$E$8)*($G$8-$F$8))))</f>
        <v>0.993149922976947</v>
      </c>
      <c r="E958" s="37" t="n">
        <f aca="false">1+IF($G$9=$E$9,$F$9,IF(S958&lt;($F$9-$E$9)/($G$9-$E$9),$E$9+SQRT(S958*($G$9-$E$9)*($F$9-$E$9)),$G$9-SQRT((1-S958)*($G$9-$E$9)*($G$9-$F$9))))</f>
        <v>0.92308008506178</v>
      </c>
      <c r="F958" s="37" t="n">
        <f aca="false">1+IF($G$10=$E$10,$F$10,IF(T958&lt;($F$10-$E$10)/($G$10-$E$10),$E$10+SQRT(T958*($G$10-$E$10)*($F$10-$E$10)),$G$10-SQRT((1-T958)*($G$10-$E$10)*($G$10-$F$10))))</f>
        <v>1.16332137072422</v>
      </c>
      <c r="G958" s="38" t="n">
        <f aca="false">IF($G$11=$E$11,$F$11,IF(U958&lt;($F$11-$E$11)/($G$11-$E$11),$E$11+SQRT(U958*($G$11-$E$11)*($F$11-$E$11)),$G$11-SQRT((1-U958)*($G$11-$E$11)*($G$11-$F$11))))</f>
        <v>0.111169248267173</v>
      </c>
      <c r="H958" s="39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-2326642741.44843</v>
      </c>
      <c r="I958" s="39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51352405.6200034</v>
      </c>
      <c r="J958" s="39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408474086.279244</v>
      </c>
      <c r="K958" s="39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823761835.474695</v>
      </c>
      <c r="L958" s="39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981585828.941795</v>
      </c>
      <c r="M958" s="39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1194894711.80224</v>
      </c>
      <c r="N958" s="39" t="n">
        <f aca="false">IF(COUNT('Business Case'!B11:G11)=0,"",H958+NPV(G958,I958:M958))</f>
        <v>102026.1080513</v>
      </c>
      <c r="P958" s="40" t="n">
        <f aca="true">RAND()</f>
        <v>0.837793969979314</v>
      </c>
      <c r="Q958" s="40" t="n">
        <f aca="true">RAND()</f>
        <v>0.970649410054999</v>
      </c>
      <c r="R958" s="40" t="n">
        <f aca="true">RAND()</f>
        <v>0.248255447055531</v>
      </c>
      <c r="S958" s="40" t="n">
        <f aca="true">RAND()</f>
        <v>0.02130761305836</v>
      </c>
      <c r="T958" s="40" t="n">
        <f aca="true">RAND()</f>
        <v>0.899824203024952</v>
      </c>
      <c r="U958" s="40" t="n">
        <f aca="true">RAND()</f>
        <v>0.763601859451082</v>
      </c>
    </row>
    <row r="959" customFormat="false" ht="15" hidden="false" customHeight="false" outlineLevel="0" collapsed="false">
      <c r="A959" s="36" t="n">
        <v>879</v>
      </c>
      <c r="B959" s="37" t="n">
        <f aca="false">1+IF($G$6=$E$6,$F$6,IF(P959&lt;($F$6-$E$6)/($G$6-$E$6),$E$6+SQRT(P959*($G$6-$E$6)*($F$6-$E$6)),$G$6-SQRT((1-P959)*($G$6-$E$6)*($G$6-$F$6))))</f>
        <v>0.989852909074693</v>
      </c>
      <c r="C959" s="37" t="n">
        <f aca="false">1+IF($G$7=$E$7,$F$7,IF(Q959&lt;($F$7-$E$7)/($G$7-$E$7),$E$7+SQRT(Q959*($G$7-$E$7)*($F$7-$E$7)),$G$7-SQRT((1-Q959)*($G$7-$E$7)*($G$7-$F$7))))</f>
        <v>0.94289262010894</v>
      </c>
      <c r="D959" s="37" t="n">
        <f aca="false">1+IF($G$8=$E$8,$F$8,IF(R959&lt;($F$8-$E$8)/($G$8-$E$8),$E$8+SQRT(R959*($G$8-$E$8)*($F$8-$E$8)),$G$8-SQRT((1-R959)*($G$8-$E$8)*($G$8-$F$8))))</f>
        <v>1.04680103632049</v>
      </c>
      <c r="E959" s="37" t="n">
        <f aca="false">1+IF($G$9=$E$9,$F$9,IF(S959&lt;($F$9-$E$9)/($G$9-$E$9),$E$9+SQRT(S959*($G$9-$E$9)*($F$9-$E$9)),$G$9-SQRT((1-S959)*($G$9-$E$9)*($G$9-$F$9))))</f>
        <v>1.05635432627577</v>
      </c>
      <c r="F959" s="37" t="n">
        <f aca="false">1+IF($G$10=$E$10,$F$10,IF(T959&lt;($F$10-$E$10)/($G$10-$E$10),$E$10+SQRT(T959*($G$10-$E$10)*($F$10-$E$10)),$G$10-SQRT((1-T959)*($G$10-$E$10)*($G$10-$F$10))))</f>
        <v>1.13048961553821</v>
      </c>
      <c r="G959" s="38" t="n">
        <f aca="false">IF($G$11=$E$11,$F$11,IF(U959&lt;($F$11-$E$11)/($G$11-$E$11),$E$11+SQRT(U959*($G$11-$E$11)*($F$11-$E$11)),$G$11-SQRT((1-U959)*($G$11-$E$11)*($G$11-$F$11))))</f>
        <v>0.103068177032037</v>
      </c>
      <c r="H959" s="39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-2260979231.07642</v>
      </c>
      <c r="I959" s="39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-52461513.9984804</v>
      </c>
      <c r="J959" s="39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206723086.906715</v>
      </c>
      <c r="K959" s="39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522432168.588821</v>
      </c>
      <c r="L959" s="39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641082747.659513</v>
      </c>
      <c r="M959" s="39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818489164.22213</v>
      </c>
      <c r="N959" s="39" t="n">
        <f aca="false">IF(COUNT('Business Case'!B11:G11)=0,"",H959+NPV(G959,I959:M959))</f>
        <v>-815192312.871535</v>
      </c>
      <c r="P959" s="40" t="n">
        <f aca="true">RAND()</f>
        <v>0.538236351279003</v>
      </c>
      <c r="Q959" s="40" t="n">
        <f aca="true">RAND()</f>
        <v>0.437013517802856</v>
      </c>
      <c r="R959" s="40" t="n">
        <f aca="true">RAND()</f>
        <v>0.81132468422844</v>
      </c>
      <c r="S959" s="40" t="n">
        <f aca="true">RAND()</f>
        <v>0.766146341139586</v>
      </c>
      <c r="T959" s="40" t="n">
        <f aca="true">RAND()</f>
        <v>0.809563573410597</v>
      </c>
      <c r="U959" s="40" t="n">
        <f aca="true">RAND()</f>
        <v>0.516451274414877</v>
      </c>
    </row>
    <row r="960" customFormat="false" ht="15" hidden="false" customHeight="false" outlineLevel="0" collapsed="false">
      <c r="A960" s="36" t="n">
        <v>880</v>
      </c>
      <c r="B960" s="37" t="n">
        <f aca="false">1+IF($G$6=$E$6,$F$6,IF(P960&lt;($F$6-$E$6)/($G$6-$E$6),$E$6+SQRT(P960*($G$6-$E$6)*($F$6-$E$6)),$G$6-SQRT((1-P960)*($G$6-$E$6)*($G$6-$F$6))))</f>
        <v>0.936108867419676</v>
      </c>
      <c r="C960" s="37" t="n">
        <f aca="false">1+IF($G$7=$E$7,$F$7,IF(Q960&lt;($F$7-$E$7)/($G$7-$E$7),$E$7+SQRT(Q960*($G$7-$E$7)*($F$7-$E$7)),$G$7-SQRT((1-Q960)*($G$7-$E$7)*($G$7-$F$7))))</f>
        <v>1.00099406440144</v>
      </c>
      <c r="D960" s="37" t="n">
        <f aca="false">1+IF($G$8=$E$8,$F$8,IF(R960&lt;($F$8-$E$8)/($G$8-$E$8),$E$8+SQRT(R960*($G$8-$E$8)*($F$8-$E$8)),$G$8-SQRT((1-R960)*($G$8-$E$8)*($G$8-$F$8))))</f>
        <v>0.983478508929276</v>
      </c>
      <c r="E960" s="37" t="n">
        <f aca="false">1+IF($G$9=$E$9,$F$9,IF(S960&lt;($F$9-$E$9)/($G$9-$E$9),$E$9+SQRT(S960*($G$9-$E$9)*($F$9-$E$9)),$G$9-SQRT((1-S960)*($G$9-$E$9)*($G$9-$F$9))))</f>
        <v>1.10808265736975</v>
      </c>
      <c r="F960" s="37" t="n">
        <f aca="false">1+IF($G$10=$E$10,$F$10,IF(T960&lt;($F$10-$E$10)/($G$10-$E$10),$E$10+SQRT(T960*($G$10-$E$10)*($F$10-$E$10)),$G$10-SQRT((1-T960)*($G$10-$E$10)*($G$10-$F$10))))</f>
        <v>1.21186989000076</v>
      </c>
      <c r="G960" s="38" t="n">
        <f aca="false">IF($G$11=$E$11,$F$11,IF(U960&lt;($F$11-$E$11)/($G$11-$E$11),$E$11+SQRT(U960*($G$11-$E$11)*($F$11-$E$11)),$G$11-SQRT((1-U960)*($G$11-$E$11)*($G$11-$F$11))))</f>
        <v>0.0879268244874927</v>
      </c>
      <c r="H960" s="39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-2423739780.00153</v>
      </c>
      <c r="I960" s="39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-63792506.9126487</v>
      </c>
      <c r="J960" s="39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199747452.581444</v>
      </c>
      <c r="K960" s="39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523880906.575576</v>
      </c>
      <c r="L960" s="39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644111642.092731</v>
      </c>
      <c r="M960" s="39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822224095.031249</v>
      </c>
      <c r="N960" s="39" t="n">
        <f aca="false">IF(COUNT('Business Case'!B11:G11)=0,"",H960+NPV(G960,I960:M960))</f>
        <v>-907469032.479911</v>
      </c>
      <c r="P960" s="40" t="n">
        <f aca="true">RAND()</f>
        <v>0.0869233537554467</v>
      </c>
      <c r="Q960" s="40" t="n">
        <f aca="true">RAND()</f>
        <v>0.671070091205911</v>
      </c>
      <c r="R960" s="40" t="n">
        <f aca="true">RAND()</f>
        <v>0.149441408017011</v>
      </c>
      <c r="S960" s="40" t="n">
        <f aca="true">RAND()</f>
        <v>0.953144970315159</v>
      </c>
      <c r="T960" s="40" t="n">
        <f aca="true">RAND()</f>
        <v>0.980614596152614</v>
      </c>
      <c r="U960" s="40" t="n">
        <f aca="true">RAND()</f>
        <v>0.0628345464555144</v>
      </c>
    </row>
    <row r="961" customFormat="false" ht="15" hidden="false" customHeight="false" outlineLevel="0" collapsed="false">
      <c r="A961" s="36" t="n">
        <v>881</v>
      </c>
      <c r="B961" s="37" t="n">
        <f aca="false">1+IF($G$6=$E$6,$F$6,IF(P961&lt;($F$6-$E$6)/($G$6-$E$6),$E$6+SQRT(P961*($G$6-$E$6)*($F$6-$E$6)),$G$6-SQRT((1-P961)*($G$6-$E$6)*($G$6-$F$6))))</f>
        <v>0.951748635347988</v>
      </c>
      <c r="C961" s="37" t="n">
        <f aca="false">1+IF($G$7=$E$7,$F$7,IF(Q961&lt;($F$7-$E$7)/($G$7-$E$7),$E$7+SQRT(Q961*($G$7-$E$7)*($F$7-$E$7)),$G$7-SQRT((1-Q961)*($G$7-$E$7)*($G$7-$F$7))))</f>
        <v>0.92731380748694</v>
      </c>
      <c r="D961" s="37" t="n">
        <f aca="false">1+IF($G$8=$E$8,$F$8,IF(R961&lt;($F$8-$E$8)/($G$8-$E$8),$E$8+SQRT(R961*($G$8-$E$8)*($F$8-$E$8)),$G$8-SQRT((1-R961)*($G$8-$E$8)*($G$8-$F$8))))</f>
        <v>0.9683918343408</v>
      </c>
      <c r="E961" s="37" t="n">
        <f aca="false">1+IF($G$9=$E$9,$F$9,IF(S961&lt;($F$9-$E$9)/($G$9-$E$9),$E$9+SQRT(S961*($G$9-$E$9)*($F$9-$E$9)),$G$9-SQRT((1-S961)*($G$9-$E$9)*($G$9-$F$9))))</f>
        <v>0.946652005875001</v>
      </c>
      <c r="F961" s="37" t="n">
        <f aca="false">1+IF($G$10=$E$10,$F$10,IF(T961&lt;($F$10-$E$10)/($G$10-$E$10),$E$10+SQRT(T961*($G$10-$E$10)*($F$10-$E$10)),$G$10-SQRT((1-T961)*($G$10-$E$10)*($G$10-$F$10))))</f>
        <v>1.05187531360294</v>
      </c>
      <c r="G961" s="38" t="n">
        <f aca="false">IF($G$11=$E$11,$F$11,IF(U961&lt;($F$11-$E$11)/($G$11-$E$11),$E$11+SQRT(U961*($G$11-$E$11)*($F$11-$E$11)),$G$11-SQRT((1-U961)*($G$11-$E$11)*($G$11-$F$11))))</f>
        <v>0.113684509537315</v>
      </c>
      <c r="H961" s="39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-2103750627.20588</v>
      </c>
      <c r="I961" s="39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-22371524.9614864</v>
      </c>
      <c r="J961" s="39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240810807.370998</v>
      </c>
      <c r="K961" s="39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556586905.38363</v>
      </c>
      <c r="L961" s="39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674815956.626626</v>
      </c>
      <c r="M961" s="39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842574795.853549</v>
      </c>
      <c r="N961" s="39" t="n">
        <f aca="false">IF(COUNT('Business Case'!B11:G11)=0,"",H961+NPV(G961,I961:M961))</f>
        <v>-596257568.43689</v>
      </c>
      <c r="P961" s="40" t="n">
        <f aca="true">RAND()</f>
        <v>0.178528084025267</v>
      </c>
      <c r="Q961" s="40" t="n">
        <f aca="true">RAND()</f>
        <v>0.382752348697848</v>
      </c>
      <c r="R961" s="40" t="n">
        <f aca="true">RAND()</f>
        <v>0.0451012760559234</v>
      </c>
      <c r="S961" s="40" t="n">
        <f aca="true">RAND()</f>
        <v>0.0870563860864465</v>
      </c>
      <c r="T961" s="40" t="n">
        <f aca="true">RAND()</f>
        <v>0.476621448534224</v>
      </c>
      <c r="U961" s="40" t="n">
        <f aca="true">RAND()</f>
        <v>0.822536513974689</v>
      </c>
    </row>
    <row r="962" customFormat="false" ht="15" hidden="false" customHeight="false" outlineLevel="0" collapsed="false">
      <c r="A962" s="36" t="n">
        <v>882</v>
      </c>
      <c r="B962" s="37" t="n">
        <f aca="false">1+IF($G$6=$E$6,$F$6,IF(P962&lt;($F$6-$E$6)/($G$6-$E$6),$E$6+SQRT(P962*($G$6-$E$6)*($F$6-$E$6)),$G$6-SQRT((1-P962)*($G$6-$E$6)*($G$6-$F$6))))</f>
        <v>0.960489294596553</v>
      </c>
      <c r="C962" s="37" t="n">
        <f aca="false">1+IF($G$7=$E$7,$F$7,IF(Q962&lt;($F$7-$E$7)/($G$7-$E$7),$E$7+SQRT(Q962*($G$7-$E$7)*($F$7-$E$7)),$G$7-SQRT((1-Q962)*($G$7-$E$7)*($G$7-$F$7))))</f>
        <v>1.01073118003286</v>
      </c>
      <c r="D962" s="37" t="n">
        <f aca="false">1+IF($G$8=$E$8,$F$8,IF(R962&lt;($F$8-$E$8)/($G$8-$E$8),$E$8+SQRT(R962*($G$8-$E$8)*($F$8-$E$8)),$G$8-SQRT((1-R962)*($G$8-$E$8)*($G$8-$F$8))))</f>
        <v>0.993521358617872</v>
      </c>
      <c r="E962" s="37" t="n">
        <f aca="false">1+IF($G$9=$E$9,$F$9,IF(S962&lt;($F$9-$E$9)/($G$9-$E$9),$E$9+SQRT(S962*($G$9-$E$9)*($F$9-$E$9)),$G$9-SQRT((1-S962)*($G$9-$E$9)*($G$9-$F$9))))</f>
        <v>0.978717619862055</v>
      </c>
      <c r="F962" s="37" t="n">
        <f aca="false">1+IF($G$10=$E$10,$F$10,IF(T962&lt;($F$10-$E$10)/($G$10-$E$10),$E$10+SQRT(T962*($G$10-$E$10)*($F$10-$E$10)),$G$10-SQRT((1-T962)*($G$10-$E$10)*($G$10-$F$10))))</f>
        <v>1.13077670930004</v>
      </c>
      <c r="G962" s="38" t="n">
        <f aca="false">IF($G$11=$E$11,$F$11,IF(U962&lt;($F$11-$E$11)/($G$11-$E$11),$E$11+SQRT(U962*($G$11-$E$11)*($F$11-$E$11)),$G$11-SQRT((1-U962)*($G$11-$E$11)*($G$11-$F$11))))</f>
        <v>0.106346913323166</v>
      </c>
      <c r="H962" s="39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-2261553418.60008</v>
      </c>
      <c r="I962" s="39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-21486562.0935979</v>
      </c>
      <c r="J962" s="39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259604281.713788</v>
      </c>
      <c r="K962" s="39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597233960.986177</v>
      </c>
      <c r="L962" s="39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724481635.206369</v>
      </c>
      <c r="M962" s="39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909010629.770556</v>
      </c>
      <c r="N962" s="39" t="n">
        <f aca="false">IF(COUNT('Business Case'!B11:G11)=0,"",H962+NPV(G962,I962:M962))</f>
        <v>-595855981.239178</v>
      </c>
      <c r="P962" s="40" t="n">
        <f aca="true">RAND()</f>
        <v>0.243930317385907</v>
      </c>
      <c r="Q962" s="40" t="n">
        <f aca="true">RAND()</f>
        <v>0.712654752369778</v>
      </c>
      <c r="R962" s="40" t="n">
        <f aca="true">RAND()</f>
        <v>0.252547820792723</v>
      </c>
      <c r="S962" s="40" t="n">
        <f aca="true">RAND()</f>
        <v>0.247858547069877</v>
      </c>
      <c r="T962" s="40" t="n">
        <f aca="true">RAND()</f>
        <v>0.810477426062298</v>
      </c>
      <c r="U962" s="40" t="n">
        <f aca="true">RAND()</f>
        <v>0.627020993772105</v>
      </c>
    </row>
    <row r="963" customFormat="false" ht="15" hidden="false" customHeight="false" outlineLevel="0" collapsed="false">
      <c r="A963" s="36" t="n">
        <v>883</v>
      </c>
      <c r="B963" s="37" t="n">
        <f aca="false">1+IF($G$6=$E$6,$F$6,IF(P963&lt;($F$6-$E$6)/($G$6-$E$6),$E$6+SQRT(P963*($G$6-$E$6)*($F$6-$E$6)),$G$6-SQRT((1-P963)*($G$6-$E$6)*($G$6-$F$6))))</f>
        <v>1.02485129836761</v>
      </c>
      <c r="C963" s="37" t="n">
        <f aca="false">1+IF($G$7=$E$7,$F$7,IF(Q963&lt;($F$7-$E$7)/($G$7-$E$7),$E$7+SQRT(Q963*($G$7-$E$7)*($F$7-$E$7)),$G$7-SQRT((1-Q963)*($G$7-$E$7)*($G$7-$F$7))))</f>
        <v>0.840145777914597</v>
      </c>
      <c r="D963" s="37" t="n">
        <f aca="false">1+IF($G$8=$E$8,$F$8,IF(R963&lt;($F$8-$E$8)/($G$8-$E$8),$E$8+SQRT(R963*($G$8-$E$8)*($F$8-$E$8)),$G$8-SQRT((1-R963)*($G$8-$E$8)*($G$8-$F$8))))</f>
        <v>1.03844089340011</v>
      </c>
      <c r="E963" s="37" t="n">
        <f aca="false">1+IF($G$9=$E$9,$F$9,IF(S963&lt;($F$9-$E$9)/($G$9-$E$9),$E$9+SQRT(S963*($G$9-$E$9)*($F$9-$E$9)),$G$9-SQRT((1-S963)*($G$9-$E$9)*($G$9-$F$9))))</f>
        <v>1.06726643245704</v>
      </c>
      <c r="F963" s="37" t="n">
        <f aca="false">1+IF($G$10=$E$10,$F$10,IF(T963&lt;($F$10-$E$10)/($G$10-$E$10),$E$10+SQRT(T963*($G$10-$E$10)*($F$10-$E$10)),$G$10-SQRT((1-T963)*($G$10-$E$10)*($G$10-$F$10))))</f>
        <v>1.15865093283251</v>
      </c>
      <c r="G963" s="38" t="n">
        <f aca="false">IF($G$11=$E$11,$F$11,IF(U963&lt;($F$11-$E$11)/($G$11-$E$11),$E$11+SQRT(U963*($G$11-$E$11)*($F$11-$E$11)),$G$11-SQRT((1-U963)*($G$11-$E$11)*($G$11-$F$11))))</f>
        <v>0.101079662752459</v>
      </c>
      <c r="H963" s="39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-2317301865.66501</v>
      </c>
      <c r="I963" s="39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-53645209.0087941</v>
      </c>
      <c r="J963" s="39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204975471.590763</v>
      </c>
      <c r="K963" s="39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521528698.831945</v>
      </c>
      <c r="L963" s="39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637492598.784936</v>
      </c>
      <c r="M963" s="39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801156134.093871</v>
      </c>
      <c r="N963" s="39" t="n">
        <f aca="false">IF(COUNT('Business Case'!B11:G11)=0,"",H963+NPV(G963,I963:M963))</f>
        <v>-877540967.526802</v>
      </c>
      <c r="P963" s="40" t="n">
        <f aca="true">RAND()</f>
        <v>0.915672374160658</v>
      </c>
      <c r="Q963" s="40" t="n">
        <f aca="true">RAND()</f>
        <v>0.145487696794722</v>
      </c>
      <c r="R963" s="40" t="n">
        <f aca="true">RAND()</f>
        <v>0.747365092974861</v>
      </c>
      <c r="S963" s="40" t="n">
        <f aca="true">RAND()</f>
        <v>0.817470848043039</v>
      </c>
      <c r="T963" s="40" t="n">
        <f aca="true">RAND()</f>
        <v>0.888737972368385</v>
      </c>
      <c r="U963" s="40" t="n">
        <f aca="true">RAND()</f>
        <v>0.442409395659002</v>
      </c>
    </row>
    <row r="964" customFormat="false" ht="15" hidden="false" customHeight="false" outlineLevel="0" collapsed="false">
      <c r="A964" s="36" t="n">
        <v>884</v>
      </c>
      <c r="B964" s="37" t="n">
        <f aca="false">1+IF($G$6=$E$6,$F$6,IF(P964&lt;($F$6-$E$6)/($G$6-$E$6),$E$6+SQRT(P964*($G$6-$E$6)*($F$6-$E$6)),$G$6-SQRT((1-P964)*($G$6-$E$6)*($G$6-$F$6))))</f>
        <v>0.938767423323187</v>
      </c>
      <c r="C964" s="37" t="n">
        <f aca="false">1+IF($G$7=$E$7,$F$7,IF(Q964&lt;($F$7-$E$7)/($G$7-$E$7),$E$7+SQRT(Q964*($G$7-$E$7)*($F$7-$E$7)),$G$7-SQRT((1-Q964)*($G$7-$E$7)*($G$7-$F$7))))</f>
        <v>0.805168706789376</v>
      </c>
      <c r="D964" s="37" t="n">
        <f aca="false">1+IF($G$8=$E$8,$F$8,IF(R964&lt;($F$8-$E$8)/($G$8-$E$8),$E$8+SQRT(R964*($G$8-$E$8)*($F$8-$E$8)),$G$8-SQRT((1-R964)*($G$8-$E$8)*($G$8-$F$8))))</f>
        <v>0.995254573576313</v>
      </c>
      <c r="E964" s="37" t="n">
        <f aca="false">1+IF($G$9=$E$9,$F$9,IF(S964&lt;($F$9-$E$9)/($G$9-$E$9),$E$9+SQRT(S964*($G$9-$E$9)*($F$9-$E$9)),$G$9-SQRT((1-S964)*($G$9-$E$9)*($G$9-$F$9))))</f>
        <v>1.01917572756145</v>
      </c>
      <c r="F964" s="37" t="n">
        <f aca="false">1+IF($G$10=$E$10,$F$10,IF(T964&lt;($F$10-$E$10)/($G$10-$E$10),$E$10+SQRT(T964*($G$10-$E$10)*($F$10-$E$10)),$G$10-SQRT((1-T964)*($G$10-$E$10)*($G$10-$F$10))))</f>
        <v>1.05220083516506</v>
      </c>
      <c r="G964" s="38" t="n">
        <f aca="false">IF($G$11=$E$11,$F$11,IF(U964&lt;($F$11-$E$11)/($G$11-$E$11),$E$11+SQRT(U964*($G$11-$E$11)*($F$11-$E$11)),$G$11-SQRT((1-U964)*($G$11-$E$11)*($G$11-$F$11))))</f>
        <v>0.110489719432239</v>
      </c>
      <c r="H964" s="39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-2104401670.33012</v>
      </c>
      <c r="I964" s="39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-80448157.4754468</v>
      </c>
      <c r="J964" s="39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128434658.355579</v>
      </c>
      <c r="K964" s="39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389927515.944857</v>
      </c>
      <c r="L964" s="39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485677855.442351</v>
      </c>
      <c r="M964" s="39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629352893.655022</v>
      </c>
      <c r="N964" s="39" t="n">
        <f aca="false">IF(COUNT('Business Case'!B11:G11)=0,"",H964+NPV(G964,I964:M964))</f>
        <v>-1095927816.83314</v>
      </c>
      <c r="P964" s="40" t="n">
        <f aca="true">RAND()</f>
        <v>0.100194207407946</v>
      </c>
      <c r="Q964" s="40" t="n">
        <f aca="true">RAND()</f>
        <v>0.0819293102796269</v>
      </c>
      <c r="R964" s="40" t="n">
        <f aca="true">RAND()</f>
        <v>0.273063523943194</v>
      </c>
      <c r="S964" s="40" t="n">
        <f aca="true">RAND()</f>
        <v>0.543600259757965</v>
      </c>
      <c r="T964" s="40" t="n">
        <f aca="true">RAND()</f>
        <v>0.478339871874669</v>
      </c>
      <c r="U964" s="40" t="n">
        <f aca="true">RAND()</f>
        <v>0.746232634778158</v>
      </c>
    </row>
    <row r="965" customFormat="false" ht="15" hidden="false" customHeight="false" outlineLevel="0" collapsed="false">
      <c r="A965" s="36" t="n">
        <v>885</v>
      </c>
      <c r="B965" s="37" t="n">
        <f aca="false">1+IF($G$6=$E$6,$F$6,IF(P965&lt;($F$6-$E$6)/($G$6-$E$6),$E$6+SQRT(P965*($G$6-$E$6)*($F$6-$E$6)),$G$6-SQRT((1-P965)*($G$6-$E$6)*($G$6-$F$6))))</f>
        <v>0.987630795021913</v>
      </c>
      <c r="C965" s="37" t="n">
        <f aca="false">1+IF($G$7=$E$7,$F$7,IF(Q965&lt;($F$7-$E$7)/($G$7-$E$7),$E$7+SQRT(Q965*($G$7-$E$7)*($F$7-$E$7)),$G$7-SQRT((1-Q965)*($G$7-$E$7)*($G$7-$F$7))))</f>
        <v>1.02988538969097</v>
      </c>
      <c r="D965" s="37" t="n">
        <f aca="false">1+IF($G$8=$E$8,$F$8,IF(R965&lt;($F$8-$E$8)/($G$8-$E$8),$E$8+SQRT(R965*($G$8-$E$8)*($F$8-$E$8)),$G$8-SQRT((1-R965)*($G$8-$E$8)*($G$8-$F$8))))</f>
        <v>1.01950607905233</v>
      </c>
      <c r="E965" s="37" t="n">
        <f aca="false">1+IF($G$9=$E$9,$F$9,IF(S965&lt;($F$9-$E$9)/($G$9-$E$9),$E$9+SQRT(S965*($G$9-$E$9)*($F$9-$E$9)),$G$9-SQRT((1-S965)*($G$9-$E$9)*($G$9-$F$9))))</f>
        <v>0.924044790799067</v>
      </c>
      <c r="F965" s="37" t="n">
        <f aca="false">1+IF($G$10=$E$10,$F$10,IF(T965&lt;($F$10-$E$10)/($G$10-$E$10),$E$10+SQRT(T965*($G$10-$E$10)*($F$10-$E$10)),$G$10-SQRT((1-T965)*($G$10-$E$10)*($G$10-$F$10))))</f>
        <v>1.02559239394535</v>
      </c>
      <c r="G965" s="38" t="n">
        <f aca="false">IF($G$11=$E$11,$F$11,IF(U965&lt;($F$11-$E$11)/($G$11-$E$11),$E$11+SQRT(U965*($G$11-$E$11)*($F$11-$E$11)),$G$11-SQRT((1-U965)*($G$11-$E$11)*($G$11-$F$11))))</f>
        <v>0.0995066327750615</v>
      </c>
      <c r="H965" s="39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-2051184787.89069</v>
      </c>
      <c r="I965" s="39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8926052.15328164</v>
      </c>
      <c r="J965" s="39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304539388.871034</v>
      </c>
      <c r="K965" s="39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651432345.286054</v>
      </c>
      <c r="L965" s="39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785122708.137511</v>
      </c>
      <c r="M965" s="39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978461919.837977</v>
      </c>
      <c r="N965" s="39" t="n">
        <f aca="false">IF(COUNT('Business Case'!B11:G11)=0,"",H965+NPV(G965,I965:M965))</f>
        <v>-154940583.600168</v>
      </c>
      <c r="P965" s="40" t="n">
        <f aca="true">RAND()</f>
        <v>0.511943749078163</v>
      </c>
      <c r="Q965" s="40" t="n">
        <f aca="true">RAND()</f>
        <v>0.786258968745336</v>
      </c>
      <c r="R965" s="40" t="n">
        <f aca="true">RAND()</f>
        <v>0.56804857936473</v>
      </c>
      <c r="S965" s="40" t="n">
        <f aca="true">RAND()</f>
        <v>0.0231260785828363</v>
      </c>
      <c r="T965" s="40" t="n">
        <f aca="true">RAND()</f>
        <v>0.32854968459759</v>
      </c>
      <c r="U965" s="40" t="n">
        <f aca="true">RAND()</f>
        <v>0.380508722221105</v>
      </c>
    </row>
    <row r="966" customFormat="false" ht="15" hidden="false" customHeight="false" outlineLevel="0" collapsed="false">
      <c r="A966" s="36" t="n">
        <v>886</v>
      </c>
      <c r="B966" s="37" t="n">
        <f aca="false">1+IF($G$6=$E$6,$F$6,IF(P966&lt;($F$6-$E$6)/($G$6-$E$6),$E$6+SQRT(P966*($G$6-$E$6)*($F$6-$E$6)),$G$6-SQRT((1-P966)*($G$6-$E$6)*($G$6-$F$6))))</f>
        <v>1.03552929515792</v>
      </c>
      <c r="C966" s="37" t="n">
        <f aca="false">1+IF($G$7=$E$7,$F$7,IF(Q966&lt;($F$7-$E$7)/($G$7-$E$7),$E$7+SQRT(Q966*($G$7-$E$7)*($F$7-$E$7)),$G$7-SQRT((1-Q966)*($G$7-$E$7)*($G$7-$F$7))))</f>
        <v>1.07216373153278</v>
      </c>
      <c r="D966" s="37" t="n">
        <f aca="false">1+IF($G$8=$E$8,$F$8,IF(R966&lt;($F$8-$E$8)/($G$8-$E$8),$E$8+SQRT(R966*($G$8-$E$8)*($F$8-$E$8)),$G$8-SQRT((1-R966)*($G$8-$E$8)*($G$8-$F$8))))</f>
        <v>1.02001190211308</v>
      </c>
      <c r="E966" s="37" t="n">
        <f aca="false">1+IF($G$9=$E$9,$F$9,IF(S966&lt;($F$9-$E$9)/($G$9-$E$9),$E$9+SQRT(S966*($G$9-$E$9)*($F$9-$E$9)),$G$9-SQRT((1-S966)*($G$9-$E$9)*($G$9-$F$9))))</f>
        <v>1.11543764931721</v>
      </c>
      <c r="F966" s="37" t="n">
        <f aca="false">1+IF($G$10=$E$10,$F$10,IF(T966&lt;($F$10-$E$10)/($G$10-$E$10),$E$10+SQRT(T966*($G$10-$E$10)*($F$10-$E$10)),$G$10-SQRT((1-T966)*($G$10-$E$10)*($G$10-$F$10))))</f>
        <v>1.08293837974268</v>
      </c>
      <c r="G966" s="38" t="n">
        <f aca="false">IF($G$11=$E$11,$F$11,IF(U966&lt;($F$11-$E$11)/($G$11-$E$11),$E$11+SQRT(U966*($G$11-$E$11)*($F$11-$E$11)),$G$11-SQRT((1-U966)*($G$11-$E$11)*($G$11-$F$11))))</f>
        <v>0.0999063632437994</v>
      </c>
      <c r="H966" s="39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-2165876759.48536</v>
      </c>
      <c r="I966" s="39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25069759.8030668</v>
      </c>
      <c r="J966" s="39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374604311.767614</v>
      </c>
      <c r="K966" s="39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778285782.719295</v>
      </c>
      <c r="L966" s="39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933167780.34368</v>
      </c>
      <c r="M966" s="39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1144205422.00946</v>
      </c>
      <c r="N966" s="39" t="n">
        <f aca="false">IF(COUNT('Business Case'!B11:G11)=0,"",H966+NPV(G966,I966:M966))</f>
        <v>99793132.5692859</v>
      </c>
      <c r="P966" s="40" t="n">
        <f aca="true">RAND()</f>
        <v>0.972079826849804</v>
      </c>
      <c r="Q966" s="40" t="n">
        <f aca="true">RAND()</f>
        <v>0.91024467127554</v>
      </c>
      <c r="R966" s="40" t="n">
        <f aca="true">RAND()</f>
        <v>0.573460279762197</v>
      </c>
      <c r="S966" s="40" t="n">
        <f aca="true">RAND()</f>
        <v>0.968145171074134</v>
      </c>
      <c r="T966" s="40" t="n">
        <f aca="true">RAND()</f>
        <v>0.627872200493327</v>
      </c>
      <c r="U966" s="40" t="n">
        <f aca="true">RAND()</f>
        <v>0.396263297594087</v>
      </c>
    </row>
    <row r="967" customFormat="false" ht="15" hidden="false" customHeight="false" outlineLevel="0" collapsed="false">
      <c r="A967" s="36" t="n">
        <v>887</v>
      </c>
      <c r="B967" s="37" t="n">
        <f aca="false">1+IF($G$6=$E$6,$F$6,IF(P967&lt;($F$6-$E$6)/($G$6-$E$6),$E$6+SQRT(P967*($G$6-$E$6)*($F$6-$E$6)),$G$6-SQRT((1-P967)*($G$6-$E$6)*($G$6-$F$6))))</f>
        <v>0.963483016521499</v>
      </c>
      <c r="C967" s="37" t="n">
        <f aca="false">1+IF($G$7=$E$7,$F$7,IF(Q967&lt;($F$7-$E$7)/($G$7-$E$7),$E$7+SQRT(Q967*($G$7-$E$7)*($F$7-$E$7)),$G$7-SQRT((1-Q967)*($G$7-$E$7)*($G$7-$F$7))))</f>
        <v>0.876412680325263</v>
      </c>
      <c r="D967" s="37" t="n">
        <f aca="false">1+IF($G$8=$E$8,$F$8,IF(R967&lt;($F$8-$E$8)/($G$8-$E$8),$E$8+SQRT(R967*($G$8-$E$8)*($F$8-$E$8)),$G$8-SQRT((1-R967)*($G$8-$E$8)*($G$8-$F$8))))</f>
        <v>0.983133958386256</v>
      </c>
      <c r="E967" s="37" t="n">
        <f aca="false">1+IF($G$9=$E$9,$F$9,IF(S967&lt;($F$9-$E$9)/($G$9-$E$9),$E$9+SQRT(S967*($G$9-$E$9)*($F$9-$E$9)),$G$9-SQRT((1-S967)*($G$9-$E$9)*($G$9-$F$9))))</f>
        <v>0.984063250108696</v>
      </c>
      <c r="F967" s="37" t="n">
        <f aca="false">1+IF($G$10=$E$10,$F$10,IF(T967&lt;($F$10-$E$10)/($G$10-$E$10),$E$10+SQRT(T967*($G$10-$E$10)*($F$10-$E$10)),$G$10-SQRT((1-T967)*($G$10-$E$10)*($G$10-$F$10))))</f>
        <v>0.998733223781435</v>
      </c>
      <c r="G967" s="38" t="n">
        <f aca="false">IF($G$11=$E$11,$F$11,IF(U967&lt;($F$11-$E$11)/($G$11-$E$11),$E$11+SQRT(U967*($G$11-$E$11)*($F$11-$E$11)),$G$11-SQRT((1-U967)*($G$11-$E$11)*($G$11-$F$11))))</f>
        <v>0.10488323922272</v>
      </c>
      <c r="H967" s="39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-1997466447.56287</v>
      </c>
      <c r="I967" s="39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-33035891.6588612</v>
      </c>
      <c r="J967" s="39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217509481.942393</v>
      </c>
      <c r="K967" s="39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517991516.73272</v>
      </c>
      <c r="L967" s="39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630689407.077481</v>
      </c>
      <c r="M967" s="39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791194619.038038</v>
      </c>
      <c r="N967" s="39" t="n">
        <f aca="false">IF(COUNT('Business Case'!B11:G11)=0,"",H967+NPV(G967,I967:M967))</f>
        <v>-561441437.36583</v>
      </c>
      <c r="P967" s="40" t="n">
        <f aca="true">RAND()</f>
        <v>0.268672892444598</v>
      </c>
      <c r="Q967" s="40" t="n">
        <f aca="true">RAND()</f>
        <v>0.230529139107729</v>
      </c>
      <c r="R967" s="40" t="n">
        <f aca="true">RAND()</f>
        <v>0.146381226445618</v>
      </c>
      <c r="S967" s="40" t="n">
        <f aca="true">RAND()</f>
        <v>0.282665200753488</v>
      </c>
      <c r="T967" s="40" t="n">
        <f aca="true">RAND()</f>
        <v>0.158328473342094</v>
      </c>
      <c r="U967" s="40" t="n">
        <f aca="true">RAND()</f>
        <v>0.579432218704583</v>
      </c>
    </row>
    <row r="968" customFormat="false" ht="15" hidden="false" customHeight="false" outlineLevel="0" collapsed="false">
      <c r="A968" s="36" t="n">
        <v>888</v>
      </c>
      <c r="B968" s="37" t="n">
        <f aca="false">1+IF($G$6=$E$6,$F$6,IF(P968&lt;($F$6-$E$6)/($G$6-$E$6),$E$6+SQRT(P968*($G$6-$E$6)*($F$6-$E$6)),$G$6-SQRT((1-P968)*($G$6-$E$6)*($G$6-$F$6))))</f>
        <v>0.991385655090917</v>
      </c>
      <c r="C968" s="37" t="n">
        <f aca="false">1+IF($G$7=$E$7,$F$7,IF(Q968&lt;($F$7-$E$7)/($G$7-$E$7),$E$7+SQRT(Q968*($G$7-$E$7)*($F$7-$E$7)),$G$7-SQRT((1-Q968)*($G$7-$E$7)*($G$7-$F$7))))</f>
        <v>1.01122313839682</v>
      </c>
      <c r="D968" s="37" t="n">
        <f aca="false">1+IF($G$8=$E$8,$F$8,IF(R968&lt;($F$8-$E$8)/($G$8-$E$8),$E$8+SQRT(R968*($G$8-$E$8)*($F$8-$E$8)),$G$8-SQRT((1-R968)*($G$8-$E$8)*($G$8-$F$8))))</f>
        <v>1.07847000701163</v>
      </c>
      <c r="E968" s="37" t="n">
        <f aca="false">1+IF($G$9=$E$9,$F$9,IF(S968&lt;($F$9-$E$9)/($G$9-$E$9),$E$9+SQRT(S968*($G$9-$E$9)*($F$9-$E$9)),$G$9-SQRT((1-S968)*($G$9-$E$9)*($G$9-$F$9))))</f>
        <v>1.03234389555751</v>
      </c>
      <c r="F968" s="37" t="n">
        <f aca="false">1+IF($G$10=$E$10,$F$10,IF(T968&lt;($F$10-$E$10)/($G$10-$E$10),$E$10+SQRT(T968*($G$10-$E$10)*($F$10-$E$10)),$G$10-SQRT((1-T968)*($G$10-$E$10)*($G$10-$F$10))))</f>
        <v>1.06351079473063</v>
      </c>
      <c r="G968" s="38" t="n">
        <f aca="false">IF($G$11=$E$11,$F$11,IF(U968&lt;($F$11-$E$11)/($G$11-$E$11),$E$11+SQRT(U968*($G$11-$E$11)*($F$11-$E$11)),$G$11-SQRT((1-U968)*($G$11-$E$11)*($G$11-$F$11))))</f>
        <v>0.102505537585122</v>
      </c>
      <c r="H968" s="39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-2127021589.46125</v>
      </c>
      <c r="I968" s="39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-42277560.1289382</v>
      </c>
      <c r="J968" s="39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220565489.12744</v>
      </c>
      <c r="K968" s="39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536584078.12035</v>
      </c>
      <c r="L968" s="39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658845246.515127</v>
      </c>
      <c r="M968" s="39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849402749.049706</v>
      </c>
      <c r="N968" s="39" t="n">
        <f aca="false">IF(COUNT('Business Case'!B11:G11)=0,"",H968+NPV(G968,I968:M968))</f>
        <v>-616139225.122942</v>
      </c>
      <c r="P968" s="40" t="n">
        <f aca="true">RAND()</f>
        <v>0.556755863759734</v>
      </c>
      <c r="Q968" s="40" t="n">
        <f aca="true">RAND()</f>
        <v>0.714681224941804</v>
      </c>
      <c r="R968" s="40" t="n">
        <f aca="true">RAND()</f>
        <v>0.96909729346138</v>
      </c>
      <c r="S968" s="40" t="n">
        <f aca="true">RAND()</f>
        <v>0.630854428997803</v>
      </c>
      <c r="T968" s="40" t="n">
        <f aca="true">RAND()</f>
        <v>0.536290350906636</v>
      </c>
      <c r="U968" s="40" t="n">
        <f aca="true">RAND()</f>
        <v>0.496036357677901</v>
      </c>
    </row>
    <row r="969" customFormat="false" ht="15" hidden="false" customHeight="false" outlineLevel="0" collapsed="false">
      <c r="A969" s="36" t="n">
        <v>889</v>
      </c>
      <c r="B969" s="37" t="n">
        <f aca="false">1+IF($G$6=$E$6,$F$6,IF(P969&lt;($F$6-$E$6)/($G$6-$E$6),$E$6+SQRT(P969*($G$6-$E$6)*($F$6-$E$6)),$G$6-SQRT((1-P969)*($G$6-$E$6)*($G$6-$F$6))))</f>
        <v>0.93401973055722</v>
      </c>
      <c r="C969" s="37" t="n">
        <f aca="false">1+IF($G$7=$E$7,$F$7,IF(Q969&lt;($F$7-$E$7)/($G$7-$E$7),$E$7+SQRT(Q969*($G$7-$E$7)*($F$7-$E$7)),$G$7-SQRT((1-Q969)*($G$7-$E$7)*($G$7-$F$7))))</f>
        <v>0.845477481899217</v>
      </c>
      <c r="D969" s="37" t="n">
        <f aca="false">1+IF($G$8=$E$8,$F$8,IF(R969&lt;($F$8-$E$8)/($G$8-$E$8),$E$8+SQRT(R969*($G$8-$E$8)*($F$8-$E$8)),$G$8-SQRT((1-R969)*($G$8-$E$8)*($G$8-$F$8))))</f>
        <v>0.988158443174662</v>
      </c>
      <c r="E969" s="37" t="n">
        <f aca="false">1+IF($G$9=$E$9,$F$9,IF(S969&lt;($F$9-$E$9)/($G$9-$E$9),$E$9+SQRT(S969*($G$9-$E$9)*($F$9-$E$9)),$G$9-SQRT((1-S969)*($G$9-$E$9)*($G$9-$F$9))))</f>
        <v>1.05357964234685</v>
      </c>
      <c r="F969" s="37" t="n">
        <f aca="false">1+IF($G$10=$E$10,$F$10,IF(T969&lt;($F$10-$E$10)/($G$10-$E$10),$E$10+SQRT(T969*($G$10-$E$10)*($F$10-$E$10)),$G$10-SQRT((1-T969)*($G$10-$E$10)*($G$10-$F$10))))</f>
        <v>1.05425835056303</v>
      </c>
      <c r="G969" s="38" t="n">
        <f aca="false">IF($G$11=$E$11,$F$11,IF(U969&lt;($F$11-$E$11)/($G$11-$E$11),$E$11+SQRT(U969*($G$11-$E$11)*($F$11-$E$11)),$G$11-SQRT((1-U969)*($G$11-$E$11)*($G$11-$F$11))))</f>
        <v>0.122599081926956</v>
      </c>
      <c r="H969" s="39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-2108516701.12606</v>
      </c>
      <c r="I969" s="39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-77058996.495713</v>
      </c>
      <c r="J969" s="39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142064534.174081</v>
      </c>
      <c r="K969" s="39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413900982.372027</v>
      </c>
      <c r="L969" s="39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514233937.24028</v>
      </c>
      <c r="M969" s="39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664338716.121051</v>
      </c>
      <c r="N969" s="39" t="n">
        <f aca="false">IF(COUNT('Business Case'!B11:G11)=0,"",H969+NPV(G969,I969:M969))</f>
        <v>-1075456961.36077</v>
      </c>
      <c r="P969" s="40" t="n">
        <f aca="true">RAND()</f>
        <v>0.0771561378123876</v>
      </c>
      <c r="Q969" s="40" t="n">
        <f aca="true">RAND()</f>
        <v>0.156768131405458</v>
      </c>
      <c r="R969" s="40" t="n">
        <f aca="true">RAND()</f>
        <v>0.194142238068516</v>
      </c>
      <c r="S969" s="40" t="n">
        <f aca="true">RAND()</f>
        <v>0.752083056801005</v>
      </c>
      <c r="T969" s="40" t="n">
        <f aca="true">RAND()</f>
        <v>0.48913608900926</v>
      </c>
      <c r="U969" s="40" t="n">
        <f aca="true">RAND()</f>
        <v>0.963484274450725</v>
      </c>
    </row>
    <row r="970" customFormat="false" ht="15" hidden="false" customHeight="false" outlineLevel="0" collapsed="false">
      <c r="A970" s="36" t="n">
        <v>890</v>
      </c>
      <c r="B970" s="37" t="n">
        <f aca="false">1+IF($G$6=$E$6,$F$6,IF(P970&lt;($F$6-$E$6)/($G$6-$E$6),$E$6+SQRT(P970*($G$6-$E$6)*($F$6-$E$6)),$G$6-SQRT((1-P970)*($G$6-$E$6)*($G$6-$F$6))))</f>
        <v>1.00354017409663</v>
      </c>
      <c r="C970" s="37" t="n">
        <f aca="false">1+IF($G$7=$E$7,$F$7,IF(Q970&lt;($F$7-$E$7)/($G$7-$E$7),$E$7+SQRT(Q970*($G$7-$E$7)*($F$7-$E$7)),$G$7-SQRT((1-Q970)*($G$7-$E$7)*($G$7-$F$7))))</f>
        <v>0.937317646183344</v>
      </c>
      <c r="D970" s="37" t="n">
        <f aca="false">1+IF($G$8=$E$8,$F$8,IF(R970&lt;($F$8-$E$8)/($G$8-$E$8),$E$8+SQRT(R970*($G$8-$E$8)*($F$8-$E$8)),$G$8-SQRT((1-R970)*($G$8-$E$8)*($G$8-$F$8))))</f>
        <v>1.00300020527868</v>
      </c>
      <c r="E970" s="37" t="n">
        <f aca="false">1+IF($G$9=$E$9,$F$9,IF(S970&lt;($F$9-$E$9)/($G$9-$E$9),$E$9+SQRT(S970*($G$9-$E$9)*($F$9-$E$9)),$G$9-SQRT((1-S970)*($G$9-$E$9)*($G$9-$F$9))))</f>
        <v>1.05123589761979</v>
      </c>
      <c r="F970" s="37" t="n">
        <f aca="false">1+IF($G$10=$E$10,$F$10,IF(T970&lt;($F$10-$E$10)/($G$10-$E$10),$E$10+SQRT(T970*($G$10-$E$10)*($F$10-$E$10)),$G$10-SQRT((1-T970)*($G$10-$E$10)*($G$10-$F$10))))</f>
        <v>1.02074896663558</v>
      </c>
      <c r="G970" s="38" t="n">
        <f aca="false">IF($G$11=$E$11,$F$11,IF(U970&lt;($F$11-$E$11)/($G$11-$E$11),$E$11+SQRT(U970*($G$11-$E$11)*($F$11-$E$11)),$G$11-SQRT((1-U970)*($G$11-$E$11)*($G$11-$F$11))))</f>
        <v>0.106347967315154</v>
      </c>
      <c r="H970" s="39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-2041497933.27117</v>
      </c>
      <c r="I970" s="39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-11145910.7435795</v>
      </c>
      <c r="J970" s="39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278031385.591123</v>
      </c>
      <c r="K970" s="39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618246130.257605</v>
      </c>
      <c r="L970" s="39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747146939.551298</v>
      </c>
      <c r="M970" s="39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925943014.052993</v>
      </c>
      <c r="N970" s="39" t="n">
        <f aca="false">IF(COUNT('Business Case'!B11:G11)=0,"",H970+NPV(G970,I970:M970))</f>
        <v>-310544673.714168</v>
      </c>
      <c r="P970" s="40" t="n">
        <f aca="true">RAND()</f>
        <v>0.712197943603745</v>
      </c>
      <c r="Q970" s="40" t="n">
        <f aca="true">RAND()</f>
        <v>0.417182705111132</v>
      </c>
      <c r="R970" s="40" t="n">
        <f aca="true">RAND()</f>
        <v>0.372735988268178</v>
      </c>
      <c r="S970" s="40" t="n">
        <f aca="true">RAND()</f>
        <v>0.739884055494171</v>
      </c>
      <c r="T970" s="40" t="n">
        <f aca="true">RAND()</f>
        <v>0.299252849351303</v>
      </c>
      <c r="U970" s="40" t="n">
        <f aca="true">RAND()</f>
        <v>0.627054233249985</v>
      </c>
    </row>
    <row r="971" customFormat="false" ht="15" hidden="false" customHeight="false" outlineLevel="0" collapsed="false">
      <c r="A971" s="36" t="n">
        <v>891</v>
      </c>
      <c r="B971" s="37" t="n">
        <f aca="false">1+IF($G$6=$E$6,$F$6,IF(P971&lt;($F$6-$E$6)/($G$6-$E$6),$E$6+SQRT(P971*($G$6-$E$6)*($F$6-$E$6)),$G$6-SQRT((1-P971)*($G$6-$E$6)*($G$6-$F$6))))</f>
        <v>0.975230897670146</v>
      </c>
      <c r="C971" s="37" t="n">
        <f aca="false">1+IF($G$7=$E$7,$F$7,IF(Q971&lt;($F$7-$E$7)/($G$7-$E$7),$E$7+SQRT(Q971*($G$7-$E$7)*($F$7-$E$7)),$G$7-SQRT((1-Q971)*($G$7-$E$7)*($G$7-$F$7))))</f>
        <v>1.0226571207126</v>
      </c>
      <c r="D971" s="37" t="n">
        <f aca="false">1+IF($G$8=$E$8,$F$8,IF(R971&lt;($F$8-$E$8)/($G$8-$E$8),$E$8+SQRT(R971*($G$8-$E$8)*($F$8-$E$8)),$G$8-SQRT((1-R971)*($G$8-$E$8)*($G$8-$F$8))))</f>
        <v>1.02002260377258</v>
      </c>
      <c r="E971" s="37" t="n">
        <f aca="false">1+IF($G$9=$E$9,$F$9,IF(S971&lt;($F$9-$E$9)/($G$9-$E$9),$E$9+SQRT(S971*($G$9-$E$9)*($F$9-$E$9)),$G$9-SQRT((1-S971)*($G$9-$E$9)*($G$9-$F$9))))</f>
        <v>1.0026151338412</v>
      </c>
      <c r="F971" s="37" t="n">
        <f aca="false">1+IF($G$10=$E$10,$F$10,IF(T971&lt;($F$10-$E$10)/($G$10-$E$10),$E$10+SQRT(T971*($G$10-$E$10)*($F$10-$E$10)),$G$10-SQRT((1-T971)*($G$10-$E$10)*($G$10-$F$10))))</f>
        <v>1.04779075278901</v>
      </c>
      <c r="G971" s="38" t="n">
        <f aca="false">IF($G$11=$E$11,$F$11,IF(U971&lt;($F$11-$E$11)/($G$11-$E$11),$E$11+SQRT(U971*($G$11-$E$11)*($F$11-$E$11)),$G$11-SQRT((1-U971)*($G$11-$E$11)*($G$11-$F$11))))</f>
        <v>0.0960880516563087</v>
      </c>
      <c r="H971" s="39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-2095581505.57802</v>
      </c>
      <c r="I971" s="39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-16170734.5321904</v>
      </c>
      <c r="J971" s="39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266710900.690992</v>
      </c>
      <c r="K971" s="39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601982073.553624</v>
      </c>
      <c r="L971" s="39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730743566.924187</v>
      </c>
      <c r="M971" s="39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920315449.219783</v>
      </c>
      <c r="N971" s="39" t="n">
        <f aca="false">IF(COUNT('Business Case'!B11:G11)=0,"",H971+NPV(G971,I971:M971))</f>
        <v>-343213147.737174</v>
      </c>
      <c r="P971" s="40" t="n">
        <f aca="true">RAND()</f>
        <v>0.377312530950393</v>
      </c>
      <c r="Q971" s="40" t="n">
        <f aca="true">RAND()</f>
        <v>0.759759868071016</v>
      </c>
      <c r="R971" s="40" t="n">
        <f aca="true">RAND()</f>
        <v>0.573574406178846</v>
      </c>
      <c r="S971" s="40" t="n">
        <f aca="true">RAND()</f>
        <v>0.420738699396037</v>
      </c>
      <c r="T971" s="40" t="n">
        <f aca="true">RAND()</f>
        <v>0.45481893789819</v>
      </c>
      <c r="U971" s="40" t="n">
        <f aca="true">RAND()</f>
        <v>0.258825406096056</v>
      </c>
    </row>
    <row r="972" customFormat="false" ht="15" hidden="false" customHeight="false" outlineLevel="0" collapsed="false">
      <c r="A972" s="36" t="n">
        <v>892</v>
      </c>
      <c r="B972" s="37" t="n">
        <f aca="false">1+IF($G$6=$E$6,$F$6,IF(P972&lt;($F$6-$E$6)/($G$6-$E$6),$E$6+SQRT(P972*($G$6-$E$6)*($F$6-$E$6)),$G$6-SQRT((1-P972)*($G$6-$E$6)*($G$6-$F$6))))</f>
        <v>0.997694685665544</v>
      </c>
      <c r="C972" s="37" t="n">
        <f aca="false">1+IF($G$7=$E$7,$F$7,IF(Q972&lt;($F$7-$E$7)/($G$7-$E$7),$E$7+SQRT(Q972*($G$7-$E$7)*($F$7-$E$7)),$G$7-SQRT((1-Q972)*($G$7-$E$7)*($G$7-$F$7))))</f>
        <v>0.844954690483297</v>
      </c>
      <c r="D972" s="37" t="n">
        <f aca="false">1+IF($G$8=$E$8,$F$8,IF(R972&lt;($F$8-$E$8)/($G$8-$E$8),$E$8+SQRT(R972*($G$8-$E$8)*($F$8-$E$8)),$G$8-SQRT((1-R972)*($G$8-$E$8)*($G$8-$F$8))))</f>
        <v>1.01584883928575</v>
      </c>
      <c r="E972" s="37" t="n">
        <f aca="false">1+IF($G$9=$E$9,$F$9,IF(S972&lt;($F$9-$E$9)/($G$9-$E$9),$E$9+SQRT(S972*($G$9-$E$9)*($F$9-$E$9)),$G$9-SQRT((1-S972)*($G$9-$E$9)*($G$9-$F$9))))</f>
        <v>1.01801216137724</v>
      </c>
      <c r="F972" s="37" t="n">
        <f aca="false">1+IF($G$10=$E$10,$F$10,IF(T972&lt;($F$10-$E$10)/($G$10-$E$10),$E$10+SQRT(T972*($G$10-$E$10)*($F$10-$E$10)),$G$10-SQRT((1-T972)*($G$10-$E$10)*($G$10-$F$10))))</f>
        <v>1.11512283332909</v>
      </c>
      <c r="G972" s="38" t="n">
        <f aca="false">IF($G$11=$E$11,$F$11,IF(U972&lt;($F$11-$E$11)/($G$11-$E$11),$E$11+SQRT(U972*($G$11-$E$11)*($F$11-$E$11)),$G$11-SQRT((1-U972)*($G$11-$E$11)*($G$11-$F$11))))</f>
        <v>0.0890890317689571</v>
      </c>
      <c r="H972" s="39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-2230245666.65818</v>
      </c>
      <c r="I972" s="39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-48896424.1739802</v>
      </c>
      <c r="J972" s="39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202182237.068915</v>
      </c>
      <c r="K972" s="39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509017039.978265</v>
      </c>
      <c r="L972" s="39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621844242.216646</v>
      </c>
      <c r="M972" s="39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782082975.582431</v>
      </c>
      <c r="N972" s="39" t="n">
        <f aca="false">IF(COUNT('Business Case'!B11:G11)=0,"",H972+NPV(G972,I972:M972))</f>
        <v>-758207479.1241</v>
      </c>
      <c r="P972" s="40" t="n">
        <f aca="true">RAND()</f>
        <v>0.636283440485964</v>
      </c>
      <c r="Q972" s="40" t="n">
        <f aca="true">RAND()</f>
        <v>0.155643424393395</v>
      </c>
      <c r="R972" s="40" t="n">
        <f aca="true">RAND()</f>
        <v>0.527905476696348</v>
      </c>
      <c r="S972" s="40" t="n">
        <f aca="true">RAND()</f>
        <v>0.535445612151802</v>
      </c>
      <c r="T972" s="40" t="n">
        <f aca="true">RAND()</f>
        <v>0.757441998811031</v>
      </c>
      <c r="U972" s="40" t="n">
        <f aca="true">RAND()</f>
        <v>0.0826104984971117</v>
      </c>
    </row>
    <row r="973" customFormat="false" ht="15" hidden="false" customHeight="false" outlineLevel="0" collapsed="false">
      <c r="A973" s="36" t="n">
        <v>893</v>
      </c>
      <c r="B973" s="37" t="n">
        <f aca="false">1+IF($G$6=$E$6,$F$6,IF(P973&lt;($F$6-$E$6)/($G$6-$E$6),$E$6+SQRT(P973*($G$6-$E$6)*($F$6-$E$6)),$G$6-SQRT((1-P973)*($G$6-$E$6)*($G$6-$F$6))))</f>
        <v>0.986018792564263</v>
      </c>
      <c r="C973" s="37" t="n">
        <f aca="false">1+IF($G$7=$E$7,$F$7,IF(Q973&lt;($F$7-$E$7)/($G$7-$E$7),$E$7+SQRT(Q973*($G$7-$E$7)*($F$7-$E$7)),$G$7-SQRT((1-Q973)*($G$7-$E$7)*($G$7-$F$7))))</f>
        <v>1.00452069054787</v>
      </c>
      <c r="D973" s="37" t="n">
        <f aca="false">1+IF($G$8=$E$8,$F$8,IF(R973&lt;($F$8-$E$8)/($G$8-$E$8),$E$8+SQRT(R973*($G$8-$E$8)*($F$8-$E$8)),$G$8-SQRT((1-R973)*($G$8-$E$8)*($G$8-$F$8))))</f>
        <v>0.960500983081526</v>
      </c>
      <c r="E973" s="37" t="n">
        <f aca="false">1+IF($G$9=$E$9,$F$9,IF(S973&lt;($F$9-$E$9)/($G$9-$E$9),$E$9+SQRT(S973*($G$9-$E$9)*($F$9-$E$9)),$G$9-SQRT((1-S973)*($G$9-$E$9)*($G$9-$F$9))))</f>
        <v>0.994299083983139</v>
      </c>
      <c r="F973" s="37" t="n">
        <f aca="false">1+IF($G$10=$E$10,$F$10,IF(T973&lt;($F$10-$E$10)/($G$10-$E$10),$E$10+SQRT(T973*($G$10-$E$10)*($F$10-$E$10)),$G$10-SQRT((1-T973)*($G$10-$E$10)*($G$10-$F$10))))</f>
        <v>0.991816572850607</v>
      </c>
      <c r="G973" s="38" t="n">
        <f aca="false">IF($G$11=$E$11,$F$11,IF(U973&lt;($F$11-$E$11)/($G$11-$E$11),$E$11+SQRT(U973*($G$11-$E$11)*($F$11-$E$11)),$G$11-SQRT((1-U973)*($G$11-$E$11)*($G$11-$F$11))))</f>
        <v>0.100995419537291</v>
      </c>
      <c r="H973" s="39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-1983633145.70121</v>
      </c>
      <c r="I973" s="39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25431623.7226135</v>
      </c>
      <c r="J973" s="39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342780524.744937</v>
      </c>
      <c r="K973" s="39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709720254.409791</v>
      </c>
      <c r="L973" s="39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849734081.59873</v>
      </c>
      <c r="M973" s="39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1038003812.59697</v>
      </c>
      <c r="N973" s="39" t="n">
        <f aca="false">IF(COUNT('Business Case'!B11:G11)=0,"",H973+NPV(G973,I973:M973))</f>
        <v>73915784.5719063</v>
      </c>
      <c r="P973" s="40" t="n">
        <f aca="true">RAND()</f>
        <v>0.493282178280913</v>
      </c>
      <c r="Q973" s="40" t="n">
        <f aca="true">RAND()</f>
        <v>0.686455859575262</v>
      </c>
      <c r="R973" s="40" t="n">
        <f aca="true">RAND()</f>
        <v>0.0147027527571327</v>
      </c>
      <c r="S973" s="40" t="n">
        <f aca="true">RAND()</f>
        <v>0.355692689602361</v>
      </c>
      <c r="T973" s="40" t="n">
        <f aca="true">RAND()</f>
        <v>0.116575050998011</v>
      </c>
      <c r="U973" s="40" t="n">
        <f aca="true">RAND()</f>
        <v>0.439156208121495</v>
      </c>
    </row>
    <row r="974" customFormat="false" ht="15" hidden="false" customHeight="false" outlineLevel="0" collapsed="false">
      <c r="A974" s="36" t="n">
        <v>894</v>
      </c>
      <c r="B974" s="37" t="n">
        <f aca="false">1+IF($G$6=$E$6,$F$6,IF(P974&lt;($F$6-$E$6)/($G$6-$E$6),$E$6+SQRT(P974*($G$6-$E$6)*($F$6-$E$6)),$G$6-SQRT((1-P974)*($G$6-$E$6)*($G$6-$F$6))))</f>
        <v>0.93096831143963</v>
      </c>
      <c r="C974" s="37" t="n">
        <f aca="false">1+IF($G$7=$E$7,$F$7,IF(Q974&lt;($F$7-$E$7)/($G$7-$E$7),$E$7+SQRT(Q974*($G$7-$E$7)*($F$7-$E$7)),$G$7-SQRT((1-Q974)*($G$7-$E$7)*($G$7-$F$7))))</f>
        <v>0.738001337506188</v>
      </c>
      <c r="D974" s="37" t="n">
        <f aca="false">1+IF($G$8=$E$8,$F$8,IF(R974&lt;($F$8-$E$8)/($G$8-$E$8),$E$8+SQRT(R974*($G$8-$E$8)*($F$8-$E$8)),$G$8-SQRT((1-R974)*($G$8-$E$8)*($G$8-$F$8))))</f>
        <v>0.984978050985766</v>
      </c>
      <c r="E974" s="37" t="n">
        <f aca="false">1+IF($G$9=$E$9,$F$9,IF(S974&lt;($F$9-$E$9)/($G$9-$E$9),$E$9+SQRT(S974*($G$9-$E$9)*($F$9-$E$9)),$G$9-SQRT((1-S974)*($G$9-$E$9)*($G$9-$F$9))))</f>
        <v>0.996463825323405</v>
      </c>
      <c r="F974" s="37" t="n">
        <f aca="false">1+IF($G$10=$E$10,$F$10,IF(T974&lt;($F$10-$E$10)/($G$10-$E$10),$E$10+SQRT(T974*($G$10-$E$10)*($F$10-$E$10)),$G$10-SQRT((1-T974)*($G$10-$E$10)*($G$10-$F$10))))</f>
        <v>1.15022593008296</v>
      </c>
      <c r="G974" s="38" t="n">
        <f aca="false">IF($G$11=$E$11,$F$11,IF(U974&lt;($F$11-$E$11)/($G$11-$E$11),$E$11+SQRT(U974*($G$11-$E$11)*($F$11-$E$11)),$G$11-SQRT((1-U974)*($G$11-$E$11)*($G$11-$F$11))))</f>
        <v>0.124732385700667</v>
      </c>
      <c r="H974" s="39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-2300451860.16591</v>
      </c>
      <c r="I974" s="39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-101710895.882781</v>
      </c>
      <c r="J974" s="39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88914932.9352315</v>
      </c>
      <c r="K974" s="39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337052058.257392</v>
      </c>
      <c r="L974" s="39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424338651.684403</v>
      </c>
      <c r="M974" s="39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554934229.366606</v>
      </c>
      <c r="N974" s="39" t="n">
        <f aca="false">IF(COUNT('Business Case'!B11:G11)=0,"",H974+NPV(G974,I974:M974))</f>
        <v>-1510224040.78998</v>
      </c>
      <c r="P974" s="40" t="n">
        <f aca="true">RAND()</f>
        <v>0.0639357542281272</v>
      </c>
      <c r="Q974" s="40" t="n">
        <f aca="true">RAND()</f>
        <v>0.0106970492759943</v>
      </c>
      <c r="R974" s="40" t="n">
        <f aca="true">RAND()</f>
        <v>0.163128540101715</v>
      </c>
      <c r="S974" s="40" t="n">
        <f aca="true">RAND()</f>
        <v>0.372210783840974</v>
      </c>
      <c r="T974" s="40" t="n">
        <f aca="true">RAND()</f>
        <v>0.86726846629585</v>
      </c>
      <c r="U974" s="40" t="n">
        <f aca="true">RAND()</f>
        <v>0.981501493062308</v>
      </c>
    </row>
    <row r="975" customFormat="false" ht="15" hidden="false" customHeight="false" outlineLevel="0" collapsed="false">
      <c r="A975" s="36" t="n">
        <v>895</v>
      </c>
      <c r="B975" s="37" t="n">
        <f aca="false">1+IF($G$6=$E$6,$F$6,IF(P975&lt;($F$6-$E$6)/($G$6-$E$6),$E$6+SQRT(P975*($G$6-$E$6)*($F$6-$E$6)),$G$6-SQRT((1-P975)*($G$6-$E$6)*($G$6-$F$6))))</f>
        <v>0.948591835151286</v>
      </c>
      <c r="C975" s="37" t="n">
        <f aca="false">1+IF($G$7=$E$7,$F$7,IF(Q975&lt;($F$7-$E$7)/($G$7-$E$7),$E$7+SQRT(Q975*($G$7-$E$7)*($F$7-$E$7)),$G$7-SQRT((1-Q975)*($G$7-$E$7)*($G$7-$F$7))))</f>
        <v>0.950913708315656</v>
      </c>
      <c r="D975" s="37" t="n">
        <f aca="false">1+IF($G$8=$E$8,$F$8,IF(R975&lt;($F$8-$E$8)/($G$8-$E$8),$E$8+SQRT(R975*($G$8-$E$8)*($F$8-$E$8)),$G$8-SQRT((1-R975)*($G$8-$E$8)*($G$8-$F$8))))</f>
        <v>1.05894961926502</v>
      </c>
      <c r="E975" s="37" t="n">
        <f aca="false">1+IF($G$9=$E$9,$F$9,IF(S975&lt;($F$9-$E$9)/($G$9-$E$9),$E$9+SQRT(S975*($G$9-$E$9)*($F$9-$E$9)),$G$9-SQRT((1-S975)*($G$9-$E$9)*($G$9-$F$9))))</f>
        <v>0.98452873331893</v>
      </c>
      <c r="F975" s="37" t="n">
        <f aca="false">1+IF($G$10=$E$10,$F$10,IF(T975&lt;($F$10-$E$10)/($G$10-$E$10),$E$10+SQRT(T975*($G$10-$E$10)*($F$10-$E$10)),$G$10-SQRT((1-T975)*($G$10-$E$10)*($G$10-$F$10))))</f>
        <v>1.08448827795718</v>
      </c>
      <c r="G975" s="38" t="n">
        <f aca="false">IF($G$11=$E$11,$F$11,IF(U975&lt;($F$11-$E$11)/($G$11-$E$11),$E$11+SQRT(U975*($G$11-$E$11)*($F$11-$E$11)),$G$11-SQRT((1-U975)*($G$11-$E$11)*($G$11-$F$11))))</f>
        <v>0.108673141982492</v>
      </c>
      <c r="H975" s="39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-2168976555.91435</v>
      </c>
      <c r="I975" s="39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-71871249.1883612</v>
      </c>
      <c r="J975" s="39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151467497.601571</v>
      </c>
      <c r="K975" s="39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429030658.289362</v>
      </c>
      <c r="L975" s="39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534651028.755755</v>
      </c>
      <c r="M975" s="39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706108697.206043</v>
      </c>
      <c r="N975" s="39" t="n">
        <f aca="false">IF(COUNT('Business Case'!B11:G11)=0,"",H975+NPV(G975,I975:M975))</f>
        <v>-1020307961.34437</v>
      </c>
      <c r="P975" s="40" t="n">
        <f aca="true">RAND()</f>
        <v>0.157411096224652</v>
      </c>
      <c r="Q975" s="40" t="n">
        <f aca="true">RAND()</f>
        <v>0.466353252005288</v>
      </c>
      <c r="R975" s="40" t="n">
        <f aca="true">RAND()</f>
        <v>0.887657749434222</v>
      </c>
      <c r="S975" s="40" t="n">
        <f aca="true">RAND()</f>
        <v>0.285804270260113</v>
      </c>
      <c r="T975" s="40" t="n">
        <f aca="true">RAND()</f>
        <v>0.634744931552256</v>
      </c>
      <c r="U975" s="40" t="n">
        <f aca="true">RAND()</f>
        <v>0.696776751400691</v>
      </c>
    </row>
    <row r="976" customFormat="false" ht="15" hidden="false" customHeight="false" outlineLevel="0" collapsed="false">
      <c r="A976" s="36" t="n">
        <v>896</v>
      </c>
      <c r="B976" s="37" t="n">
        <f aca="false">1+IF($G$6=$E$6,$F$6,IF(P976&lt;($F$6-$E$6)/($G$6-$E$6),$E$6+SQRT(P976*($G$6-$E$6)*($F$6-$E$6)),$G$6-SQRT((1-P976)*($G$6-$E$6)*($G$6-$F$6))))</f>
        <v>0.960346563296475</v>
      </c>
      <c r="C976" s="37" t="n">
        <f aca="false">1+IF($G$7=$E$7,$F$7,IF(Q976&lt;($F$7-$E$7)/($G$7-$E$7),$E$7+SQRT(Q976*($G$7-$E$7)*($F$7-$E$7)),$G$7-SQRT((1-Q976)*($G$7-$E$7)*($G$7-$F$7))))</f>
        <v>0.919692592100472</v>
      </c>
      <c r="D976" s="37" t="n">
        <f aca="false">1+IF($G$8=$E$8,$F$8,IF(R976&lt;($F$8-$E$8)/($G$8-$E$8),$E$8+SQRT(R976*($G$8-$E$8)*($F$8-$E$8)),$G$8-SQRT((1-R976)*($G$8-$E$8)*($G$8-$F$8))))</f>
        <v>1.01086655014755</v>
      </c>
      <c r="E976" s="37" t="n">
        <f aca="false">1+IF($G$9=$E$9,$F$9,IF(S976&lt;($F$9-$E$9)/($G$9-$E$9),$E$9+SQRT(S976*($G$9-$E$9)*($F$9-$E$9)),$G$9-SQRT((1-S976)*($G$9-$E$9)*($G$9-$F$9))))</f>
        <v>0.971855573682269</v>
      </c>
      <c r="F976" s="37" t="n">
        <f aca="false">1+IF($G$10=$E$10,$F$10,IF(T976&lt;($F$10-$E$10)/($G$10-$E$10),$E$10+SQRT(T976*($G$10-$E$10)*($F$10-$E$10)),$G$10-SQRT((1-T976)*($G$10-$E$10)*($G$10-$F$10))))</f>
        <v>1.13459410254605</v>
      </c>
      <c r="G976" s="38" t="n">
        <f aca="false">IF($G$11=$E$11,$F$11,IF(U976&lt;($F$11-$E$11)/($G$11-$E$11),$E$11+SQRT(U976*($G$11-$E$11)*($F$11-$E$11)),$G$11-SQRT((1-U976)*($G$11-$E$11)*($G$11-$F$11))))</f>
        <v>0.103991455667614</v>
      </c>
      <c r="H976" s="39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-2269188205.0921</v>
      </c>
      <c r="I976" s="39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-49944950.0272353</v>
      </c>
      <c r="J976" s="39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197553685.244406</v>
      </c>
      <c r="K976" s="39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501782025.643351</v>
      </c>
      <c r="L976" s="39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614805779.045001</v>
      </c>
      <c r="M976" s="39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782688924.756064</v>
      </c>
      <c r="N976" s="39" t="n">
        <f aca="false">IF(COUNT('Business Case'!B11:G11)=0,"",H976+NPV(G976,I976:M976))</f>
        <v>-888270753.400076</v>
      </c>
      <c r="P976" s="40" t="n">
        <f aca="true">RAND()</f>
        <v>0.242780513446363</v>
      </c>
      <c r="Q976" s="40" t="n">
        <f aca="true">RAND()</f>
        <v>0.357517296472774</v>
      </c>
      <c r="R976" s="40" t="n">
        <f aca="true">RAND()</f>
        <v>0.470348541160057</v>
      </c>
      <c r="S976" s="40" t="n">
        <f aca="true">RAND()</f>
        <v>0.206528938768321</v>
      </c>
      <c r="T976" s="40" t="n">
        <f aca="true">RAND()</f>
        <v>0.822419717771308</v>
      </c>
      <c r="U976" s="40" t="n">
        <f aca="true">RAND()</f>
        <v>0.549037081140208</v>
      </c>
    </row>
    <row r="977" customFormat="false" ht="15" hidden="false" customHeight="false" outlineLevel="0" collapsed="false">
      <c r="A977" s="36" t="n">
        <v>897</v>
      </c>
      <c r="B977" s="37" t="n">
        <f aca="false">1+IF($G$6=$E$6,$F$6,IF(P977&lt;($F$6-$E$6)/($G$6-$E$6),$E$6+SQRT(P977*($G$6-$E$6)*($F$6-$E$6)),$G$6-SQRT((1-P977)*($G$6-$E$6)*($G$6-$F$6))))</f>
        <v>0.981136449652101</v>
      </c>
      <c r="C977" s="37" t="n">
        <f aca="false">1+IF($G$7=$E$7,$F$7,IF(Q977&lt;($F$7-$E$7)/($G$7-$E$7),$E$7+SQRT(Q977*($G$7-$E$7)*($F$7-$E$7)),$G$7-SQRT((1-Q977)*($G$7-$E$7)*($G$7-$F$7))))</f>
        <v>0.975548220538082</v>
      </c>
      <c r="D977" s="37" t="n">
        <f aca="false">1+IF($G$8=$E$8,$F$8,IF(R977&lt;($F$8-$E$8)/($G$8-$E$8),$E$8+SQRT(R977*($G$8-$E$8)*($F$8-$E$8)),$G$8-SQRT((1-R977)*($G$8-$E$8)*($G$8-$F$8))))</f>
        <v>0.986835006971211</v>
      </c>
      <c r="E977" s="37" t="n">
        <f aca="false">1+IF($G$9=$E$9,$F$9,IF(S977&lt;($F$9-$E$9)/($G$9-$E$9),$E$9+SQRT(S977*($G$9-$E$9)*($F$9-$E$9)),$G$9-SQRT((1-S977)*($G$9-$E$9)*($G$9-$F$9))))</f>
        <v>0.960154412176283</v>
      </c>
      <c r="F977" s="37" t="n">
        <f aca="false">1+IF($G$10=$E$10,$F$10,IF(T977&lt;($F$10-$E$10)/($G$10-$E$10),$E$10+SQRT(T977*($G$10-$E$10)*($F$10-$E$10)),$G$10-SQRT((1-T977)*($G$10-$E$10)*($G$10-$F$10))))</f>
        <v>1.0263097165226</v>
      </c>
      <c r="G977" s="38" t="n">
        <f aca="false">IF($G$11=$E$11,$F$11,IF(U977&lt;($F$11-$E$11)/($G$11-$E$11),$E$11+SQRT(U977*($G$11-$E$11)*($F$11-$E$11)),$G$11-SQRT((1-U977)*($G$11-$E$11)*($G$11-$F$11))))</f>
        <v>0.112338388470735</v>
      </c>
      <c r="H977" s="39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-2052619433.0452</v>
      </c>
      <c r="I977" s="39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2360034.84298034</v>
      </c>
      <c r="J977" s="39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293503443.116162</v>
      </c>
      <c r="K977" s="39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635962337.215474</v>
      </c>
      <c r="L977" s="39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766089102.884184</v>
      </c>
      <c r="M977" s="39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948023398.894589</v>
      </c>
      <c r="N977" s="39" t="n">
        <f aca="false">IF(COUNT('Business Case'!B11:G11)=0,"",H977+NPV(G977,I977:M977))</f>
        <v>-294067219.714842</v>
      </c>
      <c r="P977" s="40" t="n">
        <f aca="true">RAND()</f>
        <v>0.43887489747653</v>
      </c>
      <c r="Q977" s="40" t="n">
        <f aca="true">RAND()</f>
        <v>0.562420902531137</v>
      </c>
      <c r="R977" s="40" t="n">
        <f aca="true">RAND()</f>
        <v>0.180909031809224</v>
      </c>
      <c r="S977" s="40" t="n">
        <f aca="true">RAND()</f>
        <v>0.144742132170964</v>
      </c>
      <c r="T977" s="40" t="n">
        <f aca="true">RAND()</f>
        <v>0.332835427704018</v>
      </c>
      <c r="U977" s="40" t="n">
        <f aca="true">RAND()</f>
        <v>0.792044985459558</v>
      </c>
    </row>
    <row r="978" customFormat="false" ht="15" hidden="false" customHeight="false" outlineLevel="0" collapsed="false">
      <c r="A978" s="36" t="n">
        <v>898</v>
      </c>
      <c r="B978" s="37" t="n">
        <f aca="false">1+IF($G$6=$E$6,$F$6,IF(P978&lt;($F$6-$E$6)/($G$6-$E$6),$E$6+SQRT(P978*($G$6-$E$6)*($F$6-$E$6)),$G$6-SQRT((1-P978)*($G$6-$E$6)*($G$6-$F$6))))</f>
        <v>1.02267556703533</v>
      </c>
      <c r="C978" s="37" t="n">
        <f aca="false">1+IF($G$7=$E$7,$F$7,IF(Q978&lt;($F$7-$E$7)/($G$7-$E$7),$E$7+SQRT(Q978*($G$7-$E$7)*($F$7-$E$7)),$G$7-SQRT((1-Q978)*($G$7-$E$7)*($G$7-$F$7))))</f>
        <v>1.03588587624717</v>
      </c>
      <c r="D978" s="37" t="n">
        <f aca="false">1+IF($G$8=$E$8,$F$8,IF(R978&lt;($F$8-$E$8)/($G$8-$E$8),$E$8+SQRT(R978*($G$8-$E$8)*($F$8-$E$8)),$G$8-SQRT((1-R978)*($G$8-$E$8)*($G$8-$F$8))))</f>
        <v>1.03457758839994</v>
      </c>
      <c r="E978" s="37" t="n">
        <f aca="false">1+IF($G$9=$E$9,$F$9,IF(S978&lt;($F$9-$E$9)/($G$9-$E$9),$E$9+SQRT(S978*($G$9-$E$9)*($F$9-$E$9)),$G$9-SQRT((1-S978)*($G$9-$E$9)*($G$9-$F$9))))</f>
        <v>0.955391269714665</v>
      </c>
      <c r="F978" s="37" t="n">
        <f aca="false">1+IF($G$10=$E$10,$F$10,IF(T978&lt;($F$10-$E$10)/($G$10-$E$10),$E$10+SQRT(T978*($G$10-$E$10)*($F$10-$E$10)),$G$10-SQRT((1-T978)*($G$10-$E$10)*($G$10-$F$10))))</f>
        <v>1.06083049636859</v>
      </c>
      <c r="G978" s="38" t="n">
        <f aca="false">IF($G$11=$E$11,$F$11,IF(U978&lt;($F$11-$E$11)/($G$11-$E$11),$E$11+SQRT(U978*($G$11-$E$11)*($F$11-$E$11)),$G$11-SQRT((1-U978)*($G$11-$E$11)*($G$11-$F$11))))</f>
        <v>0.11646212108704</v>
      </c>
      <c r="H978" s="39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-2121660992.73718</v>
      </c>
      <c r="I978" s="39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22219975.4984091</v>
      </c>
      <c r="J978" s="39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341297648.30446</v>
      </c>
      <c r="K978" s="39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713416845.928942</v>
      </c>
      <c r="L978" s="39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856388076.275864</v>
      </c>
      <c r="M978" s="39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1057754109.70618</v>
      </c>
      <c r="N978" s="39" t="n">
        <f aca="false">IF(COUNT('Business Case'!B11:G11)=0,"",H978+NPV(G978,I978:M978))</f>
        <v>-154363002.964448</v>
      </c>
      <c r="P978" s="40" t="n">
        <f aca="true">RAND()</f>
        <v>0.900450048421224</v>
      </c>
      <c r="Q978" s="40" t="n">
        <f aca="true">RAND()</f>
        <v>0.807080989038856</v>
      </c>
      <c r="R978" s="40" t="n">
        <f aca="true">RAND()</f>
        <v>0.714660537362136</v>
      </c>
      <c r="S978" s="40" t="n">
        <f aca="true">RAND()</f>
        <v>0.122727710424112</v>
      </c>
      <c r="T978" s="40" t="n">
        <f aca="true">RAND()</f>
        <v>0.52286531861128</v>
      </c>
      <c r="U978" s="40" t="n">
        <f aca="true">RAND()</f>
        <v>0.877817223025347</v>
      </c>
    </row>
    <row r="979" customFormat="false" ht="15" hidden="false" customHeight="false" outlineLevel="0" collapsed="false">
      <c r="A979" s="36" t="n">
        <v>899</v>
      </c>
      <c r="B979" s="37" t="n">
        <f aca="false">1+IF($G$6=$E$6,$F$6,IF(P979&lt;($F$6-$E$6)/($G$6-$E$6),$E$6+SQRT(P979*($G$6-$E$6)*($F$6-$E$6)),$G$6-SQRT((1-P979)*($G$6-$E$6)*($G$6-$F$6))))</f>
        <v>0.95612849285007</v>
      </c>
      <c r="C979" s="37" t="n">
        <f aca="false">1+IF($G$7=$E$7,$F$7,IF(Q979&lt;($F$7-$E$7)/($G$7-$E$7),$E$7+SQRT(Q979*($G$7-$E$7)*($F$7-$E$7)),$G$7-SQRT((1-Q979)*($G$7-$E$7)*($G$7-$F$7))))</f>
        <v>0.864705115384708</v>
      </c>
      <c r="D979" s="37" t="n">
        <f aca="false">1+IF($G$8=$E$8,$F$8,IF(R979&lt;($F$8-$E$8)/($G$8-$E$8),$E$8+SQRT(R979*($G$8-$E$8)*($F$8-$E$8)),$G$8-SQRT((1-R979)*($G$8-$E$8)*($G$8-$F$8))))</f>
        <v>1.02243468695809</v>
      </c>
      <c r="E979" s="37" t="n">
        <f aca="false">1+IF($G$9=$E$9,$F$9,IF(S979&lt;($F$9-$E$9)/($G$9-$E$9),$E$9+SQRT(S979*($G$9-$E$9)*($F$9-$E$9)),$G$9-SQRT((1-S979)*($G$9-$E$9)*($G$9-$F$9))))</f>
        <v>1.13741969786084</v>
      </c>
      <c r="F979" s="37" t="n">
        <f aca="false">1+IF($G$10=$E$10,$F$10,IF(T979&lt;($F$10-$E$10)/($G$10-$E$10),$E$10+SQRT(T979*($G$10-$E$10)*($F$10-$E$10)),$G$10-SQRT((1-T979)*($G$10-$E$10)*($G$10-$F$10))))</f>
        <v>1.02449960109782</v>
      </c>
      <c r="G979" s="38" t="n">
        <f aca="false">IF($G$11=$E$11,$F$11,IF(U979&lt;($F$11-$E$11)/($G$11-$E$11),$E$11+SQRT(U979*($G$11-$E$11)*($F$11-$E$11)),$G$11-SQRT((1-U979)*($G$11-$E$11)*($G$11-$F$11))))</f>
        <v>0.122707309540577</v>
      </c>
      <c r="H979" s="39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-2048999202.19563</v>
      </c>
      <c r="I979" s="39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-82458032.9305451</v>
      </c>
      <c r="J979" s="39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142134690.546796</v>
      </c>
      <c r="K979" s="39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417952394.079029</v>
      </c>
      <c r="L979" s="39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521389778.746339</v>
      </c>
      <c r="M979" s="39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678542068.041418</v>
      </c>
      <c r="N979" s="39" t="n">
        <f aca="false">IF(COUNT('Business Case'!B11:G11)=0,"",H979+NPV(G979,I979:M979))</f>
        <v>-1005767340.98195</v>
      </c>
      <c r="P979" s="40" t="n">
        <f aca="true">RAND()</f>
        <v>0.210027180641361</v>
      </c>
      <c r="Q979" s="40" t="n">
        <f aca="true">RAND()</f>
        <v>0.200946481732518</v>
      </c>
      <c r="R979" s="40" t="n">
        <f aca="true">RAND()</f>
        <v>0.598908147514009</v>
      </c>
      <c r="S979" s="40" t="n">
        <f aca="true">RAND()</f>
        <v>0.995779626615663</v>
      </c>
      <c r="T979" s="40" t="n">
        <f aca="true">RAND()</f>
        <v>0.321994267932741</v>
      </c>
      <c r="U979" s="40" t="n">
        <f aca="true">RAND()</f>
        <v>0.964544443908697</v>
      </c>
    </row>
    <row r="980" customFormat="false" ht="15" hidden="false" customHeight="false" outlineLevel="0" collapsed="false">
      <c r="A980" s="36" t="n">
        <v>900</v>
      </c>
      <c r="B980" s="37" t="n">
        <f aca="false">1+IF($G$6=$E$6,$F$6,IF(P980&lt;($F$6-$E$6)/($G$6-$E$6),$E$6+SQRT(P980*($G$6-$E$6)*($F$6-$E$6)),$G$6-SQRT((1-P980)*($G$6-$E$6)*($G$6-$F$6))))</f>
        <v>0.966223980044662</v>
      </c>
      <c r="C980" s="37" t="n">
        <f aca="false">1+IF($G$7=$E$7,$F$7,IF(Q980&lt;($F$7-$E$7)/($G$7-$E$7),$E$7+SQRT(Q980*($G$7-$E$7)*($F$7-$E$7)),$G$7-SQRT((1-Q980)*($G$7-$E$7)*($G$7-$F$7))))</f>
        <v>1.00820037686816</v>
      </c>
      <c r="D980" s="37" t="n">
        <f aca="false">1+IF($G$8=$E$8,$F$8,IF(R980&lt;($F$8-$E$8)/($G$8-$E$8),$E$8+SQRT(R980*($G$8-$E$8)*($F$8-$E$8)),$G$8-SQRT((1-R980)*($G$8-$E$8)*($G$8-$F$8))))</f>
        <v>0.990743717798942</v>
      </c>
      <c r="E980" s="37" t="n">
        <f aca="false">1+IF($G$9=$E$9,$F$9,IF(S980&lt;($F$9-$E$9)/($G$9-$E$9),$E$9+SQRT(S980*($G$9-$E$9)*($F$9-$E$9)),$G$9-SQRT((1-S980)*($G$9-$E$9)*($G$9-$F$9))))</f>
        <v>1.09758276301802</v>
      </c>
      <c r="F980" s="37" t="n">
        <f aca="false">1+IF($G$10=$E$10,$F$10,IF(T980&lt;($F$10-$E$10)/($G$10-$E$10),$E$10+SQRT(T980*($G$10-$E$10)*($F$10-$E$10)),$G$10-SQRT((1-T980)*($G$10-$E$10)*($G$10-$F$10))))</f>
        <v>0.991209863527857</v>
      </c>
      <c r="G980" s="38" t="n">
        <f aca="false">IF($G$11=$E$11,$F$11,IF(U980&lt;($F$11-$E$11)/($G$11-$E$11),$E$11+SQRT(U980*($G$11-$E$11)*($F$11-$E$11)),$G$11-SQRT((1-U980)*($G$11-$E$11)*($G$11-$F$11))))</f>
        <v>0.0901416972976072</v>
      </c>
      <c r="H980" s="39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-1982419727.05571</v>
      </c>
      <c r="I980" s="39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-19140815.6257255</v>
      </c>
      <c r="J980" s="39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267415424.224211</v>
      </c>
      <c r="K980" s="39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603532157.25054</v>
      </c>
      <c r="L980" s="39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732717437.348327</v>
      </c>
      <c r="M980" s="39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917883371.494609</v>
      </c>
      <c r="N980" s="39" t="n">
        <f aca="false">IF(COUNT('Business Case'!B11:G11)=0,"",H980+NPV(G980,I980:M980))</f>
        <v>-194122978.961328</v>
      </c>
      <c r="P980" s="40" t="n">
        <f aca="true">RAND()</f>
        <v>0.292374368863719</v>
      </c>
      <c r="Q980" s="40" t="n">
        <f aca="true">RAND()</f>
        <v>0.702116546365464</v>
      </c>
      <c r="R980" s="40" t="n">
        <f aca="true">RAND()</f>
        <v>0.221340072010644</v>
      </c>
      <c r="S980" s="40" t="n">
        <f aca="true">RAND()</f>
        <v>0.926731553791341</v>
      </c>
      <c r="T980" s="40" t="n">
        <f aca="true">RAND()</f>
        <v>0.113216856798971</v>
      </c>
      <c r="U980" s="40" t="n">
        <f aca="true">RAND()</f>
        <v>0.102854024076292</v>
      </c>
    </row>
    <row r="981" customFormat="false" ht="15" hidden="false" customHeight="false" outlineLevel="0" collapsed="false">
      <c r="A981" s="36" t="n">
        <v>901</v>
      </c>
      <c r="B981" s="37" t="n">
        <f aca="false">1+IF($G$6=$E$6,$F$6,IF(P981&lt;($F$6-$E$6)/($G$6-$E$6),$E$6+SQRT(P981*($G$6-$E$6)*($F$6-$E$6)),$G$6-SQRT((1-P981)*($G$6-$E$6)*($G$6-$F$6))))</f>
        <v>0.970091994963858</v>
      </c>
      <c r="C981" s="37" t="n">
        <f aca="false">1+IF($G$7=$E$7,$F$7,IF(Q981&lt;($F$7-$E$7)/($G$7-$E$7),$E$7+SQRT(Q981*($G$7-$E$7)*($F$7-$E$7)),$G$7-SQRT((1-Q981)*($G$7-$E$7)*($G$7-$F$7))))</f>
        <v>0.915847062289784</v>
      </c>
      <c r="D981" s="37" t="n">
        <f aca="false">1+IF($G$8=$E$8,$F$8,IF(R981&lt;($F$8-$E$8)/($G$8-$E$8),$E$8+SQRT(R981*($G$8-$E$8)*($F$8-$E$8)),$G$8-SQRT((1-R981)*($G$8-$E$8)*($G$8-$F$8))))</f>
        <v>1.05809299789396</v>
      </c>
      <c r="E981" s="37" t="n">
        <f aca="false">1+IF($G$9=$E$9,$F$9,IF(S981&lt;($F$9-$E$9)/($G$9-$E$9),$E$9+SQRT(S981*($G$9-$E$9)*($F$9-$E$9)),$G$9-SQRT((1-S981)*($G$9-$E$9)*($G$9-$F$9))))</f>
        <v>1.01206388956903</v>
      </c>
      <c r="F981" s="37" t="n">
        <f aca="false">1+IF($G$10=$E$10,$F$10,IF(T981&lt;($F$10-$E$10)/($G$10-$E$10),$E$10+SQRT(T981*($G$10-$E$10)*($F$10-$E$10)),$G$10-SQRT((1-T981)*($G$10-$E$10)*($G$10-$F$10))))</f>
        <v>1.01178055416019</v>
      </c>
      <c r="G981" s="38" t="n">
        <f aca="false">IF($G$11=$E$11,$F$11,IF(U981&lt;($F$11-$E$11)/($G$11-$E$11),$E$11+SQRT(U981*($G$11-$E$11)*($F$11-$E$11)),$G$11-SQRT((1-U981)*($G$11-$E$11)*($G$11-$F$11))))</f>
        <v>0.113450066662235</v>
      </c>
      <c r="H981" s="39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-2023561108.32039</v>
      </c>
      <c r="I981" s="39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-59518514.7068432</v>
      </c>
      <c r="J981" s="39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172114065.148852</v>
      </c>
      <c r="K981" s="39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454335672.712558</v>
      </c>
      <c r="L981" s="39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562251568.697658</v>
      </c>
      <c r="M981" s="39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731129266.880269</v>
      </c>
      <c r="N981" s="39" t="n">
        <f aca="false">IF(COUNT('Business Case'!B11:G11)=0,"",H981+NPV(G981,I981:M981))</f>
        <v>-816047714.544613</v>
      </c>
      <c r="P981" s="40" t="n">
        <f aca="true">RAND()</f>
        <v>0.327525850534234</v>
      </c>
      <c r="Q981" s="40" t="n">
        <f aca="true">RAND()</f>
        <v>0.345110772586147</v>
      </c>
      <c r="R981" s="40" t="n">
        <f aca="true">RAND()</f>
        <v>0.882920211632285</v>
      </c>
      <c r="S981" s="40" t="n">
        <f aca="true">RAND()</f>
        <v>0.49263011837801</v>
      </c>
      <c r="T981" s="40" t="n">
        <f aca="true">RAND()</f>
        <v>0.243353274983671</v>
      </c>
      <c r="U981" s="40" t="n">
        <f aca="true">RAND()</f>
        <v>0.817399804343683</v>
      </c>
    </row>
    <row r="982" customFormat="false" ht="15" hidden="false" customHeight="false" outlineLevel="0" collapsed="false">
      <c r="A982" s="36" t="n">
        <v>902</v>
      </c>
      <c r="B982" s="37" t="n">
        <f aca="false">1+IF($G$6=$E$6,$F$6,IF(P982&lt;($F$6-$E$6)/($G$6-$E$6),$E$6+SQRT(P982*($G$6-$E$6)*($F$6-$E$6)),$G$6-SQRT((1-P982)*($G$6-$E$6)*($G$6-$F$6))))</f>
        <v>0.940878571382069</v>
      </c>
      <c r="C982" s="37" t="n">
        <f aca="false">1+IF($G$7=$E$7,$F$7,IF(Q982&lt;($F$7-$E$7)/($G$7-$E$7),$E$7+SQRT(Q982*($G$7-$E$7)*($F$7-$E$7)),$G$7-SQRT((1-Q982)*($G$7-$E$7)*($G$7-$F$7))))</f>
        <v>0.795654406134149</v>
      </c>
      <c r="D982" s="37" t="n">
        <f aca="false">1+IF($G$8=$E$8,$F$8,IF(R982&lt;($F$8-$E$8)/($G$8-$E$8),$E$8+SQRT(R982*($G$8-$E$8)*($F$8-$E$8)),$G$8-SQRT((1-R982)*($G$8-$E$8)*($G$8-$F$8))))</f>
        <v>0.967288076145683</v>
      </c>
      <c r="E982" s="37" t="n">
        <f aca="false">1+IF($G$9=$E$9,$F$9,IF(S982&lt;($F$9-$E$9)/($G$9-$E$9),$E$9+SQRT(S982*($G$9-$E$9)*($F$9-$E$9)),$G$9-SQRT((1-S982)*($G$9-$E$9)*($G$9-$F$9))))</f>
        <v>0.920622999300474</v>
      </c>
      <c r="F982" s="37" t="n">
        <f aca="false">1+IF($G$10=$E$10,$F$10,IF(T982&lt;($F$10-$E$10)/($G$10-$E$10),$E$10+SQRT(T982*($G$10-$E$10)*($F$10-$E$10)),$G$10-SQRT((1-T982)*($G$10-$E$10)*($G$10-$F$10))))</f>
        <v>1.04296753086439</v>
      </c>
      <c r="G982" s="38" t="n">
        <f aca="false">IF($G$11=$E$11,$F$11,IF(U982&lt;($F$11-$E$11)/($G$11-$E$11),$E$11+SQRT(U982*($G$11-$E$11)*($F$11-$E$11)),$G$11-SQRT((1-U982)*($G$11-$E$11)*($G$11-$F$11))))</f>
        <v>0.0957744448511263</v>
      </c>
      <c r="H982" s="39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-2085935061.72877</v>
      </c>
      <c r="I982" s="39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-54836052.2717207</v>
      </c>
      <c r="J982" s="39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164345398.184353</v>
      </c>
      <c r="K982" s="39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435675225.183646</v>
      </c>
      <c r="L982" s="39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534607814.76289</v>
      </c>
      <c r="M982" s="39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676904398.279263</v>
      </c>
      <c r="N982" s="39" t="n">
        <f aca="false">IF(COUNT('Business Case'!B11:G11)=0,"",H982+NPV(G982,I982:M982))</f>
        <v>-868695057.078155</v>
      </c>
      <c r="P982" s="40" t="n">
        <f aca="true">RAND()</f>
        <v>0.111403839882592</v>
      </c>
      <c r="Q982" s="40" t="n">
        <f aca="true">RAND()</f>
        <v>0.0677760400953831</v>
      </c>
      <c r="R982" s="40" t="n">
        <f aca="true">RAND()</f>
        <v>0.0398503435758572</v>
      </c>
      <c r="S982" s="40" t="n">
        <f aca="true">RAND()</f>
        <v>0.0170123240058939</v>
      </c>
      <c r="T982" s="40" t="n">
        <f aca="true">RAND()</f>
        <v>0.428500756314809</v>
      </c>
      <c r="U982" s="40" t="n">
        <f aca="true">RAND()</f>
        <v>0.248833110361224</v>
      </c>
    </row>
    <row r="983" customFormat="false" ht="15" hidden="false" customHeight="false" outlineLevel="0" collapsed="false">
      <c r="A983" s="36" t="n">
        <v>903</v>
      </c>
      <c r="B983" s="37" t="n">
        <f aca="false">1+IF($G$6=$E$6,$F$6,IF(P983&lt;($F$6-$E$6)/($G$6-$E$6),$E$6+SQRT(P983*($G$6-$E$6)*($F$6-$E$6)),$G$6-SQRT((1-P983)*($G$6-$E$6)*($G$6-$F$6))))</f>
        <v>0.99499393525703</v>
      </c>
      <c r="C983" s="37" t="n">
        <f aca="false">1+IF($G$7=$E$7,$F$7,IF(Q983&lt;($F$7-$E$7)/($G$7-$E$7),$E$7+SQRT(Q983*($G$7-$E$7)*($F$7-$E$7)),$G$7-SQRT((1-Q983)*($G$7-$E$7)*($G$7-$F$7))))</f>
        <v>0.764810069421824</v>
      </c>
      <c r="D983" s="37" t="n">
        <f aca="false">1+IF($G$8=$E$8,$F$8,IF(R983&lt;($F$8-$E$8)/($G$8-$E$8),$E$8+SQRT(R983*($G$8-$E$8)*($F$8-$E$8)),$G$8-SQRT((1-R983)*($G$8-$E$8)*($G$8-$F$8))))</f>
        <v>1.01110056672087</v>
      </c>
      <c r="E983" s="37" t="n">
        <f aca="false">1+IF($G$9=$E$9,$F$9,IF(S983&lt;($F$9-$E$9)/($G$9-$E$9),$E$9+SQRT(S983*($G$9-$E$9)*($F$9-$E$9)),$G$9-SQRT((1-S983)*($G$9-$E$9)*($G$9-$F$9))))</f>
        <v>1.00338633435191</v>
      </c>
      <c r="F983" s="37" t="n">
        <f aca="false">1+IF($G$10=$E$10,$F$10,IF(T983&lt;($F$10-$E$10)/($G$10-$E$10),$E$10+SQRT(T983*($G$10-$E$10)*($F$10-$E$10)),$G$10-SQRT((1-T983)*($G$10-$E$10)*($G$10-$F$10))))</f>
        <v>0.991188837769277</v>
      </c>
      <c r="G983" s="38" t="n">
        <f aca="false">IF($G$11=$E$11,$F$11,IF(U983&lt;($F$11-$E$11)/($G$11-$E$11),$E$11+SQRT(U983*($G$11-$E$11)*($F$11-$E$11)),$G$11-SQRT((1-U983)*($G$11-$E$11)*($G$11-$F$11))))</f>
        <v>0.0951294781466305</v>
      </c>
      <c r="H983" s="39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-1982377675.53855</v>
      </c>
      <c r="I983" s="39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-53818835.9029714</v>
      </c>
      <c r="J983" s="39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173612023.491222</v>
      </c>
      <c r="K983" s="39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450602324.77388</v>
      </c>
      <c r="L983" s="39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552712127.755542</v>
      </c>
      <c r="M983" s="39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697359468.59866</v>
      </c>
      <c r="N983" s="39" t="n">
        <f aca="false">IF(COUNT('Business Case'!B11:G11)=0,"",H983+NPV(G983,I983:M983))</f>
        <v>-716689330.537817</v>
      </c>
      <c r="P983" s="40" t="n">
        <f aca="true">RAND()</f>
        <v>0.601589849041119</v>
      </c>
      <c r="Q983" s="40" t="n">
        <f aca="true">RAND()</f>
        <v>0.0311136673960121</v>
      </c>
      <c r="R983" s="40" t="n">
        <f aca="true">RAND()</f>
        <v>0.473126050843282</v>
      </c>
      <c r="S983" s="40" t="n">
        <f aca="true">RAND()</f>
        <v>0.426784881206122</v>
      </c>
      <c r="T983" s="40" t="n">
        <f aca="true">RAND()</f>
        <v>0.11310135711892</v>
      </c>
      <c r="U983" s="40" t="n">
        <f aca="true">RAND()</f>
        <v>0.22890110898937</v>
      </c>
    </row>
    <row r="984" customFormat="false" ht="15" hidden="false" customHeight="false" outlineLevel="0" collapsed="false">
      <c r="A984" s="36" t="n">
        <v>904</v>
      </c>
      <c r="B984" s="37" t="n">
        <f aca="false">1+IF($G$6=$E$6,$F$6,IF(P984&lt;($F$6-$E$6)/($G$6-$E$6),$E$6+SQRT(P984*($G$6-$E$6)*($F$6-$E$6)),$G$6-SQRT((1-P984)*($G$6-$E$6)*($G$6-$F$6))))</f>
        <v>0.989874671249334</v>
      </c>
      <c r="C984" s="37" t="n">
        <f aca="false">1+IF($G$7=$E$7,$F$7,IF(Q984&lt;($F$7-$E$7)/($G$7-$E$7),$E$7+SQRT(Q984*($G$7-$E$7)*($F$7-$E$7)),$G$7-SQRT((1-Q984)*($G$7-$E$7)*($G$7-$F$7))))</f>
        <v>1.01792306405179</v>
      </c>
      <c r="D984" s="37" t="n">
        <f aca="false">1+IF($G$8=$E$8,$F$8,IF(R984&lt;($F$8-$E$8)/($G$8-$E$8),$E$8+SQRT(R984*($G$8-$E$8)*($F$8-$E$8)),$G$8-SQRT((1-R984)*($G$8-$E$8)*($G$8-$F$8))))</f>
        <v>1.0007306233546</v>
      </c>
      <c r="E984" s="37" t="n">
        <f aca="false">1+IF($G$9=$E$9,$F$9,IF(S984&lt;($F$9-$E$9)/($G$9-$E$9),$E$9+SQRT(S984*($G$9-$E$9)*($F$9-$E$9)),$G$9-SQRT((1-S984)*($G$9-$E$9)*($G$9-$F$9))))</f>
        <v>1.01534217380711</v>
      </c>
      <c r="F984" s="37" t="n">
        <f aca="false">1+IF($G$10=$E$10,$F$10,IF(T984&lt;($F$10-$E$10)/($G$10-$E$10),$E$10+SQRT(T984*($G$10-$E$10)*($F$10-$E$10)),$G$10-SQRT((1-T984)*($G$10-$E$10)*($G$10-$F$10))))</f>
        <v>1.02199924544731</v>
      </c>
      <c r="G984" s="38" t="n">
        <f aca="false">IF($G$11=$E$11,$F$11,IF(U984&lt;($F$11-$E$11)/($G$11-$E$11),$E$11+SQRT(U984*($G$11-$E$11)*($F$11-$E$11)),$G$11-SQRT((1-U984)*($G$11-$E$11)*($G$11-$F$11))))</f>
        <v>0.121829159797385</v>
      </c>
      <c r="H984" s="39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-2043998490.89462</v>
      </c>
      <c r="I984" s="39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5017956.23925154</v>
      </c>
      <c r="J984" s="39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308852320.973303</v>
      </c>
      <c r="K984" s="39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663786647.97972</v>
      </c>
      <c r="L984" s="39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799887987.447536</v>
      </c>
      <c r="M984" s="39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991415685.841428</v>
      </c>
      <c r="N984" s="39" t="n">
        <f aca="false">IF(COUNT('Business Case'!B11:G11)=0,"",H984+NPV(G984,I984:M984))</f>
        <v>-260929211.382232</v>
      </c>
      <c r="P984" s="40" t="n">
        <f aca="true">RAND()</f>
        <v>0.538497102145062</v>
      </c>
      <c r="Q984" s="40" t="n">
        <f aca="true">RAND()</f>
        <v>0.741565673933799</v>
      </c>
      <c r="R984" s="40" t="n">
        <f aca="true">RAND()</f>
        <v>0.343039390695537</v>
      </c>
      <c r="S984" s="40" t="n">
        <f aca="true">RAND()</f>
        <v>0.516460529200143</v>
      </c>
      <c r="T984" s="40" t="n">
        <f aca="true">RAND()</f>
        <v>0.30687541231205</v>
      </c>
      <c r="U984" s="40" t="n">
        <f aca="true">RAND()</f>
        <v>0.955491580255555</v>
      </c>
    </row>
    <row r="985" customFormat="false" ht="15" hidden="false" customHeight="false" outlineLevel="0" collapsed="false">
      <c r="A985" s="36" t="n">
        <v>905</v>
      </c>
      <c r="B985" s="37" t="n">
        <f aca="false">1+IF($G$6=$E$6,$F$6,IF(P985&lt;($F$6-$E$6)/($G$6-$E$6),$E$6+SQRT(P985*($G$6-$E$6)*($F$6-$E$6)),$G$6-SQRT((1-P985)*($G$6-$E$6)*($G$6-$F$6))))</f>
        <v>0.949419874790602</v>
      </c>
      <c r="C985" s="37" t="n">
        <f aca="false">1+IF($G$7=$E$7,$F$7,IF(Q985&lt;($F$7-$E$7)/($G$7-$E$7),$E$7+SQRT(Q985*($G$7-$E$7)*($F$7-$E$7)),$G$7-SQRT((1-Q985)*($G$7-$E$7)*($G$7-$F$7))))</f>
        <v>0.950717624528279</v>
      </c>
      <c r="D985" s="37" t="n">
        <f aca="false">1+IF($G$8=$E$8,$F$8,IF(R985&lt;($F$8-$E$8)/($G$8-$E$8),$E$8+SQRT(R985*($G$8-$E$8)*($F$8-$E$8)),$G$8-SQRT((1-R985)*($G$8-$E$8)*($G$8-$F$8))))</f>
        <v>1.06961829959127</v>
      </c>
      <c r="E985" s="37" t="n">
        <f aca="false">1+IF($G$9=$E$9,$F$9,IF(S985&lt;($F$9-$E$9)/($G$9-$E$9),$E$9+SQRT(S985*($G$9-$E$9)*($F$9-$E$9)),$G$9-SQRT((1-S985)*($G$9-$E$9)*($G$9-$F$9))))</f>
        <v>1.01140076969803</v>
      </c>
      <c r="F985" s="37" t="n">
        <f aca="false">1+IF($G$10=$E$10,$F$10,IF(T985&lt;($F$10-$E$10)/($G$10-$E$10),$E$10+SQRT(T985*($G$10-$E$10)*($F$10-$E$10)),$G$10-SQRT((1-T985)*($G$10-$E$10)*($G$10-$F$10))))</f>
        <v>1.15040927748533</v>
      </c>
      <c r="G985" s="38" t="n">
        <f aca="false">IF($G$11=$E$11,$F$11,IF(U985&lt;($F$11-$E$11)/($G$11-$E$11),$E$11+SQRT(U985*($G$11-$E$11)*($F$11-$E$11)),$G$11-SQRT((1-U985)*($G$11-$E$11)*($G$11-$F$11))))</f>
        <v>0.0972472466822179</v>
      </c>
      <c r="H985" s="39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-2300818554.97066</v>
      </c>
      <c r="I985" s="39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-86909329.1234431</v>
      </c>
      <c r="J985" s="39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131835808.937544</v>
      </c>
      <c r="K985" s="39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408101410.872798</v>
      </c>
      <c r="L985" s="39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512211356.883019</v>
      </c>
      <c r="M985" s="39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683783306.827426</v>
      </c>
      <c r="N985" s="39" t="n">
        <f aca="false">IF(COUNT('Business Case'!B11:G11)=0,"",H985+NPV(G985,I985:M985))</f>
        <v>-1178297059.34418</v>
      </c>
      <c r="P985" s="40" t="n">
        <f aca="true">RAND()</f>
        <v>0.162821601621253</v>
      </c>
      <c r="Q985" s="40" t="n">
        <f aca="true">RAND()</f>
        <v>0.465624646289653</v>
      </c>
      <c r="R985" s="40" t="n">
        <f aca="true">RAND()</f>
        <v>0.938463485351626</v>
      </c>
      <c r="S985" s="40" t="n">
        <f aca="true">RAND()</f>
        <v>0.487740089592002</v>
      </c>
      <c r="T985" s="40" t="n">
        <f aca="true">RAND()</f>
        <v>0.86775583985342</v>
      </c>
      <c r="U985" s="40" t="n">
        <f aca="true">RAND()</f>
        <v>0.297467518117275</v>
      </c>
    </row>
    <row r="986" customFormat="false" ht="15" hidden="false" customHeight="false" outlineLevel="0" collapsed="false">
      <c r="A986" s="36" t="n">
        <v>906</v>
      </c>
      <c r="B986" s="37" t="n">
        <f aca="false">1+IF($G$6=$E$6,$F$6,IF(P986&lt;($F$6-$E$6)/($G$6-$E$6),$E$6+SQRT(P986*($G$6-$E$6)*($F$6-$E$6)),$G$6-SQRT((1-P986)*($G$6-$E$6)*($G$6-$F$6))))</f>
        <v>1.04007786363433</v>
      </c>
      <c r="C986" s="37" t="n">
        <f aca="false">1+IF($G$7=$E$7,$F$7,IF(Q986&lt;($F$7-$E$7)/($G$7-$E$7),$E$7+SQRT(Q986*($G$7-$E$7)*($F$7-$E$7)),$G$7-SQRT((1-Q986)*($G$7-$E$7)*($G$7-$F$7))))</f>
        <v>0.936932826856403</v>
      </c>
      <c r="D986" s="37" t="n">
        <f aca="false">1+IF($G$8=$E$8,$F$8,IF(R986&lt;($F$8-$E$8)/($G$8-$E$8),$E$8+SQRT(R986*($G$8-$E$8)*($F$8-$E$8)),$G$8-SQRT((1-R986)*($G$8-$E$8)*($G$8-$F$8))))</f>
        <v>1.02829185460044</v>
      </c>
      <c r="E986" s="37" t="n">
        <f aca="false">1+IF($G$9=$E$9,$F$9,IF(S986&lt;($F$9-$E$9)/($G$9-$E$9),$E$9+SQRT(S986*($G$9-$E$9)*($F$9-$E$9)),$G$9-SQRT((1-S986)*($G$9-$E$9)*($G$9-$F$9))))</f>
        <v>1.06773648304944</v>
      </c>
      <c r="F986" s="37" t="n">
        <f aca="false">1+IF($G$10=$E$10,$F$10,IF(T986&lt;($F$10-$E$10)/($G$10-$E$10),$E$10+SQRT(T986*($G$10-$E$10)*($F$10-$E$10)),$G$10-SQRT((1-T986)*($G$10-$E$10)*($G$10-$F$10))))</f>
        <v>1.12542701727771</v>
      </c>
      <c r="G986" s="38" t="n">
        <f aca="false">IF($G$11=$E$11,$F$11,IF(U986&lt;($F$11-$E$11)/($G$11-$E$11),$E$11+SQRT(U986*($G$11-$E$11)*($F$11-$E$11)),$G$11-SQRT((1-U986)*($G$11-$E$11)*($G$11-$F$11))))</f>
        <v>0.102153965530715</v>
      </c>
      <c r="H986" s="39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-2250854034.55542</v>
      </c>
      <c r="I986" s="39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-9924623.84638129</v>
      </c>
      <c r="J986" s="39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295042785.461907</v>
      </c>
      <c r="K986" s="39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656281545.63408</v>
      </c>
      <c r="L986" s="39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791615484.428355</v>
      </c>
      <c r="M986" s="39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976845230.731669</v>
      </c>
      <c r="N986" s="39" t="n">
        <f aca="false">IF(COUNT('Business Case'!B11:G11)=0,"",H986+NPV(G986,I986:M986))</f>
        <v>-389675157.061425</v>
      </c>
      <c r="P986" s="40" t="n">
        <f aca="true">RAND()</f>
        <v>0.986873494658816</v>
      </c>
      <c r="Q986" s="40" t="n">
        <f aca="true">RAND()</f>
        <v>0.41583084771975</v>
      </c>
      <c r="R986" s="40" t="n">
        <f aca="true">RAND()</f>
        <v>0.657196125557021</v>
      </c>
      <c r="S986" s="40" t="n">
        <f aca="true">RAND()</f>
        <v>0.819539034104676</v>
      </c>
      <c r="T986" s="40" t="n">
        <f aca="true">RAND()</f>
        <v>0.793087626342296</v>
      </c>
      <c r="U986" s="40" t="n">
        <f aca="true">RAND()</f>
        <v>0.483065576223587</v>
      </c>
    </row>
    <row r="987" customFormat="false" ht="15" hidden="false" customHeight="false" outlineLevel="0" collapsed="false">
      <c r="A987" s="36" t="n">
        <v>907</v>
      </c>
      <c r="B987" s="37" t="n">
        <f aca="false">1+IF($G$6=$E$6,$F$6,IF(P987&lt;($F$6-$E$6)/($G$6-$E$6),$E$6+SQRT(P987*($G$6-$E$6)*($F$6-$E$6)),$G$6-SQRT((1-P987)*($G$6-$E$6)*($G$6-$F$6))))</f>
        <v>0.964692567506619</v>
      </c>
      <c r="C987" s="37" t="n">
        <f aca="false">1+IF($G$7=$E$7,$F$7,IF(Q987&lt;($F$7-$E$7)/($G$7-$E$7),$E$7+SQRT(Q987*($G$7-$E$7)*($F$7-$E$7)),$G$7-SQRT((1-Q987)*($G$7-$E$7)*($G$7-$F$7))))</f>
        <v>0.956401307369054</v>
      </c>
      <c r="D987" s="37" t="n">
        <f aca="false">1+IF($G$8=$E$8,$F$8,IF(R987&lt;($F$8-$E$8)/($G$8-$E$8),$E$8+SQRT(R987*($G$8-$E$8)*($F$8-$E$8)),$G$8-SQRT((1-R987)*($G$8-$E$8)*($G$8-$F$8))))</f>
        <v>1.04142050511003</v>
      </c>
      <c r="E987" s="37" t="n">
        <f aca="false">1+IF($G$9=$E$9,$F$9,IF(S987&lt;($F$9-$E$9)/($G$9-$E$9),$E$9+SQRT(S987*($G$9-$E$9)*($F$9-$E$9)),$G$9-SQRT((1-S987)*($G$9-$E$9)*($G$9-$F$9))))</f>
        <v>0.983122633342828</v>
      </c>
      <c r="F987" s="37" t="n">
        <f aca="false">1+IF($G$10=$E$10,$F$10,IF(T987&lt;($F$10-$E$10)/($G$10-$E$10),$E$10+SQRT(T987*($G$10-$E$10)*($F$10-$E$10)),$G$10-SQRT((1-T987)*($G$10-$E$10)*($G$10-$F$10))))</f>
        <v>1.18444802175967</v>
      </c>
      <c r="G987" s="38" t="n">
        <f aca="false">IF($G$11=$E$11,$F$11,IF(U987&lt;($F$11-$E$11)/($G$11-$E$11),$E$11+SQRT(U987*($G$11-$E$11)*($F$11-$E$11)),$G$11-SQRT((1-U987)*($G$11-$E$11)*($G$11-$F$11))))</f>
        <v>0.111665998279012</v>
      </c>
      <c r="H987" s="39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-2368896043.51934</v>
      </c>
      <c r="I987" s="39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-60251576.4115536</v>
      </c>
      <c r="J987" s="39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185570994.601138</v>
      </c>
      <c r="K987" s="39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490615966.701814</v>
      </c>
      <c r="L987" s="39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604443028.230663</v>
      </c>
      <c r="M987" s="39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779817153.116067</v>
      </c>
      <c r="N987" s="39" t="n">
        <f aca="false">IF(COUNT('Business Case'!B11:G11)=0,"",H987+NPV(G987,I987:M987))</f>
        <v>-1060699163.7393</v>
      </c>
      <c r="P987" s="40" t="n">
        <f aca="true">RAND()</f>
        <v>0.279008552706563</v>
      </c>
      <c r="Q987" s="40" t="n">
        <f aca="true">RAND()</f>
        <v>0.486975040152295</v>
      </c>
      <c r="R987" s="40" t="n">
        <f aca="true">RAND()</f>
        <v>0.771229518562425</v>
      </c>
      <c r="S987" s="40" t="n">
        <f aca="true">RAND()</f>
        <v>0.276374886953848</v>
      </c>
      <c r="T987" s="40" t="n">
        <f aca="true">RAND()</f>
        <v>0.942705841983723</v>
      </c>
      <c r="U987" s="40" t="n">
        <f aca="true">RAND()</f>
        <v>0.775909587263205</v>
      </c>
    </row>
    <row r="988" customFormat="false" ht="15" hidden="false" customHeight="false" outlineLevel="0" collapsed="false">
      <c r="A988" s="36" t="n">
        <v>908</v>
      </c>
      <c r="B988" s="37" t="n">
        <f aca="false">1+IF($G$6=$E$6,$F$6,IF(P988&lt;($F$6-$E$6)/($G$6-$E$6),$E$6+SQRT(P988*($G$6-$E$6)*($F$6-$E$6)),$G$6-SQRT((1-P988)*($G$6-$E$6)*($G$6-$F$6))))</f>
        <v>0.966275005945534</v>
      </c>
      <c r="C988" s="37" t="n">
        <f aca="false">1+IF($G$7=$E$7,$F$7,IF(Q988&lt;($F$7-$E$7)/($G$7-$E$7),$E$7+SQRT(Q988*($G$7-$E$7)*($F$7-$E$7)),$G$7-SQRT((1-Q988)*($G$7-$E$7)*($G$7-$F$7))))</f>
        <v>0.805231928625244</v>
      </c>
      <c r="D988" s="37" t="n">
        <f aca="false">1+IF($G$8=$E$8,$F$8,IF(R988&lt;($F$8-$E$8)/($G$8-$E$8),$E$8+SQRT(R988*($G$8-$E$8)*($F$8-$E$8)),$G$8-SQRT((1-R988)*($G$8-$E$8)*($G$8-$F$8))))</f>
        <v>1.03573656854614</v>
      </c>
      <c r="E988" s="37" t="n">
        <f aca="false">1+IF($G$9=$E$9,$F$9,IF(S988&lt;($F$9-$E$9)/($G$9-$E$9),$E$9+SQRT(S988*($G$9-$E$9)*($F$9-$E$9)),$G$9-SQRT((1-S988)*($G$9-$E$9)*($G$9-$F$9))))</f>
        <v>0.96834237442568</v>
      </c>
      <c r="F988" s="37" t="n">
        <f aca="false">1+IF($G$10=$E$10,$F$10,IF(T988&lt;($F$10-$E$10)/($G$10-$E$10),$E$10+SQRT(T988*($G$10-$E$10)*($F$10-$E$10)),$G$10-SQRT((1-T988)*($G$10-$E$10)*($G$10-$F$10))))</f>
        <v>1.15867724587031</v>
      </c>
      <c r="G988" s="38" t="n">
        <f aca="false">IF($G$11=$E$11,$F$11,IF(U988&lt;($F$11-$E$11)/($G$11-$E$11),$E$11+SQRT(U988*($G$11-$E$11)*($F$11-$E$11)),$G$11-SQRT((1-U988)*($G$11-$E$11)*($G$11-$F$11))))</f>
        <v>0.101510640836846</v>
      </c>
      <c r="H988" s="39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-2317354491.74062</v>
      </c>
      <c r="I988" s="39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-83547053.0023481</v>
      </c>
      <c r="J988" s="39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126807337.452042</v>
      </c>
      <c r="K988" s="39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395095590.199947</v>
      </c>
      <c r="L988" s="39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492104009.168994</v>
      </c>
      <c r="M988" s="39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640000597.665703</v>
      </c>
      <c r="N988" s="39" t="n">
        <f aca="false">IF(COUNT('Business Case'!B11:G11)=0,"",H988+NPV(G988,I988:M988))</f>
        <v>-1264122289.88075</v>
      </c>
      <c r="P988" s="40" t="n">
        <f aca="true">RAND()</f>
        <v>0.292825094205373</v>
      </c>
      <c r="Q988" s="40" t="n">
        <f aca="true">RAND()</f>
        <v>0.082027842979174</v>
      </c>
      <c r="R988" s="40" t="n">
        <f aca="true">RAND()</f>
        <v>0.724680758518373</v>
      </c>
      <c r="S988" s="40" t="n">
        <f aca="true">RAND()</f>
        <v>0.186827205685591</v>
      </c>
      <c r="T988" s="40" t="n">
        <f aca="true">RAND()</f>
        <v>0.888802061042243</v>
      </c>
      <c r="U988" s="40" t="n">
        <f aca="true">RAND()</f>
        <v>0.458904276315226</v>
      </c>
    </row>
    <row r="989" customFormat="false" ht="15" hidden="false" customHeight="false" outlineLevel="0" collapsed="false">
      <c r="A989" s="36" t="n">
        <v>909</v>
      </c>
      <c r="B989" s="37" t="n">
        <f aca="false">1+IF($G$6=$E$6,$F$6,IF(P989&lt;($F$6-$E$6)/($G$6-$E$6),$E$6+SQRT(P989*($G$6-$E$6)*($F$6-$E$6)),$G$6-SQRT((1-P989)*($G$6-$E$6)*($G$6-$F$6))))</f>
        <v>0.923360662862638</v>
      </c>
      <c r="C989" s="37" t="n">
        <f aca="false">1+IF($G$7=$E$7,$F$7,IF(Q989&lt;($F$7-$E$7)/($G$7-$E$7),$E$7+SQRT(Q989*($G$7-$E$7)*($F$7-$E$7)),$G$7-SQRT((1-Q989)*($G$7-$E$7)*($G$7-$F$7))))</f>
        <v>0.827434275580105</v>
      </c>
      <c r="D989" s="37" t="n">
        <f aca="false">1+IF($G$8=$E$8,$F$8,IF(R989&lt;($F$8-$E$8)/($G$8-$E$8),$E$8+SQRT(R989*($G$8-$E$8)*($F$8-$E$8)),$G$8-SQRT((1-R989)*($G$8-$E$8)*($G$8-$F$8))))</f>
        <v>0.986880913572908</v>
      </c>
      <c r="E989" s="37" t="n">
        <f aca="false">1+IF($G$9=$E$9,$F$9,IF(S989&lt;($F$9-$E$9)/($G$9-$E$9),$E$9+SQRT(S989*($G$9-$E$9)*($F$9-$E$9)),$G$9-SQRT((1-S989)*($G$9-$E$9)*($G$9-$F$9))))</f>
        <v>1.03615056319575</v>
      </c>
      <c r="F989" s="37" t="n">
        <f aca="false">1+IF($G$10=$E$10,$F$10,IF(T989&lt;($F$10-$E$10)/($G$10-$E$10),$E$10+SQRT(T989*($G$10-$E$10)*($F$10-$E$10)),$G$10-SQRT((1-T989)*($G$10-$E$10)*($G$10-$F$10))))</f>
        <v>0.983460213897616</v>
      </c>
      <c r="G989" s="38" t="n">
        <f aca="false">IF($G$11=$E$11,$F$11,IF(U989&lt;($F$11-$E$11)/($G$11-$E$11),$E$11+SQRT(U989*($G$11-$E$11)*($F$11-$E$11)),$G$11-SQRT((1-U989)*($G$11-$E$11)*($G$11-$F$11))))</f>
        <v>0.0876925893590847</v>
      </c>
      <c r="H989" s="39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-1966920427.79523</v>
      </c>
      <c r="I989" s="39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-77529008.1556303</v>
      </c>
      <c r="J989" s="39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130235425.504244</v>
      </c>
      <c r="K989" s="39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387172869.858999</v>
      </c>
      <c r="L989" s="39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482832221.305162</v>
      </c>
      <c r="M989" s="39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628057192.54929</v>
      </c>
      <c r="N989" s="39" t="n">
        <f aca="false">IF(COUNT('Business Case'!B11:G11)=0,"",H989+NPV(G989,I989:M989))</f>
        <v>-869737100.434499</v>
      </c>
      <c r="P989" s="40" t="n">
        <f aca="true">RAND()</f>
        <v>0.0363813712921225</v>
      </c>
      <c r="Q989" s="40" t="n">
        <f aca="true">RAND()</f>
        <v>0.120292552537971</v>
      </c>
      <c r="R989" s="40" t="n">
        <f aca="true">RAND()</f>
        <v>0.181360238129639</v>
      </c>
      <c r="S989" s="40" t="n">
        <f aca="true">RAND()</f>
        <v>0.654354819716136</v>
      </c>
      <c r="T989" s="40" t="n">
        <f aca="true">RAND()</f>
        <v>0.0746390609382786</v>
      </c>
      <c r="U989" s="40" t="n">
        <f aca="true">RAND()</f>
        <v>0.0591759310475028</v>
      </c>
    </row>
    <row r="990" customFormat="false" ht="15" hidden="false" customHeight="false" outlineLevel="0" collapsed="false">
      <c r="A990" s="36" t="n">
        <v>910</v>
      </c>
      <c r="B990" s="37" t="n">
        <f aca="false">1+IF($G$6=$E$6,$F$6,IF(P990&lt;($F$6-$E$6)/($G$6-$E$6),$E$6+SQRT(P990*($G$6-$E$6)*($F$6-$E$6)),$G$6-SQRT((1-P990)*($G$6-$E$6)*($G$6-$F$6))))</f>
        <v>0.959530382914702</v>
      </c>
      <c r="C990" s="37" t="n">
        <f aca="false">1+IF($G$7=$E$7,$F$7,IF(Q990&lt;($F$7-$E$7)/($G$7-$E$7),$E$7+SQRT(Q990*($G$7-$E$7)*($F$7-$E$7)),$G$7-SQRT((1-Q990)*($G$7-$E$7)*($G$7-$F$7))))</f>
        <v>1.03969357073721</v>
      </c>
      <c r="D990" s="37" t="n">
        <f aca="false">1+IF($G$8=$E$8,$F$8,IF(R990&lt;($F$8-$E$8)/($G$8-$E$8),$E$8+SQRT(R990*($G$8-$E$8)*($F$8-$E$8)),$G$8-SQRT((1-R990)*($G$8-$E$8)*($G$8-$F$8))))</f>
        <v>0.978300918230783</v>
      </c>
      <c r="E990" s="37" t="n">
        <f aca="false">1+IF($G$9=$E$9,$F$9,IF(S990&lt;($F$9-$E$9)/($G$9-$E$9),$E$9+SQRT(S990*($G$9-$E$9)*($F$9-$E$9)),$G$9-SQRT((1-S990)*($G$9-$E$9)*($G$9-$F$9))))</f>
        <v>0.96777326633474</v>
      </c>
      <c r="F990" s="37" t="n">
        <f aca="false">1+IF($G$10=$E$10,$F$10,IF(T990&lt;($F$10-$E$10)/($G$10-$E$10),$E$10+SQRT(T990*($G$10-$E$10)*($F$10-$E$10)),$G$10-SQRT((1-T990)*($G$10-$E$10)*($G$10-$F$10))))</f>
        <v>1.10566910898145</v>
      </c>
      <c r="G990" s="38" t="n">
        <f aca="false">IF($G$11=$E$11,$F$11,IF(U990&lt;($F$11-$E$11)/($G$11-$E$11),$E$11+SQRT(U990*($G$11-$E$11)*($F$11-$E$11)),$G$11-SQRT((1-U990)*($G$11-$E$11)*($G$11-$F$11))))</f>
        <v>0.105339290907903</v>
      </c>
      <c r="H990" s="39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-2211338217.96289</v>
      </c>
      <c r="I990" s="39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-3470960.78198831</v>
      </c>
      <c r="J990" s="39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292958842.638019</v>
      </c>
      <c r="K990" s="39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644672101.507099</v>
      </c>
      <c r="L990" s="39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777959699.201136</v>
      </c>
      <c r="M990" s="39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967586846.91499</v>
      </c>
      <c r="N990" s="39" t="n">
        <f aca="false">IF(COUNT('Business Case'!B11:G11)=0,"",H990+NPV(G990,I990:M990))</f>
        <v>-389741867.548953</v>
      </c>
      <c r="P990" s="40" t="n">
        <f aca="true">RAND()</f>
        <v>0.236257765998069</v>
      </c>
      <c r="Q990" s="40" t="n">
        <f aca="true">RAND()</f>
        <v>0.81974061723396</v>
      </c>
      <c r="R990" s="40" t="n">
        <f aca="true">RAND()</f>
        <v>0.106792263027395</v>
      </c>
      <c r="S990" s="40" t="n">
        <f aca="true">RAND()</f>
        <v>0.183728625187183</v>
      </c>
      <c r="T990" s="40" t="n">
        <f aca="true">RAND()</f>
        <v>0.722247918637208</v>
      </c>
      <c r="U990" s="40" t="n">
        <f aca="true">RAND()</f>
        <v>0.594566284716633</v>
      </c>
    </row>
    <row r="991" customFormat="false" ht="15" hidden="false" customHeight="false" outlineLevel="0" collapsed="false">
      <c r="A991" s="36" t="n">
        <v>911</v>
      </c>
      <c r="B991" s="37" t="n">
        <f aca="false">1+IF($G$6=$E$6,$F$6,IF(P991&lt;($F$6-$E$6)/($G$6-$E$6),$E$6+SQRT(P991*($G$6-$E$6)*($F$6-$E$6)),$G$6-SQRT((1-P991)*($G$6-$E$6)*($G$6-$F$6))))</f>
        <v>0.946935260845784</v>
      </c>
      <c r="C991" s="37" t="n">
        <f aca="false">1+IF($G$7=$E$7,$F$7,IF(Q991&lt;($F$7-$E$7)/($G$7-$E$7),$E$7+SQRT(Q991*($G$7-$E$7)*($F$7-$E$7)),$G$7-SQRT((1-Q991)*($G$7-$E$7)*($G$7-$F$7))))</f>
        <v>0.97302597292249</v>
      </c>
      <c r="D991" s="37" t="n">
        <f aca="false">1+IF($G$8=$E$8,$F$8,IF(R991&lt;($F$8-$E$8)/($G$8-$E$8),$E$8+SQRT(R991*($G$8-$E$8)*($F$8-$E$8)),$G$8-SQRT((1-R991)*($G$8-$E$8)*($G$8-$F$8))))</f>
        <v>1.00039456368244</v>
      </c>
      <c r="E991" s="37" t="n">
        <f aca="false">1+IF($G$9=$E$9,$F$9,IF(S991&lt;($F$9-$E$9)/($G$9-$E$9),$E$9+SQRT(S991*($G$9-$E$9)*($F$9-$E$9)),$G$9-SQRT((1-S991)*($G$9-$E$9)*($G$9-$F$9))))</f>
        <v>0.964004979744363</v>
      </c>
      <c r="F991" s="37" t="n">
        <f aca="false">1+IF($G$10=$E$10,$F$10,IF(T991&lt;($F$10-$E$10)/($G$10-$E$10),$E$10+SQRT(T991*($G$10-$E$10)*($F$10-$E$10)),$G$10-SQRT((1-T991)*($G$10-$E$10)*($G$10-$F$10))))</f>
        <v>0.989972517997339</v>
      </c>
      <c r="G991" s="38" t="n">
        <f aca="false">IF($G$11=$E$11,$F$11,IF(U991&lt;($F$11-$E$11)/($G$11-$E$11),$E$11+SQRT(U991*($G$11-$E$11)*($F$11-$E$11)),$G$11-SQRT((1-U991)*($G$11-$E$11)*($G$11-$F$11))))</f>
        <v>0.101105662075981</v>
      </c>
      <c r="H991" s="39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-1979945035.99468</v>
      </c>
      <c r="I991" s="39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-27464862.7157692</v>
      </c>
      <c r="J991" s="39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228914027.052199</v>
      </c>
      <c r="K991" s="39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534791542.720035</v>
      </c>
      <c r="L991" s="39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652094501.018929</v>
      </c>
      <c r="M991" s="39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827232807.088232</v>
      </c>
      <c r="N991" s="39" t="n">
        <f aca="false">IF(COUNT('Business Case'!B11:G11)=0,"",H991+NPV(G991,I991:M991))</f>
        <v>-460819097.807971</v>
      </c>
      <c r="P991" s="40" t="n">
        <f aca="true">RAND()</f>
        <v>0.146861247377452</v>
      </c>
      <c r="Q991" s="40" t="n">
        <f aca="true">RAND()</f>
        <v>0.552171717705719</v>
      </c>
      <c r="R991" s="40" t="n">
        <f aca="true">RAND()</f>
        <v>0.338583803732558</v>
      </c>
      <c r="S991" s="40" t="n">
        <f aca="true">RAND()</f>
        <v>0.163865497283055</v>
      </c>
      <c r="T991" s="40" t="n">
        <f aca="true">RAND()</f>
        <v>0.106520146336507</v>
      </c>
      <c r="U991" s="40" t="n">
        <f aca="true">RAND()</f>
        <v>0.443411490621749</v>
      </c>
    </row>
    <row r="992" customFormat="false" ht="15" hidden="false" customHeight="false" outlineLevel="0" collapsed="false">
      <c r="A992" s="36" t="n">
        <v>912</v>
      </c>
      <c r="B992" s="37" t="n">
        <f aca="false">1+IF($G$6=$E$6,$F$6,IF(P992&lt;($F$6-$E$6)/($G$6-$E$6),$E$6+SQRT(P992*($G$6-$E$6)*($F$6-$E$6)),$G$6-SQRT((1-P992)*($G$6-$E$6)*($G$6-$F$6))))</f>
        <v>1.01579150656355</v>
      </c>
      <c r="C992" s="37" t="n">
        <f aca="false">1+IF($G$7=$E$7,$F$7,IF(Q992&lt;($F$7-$E$7)/($G$7-$E$7),$E$7+SQRT(Q992*($G$7-$E$7)*($F$7-$E$7)),$G$7-SQRT((1-Q992)*($G$7-$E$7)*($G$7-$F$7))))</f>
        <v>1.02442724481608</v>
      </c>
      <c r="D992" s="37" t="n">
        <f aca="false">1+IF($G$8=$E$8,$F$8,IF(R992&lt;($F$8-$E$8)/($G$8-$E$8),$E$8+SQRT(R992*($G$8-$E$8)*($F$8-$E$8)),$G$8-SQRT((1-R992)*($G$8-$E$8)*($G$8-$F$8))))</f>
        <v>0.974023669972206</v>
      </c>
      <c r="E992" s="37" t="n">
        <f aca="false">1+IF($G$9=$E$9,$F$9,IF(S992&lt;($F$9-$E$9)/($G$9-$E$9),$E$9+SQRT(S992*($G$9-$E$9)*($F$9-$E$9)),$G$9-SQRT((1-S992)*($G$9-$E$9)*($G$9-$F$9))))</f>
        <v>0.994250455472143</v>
      </c>
      <c r="F992" s="37" t="n">
        <f aca="false">1+IF($G$10=$E$10,$F$10,IF(T992&lt;($F$10-$E$10)/($G$10-$E$10),$E$10+SQRT(T992*($G$10-$E$10)*($F$10-$E$10)),$G$10-SQRT((1-T992)*($G$10-$E$10)*($G$10-$F$10))))</f>
        <v>1.06130906936591</v>
      </c>
      <c r="G992" s="38" t="n">
        <f aca="false">IF($G$11=$E$11,$F$11,IF(U992&lt;($F$11-$E$11)/($G$11-$E$11),$E$11+SQRT(U992*($G$11-$E$11)*($F$11-$E$11)),$G$11-SQRT((1-U992)*($G$11-$E$11)*($G$11-$F$11))))</f>
        <v>0.102871842884475</v>
      </c>
      <c r="H992" s="39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-2122618138.73183</v>
      </c>
      <c r="I992" s="39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40069582.1124693</v>
      </c>
      <c r="J992" s="39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381597422.918145</v>
      </c>
      <c r="K992" s="39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776190717.192117</v>
      </c>
      <c r="L992" s="39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925996622.11966</v>
      </c>
      <c r="M992" s="39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1123794724.41074</v>
      </c>
      <c r="N992" s="39" t="n">
        <f aca="false">IF(COUNT('Business Case'!B11:G11)=0,"",H992+NPV(G992,I992:M992))</f>
        <v>120719533.901723</v>
      </c>
      <c r="P992" s="40" t="n">
        <f aca="true">RAND()</f>
        <v>0.843970530241131</v>
      </c>
      <c r="Q992" s="40" t="n">
        <f aca="true">RAND()</f>
        <v>0.76639234304472</v>
      </c>
      <c r="R992" s="40" t="n">
        <f aca="true">RAND()</f>
        <v>0.0769515625244638</v>
      </c>
      <c r="S992" s="40" t="n">
        <f aca="true">RAND()</f>
        <v>0.355325934268258</v>
      </c>
      <c r="T992" s="40" t="n">
        <f aca="true">RAND()</f>
        <v>0.525276435952571</v>
      </c>
      <c r="U992" s="40" t="n">
        <f aca="true">RAND()</f>
        <v>0.509375394343589</v>
      </c>
    </row>
    <row r="993" customFormat="false" ht="15" hidden="false" customHeight="false" outlineLevel="0" collapsed="false">
      <c r="A993" s="36" t="n">
        <v>913</v>
      </c>
      <c r="B993" s="37" t="n">
        <f aca="false">1+IF($G$6=$E$6,$F$6,IF(P993&lt;($F$6-$E$6)/($G$6-$E$6),$E$6+SQRT(P993*($G$6-$E$6)*($F$6-$E$6)),$G$6-SQRT((1-P993)*($G$6-$E$6)*($G$6-$F$6))))</f>
        <v>1.01745649309706</v>
      </c>
      <c r="C993" s="37" t="n">
        <f aca="false">1+IF($G$7=$E$7,$F$7,IF(Q993&lt;($F$7-$E$7)/($G$7-$E$7),$E$7+SQRT(Q993*($G$7-$E$7)*($F$7-$E$7)),$G$7-SQRT((1-Q993)*($G$7-$E$7)*($G$7-$F$7))))</f>
        <v>0.977884206828717</v>
      </c>
      <c r="D993" s="37" t="n">
        <f aca="false">1+IF($G$8=$E$8,$F$8,IF(R993&lt;($F$8-$E$8)/($G$8-$E$8),$E$8+SQRT(R993*($G$8-$E$8)*($F$8-$E$8)),$G$8-SQRT((1-R993)*($G$8-$E$8)*($G$8-$F$8))))</f>
        <v>1.00367847082145</v>
      </c>
      <c r="E993" s="37" t="n">
        <f aca="false">1+IF($G$9=$E$9,$F$9,IF(S993&lt;($F$9-$E$9)/($G$9-$E$9),$E$9+SQRT(S993*($G$9-$E$9)*($F$9-$E$9)),$G$9-SQRT((1-S993)*($G$9-$E$9)*($G$9-$F$9))))</f>
        <v>0.922994767483025</v>
      </c>
      <c r="F993" s="37" t="n">
        <f aca="false">1+IF($G$10=$E$10,$F$10,IF(T993&lt;($F$10-$E$10)/($G$10-$E$10),$E$10+SQRT(T993*($G$10-$E$10)*($F$10-$E$10)),$G$10-SQRT((1-T993)*($G$10-$E$10)*($G$10-$F$10))))</f>
        <v>1.13043439845926</v>
      </c>
      <c r="G993" s="38" t="n">
        <f aca="false">IF($G$11=$E$11,$F$11,IF(U993&lt;($F$11-$E$11)/($G$11-$E$11),$E$11+SQRT(U993*($G$11-$E$11)*($F$11-$E$11)),$G$11-SQRT((1-U993)*($G$11-$E$11)*($G$11-$F$11))))</f>
        <v>0.106571585035472</v>
      </c>
      <c r="H993" s="39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-2260868796.91852</v>
      </c>
      <c r="I993" s="39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16627819.2288593</v>
      </c>
      <c r="J993" s="39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329127382.55623</v>
      </c>
      <c r="K993" s="39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698148665.806565</v>
      </c>
      <c r="L993" s="39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836700819.126688</v>
      </c>
      <c r="M993" s="39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1025821796.28719</v>
      </c>
      <c r="N993" s="39" t="n">
        <f aca="false">IF(COUNT('Business Case'!B11:G11)=0,"",H993+NPV(G993,I993:M993))</f>
        <v>-285530023.153178</v>
      </c>
      <c r="P993" s="40" t="n">
        <f aca="true">RAND()</f>
        <v>0.858789354461085</v>
      </c>
      <c r="Q993" s="40" t="n">
        <f aca="true">RAND()</f>
        <v>0.571997277072777</v>
      </c>
      <c r="R993" s="40" t="n">
        <f aca="true">RAND()</f>
        <v>0.38147753444702</v>
      </c>
      <c r="S993" s="40" t="n">
        <f aca="true">RAND()</f>
        <v>0.0211503732639353</v>
      </c>
      <c r="T993" s="40" t="n">
        <f aca="true">RAND()</f>
        <v>0.809387559042682</v>
      </c>
      <c r="U993" s="40" t="n">
        <f aca="true">RAND()</f>
        <v>0.634072914833239</v>
      </c>
    </row>
    <row r="994" customFormat="false" ht="15" hidden="false" customHeight="false" outlineLevel="0" collapsed="false">
      <c r="A994" s="36" t="n">
        <v>914</v>
      </c>
      <c r="B994" s="37" t="n">
        <f aca="false">1+IF($G$6=$E$6,$F$6,IF(P994&lt;($F$6-$E$6)/($G$6-$E$6),$E$6+SQRT(P994*($G$6-$E$6)*($F$6-$E$6)),$G$6-SQRT((1-P994)*($G$6-$E$6)*($G$6-$F$6))))</f>
        <v>1.00527992335321</v>
      </c>
      <c r="C994" s="37" t="n">
        <f aca="false">1+IF($G$7=$E$7,$F$7,IF(Q994&lt;($F$7-$E$7)/($G$7-$E$7),$E$7+SQRT(Q994*($G$7-$E$7)*($F$7-$E$7)),$G$7-SQRT((1-Q994)*($G$7-$E$7)*($G$7-$F$7))))</f>
        <v>1.02112108115988</v>
      </c>
      <c r="D994" s="37" t="n">
        <f aca="false">1+IF($G$8=$E$8,$F$8,IF(R994&lt;($F$8-$E$8)/($G$8-$E$8),$E$8+SQRT(R994*($G$8-$E$8)*($F$8-$E$8)),$G$8-SQRT((1-R994)*($G$8-$E$8)*($G$8-$F$8))))</f>
        <v>1.04402704874129</v>
      </c>
      <c r="E994" s="37" t="n">
        <f aca="false">1+IF($G$9=$E$9,$F$9,IF(S994&lt;($F$9-$E$9)/($G$9-$E$9),$E$9+SQRT(S994*($G$9-$E$9)*($F$9-$E$9)),$G$9-SQRT((1-S994)*($G$9-$E$9)*($G$9-$F$9))))</f>
        <v>1.1125752192635</v>
      </c>
      <c r="F994" s="37" t="n">
        <f aca="false">1+IF($G$10=$E$10,$F$10,IF(T994&lt;($F$10-$E$10)/($G$10-$E$10),$E$10+SQRT(T994*($G$10-$E$10)*($F$10-$E$10)),$G$10-SQRT((1-T994)*($G$10-$E$10)*($G$10-$F$10))))</f>
        <v>0.992026536678911</v>
      </c>
      <c r="G994" s="38" t="n">
        <f aca="false">IF($G$11=$E$11,$F$11,IF(U994&lt;($F$11-$E$11)/($G$11-$E$11),$E$11+SQRT(U994*($G$11-$E$11)*($F$11-$E$11)),$G$11-SQRT((1-U994)*($G$11-$E$11)*($G$11-$F$11))))</f>
        <v>0.111813814137911</v>
      </c>
      <c r="H994" s="39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-1984053073.35782</v>
      </c>
      <c r="I994" s="39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-15584258.9008805</v>
      </c>
      <c r="J994" s="39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279456741.19639</v>
      </c>
      <c r="K994" s="39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624099068.127607</v>
      </c>
      <c r="L994" s="39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757922340.927358</v>
      </c>
      <c r="M994" s="39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953041841.147656</v>
      </c>
      <c r="N994" s="39" t="n">
        <f aca="false">IF(COUNT('Business Case'!B11:G11)=0,"",H994+NPV(G994,I994:M994))</f>
        <v>-260887652.274202</v>
      </c>
      <c r="P994" s="40" t="n">
        <f aca="true">RAND()</f>
        <v>0.733348632627342</v>
      </c>
      <c r="Q994" s="40" t="n">
        <f aca="true">RAND()</f>
        <v>0.753929248571868</v>
      </c>
      <c r="R994" s="40" t="n">
        <f aca="true">RAND()</f>
        <v>0.791135248492634</v>
      </c>
      <c r="S994" s="40" t="n">
        <f aca="true">RAND()</f>
        <v>0.962650287648668</v>
      </c>
      <c r="T994" s="40" t="n">
        <f aca="true">RAND()</f>
        <v>0.117748652348256</v>
      </c>
      <c r="U994" s="40" t="n">
        <f aca="true">RAND()</f>
        <v>0.779508429193043</v>
      </c>
    </row>
    <row r="995" customFormat="false" ht="15" hidden="false" customHeight="false" outlineLevel="0" collapsed="false">
      <c r="A995" s="36" t="n">
        <v>915</v>
      </c>
      <c r="B995" s="37" t="n">
        <f aca="false">1+IF($G$6=$E$6,$F$6,IF(P995&lt;($F$6-$E$6)/($G$6-$E$6),$E$6+SQRT(P995*($G$6-$E$6)*($F$6-$E$6)),$G$6-SQRT((1-P995)*($G$6-$E$6)*($G$6-$F$6))))</f>
        <v>1.00669828760361</v>
      </c>
      <c r="C995" s="37" t="n">
        <f aca="false">1+IF($G$7=$E$7,$F$7,IF(Q995&lt;($F$7-$E$7)/($G$7-$E$7),$E$7+SQRT(Q995*($G$7-$E$7)*($F$7-$E$7)),$G$7-SQRT((1-Q995)*($G$7-$E$7)*($G$7-$F$7))))</f>
        <v>1.02992230618595</v>
      </c>
      <c r="D995" s="37" t="n">
        <f aca="false">1+IF($G$8=$E$8,$F$8,IF(R995&lt;($F$8-$E$8)/($G$8-$E$8),$E$8+SQRT(R995*($G$8-$E$8)*($F$8-$E$8)),$G$8-SQRT((1-R995)*($G$8-$E$8)*($G$8-$F$8))))</f>
        <v>1.01523854548028</v>
      </c>
      <c r="E995" s="37" t="n">
        <f aca="false">1+IF($G$9=$E$9,$F$9,IF(S995&lt;($F$9-$E$9)/($G$9-$E$9),$E$9+SQRT(S995*($G$9-$E$9)*($F$9-$E$9)),$G$9-SQRT((1-S995)*($G$9-$E$9)*($G$9-$F$9))))</f>
        <v>0.997735525172899</v>
      </c>
      <c r="F995" s="37" t="n">
        <f aca="false">1+IF($G$10=$E$10,$F$10,IF(T995&lt;($F$10-$E$10)/($G$10-$E$10),$E$10+SQRT(T995*($G$10-$E$10)*($F$10-$E$10)),$G$10-SQRT((1-T995)*($G$10-$E$10)*($G$10-$F$10))))</f>
        <v>0.989856869048261</v>
      </c>
      <c r="G995" s="38" t="n">
        <f aca="false">IF($G$11=$E$11,$F$11,IF(U995&lt;($F$11-$E$11)/($G$11-$E$11),$E$11+SQRT(U995*($G$11-$E$11)*($F$11-$E$11)),$G$11-SQRT((1-U995)*($G$11-$E$11)*($G$11-$F$11))))</f>
        <v>0.117903298150508</v>
      </c>
      <c r="H995" s="39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-1979713738.09652</v>
      </c>
      <c r="I995" s="39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19346423.1802336</v>
      </c>
      <c r="J995" s="39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333305326.725471</v>
      </c>
      <c r="K995" s="39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696757073.723122</v>
      </c>
      <c r="L995" s="39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837242576.091929</v>
      </c>
      <c r="M995" s="39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1034321515.9541</v>
      </c>
      <c r="N995" s="39" t="n">
        <f aca="false">IF(COUNT('Business Case'!B11:G11)=0,"",H995+NPV(G995,I995:M995))</f>
        <v>-68455264.3917289</v>
      </c>
      <c r="P995" s="40" t="n">
        <f aca="true">RAND()</f>
        <v>0.749994893805411</v>
      </c>
      <c r="Q995" s="40" t="n">
        <f aca="true">RAND()</f>
        <v>0.786390332567379</v>
      </c>
      <c r="R995" s="40" t="n">
        <f aca="true">RAND()</f>
        <v>0.521033055180148</v>
      </c>
      <c r="S995" s="40" t="n">
        <f aca="true">RAND()</f>
        <v>0.382089315232893</v>
      </c>
      <c r="T995" s="40" t="n">
        <f aca="true">RAND()</f>
        <v>0.105904667355351</v>
      </c>
      <c r="U995" s="40" t="n">
        <f aca="true">RAND()</f>
        <v>0.902446536243004</v>
      </c>
    </row>
    <row r="996" customFormat="false" ht="15" hidden="false" customHeight="false" outlineLevel="0" collapsed="false">
      <c r="A996" s="36" t="n">
        <v>916</v>
      </c>
      <c r="B996" s="37" t="n">
        <f aca="false">1+IF($G$6=$E$6,$F$6,IF(P996&lt;($F$6-$E$6)/($G$6-$E$6),$E$6+SQRT(P996*($G$6-$E$6)*($F$6-$E$6)),$G$6-SQRT((1-P996)*($G$6-$E$6)*($G$6-$F$6))))</f>
        <v>0.940275602473261</v>
      </c>
      <c r="C996" s="37" t="n">
        <f aca="false">1+IF($G$7=$E$7,$F$7,IF(Q996&lt;($F$7-$E$7)/($G$7-$E$7),$E$7+SQRT(Q996*($G$7-$E$7)*($F$7-$E$7)),$G$7-SQRT((1-Q996)*($G$7-$E$7)*($G$7-$F$7))))</f>
        <v>0.91569515792582</v>
      </c>
      <c r="D996" s="37" t="n">
        <f aca="false">1+IF($G$8=$E$8,$F$8,IF(R996&lt;($F$8-$E$8)/($G$8-$E$8),$E$8+SQRT(R996*($G$8-$E$8)*($F$8-$E$8)),$G$8-SQRT((1-R996)*($G$8-$E$8)*($G$8-$F$8))))</f>
        <v>0.992147754049631</v>
      </c>
      <c r="E996" s="37" t="n">
        <f aca="false">1+IF($G$9=$E$9,$F$9,IF(S996&lt;($F$9-$E$9)/($G$9-$E$9),$E$9+SQRT(S996*($G$9-$E$9)*($F$9-$E$9)),$G$9-SQRT((1-S996)*($G$9-$E$9)*($G$9-$F$9))))</f>
        <v>1.02536533872135</v>
      </c>
      <c r="F996" s="37" t="n">
        <f aca="false">1+IF($G$10=$E$10,$F$10,IF(T996&lt;($F$10-$E$10)/($G$10-$E$10),$E$10+SQRT(T996*($G$10-$E$10)*($F$10-$E$10)),$G$10-SQRT((1-T996)*($G$10-$E$10)*($G$10-$F$10))))</f>
        <v>1.14505513178085</v>
      </c>
      <c r="G996" s="38" t="n">
        <f aca="false">IF($G$11=$E$11,$F$11,IF(U996&lt;($F$11-$E$11)/($G$11-$E$11),$E$11+SQRT(U996*($G$11-$E$11)*($F$11-$E$11)),$G$11-SQRT((1-U996)*($G$11-$E$11)*($G$11-$F$11))))</f>
        <v>0.104003537366138</v>
      </c>
      <c r="H996" s="39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-2290110263.5617</v>
      </c>
      <c r="I996" s="39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-64803075.3978878</v>
      </c>
      <c r="J996" s="39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175340855.065506</v>
      </c>
      <c r="K996" s="39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472737542.117943</v>
      </c>
      <c r="L996" s="39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582541879.950421</v>
      </c>
      <c r="M996" s="39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746201865.512829</v>
      </c>
      <c r="N996" s="39" t="n">
        <f aca="false">IF(COUNT('Business Case'!B11:G11)=0,"",H996+NPV(G996,I996:M996))</f>
        <v>-1006487092.10124</v>
      </c>
      <c r="P996" s="40" t="n">
        <f aca="true">RAND()</f>
        <v>0.108141610305608</v>
      </c>
      <c r="Q996" s="40" t="n">
        <f aca="true">RAND()</f>
        <v>0.344625193723291</v>
      </c>
      <c r="R996" s="40" t="n">
        <f aca="true">RAND()</f>
        <v>0.236857756190422</v>
      </c>
      <c r="S996" s="40" t="n">
        <f aca="true">RAND()</f>
        <v>0.585765365545507</v>
      </c>
      <c r="T996" s="40" t="n">
        <f aca="true">RAND()</f>
        <v>0.853154328459539</v>
      </c>
      <c r="U996" s="40" t="n">
        <f aca="true">RAND()</f>
        <v>0.549455953684137</v>
      </c>
    </row>
    <row r="997" customFormat="false" ht="15" hidden="false" customHeight="false" outlineLevel="0" collapsed="false">
      <c r="A997" s="36" t="n">
        <v>917</v>
      </c>
      <c r="B997" s="37" t="n">
        <f aca="false">1+IF($G$6=$E$6,$F$6,IF(P997&lt;($F$6-$E$6)/($G$6-$E$6),$E$6+SQRT(P997*($G$6-$E$6)*($F$6-$E$6)),$G$6-SQRT((1-P997)*($G$6-$E$6)*($G$6-$F$6))))</f>
        <v>1.01978237499455</v>
      </c>
      <c r="C997" s="37" t="n">
        <f aca="false">1+IF($G$7=$E$7,$F$7,IF(Q997&lt;($F$7-$E$7)/($G$7-$E$7),$E$7+SQRT(Q997*($G$7-$E$7)*($F$7-$E$7)),$G$7-SQRT((1-Q997)*($G$7-$E$7)*($G$7-$F$7))))</f>
        <v>0.848065444479785</v>
      </c>
      <c r="D997" s="37" t="n">
        <f aca="false">1+IF($G$8=$E$8,$F$8,IF(R997&lt;($F$8-$E$8)/($G$8-$E$8),$E$8+SQRT(R997*($G$8-$E$8)*($F$8-$E$8)),$G$8-SQRT((1-R997)*($G$8-$E$8)*($G$8-$F$8))))</f>
        <v>0.998134676551641</v>
      </c>
      <c r="E997" s="37" t="n">
        <f aca="false">1+IF($G$9=$E$9,$F$9,IF(S997&lt;($F$9-$E$9)/($G$9-$E$9),$E$9+SQRT(S997*($G$9-$E$9)*($F$9-$E$9)),$G$9-SQRT((1-S997)*($G$9-$E$9)*($G$9-$F$9))))</f>
        <v>0.987792699388329</v>
      </c>
      <c r="F997" s="37" t="n">
        <f aca="false">1+IF($G$10=$E$10,$F$10,IF(T997&lt;($F$10-$E$10)/($G$10-$E$10),$E$10+SQRT(T997*($G$10-$E$10)*($F$10-$E$10)),$G$10-SQRT((1-T997)*($G$10-$E$10)*($G$10-$F$10))))</f>
        <v>0.984011899933203</v>
      </c>
      <c r="G997" s="38" t="n">
        <f aca="false">IF($G$11=$E$11,$F$11,IF(U997&lt;($F$11-$E$11)/($G$11-$E$11),$E$11+SQRT(U997*($G$11-$E$11)*($F$11-$E$11)),$G$11-SQRT((1-U997)*($G$11-$E$11)*($G$11-$F$11))))</f>
        <v>0.110357399944302</v>
      </c>
      <c r="H997" s="39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-1968023799.86641</v>
      </c>
      <c r="I997" s="39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-8662554.04807419</v>
      </c>
      <c r="J997" s="39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266373623.041658</v>
      </c>
      <c r="K997" s="39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590610395.12805</v>
      </c>
      <c r="L997" s="39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712178067.018938</v>
      </c>
      <c r="M997" s="39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876567271.087644</v>
      </c>
      <c r="N997" s="39" t="n">
        <f aca="false">IF(COUNT('Business Case'!B11:G11)=0,"",H997+NPV(G997,I997:M997))</f>
        <v>-340444008.812333</v>
      </c>
      <c r="P997" s="40" t="n">
        <f aca="true">RAND()</f>
        <v>0.878252685204011</v>
      </c>
      <c r="Q997" s="40" t="n">
        <f aca="true">RAND()</f>
        <v>0.162395376659232</v>
      </c>
      <c r="R997" s="40" t="n">
        <f aca="true">RAND()</f>
        <v>0.308926278230808</v>
      </c>
      <c r="S997" s="40" t="n">
        <f aca="true">RAND()</f>
        <v>0.308302322635579</v>
      </c>
      <c r="T997" s="40" t="n">
        <f aca="true">RAND()</f>
        <v>0.0771206224710795</v>
      </c>
      <c r="U997" s="40" t="n">
        <f aca="true">RAND()</f>
        <v>0.742778842034591</v>
      </c>
    </row>
    <row r="998" customFormat="false" ht="15" hidden="false" customHeight="false" outlineLevel="0" collapsed="false">
      <c r="A998" s="36" t="n">
        <v>918</v>
      </c>
      <c r="B998" s="37" t="n">
        <f aca="false">1+IF($G$6=$E$6,$F$6,IF(P998&lt;($F$6-$E$6)/($G$6-$E$6),$E$6+SQRT(P998*($G$6-$E$6)*($F$6-$E$6)),$G$6-SQRT((1-P998)*($G$6-$E$6)*($G$6-$F$6))))</f>
        <v>1.0208844390644</v>
      </c>
      <c r="C998" s="37" t="n">
        <f aca="false">1+IF($G$7=$E$7,$F$7,IF(Q998&lt;($F$7-$E$7)/($G$7-$E$7),$E$7+SQRT(Q998*($G$7-$E$7)*($F$7-$E$7)),$G$7-SQRT((1-Q998)*($G$7-$E$7)*($G$7-$F$7))))</f>
        <v>0.834433816112379</v>
      </c>
      <c r="D998" s="37" t="n">
        <f aca="false">1+IF($G$8=$E$8,$F$8,IF(R998&lt;($F$8-$E$8)/($G$8-$E$8),$E$8+SQRT(R998*($G$8-$E$8)*($F$8-$E$8)),$G$8-SQRT((1-R998)*($G$8-$E$8)*($G$8-$F$8))))</f>
        <v>0.987852294286102</v>
      </c>
      <c r="E998" s="37" t="n">
        <f aca="false">1+IF($G$9=$E$9,$F$9,IF(S998&lt;($F$9-$E$9)/($G$9-$E$9),$E$9+SQRT(S998*($G$9-$E$9)*($F$9-$E$9)),$G$9-SQRT((1-S998)*($G$9-$E$9)*($G$9-$F$9))))</f>
        <v>0.99146086814235</v>
      </c>
      <c r="F998" s="37" t="n">
        <f aca="false">1+IF($G$10=$E$10,$F$10,IF(T998&lt;($F$10-$E$10)/($G$10-$E$10),$E$10+SQRT(T998*($G$10-$E$10)*($F$10-$E$10)),$G$10-SQRT((1-T998)*($G$10-$E$10)*($G$10-$F$10))))</f>
        <v>0.987323331017445</v>
      </c>
      <c r="G998" s="38" t="n">
        <f aca="false">IF($G$11=$E$11,$F$11,IF(U998&lt;($F$11-$E$11)/($G$11-$E$11),$E$11+SQRT(U998*($G$11-$E$11)*($F$11-$E$11)),$G$11-SQRT((1-U998)*($G$11-$E$11)*($G$11-$F$11))))</f>
        <v>0.112075540132269</v>
      </c>
      <c r="H998" s="39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-1974646662.03489</v>
      </c>
      <c r="I998" s="39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-8117739.08682677</v>
      </c>
      <c r="J998" s="39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267643038.609714</v>
      </c>
      <c r="K998" s="39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592769982.857127</v>
      </c>
      <c r="L998" s="39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714130540.910496</v>
      </c>
      <c r="M998" s="39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876052184.427028</v>
      </c>
      <c r="N998" s="39" t="n">
        <f aca="false">IF(COUNT('Business Case'!B11:G11)=0,"",H998+NPV(G998,I998:M998))</f>
        <v>-352546596.630128</v>
      </c>
      <c r="P998" s="40" t="n">
        <f aca="true">RAND()</f>
        <v>0.886971214854039</v>
      </c>
      <c r="Q998" s="40" t="n">
        <f aca="true">RAND()</f>
        <v>0.133870006774348</v>
      </c>
      <c r="R998" s="40" t="n">
        <f aca="true">RAND()</f>
        <v>0.191039491029554</v>
      </c>
      <c r="S998" s="40" t="n">
        <f aca="true">RAND()</f>
        <v>0.334603616054091</v>
      </c>
      <c r="T998" s="40" t="n">
        <f aca="true">RAND()</f>
        <v>0.0928687358825181</v>
      </c>
      <c r="U998" s="40" t="n">
        <f aca="true">RAND()</f>
        <v>0.785809158966743</v>
      </c>
    </row>
    <row r="999" customFormat="false" ht="15" hidden="false" customHeight="false" outlineLevel="0" collapsed="false">
      <c r="A999" s="36" t="n">
        <v>919</v>
      </c>
      <c r="B999" s="37" t="n">
        <f aca="false">1+IF($G$6=$E$6,$F$6,IF(P999&lt;($F$6-$E$6)/($G$6-$E$6),$E$6+SQRT(P999*($G$6-$E$6)*($F$6-$E$6)),$G$6-SQRT((1-P999)*($G$6-$E$6)*($G$6-$F$6))))</f>
        <v>0.944447148287728</v>
      </c>
      <c r="C999" s="37" t="n">
        <f aca="false">1+IF($G$7=$E$7,$F$7,IF(Q999&lt;($F$7-$E$7)/($G$7-$E$7),$E$7+SQRT(Q999*($G$7-$E$7)*($F$7-$E$7)),$G$7-SQRT((1-Q999)*($G$7-$E$7)*($G$7-$F$7))))</f>
        <v>0.890601700409847</v>
      </c>
      <c r="D999" s="37" t="n">
        <f aca="false">1+IF($G$8=$E$8,$F$8,IF(R999&lt;($F$8-$E$8)/($G$8-$E$8),$E$8+SQRT(R999*($G$8-$E$8)*($F$8-$E$8)),$G$8-SQRT((1-R999)*($G$8-$E$8)*($G$8-$F$8))))</f>
        <v>0.971179735496134</v>
      </c>
      <c r="E999" s="37" t="n">
        <f aca="false">1+IF($G$9=$E$9,$F$9,IF(S999&lt;($F$9-$E$9)/($G$9-$E$9),$E$9+SQRT(S999*($G$9-$E$9)*($F$9-$E$9)),$G$9-SQRT((1-S999)*($G$9-$E$9)*($G$9-$F$9))))</f>
        <v>0.979810733990602</v>
      </c>
      <c r="F999" s="37" t="n">
        <f aca="false">1+IF($G$10=$E$10,$F$10,IF(T999&lt;($F$10-$E$10)/($G$10-$E$10),$E$10+SQRT(T999*($G$10-$E$10)*($F$10-$E$10)),$G$10-SQRT((1-T999)*($G$10-$E$10)*($G$10-$F$10))))</f>
        <v>1.0300906809456</v>
      </c>
      <c r="G999" s="38" t="n">
        <f aca="false">IF($G$11=$E$11,$F$11,IF(U999&lt;($F$11-$E$11)/($G$11-$E$11),$E$11+SQRT(U999*($G$11-$E$11)*($F$11-$E$11)),$G$11-SQRT((1-U999)*($G$11-$E$11)*($G$11-$F$11))))</f>
        <v>0.100059132946962</v>
      </c>
      <c r="H999" s="39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-2060181361.89119</v>
      </c>
      <c r="I999" s="39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-39776369.0647537</v>
      </c>
      <c r="J999" s="39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206389400.42376</v>
      </c>
      <c r="K999" s="39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504059703.959554</v>
      </c>
      <c r="L999" s="39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615184283.179222</v>
      </c>
      <c r="M999" s="39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775065558.158453</v>
      </c>
      <c r="N999" s="39" t="n">
        <f aca="false">IF(COUNT('Business Case'!B11:G11)=0,"",H999+NPV(G999,I999:M999))</f>
        <v>-645927688.035733</v>
      </c>
      <c r="P999" s="40" t="n">
        <f aca="true">RAND()</f>
        <v>0.131703266060751</v>
      </c>
      <c r="Q999" s="40" t="n">
        <f aca="true">RAND()</f>
        <v>0.269103764437963</v>
      </c>
      <c r="R999" s="40" t="n">
        <f aca="true">RAND()</f>
        <v>0.0598108260914923</v>
      </c>
      <c r="S999" s="40" t="n">
        <f aca="true">RAND()</f>
        <v>0.254790130404742</v>
      </c>
      <c r="T999" s="40" t="n">
        <f aca="true">RAND()</f>
        <v>0.355198551907045</v>
      </c>
      <c r="U999" s="40" t="n">
        <f aca="true">RAND()</f>
        <v>0.402362986741544</v>
      </c>
    </row>
    <row r="1000" customFormat="false" ht="15" hidden="false" customHeight="false" outlineLevel="0" collapsed="false">
      <c r="A1000" s="36" t="n">
        <v>920</v>
      </c>
      <c r="B1000" s="37" t="n">
        <f aca="false">1+IF($G$6=$E$6,$F$6,IF(P1000&lt;($F$6-$E$6)/($G$6-$E$6),$E$6+SQRT(P1000*($G$6-$E$6)*($F$6-$E$6)),$G$6-SQRT((1-P1000)*($G$6-$E$6)*($G$6-$F$6))))</f>
        <v>0.981101297085132</v>
      </c>
      <c r="C1000" s="37" t="n">
        <f aca="false">1+IF($G$7=$E$7,$F$7,IF(Q1000&lt;($F$7-$E$7)/($G$7-$E$7),$E$7+SQRT(Q1000*($G$7-$E$7)*($F$7-$E$7)),$G$7-SQRT((1-Q1000)*($G$7-$E$7)*($G$7-$F$7))))</f>
        <v>1.0238117117768</v>
      </c>
      <c r="D1000" s="37" t="n">
        <f aca="false">1+IF($G$8=$E$8,$F$8,IF(R1000&lt;($F$8-$E$8)/($G$8-$E$8),$E$8+SQRT(R1000*($G$8-$E$8)*($F$8-$E$8)),$G$8-SQRT((1-R1000)*($G$8-$E$8)*($G$8-$F$8))))</f>
        <v>1.05633872762699</v>
      </c>
      <c r="E1000" s="37" t="n">
        <f aca="false">1+IF($G$9=$E$9,$F$9,IF(S1000&lt;($F$9-$E$9)/($G$9-$E$9),$E$9+SQRT(S1000*($G$9-$E$9)*($F$9-$E$9)),$G$9-SQRT((1-S1000)*($G$9-$E$9)*($G$9-$F$9))))</f>
        <v>1.01757064693861</v>
      </c>
      <c r="F1000" s="37" t="n">
        <f aca="false">1+IF($G$10=$E$10,$F$10,IF(T1000&lt;($F$10-$E$10)/($G$10-$E$10),$E$10+SQRT(T1000*($G$10-$E$10)*($F$10-$E$10)),$G$10-SQRT((1-T1000)*($G$10-$E$10)*($G$10-$F$10))))</f>
        <v>1.0737893358451</v>
      </c>
      <c r="G1000" s="38" t="n">
        <f aca="false">IF($G$11=$E$11,$F$11,IF(U1000&lt;($F$11-$E$11)/($G$11-$E$11),$E$11+SQRT(U1000*($G$11-$E$11)*($F$11-$E$11)),$G$11-SQRT((1-U1000)*($G$11-$E$11)*($G$11-$F$11))))</f>
        <v>0.103792230688225</v>
      </c>
      <c r="H1000" s="39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-2147578671.6902</v>
      </c>
      <c r="I1000" s="39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-35058689.0429163</v>
      </c>
      <c r="J1000" s="39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234031463.330153</v>
      </c>
      <c r="K1000" s="39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556811082.495477</v>
      </c>
      <c r="L1000" s="39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681222041.177704</v>
      </c>
      <c r="M1000" s="39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872150367.912657</v>
      </c>
      <c r="N1000" s="39" t="n">
        <f aca="false">IF(COUNT('Business Case'!B11:G11)=0,"",H1000+NPV(G1000,I1000:M1000))</f>
        <v>-581989241.134902</v>
      </c>
      <c r="P1000" s="40" t="n">
        <f aca="true">RAND()</f>
        <v>0.438494692592719</v>
      </c>
      <c r="Q1000" s="40" t="n">
        <f aca="true">RAND()</f>
        <v>0.764096532078488</v>
      </c>
      <c r="R1000" s="40" t="n">
        <f aca="true">RAND()</f>
        <v>0.872912886317985</v>
      </c>
      <c r="S1000" s="40" t="n">
        <f aca="true">RAND()</f>
        <v>0.532332438606451</v>
      </c>
      <c r="T1000" s="40" t="n">
        <f aca="true">RAND()</f>
        <v>0.585997357841177</v>
      </c>
      <c r="U1000" s="40" t="n">
        <f aca="true">RAND()</f>
        <v>0.54210188513385</v>
      </c>
    </row>
    <row r="1001" customFormat="false" ht="15" hidden="false" customHeight="false" outlineLevel="0" collapsed="false">
      <c r="A1001" s="36" t="n">
        <v>921</v>
      </c>
      <c r="B1001" s="37" t="n">
        <f aca="false">1+IF($G$6=$E$6,$F$6,IF(P1001&lt;($F$6-$E$6)/($G$6-$E$6),$E$6+SQRT(P1001*($G$6-$E$6)*($F$6-$E$6)),$G$6-SQRT((1-P1001)*($G$6-$E$6)*($G$6-$F$6))))</f>
        <v>0.991343746544533</v>
      </c>
      <c r="C1001" s="37" t="n">
        <f aca="false">1+IF($G$7=$E$7,$F$7,IF(Q1001&lt;($F$7-$E$7)/($G$7-$E$7),$E$7+SQRT(Q1001*($G$7-$E$7)*($F$7-$E$7)),$G$7-SQRT((1-Q1001)*($G$7-$E$7)*($G$7-$F$7))))</f>
        <v>1.0606468830412</v>
      </c>
      <c r="D1001" s="37" t="n">
        <f aca="false">1+IF($G$8=$E$8,$F$8,IF(R1001&lt;($F$8-$E$8)/($G$8-$E$8),$E$8+SQRT(R1001*($G$8-$E$8)*($F$8-$E$8)),$G$8-SQRT((1-R1001)*($G$8-$E$8)*($G$8-$F$8))))</f>
        <v>1.01313421532324</v>
      </c>
      <c r="E1001" s="37" t="n">
        <f aca="false">1+IF($G$9=$E$9,$F$9,IF(S1001&lt;($F$9-$E$9)/($G$9-$E$9),$E$9+SQRT(S1001*($G$9-$E$9)*($F$9-$E$9)),$G$9-SQRT((1-S1001)*($G$9-$E$9)*($G$9-$F$9))))</f>
        <v>1.04774102542658</v>
      </c>
      <c r="F1001" s="37" t="n">
        <f aca="false">1+IF($G$10=$E$10,$F$10,IF(T1001&lt;($F$10-$E$10)/($G$10-$E$10),$E$10+SQRT(T1001*($G$10-$E$10)*($F$10-$E$10)),$G$10-SQRT((1-T1001)*($G$10-$E$10)*($G$10-$F$10))))</f>
        <v>1.03899741162243</v>
      </c>
      <c r="G1001" s="38" t="n">
        <f aca="false">IF($G$11=$E$11,$F$11,IF(U1001&lt;($F$11-$E$11)/($G$11-$E$11),$E$11+SQRT(U1001*($G$11-$E$11)*($F$11-$E$11)),$G$11-SQRT((1-U1001)*($G$11-$E$11)*($G$11-$F$11))))</f>
        <v>0.0940174532319487</v>
      </c>
      <c r="H1001" s="39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-2077994823.24486</v>
      </c>
      <c r="I1001" s="39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3731792.92994952</v>
      </c>
      <c r="J1001" s="39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314860080.382367</v>
      </c>
      <c r="K1001" s="39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677938238.415905</v>
      </c>
      <c r="L1001" s="39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817986320.596421</v>
      </c>
      <c r="M1001" s="39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1017848912.25983</v>
      </c>
      <c r="N1001" s="39" t="n">
        <f aca="false">IF(COUNT('Business Case'!B11:G11)=0,"",H1001+NPV(G1001,I1001:M1001))</f>
        <v>-73276890.756654</v>
      </c>
      <c r="P1001" s="40" t="n">
        <f aca="true">RAND()</f>
        <v>0.556245335519458</v>
      </c>
      <c r="Q1001" s="40" t="n">
        <f aca="true">RAND()</f>
        <v>0.881718822070338</v>
      </c>
      <c r="R1001" s="40" t="n">
        <f aca="true">RAND()</f>
        <v>0.496955696832732</v>
      </c>
      <c r="S1001" s="40" t="n">
        <f aca="true">RAND()</f>
        <v>0.721149389845144</v>
      </c>
      <c r="T1001" s="40" t="n">
        <f aca="true">RAND()</f>
        <v>0.406372102639529</v>
      </c>
      <c r="U1001" s="40" t="n">
        <f aca="true">RAND()</f>
        <v>0.19648899510987</v>
      </c>
    </row>
    <row r="1002" customFormat="false" ht="15" hidden="false" customHeight="false" outlineLevel="0" collapsed="false">
      <c r="A1002" s="36" t="n">
        <v>922</v>
      </c>
      <c r="B1002" s="37" t="n">
        <f aca="false">1+IF($G$6=$E$6,$F$6,IF(P1002&lt;($F$6-$E$6)/($G$6-$E$6),$E$6+SQRT(P1002*($G$6-$E$6)*($F$6-$E$6)),$G$6-SQRT((1-P1002)*($G$6-$E$6)*($G$6-$F$6))))</f>
        <v>0.996590898304309</v>
      </c>
      <c r="C1002" s="37" t="n">
        <f aca="false">1+IF($G$7=$E$7,$F$7,IF(Q1002&lt;($F$7-$E$7)/($G$7-$E$7),$E$7+SQRT(Q1002*($G$7-$E$7)*($F$7-$E$7)),$G$7-SQRT((1-Q1002)*($G$7-$E$7)*($G$7-$F$7))))</f>
        <v>0.899289715711654</v>
      </c>
      <c r="D1002" s="37" t="n">
        <f aca="false">1+IF($G$8=$E$8,$F$8,IF(R1002&lt;($F$8-$E$8)/($G$8-$E$8),$E$8+SQRT(R1002*($G$8-$E$8)*($F$8-$E$8)),$G$8-SQRT((1-R1002)*($G$8-$E$8)*($G$8-$F$8))))</f>
        <v>1.01239044234188</v>
      </c>
      <c r="E1002" s="37" t="n">
        <f aca="false">1+IF($G$9=$E$9,$F$9,IF(S1002&lt;($F$9-$E$9)/($G$9-$E$9),$E$9+SQRT(S1002*($G$9-$E$9)*($F$9-$E$9)),$G$9-SQRT((1-S1002)*($G$9-$E$9)*($G$9-$F$9))))</f>
        <v>0.918756752046439</v>
      </c>
      <c r="F1002" s="37" t="n">
        <f aca="false">1+IF($G$10=$E$10,$F$10,IF(T1002&lt;($F$10-$E$10)/($G$10-$E$10),$E$10+SQRT(T1002*($G$10-$E$10)*($F$10-$E$10)),$G$10-SQRT((1-T1002)*($G$10-$E$10)*($G$10-$F$10))))</f>
        <v>1.10318854813754</v>
      </c>
      <c r="G1002" s="38" t="n">
        <f aca="false">IF($G$11=$E$11,$F$11,IF(U1002&lt;($F$11-$E$11)/($G$11-$E$11),$E$11+SQRT(U1002*($G$11-$E$11)*($F$11-$E$11)),$G$11-SQRT((1-U1002)*($G$11-$E$11)*($G$11-$F$11))))</f>
        <v>0.095875526162431</v>
      </c>
      <c r="H1002" s="39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-2206377096.27507</v>
      </c>
      <c r="I1002" s="39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-19422884.4245681</v>
      </c>
      <c r="J1002" s="39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248580545.446401</v>
      </c>
      <c r="K1002" s="39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571743402.724248</v>
      </c>
      <c r="L1002" s="39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692051378.908424</v>
      </c>
      <c r="M1002" s="39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862405626.491285</v>
      </c>
      <c r="N1002" s="39" t="n">
        <f aca="false">IF(COUNT('Business Case'!B11:G11)=0,"",H1002+NPV(G1002,I1002:M1002))</f>
        <v>-557209576.153524</v>
      </c>
      <c r="P1002" s="40" t="n">
        <f aca="true">RAND()</f>
        <v>0.621986775682224</v>
      </c>
      <c r="Q1002" s="40" t="n">
        <f aca="true">RAND()</f>
        <v>0.294195487321716</v>
      </c>
      <c r="R1002" s="40" t="n">
        <f aca="true">RAND()</f>
        <v>0.488304360463221</v>
      </c>
      <c r="S1002" s="40" t="n">
        <f aca="true">RAND()</f>
        <v>0.0140726298932642</v>
      </c>
      <c r="T1002" s="40" t="n">
        <f aca="true">RAND()</f>
        <v>0.712618634693807</v>
      </c>
      <c r="U1002" s="40" t="n">
        <f aca="true">RAND()</f>
        <v>0.252032330934031</v>
      </c>
    </row>
    <row r="1003" customFormat="false" ht="15" hidden="false" customHeight="false" outlineLevel="0" collapsed="false">
      <c r="A1003" s="36" t="n">
        <v>923</v>
      </c>
      <c r="B1003" s="37" t="n">
        <f aca="false">1+IF($G$6=$E$6,$F$6,IF(P1003&lt;($F$6-$E$6)/($G$6-$E$6),$E$6+SQRT(P1003*($G$6-$E$6)*($F$6-$E$6)),$G$6-SQRT((1-P1003)*($G$6-$E$6)*($G$6-$F$6))))</f>
        <v>0.952592354892741</v>
      </c>
      <c r="C1003" s="37" t="n">
        <f aca="false">1+IF($G$7=$E$7,$F$7,IF(Q1003&lt;($F$7-$E$7)/($G$7-$E$7),$E$7+SQRT(Q1003*($G$7-$E$7)*($F$7-$E$7)),$G$7-SQRT((1-Q1003)*($G$7-$E$7)*($G$7-$F$7))))</f>
        <v>1.05880757405053</v>
      </c>
      <c r="D1003" s="37" t="n">
        <f aca="false">1+IF($G$8=$E$8,$F$8,IF(R1003&lt;($F$8-$E$8)/($G$8-$E$8),$E$8+SQRT(R1003*($G$8-$E$8)*($F$8-$E$8)),$G$8-SQRT((1-R1003)*($G$8-$E$8)*($G$8-$F$8))))</f>
        <v>1.02811122962685</v>
      </c>
      <c r="E1003" s="37" t="n">
        <f aca="false">1+IF($G$9=$E$9,$F$9,IF(S1003&lt;($F$9-$E$9)/($G$9-$E$9),$E$9+SQRT(S1003*($G$9-$E$9)*($F$9-$E$9)),$G$9-SQRT((1-S1003)*($G$9-$E$9)*($G$9-$F$9))))</f>
        <v>1.00947274132084</v>
      </c>
      <c r="F1003" s="37" t="n">
        <f aca="false">1+IF($G$10=$E$10,$F$10,IF(T1003&lt;($F$10-$E$10)/($G$10-$E$10),$E$10+SQRT(T1003*($G$10-$E$10)*($F$10-$E$10)),$G$10-SQRT((1-T1003)*($G$10-$E$10)*($G$10-$F$10))))</f>
        <v>1.15293952735287</v>
      </c>
      <c r="G1003" s="38" t="n">
        <f aca="false">IF($G$11=$E$11,$F$11,IF(U1003&lt;($F$11-$E$11)/($G$11-$E$11),$E$11+SQRT(U1003*($G$11-$E$11)*($F$11-$E$11)),$G$11-SQRT((1-U1003)*($G$11-$E$11)*($G$11-$F$11))))</f>
        <v>0.112158338509924</v>
      </c>
      <c r="H1003" s="39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-2305879054.70574</v>
      </c>
      <c r="I1003" s="39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-42263330.4777485</v>
      </c>
      <c r="J1003" s="39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226600761.693397</v>
      </c>
      <c r="K1003" s="39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553111830.232186</v>
      </c>
      <c r="L1003" s="39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677590825.021091</v>
      </c>
      <c r="M1003" s="39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869307794.0463</v>
      </c>
      <c r="N1003" s="39" t="n">
        <f aca="false">IF(COUNT('Business Case'!B11:G11)=0,"",H1003+NPV(G1003,I1003:M1003))</f>
        <v>-804797935.446099</v>
      </c>
      <c r="P1003" s="40" t="n">
        <f aca="true">RAND()</f>
        <v>0.184397052877598</v>
      </c>
      <c r="Q1003" s="40" t="n">
        <f aca="true">RAND()</f>
        <v>0.876799132584449</v>
      </c>
      <c r="R1003" s="40" t="n">
        <f aca="true">RAND()</f>
        <v>0.655466979615766</v>
      </c>
      <c r="S1003" s="40" t="n">
        <f aca="true">RAND()</f>
        <v>0.473389055149852</v>
      </c>
      <c r="T1003" s="40" t="n">
        <f aca="true">RAND()</f>
        <v>0.874390195326873</v>
      </c>
      <c r="U1003" s="40" t="n">
        <f aca="true">RAND()</f>
        <v>0.78778341018236</v>
      </c>
    </row>
    <row r="1004" customFormat="false" ht="15" hidden="false" customHeight="false" outlineLevel="0" collapsed="false">
      <c r="A1004" s="36" t="n">
        <v>924</v>
      </c>
      <c r="B1004" s="37" t="n">
        <f aca="false">1+IF($G$6=$E$6,$F$6,IF(P1004&lt;($F$6-$E$6)/($G$6-$E$6),$E$6+SQRT(P1004*($G$6-$E$6)*($F$6-$E$6)),$G$6-SQRT((1-P1004)*($G$6-$E$6)*($G$6-$F$6))))</f>
        <v>1.04816560606748</v>
      </c>
      <c r="C1004" s="37" t="n">
        <f aca="false">1+IF($G$7=$E$7,$F$7,IF(Q1004&lt;($F$7-$E$7)/($G$7-$E$7),$E$7+SQRT(Q1004*($G$7-$E$7)*($F$7-$E$7)),$G$7-SQRT((1-Q1004)*($G$7-$E$7)*($G$7-$F$7))))</f>
        <v>0.887552859500615</v>
      </c>
      <c r="D1004" s="37" t="n">
        <f aca="false">1+IF($G$8=$E$8,$F$8,IF(R1004&lt;($F$8-$E$8)/($G$8-$E$8),$E$8+SQRT(R1004*($G$8-$E$8)*($F$8-$E$8)),$G$8-SQRT((1-R1004)*($G$8-$E$8)*($G$8-$F$8))))</f>
        <v>1.05819268745</v>
      </c>
      <c r="E1004" s="37" t="n">
        <f aca="false">1+IF($G$9=$E$9,$F$9,IF(S1004&lt;($F$9-$E$9)/($G$9-$E$9),$E$9+SQRT(S1004*($G$9-$E$9)*($F$9-$E$9)),$G$9-SQRT((1-S1004)*($G$9-$E$9)*($G$9-$F$9))))</f>
        <v>0.977563556970846</v>
      </c>
      <c r="F1004" s="37" t="n">
        <f aca="false">1+IF($G$10=$E$10,$F$10,IF(T1004&lt;($F$10-$E$10)/($G$10-$E$10),$E$10+SQRT(T1004*($G$10-$E$10)*($F$10-$E$10)),$G$10-SQRT((1-T1004)*($G$10-$E$10)*($G$10-$F$10))))</f>
        <v>1.0193778977091</v>
      </c>
      <c r="G1004" s="38" t="n">
        <f aca="false">IF($G$11=$E$11,$F$11,IF(U1004&lt;($F$11-$E$11)/($G$11-$E$11),$E$11+SQRT(U1004*($G$11-$E$11)*($F$11-$E$11)),$G$11-SQRT((1-U1004)*($G$11-$E$11)*($G$11-$F$11))))</f>
        <v>0.118607947507175</v>
      </c>
      <c r="H1004" s="39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-2038755795.41821</v>
      </c>
      <c r="I1004" s="39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-7985831.28961594</v>
      </c>
      <c r="J1004" s="39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273202540.41855</v>
      </c>
      <c r="K1004" s="39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605359807.01217</v>
      </c>
      <c r="L1004" s="39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731240514.53197</v>
      </c>
      <c r="M1004" s="39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908072391.092565</v>
      </c>
      <c r="N1004" s="39" t="n">
        <f aca="false">IF(COUNT('Business Case'!B11:G11)=0,"",H1004+NPV(G1004,I1004:M1004))</f>
        <v>-409550364.677089</v>
      </c>
      <c r="P1004" s="40" t="n">
        <f aca="true">RAND()</f>
        <v>0.999551333186709</v>
      </c>
      <c r="Q1004" s="40" t="n">
        <f aca="true">RAND()</f>
        <v>0.260563519310056</v>
      </c>
      <c r="R1004" s="40" t="n">
        <f aca="true">RAND()</f>
        <v>0.883476574489761</v>
      </c>
      <c r="S1004" s="40" t="n">
        <f aca="true">RAND()</f>
        <v>0.240644214798785</v>
      </c>
      <c r="T1004" s="40" t="n">
        <f aca="true">RAND()</f>
        <v>0.290845945799038</v>
      </c>
      <c r="U1004" s="40" t="n">
        <f aca="true">RAND()</f>
        <v>0.913480760000483</v>
      </c>
    </row>
    <row r="1005" customFormat="false" ht="15" hidden="false" customHeight="false" outlineLevel="0" collapsed="false">
      <c r="A1005" s="36" t="n">
        <v>925</v>
      </c>
      <c r="B1005" s="37" t="n">
        <f aca="false">1+IF($G$6=$E$6,$F$6,IF(P1005&lt;($F$6-$E$6)/($G$6-$E$6),$E$6+SQRT(P1005*($G$6-$E$6)*($F$6-$E$6)),$G$6-SQRT((1-P1005)*($G$6-$E$6)*($G$6-$F$6))))</f>
        <v>1.00553992905383</v>
      </c>
      <c r="C1005" s="37" t="n">
        <f aca="false">1+IF($G$7=$E$7,$F$7,IF(Q1005&lt;($F$7-$E$7)/($G$7-$E$7),$E$7+SQRT(Q1005*($G$7-$E$7)*($F$7-$E$7)),$G$7-SQRT((1-Q1005)*($G$7-$E$7)*($G$7-$F$7))))</f>
        <v>0.957045378506295</v>
      </c>
      <c r="D1005" s="37" t="n">
        <f aca="false">1+IF($G$8=$E$8,$F$8,IF(R1005&lt;($F$8-$E$8)/($G$8-$E$8),$E$8+SQRT(R1005*($G$8-$E$8)*($F$8-$E$8)),$G$8-SQRT((1-R1005)*($G$8-$E$8)*($G$8-$F$8))))</f>
        <v>1.03532524859586</v>
      </c>
      <c r="E1005" s="37" t="n">
        <f aca="false">1+IF($G$9=$E$9,$F$9,IF(S1005&lt;($F$9-$E$9)/($G$9-$E$9),$E$9+SQRT(S1005*($G$9-$E$9)*($F$9-$E$9)),$G$9-SQRT((1-S1005)*($G$9-$E$9)*($G$9-$F$9))))</f>
        <v>1.0589335593714</v>
      </c>
      <c r="F1005" s="37" t="n">
        <f aca="false">1+IF($G$10=$E$10,$F$10,IF(T1005&lt;($F$10-$E$10)/($G$10-$E$10),$E$10+SQRT(T1005*($G$10-$E$10)*($F$10-$E$10)),$G$10-SQRT((1-T1005)*($G$10-$E$10)*($G$10-$F$10))))</f>
        <v>1.15948463883079</v>
      </c>
      <c r="G1005" s="38" t="n">
        <f aca="false">IF($G$11=$E$11,$F$11,IF(U1005&lt;($F$11-$E$11)/($G$11-$E$11),$E$11+SQRT(U1005*($G$11-$E$11)*($F$11-$E$11)),$G$11-SQRT((1-U1005)*($G$11-$E$11)*($G$11-$F$11))))</f>
        <v>0.112453011024781</v>
      </c>
      <c r="H1005" s="39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-2318969277.66157</v>
      </c>
      <c r="I1005" s="39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-35422733.0081401</v>
      </c>
      <c r="J1005" s="39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245571436.218926</v>
      </c>
      <c r="K1005" s="39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584539837.387531</v>
      </c>
      <c r="L1005" s="39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711463284.602895</v>
      </c>
      <c r="M1005" s="39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894386267.371114</v>
      </c>
      <c r="N1005" s="39" t="n">
        <f aca="false">IF(COUNT('Business Case'!B11:G11)=0,"",H1005+NPV(G1005,I1005:M1005))</f>
        <v>-738297253.210835</v>
      </c>
      <c r="P1005" s="40" t="n">
        <f aca="true">RAND()</f>
        <v>0.736440278861534</v>
      </c>
      <c r="Q1005" s="40" t="n">
        <f aca="true">RAND()</f>
        <v>0.489424641566255</v>
      </c>
      <c r="R1005" s="40" t="n">
        <f aca="true">RAND()</f>
        <v>0.721145102054204</v>
      </c>
      <c r="S1005" s="40" t="n">
        <f aca="true">RAND()</f>
        <v>0.778850757099676</v>
      </c>
      <c r="T1005" s="40" t="n">
        <f aca="true">RAND()</f>
        <v>0.890759591898758</v>
      </c>
      <c r="U1005" s="40" t="n">
        <f aca="true">RAND()</f>
        <v>0.794735451935705</v>
      </c>
    </row>
    <row r="1006" customFormat="false" ht="15" hidden="false" customHeight="false" outlineLevel="0" collapsed="false">
      <c r="A1006" s="36" t="n">
        <v>926</v>
      </c>
      <c r="B1006" s="37" t="n">
        <f aca="false">1+IF($G$6=$E$6,$F$6,IF(P1006&lt;($F$6-$E$6)/($G$6-$E$6),$E$6+SQRT(P1006*($G$6-$E$6)*($F$6-$E$6)),$G$6-SQRT((1-P1006)*($G$6-$E$6)*($G$6-$F$6))))</f>
        <v>0.994579699449195</v>
      </c>
      <c r="C1006" s="37" t="n">
        <f aca="false">1+IF($G$7=$E$7,$F$7,IF(Q1006&lt;($F$7-$E$7)/($G$7-$E$7),$E$7+SQRT(Q1006*($G$7-$E$7)*($F$7-$E$7)),$G$7-SQRT((1-Q1006)*($G$7-$E$7)*($G$7-$F$7))))</f>
        <v>0.733639689647277</v>
      </c>
      <c r="D1006" s="37" t="n">
        <f aca="false">1+IF($G$8=$E$8,$F$8,IF(R1006&lt;($F$8-$E$8)/($G$8-$E$8),$E$8+SQRT(R1006*($G$8-$E$8)*($F$8-$E$8)),$G$8-SQRT((1-R1006)*($G$8-$E$8)*($G$8-$F$8))))</f>
        <v>1.00076655881328</v>
      </c>
      <c r="E1006" s="37" t="n">
        <f aca="false">1+IF($G$9=$E$9,$F$9,IF(S1006&lt;($F$9-$E$9)/($G$9-$E$9),$E$9+SQRT(S1006*($G$9-$E$9)*($F$9-$E$9)),$G$9-SQRT((1-S1006)*($G$9-$E$9)*($G$9-$F$9))))</f>
        <v>1.0103543435871</v>
      </c>
      <c r="F1006" s="37" t="n">
        <f aca="false">1+IF($G$10=$E$10,$F$10,IF(T1006&lt;($F$10-$E$10)/($G$10-$E$10),$E$10+SQRT(T1006*($G$10-$E$10)*($F$10-$E$10)),$G$10-SQRT((1-T1006)*($G$10-$E$10)*($G$10-$F$10))))</f>
        <v>1.1787630035986</v>
      </c>
      <c r="G1006" s="38" t="n">
        <f aca="false">IF($G$11=$E$11,$F$11,IF(U1006&lt;($F$11-$E$11)/($G$11-$E$11),$E$11+SQRT(U1006*($G$11-$E$11)*($F$11-$E$11)),$G$11-SQRT((1-U1006)*($G$11-$E$11)*($G$11-$F$11))))</f>
        <v>0.112257413073032</v>
      </c>
      <c r="H1006" s="39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-2357526007.1972</v>
      </c>
      <c r="I1006" s="39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-77580498.6839554</v>
      </c>
      <c r="J1006" s="39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144213427.933046</v>
      </c>
      <c r="K1006" s="39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424945504.729978</v>
      </c>
      <c r="L1006" s="39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524093971.790986</v>
      </c>
      <c r="M1006" s="39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662788341.828692</v>
      </c>
      <c r="N1006" s="39" t="n">
        <f aca="false">IF(COUNT('Business Case'!B11:G11)=0,"",H1006+NPV(G1006,I1006:M1006))</f>
        <v>-1270075807.14065</v>
      </c>
      <c r="P1006" s="40" t="n">
        <f aca="true">RAND()</f>
        <v>0.596354636526668</v>
      </c>
      <c r="Q1006" s="40" t="n">
        <f aca="true">RAND()</f>
        <v>0.00838243495974179</v>
      </c>
      <c r="R1006" s="40" t="n">
        <f aca="true">RAND()</f>
        <v>0.343514943349465</v>
      </c>
      <c r="S1006" s="40" t="n">
        <f aca="true">RAND()</f>
        <v>0.479975750533615</v>
      </c>
      <c r="T1006" s="40" t="n">
        <f aca="true">RAND()</f>
        <v>0.932337204582763</v>
      </c>
      <c r="U1006" s="40" t="n">
        <f aca="true">RAND()</f>
        <v>0.790133739425997</v>
      </c>
    </row>
    <row r="1007" customFormat="false" ht="15" hidden="false" customHeight="false" outlineLevel="0" collapsed="false">
      <c r="A1007" s="36" t="n">
        <v>927</v>
      </c>
      <c r="B1007" s="37" t="n">
        <f aca="false">1+IF($G$6=$E$6,$F$6,IF(P1007&lt;($F$6-$E$6)/($G$6-$E$6),$E$6+SQRT(P1007*($G$6-$E$6)*($F$6-$E$6)),$G$6-SQRT((1-P1007)*($G$6-$E$6)*($G$6-$F$6))))</f>
        <v>1.00214199159599</v>
      </c>
      <c r="C1007" s="37" t="n">
        <f aca="false">1+IF($G$7=$E$7,$F$7,IF(Q1007&lt;($F$7-$E$7)/($G$7-$E$7),$E$7+SQRT(Q1007*($G$7-$E$7)*($F$7-$E$7)),$G$7-SQRT((1-Q1007)*($G$7-$E$7)*($G$7-$F$7))))</f>
        <v>1.0297764693811</v>
      </c>
      <c r="D1007" s="37" t="n">
        <f aca="false">1+IF($G$8=$E$8,$F$8,IF(R1007&lt;($F$8-$E$8)/($G$8-$E$8),$E$8+SQRT(R1007*($G$8-$E$8)*($F$8-$E$8)),$G$8-SQRT((1-R1007)*($G$8-$E$8)*($G$8-$F$8))))</f>
        <v>1.02209981153264</v>
      </c>
      <c r="E1007" s="37" t="n">
        <f aca="false">1+IF($G$9=$E$9,$F$9,IF(S1007&lt;($F$9-$E$9)/($G$9-$E$9),$E$9+SQRT(S1007*($G$9-$E$9)*($F$9-$E$9)),$G$9-SQRT((1-S1007)*($G$9-$E$9)*($G$9-$F$9))))</f>
        <v>1.02142719826194</v>
      </c>
      <c r="F1007" s="37" t="n">
        <f aca="false">1+IF($G$10=$E$10,$F$10,IF(T1007&lt;($F$10-$E$10)/($G$10-$E$10),$E$10+SQRT(T1007*($G$10-$E$10)*($F$10-$E$10)),$G$10-SQRT((1-T1007)*($G$10-$E$10)*($G$10-$F$10))))</f>
        <v>1.1319687260228</v>
      </c>
      <c r="G1007" s="38" t="n">
        <f aca="false">IF($G$11=$E$11,$F$11,IF(U1007&lt;($F$11-$E$11)/($G$11-$E$11),$E$11+SQRT(U1007*($G$11-$E$11)*($F$11-$E$11)),$G$11-SQRT((1-U1007)*($G$11-$E$11)*($G$11-$F$11))))</f>
        <v>0.0970422008479168</v>
      </c>
      <c r="H1007" s="39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-2263937452.0456</v>
      </c>
      <c r="I1007" s="39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-5487397.6731573</v>
      </c>
      <c r="J1007" s="39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300966984.270167</v>
      </c>
      <c r="K1007" s="39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664019802.514631</v>
      </c>
      <c r="L1007" s="39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801836569.443308</v>
      </c>
      <c r="M1007" s="39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997995753.988271</v>
      </c>
      <c r="N1007" s="39" t="n">
        <f aca="false">IF(COUNT('Business Case'!B11:G11)=0,"",H1007+NPV(G1007,I1007:M1007))</f>
        <v>-334258099.95915</v>
      </c>
      <c r="P1007" s="40" t="n">
        <f aca="true">RAND()</f>
        <v>0.694614804213554</v>
      </c>
      <c r="Q1007" s="40" t="n">
        <f aca="true">RAND()</f>
        <v>0.785871150896682</v>
      </c>
      <c r="R1007" s="40" t="n">
        <f aca="true">RAND()</f>
        <v>0.595437375783319</v>
      </c>
      <c r="S1007" s="40" t="n">
        <f aca="true">RAND()</f>
        <v>0.559174257419325</v>
      </c>
      <c r="T1007" s="40" t="n">
        <f aca="true">RAND()</f>
        <v>0.814248244844261</v>
      </c>
      <c r="U1007" s="40" t="n">
        <f aca="true">RAND()</f>
        <v>0.290436609740736</v>
      </c>
    </row>
    <row r="1008" customFormat="false" ht="15" hidden="false" customHeight="false" outlineLevel="0" collapsed="false">
      <c r="A1008" s="36" t="n">
        <v>928</v>
      </c>
      <c r="B1008" s="37" t="n">
        <f aca="false">1+IF($G$6=$E$6,$F$6,IF(P1008&lt;($F$6-$E$6)/($G$6-$E$6),$E$6+SQRT(P1008*($G$6-$E$6)*($F$6-$E$6)),$G$6-SQRT((1-P1008)*($G$6-$E$6)*($G$6-$F$6))))</f>
        <v>0.982244634569669</v>
      </c>
      <c r="C1008" s="37" t="n">
        <f aca="false">1+IF($G$7=$E$7,$F$7,IF(Q1008&lt;($F$7-$E$7)/($G$7-$E$7),$E$7+SQRT(Q1008*($G$7-$E$7)*($F$7-$E$7)),$G$7-SQRT((1-Q1008)*($G$7-$E$7)*($G$7-$F$7))))</f>
        <v>0.896080482615094</v>
      </c>
      <c r="D1008" s="37" t="n">
        <f aca="false">1+IF($G$8=$E$8,$F$8,IF(R1008&lt;($F$8-$E$8)/($G$8-$E$8),$E$8+SQRT(R1008*($G$8-$E$8)*($F$8-$E$8)),$G$8-SQRT((1-R1008)*($G$8-$E$8)*($G$8-$F$8))))</f>
        <v>1.00589907054073</v>
      </c>
      <c r="E1008" s="37" t="n">
        <f aca="false">1+IF($G$9=$E$9,$F$9,IF(S1008&lt;($F$9-$E$9)/($G$9-$E$9),$E$9+SQRT(S1008*($G$9-$E$9)*($F$9-$E$9)),$G$9-SQRT((1-S1008)*($G$9-$E$9)*($G$9-$F$9))))</f>
        <v>1.02485430978529</v>
      </c>
      <c r="F1008" s="37" t="n">
        <f aca="false">1+IF($G$10=$E$10,$F$10,IF(T1008&lt;($F$10-$E$10)/($G$10-$E$10),$E$10+SQRT(T1008*($G$10-$E$10)*($F$10-$E$10)),$G$10-SQRT((1-T1008)*($G$10-$E$10)*($G$10-$F$10))))</f>
        <v>1.09047613590794</v>
      </c>
      <c r="G1008" s="38" t="n">
        <f aca="false">IF($G$11=$E$11,$F$11,IF(U1008&lt;($F$11-$E$11)/($G$11-$E$11),$E$11+SQRT(U1008*($G$11-$E$11)*($F$11-$E$11)),$G$11-SQRT((1-U1008)*($G$11-$E$11)*($G$11-$F$11))))</f>
        <v>0.0908231171773507</v>
      </c>
      <c r="H1008" s="39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-2180952271.81587</v>
      </c>
      <c r="I1008" s="39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-40914669.3856828</v>
      </c>
      <c r="J1008" s="39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218580583.233452</v>
      </c>
      <c r="K1008" s="39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532599642.647983</v>
      </c>
      <c r="L1008" s="39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649516743.896064</v>
      </c>
      <c r="M1008" s="39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816819504.292102</v>
      </c>
      <c r="N1008" s="39" t="n">
        <f aca="false">IF(COUNT('Business Case'!B11:G11)=0,"",H1008+NPV(G1008,I1008:M1008))</f>
        <v>-636805165.699637</v>
      </c>
      <c r="P1008" s="40" t="n">
        <f aca="true">RAND()</f>
        <v>0.450945327699889</v>
      </c>
      <c r="Q1008" s="40" t="n">
        <f aca="true">RAND()</f>
        <v>0.284796708611616</v>
      </c>
      <c r="R1008" s="40" t="n">
        <f aca="true">RAND()</f>
        <v>0.409667671660121</v>
      </c>
      <c r="S1008" s="40" t="n">
        <f aca="true">RAND()</f>
        <v>0.582361499218215</v>
      </c>
      <c r="T1008" s="40" t="n">
        <f aca="true">RAND()</f>
        <v>0.660695157135153</v>
      </c>
      <c r="U1008" s="40" t="n">
        <f aca="true">RAND()</f>
        <v>0.117139865434663</v>
      </c>
    </row>
    <row r="1009" customFormat="false" ht="15" hidden="false" customHeight="false" outlineLevel="0" collapsed="false">
      <c r="A1009" s="36" t="n">
        <v>929</v>
      </c>
      <c r="B1009" s="37" t="n">
        <f aca="false">1+IF($G$6=$E$6,$F$6,IF(P1009&lt;($F$6-$E$6)/($G$6-$E$6),$E$6+SQRT(P1009*($G$6-$E$6)*($F$6-$E$6)),$G$6-SQRT((1-P1009)*($G$6-$E$6)*($G$6-$F$6))))</f>
        <v>1.00253058988953</v>
      </c>
      <c r="C1009" s="37" t="n">
        <f aca="false">1+IF($G$7=$E$7,$F$7,IF(Q1009&lt;($F$7-$E$7)/($G$7-$E$7),$E$7+SQRT(Q1009*($G$7-$E$7)*($F$7-$E$7)),$G$7-SQRT((1-Q1009)*($G$7-$E$7)*($G$7-$F$7))))</f>
        <v>0.968431518490811</v>
      </c>
      <c r="D1009" s="37" t="n">
        <f aca="false">1+IF($G$8=$E$8,$F$8,IF(R1009&lt;($F$8-$E$8)/($G$8-$E$8),$E$8+SQRT(R1009*($G$8-$E$8)*($F$8-$E$8)),$G$8-SQRT((1-R1009)*($G$8-$E$8)*($G$8-$F$8))))</f>
        <v>1.02797386483542</v>
      </c>
      <c r="E1009" s="37" t="n">
        <f aca="false">1+IF($G$9=$E$9,$F$9,IF(S1009&lt;($F$9-$E$9)/($G$9-$E$9),$E$9+SQRT(S1009*($G$9-$E$9)*($F$9-$E$9)),$G$9-SQRT((1-S1009)*($G$9-$E$9)*($G$9-$F$9))))</f>
        <v>0.950858308447126</v>
      </c>
      <c r="F1009" s="37" t="n">
        <f aca="false">1+IF($G$10=$E$10,$F$10,IF(T1009&lt;($F$10-$E$10)/($G$10-$E$10),$E$10+SQRT(T1009*($G$10-$E$10)*($F$10-$E$10)),$G$10-SQRT((1-T1009)*($G$10-$E$10)*($G$10-$F$10))))</f>
        <v>1.01165491005366</v>
      </c>
      <c r="G1009" s="38" t="n">
        <f aca="false">IF($G$11=$E$11,$F$11,IF(U1009&lt;($F$11-$E$11)/($G$11-$E$11),$E$11+SQRT(U1009*($G$11-$E$11)*($F$11-$E$11)),$G$11-SQRT((1-U1009)*($G$11-$E$11)*($G$11-$F$11))))</f>
        <v>0.105410176466944</v>
      </c>
      <c r="H1009" s="39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-2023309820.10732</v>
      </c>
      <c r="I1009" s="39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-1113405.05364402</v>
      </c>
      <c r="J1009" s="39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284481266.72183</v>
      </c>
      <c r="K1009" s="39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620658683.999987</v>
      </c>
      <c r="L1009" s="39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749410597.500192</v>
      </c>
      <c r="M1009" s="39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933955890.162951</v>
      </c>
      <c r="N1009" s="39" t="n">
        <f aca="false">IF(COUNT('Business Case'!B11:G11)=0,"",H1009+NPV(G1009,I1009:M1009))</f>
        <v>-264237264.124776</v>
      </c>
      <c r="P1009" s="40" t="n">
        <f aca="true">RAND()</f>
        <v>0.699554013835226</v>
      </c>
      <c r="Q1009" s="40" t="n">
        <f aca="true">RAND()</f>
        <v>0.533744297179871</v>
      </c>
      <c r="R1009" s="40" t="n">
        <f aca="true">RAND()</f>
        <v>0.654149056883608</v>
      </c>
      <c r="S1009" s="40" t="n">
        <f aca="true">RAND()</f>
        <v>0.10346270152412</v>
      </c>
      <c r="T1009" s="40" t="n">
        <f aca="true">RAND()</f>
        <v>0.242554907979614</v>
      </c>
      <c r="U1009" s="40" t="n">
        <f aca="true">RAND()</f>
        <v>0.596893719075444</v>
      </c>
    </row>
    <row r="1010" customFormat="false" ht="15" hidden="false" customHeight="false" outlineLevel="0" collapsed="false">
      <c r="A1010" s="36" t="n">
        <v>930</v>
      </c>
      <c r="B1010" s="37" t="n">
        <f aca="false">1+IF($G$6=$E$6,$F$6,IF(P1010&lt;($F$6-$E$6)/($G$6-$E$6),$E$6+SQRT(P1010*($G$6-$E$6)*($F$6-$E$6)),$G$6-SQRT((1-P1010)*($G$6-$E$6)*($G$6-$F$6))))</f>
        <v>1.00143976928029</v>
      </c>
      <c r="C1010" s="37" t="n">
        <f aca="false">1+IF($G$7=$E$7,$F$7,IF(Q1010&lt;($F$7-$E$7)/($G$7-$E$7),$E$7+SQRT(Q1010*($G$7-$E$7)*($F$7-$E$7)),$G$7-SQRT((1-Q1010)*($G$7-$E$7)*($G$7-$F$7))))</f>
        <v>1.01604125591703</v>
      </c>
      <c r="D1010" s="37" t="n">
        <f aca="false">1+IF($G$8=$E$8,$F$8,IF(R1010&lt;($F$8-$E$8)/($G$8-$E$8),$E$8+SQRT(R1010*($G$8-$E$8)*($F$8-$E$8)),$G$8-SQRT((1-R1010)*($G$8-$E$8)*($G$8-$F$8))))</f>
        <v>1.02340083552615</v>
      </c>
      <c r="E1010" s="37" t="n">
        <f aca="false">1+IF($G$9=$E$9,$F$9,IF(S1010&lt;($F$9-$E$9)/($G$9-$E$9),$E$9+SQRT(S1010*($G$9-$E$9)*($F$9-$E$9)),$G$9-SQRT((1-S1010)*($G$9-$E$9)*($G$9-$F$9))))</f>
        <v>1.00148809348199</v>
      </c>
      <c r="F1010" s="37" t="n">
        <f aca="false">1+IF($G$10=$E$10,$F$10,IF(T1010&lt;($F$10-$E$10)/($G$10-$E$10),$E$10+SQRT(T1010*($G$10-$E$10)*($F$10-$E$10)),$G$10-SQRT((1-T1010)*($G$10-$E$10)*($G$10-$F$10))))</f>
        <v>1.06596525042572</v>
      </c>
      <c r="G1010" s="38" t="n">
        <f aca="false">IF($G$11=$E$11,$F$11,IF(U1010&lt;($F$11-$E$11)/($G$11-$E$11),$E$11+SQRT(U1010*($G$11-$E$11)*($F$11-$E$11)),$G$11-SQRT((1-U1010)*($G$11-$E$11)*($G$11-$F$11))))</f>
        <v>0.107849049524266</v>
      </c>
      <c r="H1010" s="39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-2131930500.85143</v>
      </c>
      <c r="I1010" s="39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-649769.60812965</v>
      </c>
      <c r="J1010" s="39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300456006.347156</v>
      </c>
      <c r="K1010" s="39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654860044.823727</v>
      </c>
      <c r="L1010" s="39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790393579.227293</v>
      </c>
      <c r="M1010" s="39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983800762.528879</v>
      </c>
      <c r="N1010" s="39" t="n">
        <f aca="false">IF(COUNT('Business Case'!B11:G11)=0,"",H1010+NPV(G1010,I1010:M1010))</f>
        <v>-291850136.794259</v>
      </c>
      <c r="P1010" s="40" t="n">
        <f aca="true">RAND()</f>
        <v>0.68558719899317</v>
      </c>
      <c r="Q1010" s="40" t="n">
        <f aca="true">RAND()</f>
        <v>0.734148961240193</v>
      </c>
      <c r="R1010" s="40" t="n">
        <f aca="true">RAND()</f>
        <v>0.608837866793846</v>
      </c>
      <c r="S1010" s="40" t="n">
        <f aca="true">RAND()</f>
        <v>0.41184569659692</v>
      </c>
      <c r="T1010" s="40" t="n">
        <f aca="true">RAND()</f>
        <v>0.548416145988411</v>
      </c>
      <c r="U1010" s="40" t="n">
        <f aca="true">RAND()</f>
        <v>0.67289026201439</v>
      </c>
    </row>
    <row r="1011" customFormat="false" ht="15" hidden="false" customHeight="false" outlineLevel="0" collapsed="false">
      <c r="A1011" s="36" t="n">
        <v>931</v>
      </c>
      <c r="B1011" s="37" t="n">
        <f aca="false">1+IF($G$6=$E$6,$F$6,IF(P1011&lt;($F$6-$E$6)/($G$6-$E$6),$E$6+SQRT(P1011*($G$6-$E$6)*($F$6-$E$6)),$G$6-SQRT((1-P1011)*($G$6-$E$6)*($G$6-$F$6))))</f>
        <v>1.00746791207762</v>
      </c>
      <c r="C1011" s="37" t="n">
        <f aca="false">1+IF($G$7=$E$7,$F$7,IF(Q1011&lt;($F$7-$E$7)/($G$7-$E$7),$E$7+SQRT(Q1011*($G$7-$E$7)*($F$7-$E$7)),$G$7-SQRT((1-Q1011)*($G$7-$E$7)*($G$7-$F$7))))</f>
        <v>0.998669117794242</v>
      </c>
      <c r="D1011" s="37" t="n">
        <f aca="false">1+IF($G$8=$E$8,$F$8,IF(R1011&lt;($F$8-$E$8)/($G$8-$E$8),$E$8+SQRT(R1011*($G$8-$E$8)*($F$8-$E$8)),$G$8-SQRT((1-R1011)*($G$8-$E$8)*($G$8-$F$8))))</f>
        <v>0.99367629446993</v>
      </c>
      <c r="E1011" s="37" t="n">
        <f aca="false">1+IF($G$9=$E$9,$F$9,IF(S1011&lt;($F$9-$E$9)/($G$9-$E$9),$E$9+SQRT(S1011*($G$9-$E$9)*($F$9-$E$9)),$G$9-SQRT((1-S1011)*($G$9-$E$9)*($G$9-$F$9))))</f>
        <v>1.02299717650958</v>
      </c>
      <c r="F1011" s="37" t="n">
        <f aca="false">1+IF($G$10=$E$10,$F$10,IF(T1011&lt;($F$10-$E$10)/($G$10-$E$10),$E$10+SQRT(T1011*($G$10-$E$10)*($F$10-$E$10)),$G$10-SQRT((1-T1011)*($G$10-$E$10)*($G$10-$F$10))))</f>
        <v>1.05484966514461</v>
      </c>
      <c r="G1011" s="38" t="n">
        <f aca="false">IF($G$11=$E$11,$F$11,IF(U1011&lt;($F$11-$E$11)/($G$11-$E$11),$E$11+SQRT(U1011*($G$11-$E$11)*($F$11-$E$11)),$G$11-SQRT((1-U1011)*($G$11-$E$11)*($G$11-$F$11))))</f>
        <v>0.112834398463438</v>
      </c>
      <c r="H1011" s="39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-2109699330.28921</v>
      </c>
      <c r="I1011" s="39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12971963.417876</v>
      </c>
      <c r="J1011" s="39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329056720.24527</v>
      </c>
      <c r="K1011" s="39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697883960.329894</v>
      </c>
      <c r="L1011" s="39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838017298.202622</v>
      </c>
      <c r="M1011" s="39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1029261935.65241</v>
      </c>
      <c r="N1011" s="39" t="n">
        <f aca="false">IF(COUNT('Business Case'!B11:G11)=0,"",H1011+NPV(G1011,I1011:M1011))</f>
        <v>-176431074.520137</v>
      </c>
      <c r="P1011" s="40" t="n">
        <f aca="true">RAND()</f>
        <v>0.758802866261686</v>
      </c>
      <c r="Q1011" s="40" t="n">
        <f aca="true">RAND()</f>
        <v>0.660764754992526</v>
      </c>
      <c r="R1011" s="40" t="n">
        <f aca="true">RAND()</f>
        <v>0.25434915981654</v>
      </c>
      <c r="S1011" s="40" t="n">
        <f aca="true">RAND()</f>
        <v>0.569874208678935</v>
      </c>
      <c r="T1011" s="40" t="n">
        <f aca="true">RAND()</f>
        <v>0.492217957411037</v>
      </c>
      <c r="U1011" s="40" t="n">
        <f aca="true">RAND()</f>
        <v>0.803561415925322</v>
      </c>
    </row>
    <row r="1012" customFormat="false" ht="15" hidden="false" customHeight="false" outlineLevel="0" collapsed="false">
      <c r="A1012" s="36" t="n">
        <v>932</v>
      </c>
      <c r="B1012" s="37" t="n">
        <f aca="false">1+IF($G$6=$E$6,$F$6,IF(P1012&lt;($F$6-$E$6)/($G$6-$E$6),$E$6+SQRT(P1012*($G$6-$E$6)*($F$6-$E$6)),$G$6-SQRT((1-P1012)*($G$6-$E$6)*($G$6-$F$6))))</f>
        <v>0.952183308831819</v>
      </c>
      <c r="C1012" s="37" t="n">
        <f aca="false">1+IF($G$7=$E$7,$F$7,IF(Q1012&lt;($F$7-$E$7)/($G$7-$E$7),$E$7+SQRT(Q1012*($G$7-$E$7)*($F$7-$E$7)),$G$7-SQRT((1-Q1012)*($G$7-$E$7)*($G$7-$F$7))))</f>
        <v>1.02053868736968</v>
      </c>
      <c r="D1012" s="37" t="n">
        <f aca="false">1+IF($G$8=$E$8,$F$8,IF(R1012&lt;($F$8-$E$8)/($G$8-$E$8),$E$8+SQRT(R1012*($G$8-$E$8)*($F$8-$E$8)),$G$8-SQRT((1-R1012)*($G$8-$E$8)*($G$8-$F$8))))</f>
        <v>1.02126115086822</v>
      </c>
      <c r="E1012" s="37" t="n">
        <f aca="false">1+IF($G$9=$E$9,$F$9,IF(S1012&lt;($F$9-$E$9)/($G$9-$E$9),$E$9+SQRT(S1012*($G$9-$E$9)*($F$9-$E$9)),$G$9-SQRT((1-S1012)*($G$9-$E$9)*($G$9-$F$9))))</f>
        <v>1.03081211878022</v>
      </c>
      <c r="F1012" s="37" t="n">
        <f aca="false">1+IF($G$10=$E$10,$F$10,IF(T1012&lt;($F$10-$E$10)/($G$10-$E$10),$E$10+SQRT(T1012*($G$10-$E$10)*($F$10-$E$10)),$G$10-SQRT((1-T1012)*($G$10-$E$10)*($G$10-$F$10))))</f>
        <v>1.13640139824756</v>
      </c>
      <c r="G1012" s="38" t="n">
        <f aca="false">IF($G$11=$E$11,$F$11,IF(U1012&lt;($F$11-$E$11)/($G$11-$E$11),$E$11+SQRT(U1012*($G$11-$E$11)*($F$11-$E$11)),$G$11-SQRT((1-U1012)*($G$11-$E$11)*($G$11-$F$11))))</f>
        <v>0.112893162061757</v>
      </c>
      <c r="H1012" s="39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-2272802796.49512</v>
      </c>
      <c r="I1012" s="39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-48213389.4250412</v>
      </c>
      <c r="J1012" s="39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214169840.895348</v>
      </c>
      <c r="K1012" s="39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533373141.128115</v>
      </c>
      <c r="L1012" s="39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654417548.98833</v>
      </c>
      <c r="M1012" s="39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839125869.965464</v>
      </c>
      <c r="N1012" s="39" t="n">
        <f aca="false">IF(COUNT('Business Case'!B11:G11)=0,"",H1012+NPV(G1012,I1012:M1012))</f>
        <v>-838077956.865116</v>
      </c>
      <c r="P1012" s="40" t="n">
        <f aca="true">RAND()</f>
        <v>0.181539848042468</v>
      </c>
      <c r="Q1012" s="40" t="n">
        <f aca="true">RAND()</f>
        <v>0.751700274548666</v>
      </c>
      <c r="R1012" s="40" t="n">
        <f aca="true">RAND()</f>
        <v>0.586679575826809</v>
      </c>
      <c r="S1012" s="40" t="n">
        <f aca="true">RAND()</f>
        <v>0.621179972542367</v>
      </c>
      <c r="T1012" s="40" t="n">
        <f aca="true">RAND()</f>
        <v>0.82793810239854</v>
      </c>
      <c r="U1012" s="40" t="n">
        <f aca="true">RAND()</f>
        <v>0.804904063836457</v>
      </c>
    </row>
    <row r="1013" customFormat="false" ht="15" hidden="false" customHeight="false" outlineLevel="0" collapsed="false">
      <c r="A1013" s="36" t="n">
        <v>933</v>
      </c>
      <c r="B1013" s="37" t="n">
        <f aca="false">1+IF($G$6=$E$6,$F$6,IF(P1013&lt;($F$6-$E$6)/($G$6-$E$6),$E$6+SQRT(P1013*($G$6-$E$6)*($F$6-$E$6)),$G$6-SQRT((1-P1013)*($G$6-$E$6)*($G$6-$F$6))))</f>
        <v>0.979726061397428</v>
      </c>
      <c r="C1013" s="37" t="n">
        <f aca="false">1+IF($G$7=$E$7,$F$7,IF(Q1013&lt;($F$7-$E$7)/($G$7-$E$7),$E$7+SQRT(Q1013*($G$7-$E$7)*($F$7-$E$7)),$G$7-SQRT((1-Q1013)*($G$7-$E$7)*($G$7-$F$7))))</f>
        <v>0.930809336798693</v>
      </c>
      <c r="D1013" s="37" t="n">
        <f aca="false">1+IF($G$8=$E$8,$F$8,IF(R1013&lt;($F$8-$E$8)/($G$8-$E$8),$E$8+SQRT(R1013*($G$8-$E$8)*($F$8-$E$8)),$G$8-SQRT((1-R1013)*($G$8-$E$8)*($G$8-$F$8))))</f>
        <v>1.03086737849084</v>
      </c>
      <c r="E1013" s="37" t="n">
        <f aca="false">1+IF($G$9=$E$9,$F$9,IF(S1013&lt;($F$9-$E$9)/($G$9-$E$9),$E$9+SQRT(S1013*($G$9-$E$9)*($F$9-$E$9)),$G$9-SQRT((1-S1013)*($G$9-$E$9)*($G$9-$F$9))))</f>
        <v>0.982999993133768</v>
      </c>
      <c r="F1013" s="37" t="n">
        <f aca="false">1+IF($G$10=$E$10,$F$10,IF(T1013&lt;($F$10-$E$10)/($G$10-$E$10),$E$10+SQRT(T1013*($G$10-$E$10)*($F$10-$E$10)),$G$10-SQRT((1-T1013)*($G$10-$E$10)*($G$10-$F$10))))</f>
        <v>1.00408918252365</v>
      </c>
      <c r="G1013" s="38" t="n">
        <f aca="false">IF($G$11=$E$11,$F$11,IF(U1013&lt;($F$11-$E$11)/($G$11-$E$11),$E$11+SQRT(U1013*($G$11-$E$11)*($F$11-$E$11)),$G$11-SQRT((1-U1013)*($G$11-$E$11)*($G$11-$F$11))))</f>
        <v>0.110342762398458</v>
      </c>
      <c r="H1013" s="39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-2008178365.0473</v>
      </c>
      <c r="I1013" s="39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-31731593.6611545</v>
      </c>
      <c r="J1013" s="39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224003204.4508</v>
      </c>
      <c r="K1013" s="39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529942461.688937</v>
      </c>
      <c r="L1013" s="39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646703977.391003</v>
      </c>
      <c r="M1013" s="39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820045183.880449</v>
      </c>
      <c r="N1013" s="39" t="n">
        <f aca="false">IF(COUNT('Business Case'!B11:G11)=0,"",H1013+NPV(G1013,I1013:M1013))</f>
        <v>-556547778.87864</v>
      </c>
      <c r="P1013" s="40" t="n">
        <f aca="true">RAND()</f>
        <v>0.423749657729761</v>
      </c>
      <c r="Q1013" s="40" t="n">
        <f aca="true">RAND()</f>
        <v>0.394614444099649</v>
      </c>
      <c r="R1013" s="40" t="n">
        <f aca="true">RAND()</f>
        <v>0.681378709551437</v>
      </c>
      <c r="S1013" s="40" t="n">
        <f aca="true">RAND()</f>
        <v>0.275559954408223</v>
      </c>
      <c r="T1013" s="40" t="n">
        <f aca="true">RAND()</f>
        <v>0.193704931308191</v>
      </c>
      <c r="U1013" s="40" t="n">
        <f aca="true">RAND()</f>
        <v>0.742395339917682</v>
      </c>
    </row>
    <row r="1014" customFormat="false" ht="15" hidden="false" customHeight="false" outlineLevel="0" collapsed="false">
      <c r="A1014" s="36" t="n">
        <v>934</v>
      </c>
      <c r="B1014" s="37" t="n">
        <f aca="false">1+IF($G$6=$E$6,$F$6,IF(P1014&lt;($F$6-$E$6)/($G$6-$E$6),$E$6+SQRT(P1014*($G$6-$E$6)*($F$6-$E$6)),$G$6-SQRT((1-P1014)*($G$6-$E$6)*($G$6-$F$6))))</f>
        <v>1.02395062289602</v>
      </c>
      <c r="C1014" s="37" t="n">
        <f aca="false">1+IF($G$7=$E$7,$F$7,IF(Q1014&lt;($F$7-$E$7)/($G$7-$E$7),$E$7+SQRT(Q1014*($G$7-$E$7)*($F$7-$E$7)),$G$7-SQRT((1-Q1014)*($G$7-$E$7)*($G$7-$F$7))))</f>
        <v>1.03352223660219</v>
      </c>
      <c r="D1014" s="37" t="n">
        <f aca="false">1+IF($G$8=$E$8,$F$8,IF(R1014&lt;($F$8-$E$8)/($G$8-$E$8),$E$8+SQRT(R1014*($G$8-$E$8)*($F$8-$E$8)),$G$8-SQRT((1-R1014)*($G$8-$E$8)*($G$8-$F$8))))</f>
        <v>1.01615075631445</v>
      </c>
      <c r="E1014" s="37" t="n">
        <f aca="false">1+IF($G$9=$E$9,$F$9,IF(S1014&lt;($F$9-$E$9)/($G$9-$E$9),$E$9+SQRT(S1014*($G$9-$E$9)*($F$9-$E$9)),$G$9-SQRT((1-S1014)*($G$9-$E$9)*($G$9-$F$9))))</f>
        <v>1.00394099446687</v>
      </c>
      <c r="F1014" s="37" t="n">
        <f aca="false">1+IF($G$10=$E$10,$F$10,IF(T1014&lt;($F$10-$E$10)/($G$10-$E$10),$E$10+SQRT(T1014*($G$10-$E$10)*($F$10-$E$10)),$G$10-SQRT((1-T1014)*($G$10-$E$10)*($G$10-$F$10))))</f>
        <v>0.974727032660501</v>
      </c>
      <c r="G1014" s="38" t="n">
        <f aca="false">IF($G$11=$E$11,$F$11,IF(U1014&lt;($F$11-$E$11)/($G$11-$E$11),$E$11+SQRT(U1014*($G$11-$E$11)*($F$11-$E$11)),$G$11-SQRT((1-U1014)*($G$11-$E$11)*($G$11-$F$11))))</f>
        <v>0.0948507158807681</v>
      </c>
      <c r="H1014" s="39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-1949454065.321</v>
      </c>
      <c r="I1014" s="39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34084141.4242542</v>
      </c>
      <c r="J1014" s="39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363262409.782852</v>
      </c>
      <c r="K1014" s="39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741177029.774475</v>
      </c>
      <c r="L1014" s="39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887477128.730745</v>
      </c>
      <c r="M1014" s="39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1088634180.99946</v>
      </c>
      <c r="N1014" s="39" t="n">
        <f aca="false">IF(COUNT('Business Case'!B11:G11)=0,"",H1014+NPV(G1014,I1014:M1014))</f>
        <v>259121156.761751</v>
      </c>
      <c r="P1014" s="40" t="n">
        <f aca="true">RAND()</f>
        <v>0.909523993665952</v>
      </c>
      <c r="Q1014" s="40" t="n">
        <f aca="true">RAND()</f>
        <v>0.799006379760632</v>
      </c>
      <c r="R1014" s="40" t="n">
        <f aca="true">RAND()</f>
        <v>0.531286955557417</v>
      </c>
      <c r="S1014" s="40" t="n">
        <f aca="true">RAND()</f>
        <v>0.431113784071288</v>
      </c>
      <c r="T1014" s="40" t="n">
        <f aca="true">RAND()</f>
        <v>0.0407617429462311</v>
      </c>
      <c r="U1014" s="40" t="n">
        <f aca="true">RAND()</f>
        <v>0.220543762171298</v>
      </c>
    </row>
    <row r="1015" customFormat="false" ht="15" hidden="false" customHeight="false" outlineLevel="0" collapsed="false">
      <c r="A1015" s="36" t="n">
        <v>935</v>
      </c>
      <c r="B1015" s="37" t="n">
        <f aca="false">1+IF($G$6=$E$6,$F$6,IF(P1015&lt;($F$6-$E$6)/($G$6-$E$6),$E$6+SQRT(P1015*($G$6-$E$6)*($F$6-$E$6)),$G$6-SQRT((1-P1015)*($G$6-$E$6)*($G$6-$F$6))))</f>
        <v>0.986472491383436</v>
      </c>
      <c r="C1015" s="37" t="n">
        <f aca="false">1+IF($G$7=$E$7,$F$7,IF(Q1015&lt;($F$7-$E$7)/($G$7-$E$7),$E$7+SQRT(Q1015*($G$7-$E$7)*($F$7-$E$7)),$G$7-SQRT((1-Q1015)*($G$7-$E$7)*($G$7-$F$7))))</f>
        <v>0.784367238986641</v>
      </c>
      <c r="D1015" s="37" t="n">
        <f aca="false">1+IF($G$8=$E$8,$F$8,IF(R1015&lt;($F$8-$E$8)/($G$8-$E$8),$E$8+SQRT(R1015*($G$8-$E$8)*($F$8-$E$8)),$G$8-SQRT((1-R1015)*($G$8-$E$8)*($G$8-$F$8))))</f>
        <v>1.00092419382509</v>
      </c>
      <c r="E1015" s="37" t="n">
        <f aca="false">1+IF($G$9=$E$9,$F$9,IF(S1015&lt;($F$9-$E$9)/($G$9-$E$9),$E$9+SQRT(S1015*($G$9-$E$9)*($F$9-$E$9)),$G$9-SQRT((1-S1015)*($G$9-$E$9)*($G$9-$F$9))))</f>
        <v>1.03332464010505</v>
      </c>
      <c r="F1015" s="37" t="n">
        <f aca="false">1+IF($G$10=$E$10,$F$10,IF(T1015&lt;($F$10-$E$10)/($G$10-$E$10),$E$10+SQRT(T1015*($G$10-$E$10)*($F$10-$E$10)),$G$10-SQRT((1-T1015)*($G$10-$E$10)*($G$10-$F$10))))</f>
        <v>0.990538063772782</v>
      </c>
      <c r="G1015" s="38" t="n">
        <f aca="false">IF($G$11=$E$11,$F$11,IF(U1015&lt;($F$11-$E$11)/($G$11-$E$11),$E$11+SQRT(U1015*($G$11-$E$11)*($F$11-$E$11)),$G$11-SQRT((1-U1015)*($G$11-$E$11)*($G$11-$F$11))))</f>
        <v>0.105063368556896</v>
      </c>
      <c r="H1015" s="39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-1981076127.54556</v>
      </c>
      <c r="I1015" s="39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-54246037.9251222</v>
      </c>
      <c r="J1015" s="39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177612041.906207</v>
      </c>
      <c r="K1015" s="39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458997024.926176</v>
      </c>
      <c r="L1015" s="39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563024083.240777</v>
      </c>
      <c r="M1015" s="39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710099757.613642</v>
      </c>
      <c r="N1015" s="39" t="n">
        <f aca="false">IF(COUNT('Business Case'!B11:G11)=0,"",H1015+NPV(G1015,I1015:M1015))</f>
        <v>-736127176.81389</v>
      </c>
      <c r="P1015" s="40" t="n">
        <f aca="true">RAND()</f>
        <v>0.498499451070562</v>
      </c>
      <c r="Q1015" s="40" t="n">
        <f aca="true">RAND()</f>
        <v>0.0527246741794745</v>
      </c>
      <c r="R1015" s="40" t="n">
        <f aca="true">RAND()</f>
        <v>0.345598975386162</v>
      </c>
      <c r="S1015" s="40" t="n">
        <f aca="true">RAND()</f>
        <v>0.636982943823554</v>
      </c>
      <c r="T1015" s="40" t="n">
        <f aca="true">RAND()</f>
        <v>0.109555640963075</v>
      </c>
      <c r="U1015" s="40" t="n">
        <f aca="true">RAND()</f>
        <v>0.585442941513858</v>
      </c>
    </row>
    <row r="1016" customFormat="false" ht="15" hidden="false" customHeight="false" outlineLevel="0" collapsed="false">
      <c r="A1016" s="36" t="n">
        <v>936</v>
      </c>
      <c r="B1016" s="37" t="n">
        <f aca="false">1+IF($G$6=$E$6,$F$6,IF(P1016&lt;($F$6-$E$6)/($G$6-$E$6),$E$6+SQRT(P1016*($G$6-$E$6)*($F$6-$E$6)),$G$6-SQRT((1-P1016)*($G$6-$E$6)*($G$6-$F$6))))</f>
        <v>0.968393561468871</v>
      </c>
      <c r="C1016" s="37" t="n">
        <f aca="false">1+IF($G$7=$E$7,$F$7,IF(Q1016&lt;($F$7-$E$7)/($G$7-$E$7),$E$7+SQRT(Q1016*($G$7-$E$7)*($F$7-$E$7)),$G$7-SQRT((1-Q1016)*($G$7-$E$7)*($G$7-$F$7))))</f>
        <v>0.953529854579205</v>
      </c>
      <c r="D1016" s="37" t="n">
        <f aca="false">1+IF($G$8=$E$8,$F$8,IF(R1016&lt;($F$8-$E$8)/($G$8-$E$8),$E$8+SQRT(R1016*($G$8-$E$8)*($F$8-$E$8)),$G$8-SQRT((1-R1016)*($G$8-$E$8)*($G$8-$F$8))))</f>
        <v>1.00678329039362</v>
      </c>
      <c r="E1016" s="37" t="n">
        <f aca="false">1+IF($G$9=$E$9,$F$9,IF(S1016&lt;($F$9-$E$9)/($G$9-$E$9),$E$9+SQRT(S1016*($G$9-$E$9)*($F$9-$E$9)),$G$9-SQRT((1-S1016)*($G$9-$E$9)*($G$9-$F$9))))</f>
        <v>1.11675603517226</v>
      </c>
      <c r="F1016" s="37" t="n">
        <f aca="false">1+IF($G$10=$E$10,$F$10,IF(T1016&lt;($F$10-$E$10)/($G$10-$E$10),$E$10+SQRT(T1016*($G$10-$E$10)*($F$10-$E$10)),$G$10-SQRT((1-T1016)*($G$10-$E$10)*($G$10-$F$10))))</f>
        <v>1.10064761328622</v>
      </c>
      <c r="G1016" s="38" t="n">
        <f aca="false">IF($G$11=$E$11,$F$11,IF(U1016&lt;($F$11-$E$11)/($G$11-$E$11),$E$11+SQRT(U1016*($G$11-$E$11)*($F$11-$E$11)),$G$11-SQRT((1-U1016)*($G$11-$E$11)*($G$11-$F$11))))</f>
        <v>0.0865252500419005</v>
      </c>
      <c r="H1016" s="39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-2201295226.57243</v>
      </c>
      <c r="I1016" s="39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-51853584.2435064</v>
      </c>
      <c r="J1016" s="39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213028951.231437</v>
      </c>
      <c r="K1016" s="39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532943867.370693</v>
      </c>
      <c r="L1016" s="39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653150479.32123</v>
      </c>
      <c r="M1016" s="39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828668863.345119</v>
      </c>
      <c r="N1016" s="39" t="n">
        <f aca="false">IF(COUNT('Business Case'!B11:G11)=0,"",H1016+NPV(G1016,I1016:M1016))</f>
        <v>-637176342.853006</v>
      </c>
      <c r="P1016" s="40" t="n">
        <f aca="true">RAND()</f>
        <v>0.311845283359745</v>
      </c>
      <c r="Q1016" s="40" t="n">
        <f aca="true">RAND()</f>
        <v>0.47612879379965</v>
      </c>
      <c r="R1016" s="40" t="n">
        <f aca="true">RAND()</f>
        <v>0.420709670010632</v>
      </c>
      <c r="S1016" s="40" t="n">
        <f aca="true">RAND()</f>
        <v>0.970529034734186</v>
      </c>
      <c r="T1016" s="40" t="n">
        <f aca="true">RAND()</f>
        <v>0.702584861105286</v>
      </c>
      <c r="U1016" s="40" t="n">
        <f aca="true">RAND()</f>
        <v>0.042578888109323</v>
      </c>
    </row>
    <row r="1017" customFormat="false" ht="15" hidden="false" customHeight="false" outlineLevel="0" collapsed="false">
      <c r="A1017" s="36" t="n">
        <v>937</v>
      </c>
      <c r="B1017" s="37" t="n">
        <f aca="false">1+IF($G$6=$E$6,$F$6,IF(P1017&lt;($F$6-$E$6)/($G$6-$E$6),$E$6+SQRT(P1017*($G$6-$E$6)*($F$6-$E$6)),$G$6-SQRT((1-P1017)*($G$6-$E$6)*($G$6-$F$6))))</f>
        <v>0.95189593956379</v>
      </c>
      <c r="C1017" s="37" t="n">
        <f aca="false">1+IF($G$7=$E$7,$F$7,IF(Q1017&lt;($F$7-$E$7)/($G$7-$E$7),$E$7+SQRT(Q1017*($G$7-$E$7)*($F$7-$E$7)),$G$7-SQRT((1-Q1017)*($G$7-$E$7)*($G$7-$F$7))))</f>
        <v>0.911400178663822</v>
      </c>
      <c r="D1017" s="37" t="n">
        <f aca="false">1+IF($G$8=$E$8,$F$8,IF(R1017&lt;($F$8-$E$8)/($G$8-$E$8),$E$8+SQRT(R1017*($G$8-$E$8)*($F$8-$E$8)),$G$8-SQRT((1-R1017)*($G$8-$E$8)*($G$8-$F$8))))</f>
        <v>1.015303944266</v>
      </c>
      <c r="E1017" s="37" t="n">
        <f aca="false">1+IF($G$9=$E$9,$F$9,IF(S1017&lt;($F$9-$E$9)/($G$9-$E$9),$E$9+SQRT(S1017*($G$9-$E$9)*($F$9-$E$9)),$G$9-SQRT((1-S1017)*($G$9-$E$9)*($G$9-$F$9))))</f>
        <v>0.951343413819202</v>
      </c>
      <c r="F1017" s="37" t="n">
        <f aca="false">1+IF($G$10=$E$10,$F$10,IF(T1017&lt;($F$10-$E$10)/($G$10-$E$10),$E$10+SQRT(T1017*($G$10-$E$10)*($F$10-$E$10)),$G$10-SQRT((1-T1017)*($G$10-$E$10)*($G$10-$F$10))))</f>
        <v>1.00494095737798</v>
      </c>
      <c r="G1017" s="38" t="n">
        <f aca="false">IF($G$11=$E$11,$F$11,IF(U1017&lt;($F$11-$E$11)/($G$11-$E$11),$E$11+SQRT(U1017*($G$11-$E$11)*($F$11-$E$11)),$G$11-SQRT((1-U1017)*($G$11-$E$11)*($G$11-$F$11))))</f>
        <v>0.0957004117425803</v>
      </c>
      <c r="H1017" s="39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-2009881914.75597</v>
      </c>
      <c r="I1017" s="39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-43861019.0562107</v>
      </c>
      <c r="J1017" s="39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193027304.497931</v>
      </c>
      <c r="K1017" s="39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480162675.920972</v>
      </c>
      <c r="L1017" s="39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589108259.390662</v>
      </c>
      <c r="M1017" s="39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754013708.624696</v>
      </c>
      <c r="N1017" s="39" t="n">
        <f aca="false">IF(COUNT('Business Case'!B11:G11)=0,"",H1017+NPV(G1017,I1017:M1017))</f>
        <v>-637950782.138102</v>
      </c>
      <c r="P1017" s="40" t="n">
        <f aca="true">RAND()</f>
        <v>0.179545902880567</v>
      </c>
      <c r="Q1017" s="40" t="n">
        <f aca="true">RAND()</f>
        <v>0.331037300289599</v>
      </c>
      <c r="R1017" s="40" t="n">
        <f aca="true">RAND()</f>
        <v>0.521771876206852</v>
      </c>
      <c r="S1017" s="40" t="n">
        <f aca="true">RAND()</f>
        <v>0.105445845704395</v>
      </c>
      <c r="T1017" s="40" t="n">
        <f aca="true">RAND()</f>
        <v>0.199280875055741</v>
      </c>
      <c r="U1017" s="40" t="n">
        <f aca="true">RAND()</f>
        <v>0.246502928886554</v>
      </c>
    </row>
    <row r="1018" customFormat="false" ht="15" hidden="false" customHeight="false" outlineLevel="0" collapsed="false">
      <c r="A1018" s="36" t="n">
        <v>938</v>
      </c>
      <c r="B1018" s="37" t="n">
        <f aca="false">1+IF($G$6=$E$6,$F$6,IF(P1018&lt;($F$6-$E$6)/($G$6-$E$6),$E$6+SQRT(P1018*($G$6-$E$6)*($F$6-$E$6)),$G$6-SQRT((1-P1018)*($G$6-$E$6)*($G$6-$F$6))))</f>
        <v>0.999645046262824</v>
      </c>
      <c r="C1018" s="37" t="n">
        <f aca="false">1+IF($G$7=$E$7,$F$7,IF(Q1018&lt;($F$7-$E$7)/($G$7-$E$7),$E$7+SQRT(Q1018*($G$7-$E$7)*($F$7-$E$7)),$G$7-SQRT((1-Q1018)*($G$7-$E$7)*($G$7-$F$7))))</f>
        <v>1.04551581684986</v>
      </c>
      <c r="D1018" s="37" t="n">
        <f aca="false">1+IF($G$8=$E$8,$F$8,IF(R1018&lt;($F$8-$E$8)/($G$8-$E$8),$E$8+SQRT(R1018*($G$8-$E$8)*($F$8-$E$8)),$G$8-SQRT((1-R1018)*($G$8-$E$8)*($G$8-$F$8))))</f>
        <v>1.00345689966326</v>
      </c>
      <c r="E1018" s="37" t="n">
        <f aca="false">1+IF($G$9=$E$9,$F$9,IF(S1018&lt;($F$9-$E$9)/($G$9-$E$9),$E$9+SQRT(S1018*($G$9-$E$9)*($F$9-$E$9)),$G$9-SQRT((1-S1018)*($G$9-$E$9)*($G$9-$F$9))))</f>
        <v>0.938978039470051</v>
      </c>
      <c r="F1018" s="37" t="n">
        <f aca="false">1+IF($G$10=$E$10,$F$10,IF(T1018&lt;($F$10-$E$10)/($G$10-$E$10),$E$10+SQRT(T1018*($G$10-$E$10)*($F$10-$E$10)),$G$10-SQRT((1-T1018)*($G$10-$E$10)*($G$10-$F$10))))</f>
        <v>0.995297652256481</v>
      </c>
      <c r="G1018" s="38" t="n">
        <f aca="false">IF($G$11=$E$11,$F$11,IF(U1018&lt;($F$11-$E$11)/($G$11-$E$11),$E$11+SQRT(U1018*($G$11-$E$11)*($F$11-$E$11)),$G$11-SQRT((1-U1018)*($G$11-$E$11)*($G$11-$F$11))))</f>
        <v>0.0969033456883779</v>
      </c>
      <c r="H1018" s="39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-1990595304.51296</v>
      </c>
      <c r="I1018" s="39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31745361.1028409</v>
      </c>
      <c r="J1018" s="39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350723466.260211</v>
      </c>
      <c r="K1018" s="39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719466454.030405</v>
      </c>
      <c r="L1018" s="39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861912690.160355</v>
      </c>
      <c r="M1018" s="39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1060573796.08657</v>
      </c>
      <c r="N1018" s="39" t="n">
        <f aca="false">IF(COUNT('Business Case'!B11:G11)=0,"",H1018+NPV(G1018,I1018:M1018))</f>
        <v>138230275.201164</v>
      </c>
      <c r="P1018" s="40" t="n">
        <f aca="true">RAND()</f>
        <v>0.66194234964802</v>
      </c>
      <c r="Q1018" s="40" t="n">
        <f aca="true">RAND()</f>
        <v>0.838267488465898</v>
      </c>
      <c r="R1018" s="40" t="n">
        <f aca="true">RAND()</f>
        <v>0.378628651824639</v>
      </c>
      <c r="S1018" s="40" t="n">
        <f aca="true">RAND()</f>
        <v>0.0607715024371536</v>
      </c>
      <c r="T1018" s="40" t="n">
        <f aca="true">RAND()</f>
        <v>0.136791819996607</v>
      </c>
      <c r="U1018" s="40" t="n">
        <f aca="true">RAND()</f>
        <v>0.285723095460803</v>
      </c>
    </row>
    <row r="1019" customFormat="false" ht="15" hidden="false" customHeight="false" outlineLevel="0" collapsed="false">
      <c r="A1019" s="36" t="n">
        <v>939</v>
      </c>
      <c r="B1019" s="37" t="n">
        <f aca="false">1+IF($G$6=$E$6,$F$6,IF(P1019&lt;($F$6-$E$6)/($G$6-$E$6),$E$6+SQRT(P1019*($G$6-$E$6)*($F$6-$E$6)),$G$6-SQRT((1-P1019)*($G$6-$E$6)*($G$6-$F$6))))</f>
        <v>1.02312134658311</v>
      </c>
      <c r="C1019" s="37" t="n">
        <f aca="false">1+IF($G$7=$E$7,$F$7,IF(Q1019&lt;($F$7-$E$7)/($G$7-$E$7),$E$7+SQRT(Q1019*($G$7-$E$7)*($F$7-$E$7)),$G$7-SQRT((1-Q1019)*($G$7-$E$7)*($G$7-$F$7))))</f>
        <v>1.037271012853</v>
      </c>
      <c r="D1019" s="37" t="n">
        <f aca="false">1+IF($G$8=$E$8,$F$8,IF(R1019&lt;($F$8-$E$8)/($G$8-$E$8),$E$8+SQRT(R1019*($G$8-$E$8)*($F$8-$E$8)),$G$8-SQRT((1-R1019)*($G$8-$E$8)*($G$8-$F$8))))</f>
        <v>0.99231274603036</v>
      </c>
      <c r="E1019" s="37" t="n">
        <f aca="false">1+IF($G$9=$E$9,$F$9,IF(S1019&lt;($F$9-$E$9)/($G$9-$E$9),$E$9+SQRT(S1019*($G$9-$E$9)*($F$9-$E$9)),$G$9-SQRT((1-S1019)*($G$9-$E$9)*($G$9-$F$9))))</f>
        <v>0.955529340177329</v>
      </c>
      <c r="F1019" s="37" t="n">
        <f aca="false">1+IF($G$10=$E$10,$F$10,IF(T1019&lt;($F$10-$E$10)/($G$10-$E$10),$E$10+SQRT(T1019*($G$10-$E$10)*($F$10-$E$10)),$G$10-SQRT((1-T1019)*($G$10-$E$10)*($G$10-$F$10))))</f>
        <v>0.997130768513123</v>
      </c>
      <c r="G1019" s="38" t="n">
        <f aca="false">IF($G$11=$E$11,$F$11,IF(U1019&lt;($F$11-$E$11)/($G$11-$E$11),$E$11+SQRT(U1019*($G$11-$E$11)*($F$11-$E$11)),$G$11-SQRT((1-U1019)*($G$11-$E$11)*($G$11-$F$11))))</f>
        <v>0.109923505775323</v>
      </c>
      <c r="H1019" s="39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-1994261537.02625</v>
      </c>
      <c r="I1019" s="39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51720921.7172467</v>
      </c>
      <c r="J1019" s="39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394046605.803524</v>
      </c>
      <c r="K1019" s="39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786228828.315457</v>
      </c>
      <c r="L1019" s="39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937014331.907218</v>
      </c>
      <c r="M1019" s="39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1138737514.17039</v>
      </c>
      <c r="N1019" s="39" t="n">
        <f aca="false">IF(COUNT('Business Case'!B11:G11)=0,"",H1019+NPV(G1019,I1019:M1019))</f>
        <v>240629590.758529</v>
      </c>
      <c r="P1019" s="40" t="n">
        <f aca="true">RAND()</f>
        <v>0.903671732065942</v>
      </c>
      <c r="Q1019" s="40" t="n">
        <f aca="true">RAND()</f>
        <v>0.811735932693515</v>
      </c>
      <c r="R1019" s="40" t="n">
        <f aca="true">RAND()</f>
        <v>0.238715796883962</v>
      </c>
      <c r="S1019" s="40" t="n">
        <f aca="true">RAND()</f>
        <v>0.123340304821183</v>
      </c>
      <c r="T1019" s="40" t="n">
        <f aca="true">RAND()</f>
        <v>0.148087289375837</v>
      </c>
      <c r="U1019" s="40" t="n">
        <f aca="true">RAND()</f>
        <v>0.731289586431017</v>
      </c>
    </row>
    <row r="1020" customFormat="false" ht="15" hidden="false" customHeight="false" outlineLevel="0" collapsed="false">
      <c r="A1020" s="36" t="n">
        <v>940</v>
      </c>
      <c r="B1020" s="37" t="n">
        <f aca="false">1+IF($G$6=$E$6,$F$6,IF(P1020&lt;($F$6-$E$6)/($G$6-$E$6),$E$6+SQRT(P1020*($G$6-$E$6)*($F$6-$E$6)),$G$6-SQRT((1-P1020)*($G$6-$E$6)*($G$6-$F$6))))</f>
        <v>1.04542516207464</v>
      </c>
      <c r="C1020" s="37" t="n">
        <f aca="false">1+IF($G$7=$E$7,$F$7,IF(Q1020&lt;($F$7-$E$7)/($G$7-$E$7),$E$7+SQRT(Q1020*($G$7-$E$7)*($F$7-$E$7)),$G$7-SQRT((1-Q1020)*($G$7-$E$7)*($G$7-$F$7))))</f>
        <v>0.864155241951681</v>
      </c>
      <c r="D1020" s="37" t="n">
        <f aca="false">1+IF($G$8=$E$8,$F$8,IF(R1020&lt;($F$8-$E$8)/($G$8-$E$8),$E$8+SQRT(R1020*($G$8-$E$8)*($F$8-$E$8)),$G$8-SQRT((1-R1020)*($G$8-$E$8)*($G$8-$F$8))))</f>
        <v>1.00251372880736</v>
      </c>
      <c r="E1020" s="37" t="n">
        <f aca="false">1+IF($G$9=$E$9,$F$9,IF(S1020&lt;($F$9-$E$9)/($G$9-$E$9),$E$9+SQRT(S1020*($G$9-$E$9)*($F$9-$E$9)),$G$9-SQRT((1-S1020)*($G$9-$E$9)*($G$9-$F$9))))</f>
        <v>1.01852692422456</v>
      </c>
      <c r="F1020" s="37" t="n">
        <f aca="false">1+IF($G$10=$E$10,$F$10,IF(T1020&lt;($F$10-$E$10)/($G$10-$E$10),$E$10+SQRT(T1020*($G$10-$E$10)*($F$10-$E$10)),$G$10-SQRT((1-T1020)*($G$10-$E$10)*($G$10-$F$10))))</f>
        <v>1.01069891979147</v>
      </c>
      <c r="G1020" s="38" t="n">
        <f aca="false">IF($G$11=$E$11,$F$11,IF(U1020&lt;($F$11-$E$11)/($G$11-$E$11),$E$11+SQRT(U1020*($G$11-$E$11)*($F$11-$E$11)),$G$11-SQRT((1-U1020)*($G$11-$E$11)*($G$11-$F$11))))</f>
        <v>0.0848151016763414</v>
      </c>
      <c r="H1020" s="39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-2021397839.58294</v>
      </c>
      <c r="I1020" s="39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3729988.94757354</v>
      </c>
      <c r="J1020" s="39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300197153.919107</v>
      </c>
      <c r="K1020" s="39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647199264.880213</v>
      </c>
      <c r="L1020" s="39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777243490.150777</v>
      </c>
      <c r="M1020" s="39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948963593.357734</v>
      </c>
      <c r="N1020" s="39" t="n">
        <f aca="false">IF(COUNT('Business Case'!B11:G11)=0,"",H1020+NPV(G1020,I1020:M1020))</f>
        <v>-63048516.7675443</v>
      </c>
      <c r="P1020" s="40" t="n">
        <f aca="true">RAND()</f>
        <v>0.997209447727559</v>
      </c>
      <c r="Q1020" s="40" t="n">
        <f aca="true">RAND()</f>
        <v>0.199606988594184</v>
      </c>
      <c r="R1020" s="40" t="n">
        <f aca="true">RAND()</f>
        <v>0.366428461930288</v>
      </c>
      <c r="S1020" s="40" t="n">
        <f aca="true">RAND()</f>
        <v>0.539062142563904</v>
      </c>
      <c r="T1020" s="40" t="n">
        <f aca="true">RAND()</f>
        <v>0.236466573480417</v>
      </c>
      <c r="U1020" s="40" t="n">
        <f aca="true">RAND()</f>
        <v>0.0231852041535056</v>
      </c>
    </row>
    <row r="1021" customFormat="false" ht="15" hidden="false" customHeight="false" outlineLevel="0" collapsed="false">
      <c r="A1021" s="36" t="n">
        <v>941</v>
      </c>
      <c r="B1021" s="37" t="n">
        <f aca="false">1+IF($G$6=$E$6,$F$6,IF(P1021&lt;($F$6-$E$6)/($G$6-$E$6),$E$6+SQRT(P1021*($G$6-$E$6)*($F$6-$E$6)),$G$6-SQRT((1-P1021)*($G$6-$E$6)*($G$6-$F$6))))</f>
        <v>0.980357124676767</v>
      </c>
      <c r="C1021" s="37" t="n">
        <f aca="false">1+IF($G$7=$E$7,$F$7,IF(Q1021&lt;($F$7-$E$7)/($G$7-$E$7),$E$7+SQRT(Q1021*($G$7-$E$7)*($F$7-$E$7)),$G$7-SQRT((1-Q1021)*($G$7-$E$7)*($G$7-$F$7))))</f>
        <v>1.01462721153968</v>
      </c>
      <c r="D1021" s="37" t="n">
        <f aca="false">1+IF($G$8=$E$8,$F$8,IF(R1021&lt;($F$8-$E$8)/($G$8-$E$8),$E$8+SQRT(R1021*($G$8-$E$8)*($F$8-$E$8)),$G$8-SQRT((1-R1021)*($G$8-$E$8)*($G$8-$F$8))))</f>
        <v>1.0466465996139</v>
      </c>
      <c r="E1021" s="37" t="n">
        <f aca="false">1+IF($G$9=$E$9,$F$9,IF(S1021&lt;($F$9-$E$9)/($G$9-$E$9),$E$9+SQRT(S1021*($G$9-$E$9)*($F$9-$E$9)),$G$9-SQRT((1-S1021)*($G$9-$E$9)*($G$9-$F$9))))</f>
        <v>1.00547530821627</v>
      </c>
      <c r="F1021" s="37" t="n">
        <f aca="false">1+IF($G$10=$E$10,$F$10,IF(T1021&lt;($F$10-$E$10)/($G$10-$E$10),$E$10+SQRT(T1021*($G$10-$E$10)*($F$10-$E$10)),$G$10-SQRT((1-T1021)*($G$10-$E$10)*($G$10-$F$10))))</f>
        <v>1.23827238406482</v>
      </c>
      <c r="G1021" s="38" t="n">
        <f aca="false">IF($G$11=$E$11,$F$11,IF(U1021&lt;($F$11-$E$11)/($G$11-$E$11),$E$11+SQRT(U1021*($G$11-$E$11)*($F$11-$E$11)),$G$11-SQRT((1-U1021)*($G$11-$E$11)*($G$11-$F$11))))</f>
        <v>0.111333502362762</v>
      </c>
      <c r="H1021" s="39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-2476544768.12963</v>
      </c>
      <c r="I1021" s="39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-47279023.8442039</v>
      </c>
      <c r="J1021" s="39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223812872.841551</v>
      </c>
      <c r="K1021" s="39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556818388.730547</v>
      </c>
      <c r="L1021" s="39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681559083.155882</v>
      </c>
      <c r="M1021" s="39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870631091.904671</v>
      </c>
      <c r="N1021" s="39" t="n">
        <f aca="false">IF(COUNT('Business Case'!B11:G11)=0,"",H1021+NPV(G1021,I1021:M1021))</f>
        <v>-971796674.097555</v>
      </c>
      <c r="P1021" s="40" t="n">
        <f aca="true">RAND()</f>
        <v>0.43048449908783</v>
      </c>
      <c r="Q1021" s="40" t="n">
        <f aca="true">RAND()</f>
        <v>0.728506787325593</v>
      </c>
      <c r="R1021" s="40" t="n">
        <f aca="true">RAND()</f>
        <v>0.810227644482691</v>
      </c>
      <c r="S1021" s="40" t="n">
        <f aca="true">RAND()</f>
        <v>0.443003025728462</v>
      </c>
      <c r="T1021" s="40" t="n">
        <f aca="true">RAND()</f>
        <v>0.998166173659691</v>
      </c>
      <c r="U1021" s="40" t="n">
        <f aca="true">RAND()</f>
        <v>0.767707910639337</v>
      </c>
    </row>
    <row r="1022" customFormat="false" ht="15" hidden="false" customHeight="false" outlineLevel="0" collapsed="false">
      <c r="A1022" s="36" t="n">
        <v>942</v>
      </c>
      <c r="B1022" s="37" t="n">
        <f aca="false">1+IF($G$6=$E$6,$F$6,IF(P1022&lt;($F$6-$E$6)/($G$6-$E$6),$E$6+SQRT(P1022*($G$6-$E$6)*($F$6-$E$6)),$G$6-SQRT((1-P1022)*($G$6-$E$6)*($G$6-$F$6))))</f>
        <v>0.99893405376736</v>
      </c>
      <c r="C1022" s="37" t="n">
        <f aca="false">1+IF($G$7=$E$7,$F$7,IF(Q1022&lt;($F$7-$E$7)/($G$7-$E$7),$E$7+SQRT(Q1022*($G$7-$E$7)*($F$7-$E$7)),$G$7-SQRT((1-Q1022)*($G$7-$E$7)*($G$7-$F$7))))</f>
        <v>1.0411849015043</v>
      </c>
      <c r="D1022" s="37" t="n">
        <f aca="false">1+IF($G$8=$E$8,$F$8,IF(R1022&lt;($F$8-$E$8)/($G$8-$E$8),$E$8+SQRT(R1022*($G$8-$E$8)*($F$8-$E$8)),$G$8-SQRT((1-R1022)*($G$8-$E$8)*($G$8-$F$8))))</f>
        <v>1.05170044285456</v>
      </c>
      <c r="E1022" s="37" t="n">
        <f aca="false">1+IF($G$9=$E$9,$F$9,IF(S1022&lt;($F$9-$E$9)/($G$9-$E$9),$E$9+SQRT(S1022*($G$9-$E$9)*($F$9-$E$9)),$G$9-SQRT((1-S1022)*($G$9-$E$9)*($G$9-$F$9))))</f>
        <v>0.938873331141514</v>
      </c>
      <c r="F1022" s="37" t="n">
        <f aca="false">1+IF($G$10=$E$10,$F$10,IF(T1022&lt;($F$10-$E$10)/($G$10-$E$10),$E$10+SQRT(T1022*($G$10-$E$10)*($F$10-$E$10)),$G$10-SQRT((1-T1022)*($G$10-$E$10)*($G$10-$F$10))))</f>
        <v>1.01972305076321</v>
      </c>
      <c r="G1022" s="38" t="n">
        <f aca="false">IF($G$11=$E$11,$F$11,IF(U1022&lt;($F$11-$E$11)/($G$11-$E$11),$E$11+SQRT(U1022*($G$11-$E$11)*($F$11-$E$11)),$G$11-SQRT((1-U1022)*($G$11-$E$11)*($G$11-$F$11))))</f>
        <v>0.107893499627046</v>
      </c>
      <c r="H1022" s="39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-2039446101.52641</v>
      </c>
      <c r="I1022" s="39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1938886.06116039</v>
      </c>
      <c r="J1022" s="39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293275355.706079</v>
      </c>
      <c r="K1022" s="39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635597977.889157</v>
      </c>
      <c r="L1022" s="39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768655128.316872</v>
      </c>
      <c r="M1022" s="39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966352594.653623</v>
      </c>
      <c r="N1022" s="39" t="n">
        <f aca="false">IF(COUNT('Business Case'!B11:G11)=0,"",H1022+NPV(G1022,I1022:M1022))</f>
        <v>-242206596.289735</v>
      </c>
      <c r="P1022" s="40" t="n">
        <f aca="true">RAND()</f>
        <v>0.652529799656186</v>
      </c>
      <c r="Q1022" s="40" t="n">
        <f aca="true">RAND()</f>
        <v>0.824581842064742</v>
      </c>
      <c r="R1022" s="40" t="n">
        <f aca="true">RAND()</f>
        <v>0.844476851970299</v>
      </c>
      <c r="S1022" s="40" t="n">
        <f aca="true">RAND()</f>
        <v>0.0604454349615125</v>
      </c>
      <c r="T1022" s="40" t="n">
        <f aca="true">RAND()</f>
        <v>0.292967022002597</v>
      </c>
      <c r="U1022" s="40" t="n">
        <f aca="true">RAND()</f>
        <v>0.674201760840383</v>
      </c>
    </row>
    <row r="1023" customFormat="false" ht="15" hidden="false" customHeight="false" outlineLevel="0" collapsed="false">
      <c r="A1023" s="36" t="n">
        <v>943</v>
      </c>
      <c r="B1023" s="37" t="n">
        <f aca="false">1+IF($G$6=$E$6,$F$6,IF(P1023&lt;($F$6-$E$6)/($G$6-$E$6),$E$6+SQRT(P1023*($G$6-$E$6)*($F$6-$E$6)),$G$6-SQRT((1-P1023)*($G$6-$E$6)*($G$6-$F$6))))</f>
        <v>0.971611211431031</v>
      </c>
      <c r="C1023" s="37" t="n">
        <f aca="false">1+IF($G$7=$E$7,$F$7,IF(Q1023&lt;($F$7-$E$7)/($G$7-$E$7),$E$7+SQRT(Q1023*($G$7-$E$7)*($F$7-$E$7)),$G$7-SQRT((1-Q1023)*($G$7-$E$7)*($G$7-$F$7))))</f>
        <v>1.12743833618436</v>
      </c>
      <c r="D1023" s="37" t="n">
        <f aca="false">1+IF($G$8=$E$8,$F$8,IF(R1023&lt;($F$8-$E$8)/($G$8-$E$8),$E$8+SQRT(R1023*($G$8-$E$8)*($F$8-$E$8)),$G$8-SQRT((1-R1023)*($G$8-$E$8)*($G$8-$F$8))))</f>
        <v>1.03325620392087</v>
      </c>
      <c r="E1023" s="37" t="n">
        <f aca="false">1+IF($G$9=$E$9,$F$9,IF(S1023&lt;($F$9-$E$9)/($G$9-$E$9),$E$9+SQRT(S1023*($G$9-$E$9)*($F$9-$E$9)),$G$9-SQRT((1-S1023)*($G$9-$E$9)*($G$9-$F$9))))</f>
        <v>0.989501887838891</v>
      </c>
      <c r="F1023" s="37" t="n">
        <f aca="false">1+IF($G$10=$E$10,$F$10,IF(T1023&lt;($F$10-$E$10)/($G$10-$E$10),$E$10+SQRT(T1023*($G$10-$E$10)*($F$10-$E$10)),$G$10-SQRT((1-T1023)*($G$10-$E$10)*($G$10-$F$10))))</f>
        <v>1.05236923456249</v>
      </c>
      <c r="G1023" s="38" t="n">
        <f aca="false">IF($G$11=$E$11,$F$11,IF(U1023&lt;($F$11-$E$11)/($G$11-$E$11),$E$11+SQRT(U1023*($G$11-$E$11)*($F$11-$E$11)),$G$11-SQRT((1-U1023)*($G$11-$E$11)*($G$11-$F$11))))</f>
        <v>0.105433722689684</v>
      </c>
      <c r="H1023" s="39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-2104738469.12499</v>
      </c>
      <c r="I1023" s="39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-1846141.60368189</v>
      </c>
      <c r="J1023" s="39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299038989.460116</v>
      </c>
      <c r="K1023" s="39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652542582.252038</v>
      </c>
      <c r="L1023" s="39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790695746.446998</v>
      </c>
      <c r="M1023" s="39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998915409.235645</v>
      </c>
      <c r="N1023" s="39" t="n">
        <f aca="false">IF(COUNT('Business Case'!B11:G11)=0,"",H1023+NPV(G1023,I1023:M1023))</f>
        <v>-243953443.938948</v>
      </c>
      <c r="P1023" s="40" t="n">
        <f aca="true">RAND()</f>
        <v>0.341877706841318</v>
      </c>
      <c r="Q1023" s="40" t="n">
        <f aca="true">RAND()</f>
        <v>0.992458834457336</v>
      </c>
      <c r="R1023" s="40" t="n">
        <f aca="true">RAND()</f>
        <v>0.703017712329842</v>
      </c>
      <c r="S1023" s="40" t="n">
        <f aca="true">RAND()</f>
        <v>0.320423517069017</v>
      </c>
      <c r="T1023" s="40" t="n">
        <f aca="true">RAND()</f>
        <v>0.479227740701132</v>
      </c>
      <c r="U1023" s="40" t="n">
        <f aca="true">RAND()</f>
        <v>0.597665346075091</v>
      </c>
    </row>
    <row r="1024" customFormat="false" ht="15" hidden="false" customHeight="false" outlineLevel="0" collapsed="false">
      <c r="A1024" s="36" t="n">
        <v>944</v>
      </c>
      <c r="B1024" s="37" t="n">
        <f aca="false">1+IF($G$6=$E$6,$F$6,IF(P1024&lt;($F$6-$E$6)/($G$6-$E$6),$E$6+SQRT(P1024*($G$6-$E$6)*($F$6-$E$6)),$G$6-SQRT((1-P1024)*($G$6-$E$6)*($G$6-$F$6))))</f>
        <v>1.0114167490262</v>
      </c>
      <c r="C1024" s="37" t="n">
        <f aca="false">1+IF($G$7=$E$7,$F$7,IF(Q1024&lt;($F$7-$E$7)/($G$7-$E$7),$E$7+SQRT(Q1024*($G$7-$E$7)*($F$7-$E$7)),$G$7-SQRT((1-Q1024)*($G$7-$E$7)*($G$7-$F$7))))</f>
        <v>0.984242540496639</v>
      </c>
      <c r="D1024" s="37" t="n">
        <f aca="false">1+IF($G$8=$E$8,$F$8,IF(R1024&lt;($F$8-$E$8)/($G$8-$E$8),$E$8+SQRT(R1024*($G$8-$E$8)*($F$8-$E$8)),$G$8-SQRT((1-R1024)*($G$8-$E$8)*($G$8-$F$8))))</f>
        <v>1.05770444942601</v>
      </c>
      <c r="E1024" s="37" t="n">
        <f aca="false">1+IF($G$9=$E$9,$F$9,IF(S1024&lt;($F$9-$E$9)/($G$9-$E$9),$E$9+SQRT(S1024*($G$9-$E$9)*($F$9-$E$9)),$G$9-SQRT((1-S1024)*($G$9-$E$9)*($G$9-$F$9))))</f>
        <v>1.03167672539165</v>
      </c>
      <c r="F1024" s="37" t="n">
        <f aca="false">1+IF($G$10=$E$10,$F$10,IF(T1024&lt;($F$10-$E$10)/($G$10-$E$10),$E$10+SQRT(T1024*($G$10-$E$10)*($F$10-$E$10)),$G$10-SQRT((1-T1024)*($G$10-$E$10)*($G$10-$F$10))))</f>
        <v>1.01432054247742</v>
      </c>
      <c r="G1024" s="38" t="n">
        <f aca="false">IF($G$11=$E$11,$F$11,IF(U1024&lt;($F$11-$E$11)/($G$11-$E$11),$E$11+SQRT(U1024*($G$11-$E$11)*($F$11-$E$11)),$G$11-SQRT((1-U1024)*($G$11-$E$11)*($G$11-$F$11))))</f>
        <v>0.0899214100644238</v>
      </c>
      <c r="H1024" s="39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-2028641084.95483</v>
      </c>
      <c r="I1024" s="39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-17300867.5729175</v>
      </c>
      <c r="J1024" s="39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265140401.059354</v>
      </c>
      <c r="K1024" s="39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598297696.815497</v>
      </c>
      <c r="L1024" s="39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726848554.097424</v>
      </c>
      <c r="M1024" s="39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916069276.655524</v>
      </c>
      <c r="N1024" s="39" t="n">
        <f aca="false">IF(COUNT('Business Case'!B11:G11)=0,"",H1024+NPV(G1024,I1024:M1024))</f>
        <v>-248560256.750474</v>
      </c>
      <c r="P1024" s="40" t="n">
        <f aca="true">RAND()</f>
        <v>0.801511032572324</v>
      </c>
      <c r="Q1024" s="40" t="n">
        <f aca="true">RAND()</f>
        <v>0.598472754281357</v>
      </c>
      <c r="R1024" s="40" t="n">
        <f aca="true">RAND()</f>
        <v>0.880739093442892</v>
      </c>
      <c r="S1024" s="40" t="n">
        <f aca="true">RAND()</f>
        <v>0.626656071625543</v>
      </c>
      <c r="T1024" s="40" t="n">
        <f aca="true">RAND()</f>
        <v>0.259402577358144</v>
      </c>
      <c r="U1024" s="40" t="n">
        <f aca="true">RAND()</f>
        <v>0.0984343776664502</v>
      </c>
    </row>
    <row r="1025" customFormat="false" ht="15" hidden="false" customHeight="false" outlineLevel="0" collapsed="false">
      <c r="A1025" s="36" t="n">
        <v>945</v>
      </c>
      <c r="B1025" s="37" t="n">
        <f aca="false">1+IF($G$6=$E$6,$F$6,IF(P1025&lt;($F$6-$E$6)/($G$6-$E$6),$E$6+SQRT(P1025*($G$6-$E$6)*($F$6-$E$6)),$G$6-SQRT((1-P1025)*($G$6-$E$6)*($G$6-$F$6))))</f>
        <v>0.979373444390677</v>
      </c>
      <c r="C1025" s="37" t="n">
        <f aca="false">1+IF($G$7=$E$7,$F$7,IF(Q1025&lt;($F$7-$E$7)/($G$7-$E$7),$E$7+SQRT(Q1025*($G$7-$E$7)*($F$7-$E$7)),$G$7-SQRT((1-Q1025)*($G$7-$E$7)*($G$7-$F$7))))</f>
        <v>1.06215059012853</v>
      </c>
      <c r="D1025" s="37" t="n">
        <f aca="false">1+IF($G$8=$E$8,$F$8,IF(R1025&lt;($F$8-$E$8)/($G$8-$E$8),$E$8+SQRT(R1025*($G$8-$E$8)*($F$8-$E$8)),$G$8-SQRT((1-R1025)*($G$8-$E$8)*($G$8-$F$8))))</f>
        <v>1.03753037991097</v>
      </c>
      <c r="E1025" s="37" t="n">
        <f aca="false">1+IF($G$9=$E$9,$F$9,IF(S1025&lt;($F$9-$E$9)/($G$9-$E$9),$E$9+SQRT(S1025*($G$9-$E$9)*($F$9-$E$9)),$G$9-SQRT((1-S1025)*($G$9-$E$9)*($G$9-$F$9))))</f>
        <v>1.02346615705327</v>
      </c>
      <c r="F1025" s="37" t="n">
        <f aca="false">1+IF($G$10=$E$10,$F$10,IF(T1025&lt;($F$10-$E$10)/($G$10-$E$10),$E$10+SQRT(T1025*($G$10-$E$10)*($F$10-$E$10)),$G$10-SQRT((1-T1025)*($G$10-$E$10)*($G$10-$F$10))))</f>
        <v>1.03503124444599</v>
      </c>
      <c r="G1025" s="38" t="n">
        <f aca="false">IF($G$11=$E$11,$F$11,IF(U1025&lt;($F$11-$E$11)/($G$11-$E$11),$E$11+SQRT(U1025*($G$11-$E$11)*($F$11-$E$11)),$G$11-SQRT((1-U1025)*($G$11-$E$11)*($G$11-$F$11))))</f>
        <v>0.114695971721572</v>
      </c>
      <c r="H1025" s="39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-2070062488.89198</v>
      </c>
      <c r="I1025" s="39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-15075752.6176922</v>
      </c>
      <c r="J1025" s="39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272814656.268704</v>
      </c>
      <c r="K1025" s="39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612456627.377398</v>
      </c>
      <c r="L1025" s="39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744370863.357206</v>
      </c>
      <c r="M1025" s="39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942100078.287756</v>
      </c>
      <c r="N1025" s="39" t="n">
        <f aca="false">IF(COUNT('Business Case'!B11:G11)=0,"",H1025+NPV(G1025,I1025:M1025))</f>
        <v>-392296999.713646</v>
      </c>
      <c r="P1025" s="40" t="n">
        <f aca="true">RAND()</f>
        <v>0.420009578295993</v>
      </c>
      <c r="Q1025" s="40" t="n">
        <f aca="true">RAND()</f>
        <v>0.885666387929408</v>
      </c>
      <c r="R1025" s="40" t="n">
        <f aca="true">RAND()</f>
        <v>0.739836437728812</v>
      </c>
      <c r="S1025" s="40" t="n">
        <f aca="true">RAND()</f>
        <v>0.573044975710208</v>
      </c>
      <c r="T1025" s="40" t="n">
        <f aca="true">RAND()</f>
        <v>0.383845788474133</v>
      </c>
      <c r="U1025" s="40" t="n">
        <f aca="true">RAND()</f>
        <v>0.843857812302048</v>
      </c>
    </row>
    <row r="1026" customFormat="false" ht="15" hidden="false" customHeight="false" outlineLevel="0" collapsed="false">
      <c r="A1026" s="36" t="n">
        <v>946</v>
      </c>
      <c r="B1026" s="37" t="n">
        <f aca="false">1+IF($G$6=$E$6,$F$6,IF(P1026&lt;($F$6-$E$6)/($G$6-$E$6),$E$6+SQRT(P1026*($G$6-$E$6)*($F$6-$E$6)),$G$6-SQRT((1-P1026)*($G$6-$E$6)*($G$6-$F$6))))</f>
        <v>1.01427760863033</v>
      </c>
      <c r="C1026" s="37" t="n">
        <f aca="false">1+IF($G$7=$E$7,$F$7,IF(Q1026&lt;($F$7-$E$7)/($G$7-$E$7),$E$7+SQRT(Q1026*($G$7-$E$7)*($F$7-$E$7)),$G$7-SQRT((1-Q1026)*($G$7-$E$7)*($G$7-$F$7))))</f>
        <v>0.856307313900663</v>
      </c>
      <c r="D1026" s="37" t="n">
        <f aca="false">1+IF($G$8=$E$8,$F$8,IF(R1026&lt;($F$8-$E$8)/($G$8-$E$8),$E$8+SQRT(R1026*($G$8-$E$8)*($F$8-$E$8)),$G$8-SQRT((1-R1026)*($G$8-$E$8)*($G$8-$F$8))))</f>
        <v>1.01830469974681</v>
      </c>
      <c r="E1026" s="37" t="n">
        <f aca="false">1+IF($G$9=$E$9,$F$9,IF(S1026&lt;($F$9-$E$9)/($G$9-$E$9),$E$9+SQRT(S1026*($G$9-$E$9)*($F$9-$E$9)),$G$9-SQRT((1-S1026)*($G$9-$E$9)*($G$9-$F$9))))</f>
        <v>0.980211361790651</v>
      </c>
      <c r="F1026" s="37" t="n">
        <f aca="false">1+IF($G$10=$E$10,$F$10,IF(T1026&lt;($F$10-$E$10)/($G$10-$E$10),$E$10+SQRT(T1026*($G$10-$E$10)*($F$10-$E$10)),$G$10-SQRT((1-T1026)*($G$10-$E$10)*($G$10-$F$10))))</f>
        <v>1.04663739979497</v>
      </c>
      <c r="G1026" s="38" t="n">
        <f aca="false">IF($G$11=$E$11,$F$11,IF(U1026&lt;($F$11-$E$11)/($G$11-$E$11),$E$11+SQRT(U1026*($G$11-$E$11)*($F$11-$E$11)),$G$11-SQRT((1-U1026)*($G$11-$E$11)*($G$11-$F$11))))</f>
        <v>0.110972371864755</v>
      </c>
      <c r="H1026" s="39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-2093274799.58994</v>
      </c>
      <c r="I1026" s="39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-24068131.948907</v>
      </c>
      <c r="J1026" s="39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240938299.793762</v>
      </c>
      <c r="K1026" s="39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558276601.526179</v>
      </c>
      <c r="L1026" s="39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676628590.817366</v>
      </c>
      <c r="M1026" s="39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841719407.057341</v>
      </c>
      <c r="N1026" s="39" t="n">
        <f aca="false">IF(COUNT('Business Case'!B11:G11)=0,"",H1026+NPV(G1026,I1026:M1026))</f>
        <v>-571098786.420399</v>
      </c>
      <c r="P1026" s="40" t="n">
        <f aca="true">RAND()</f>
        <v>0.829854767310972</v>
      </c>
      <c r="Q1026" s="40" t="n">
        <f aca="true">RAND()</f>
        <v>0.180977602806225</v>
      </c>
      <c r="R1026" s="40" t="n">
        <f aca="true">RAND()</f>
        <v>0.555058527769455</v>
      </c>
      <c r="S1026" s="40" t="n">
        <f aca="true">RAND()</f>
        <v>0.257354502412425</v>
      </c>
      <c r="T1026" s="40" t="n">
        <f aca="true">RAND()</f>
        <v>0.448582037838001</v>
      </c>
      <c r="U1026" s="40" t="n">
        <f aca="true">RAND()</f>
        <v>0.758632911697899</v>
      </c>
    </row>
    <row r="1027" customFormat="false" ht="15" hidden="false" customHeight="false" outlineLevel="0" collapsed="false">
      <c r="A1027" s="36" t="n">
        <v>947</v>
      </c>
      <c r="B1027" s="37" t="n">
        <f aca="false">1+IF($G$6=$E$6,$F$6,IF(P1027&lt;($F$6-$E$6)/($G$6-$E$6),$E$6+SQRT(P1027*($G$6-$E$6)*($F$6-$E$6)),$G$6-SQRT((1-P1027)*($G$6-$E$6)*($G$6-$F$6))))</f>
        <v>1.04167793198698</v>
      </c>
      <c r="C1027" s="37" t="n">
        <f aca="false">1+IF($G$7=$E$7,$F$7,IF(Q1027&lt;($F$7-$E$7)/($G$7-$E$7),$E$7+SQRT(Q1027*($G$7-$E$7)*($F$7-$E$7)),$G$7-SQRT((1-Q1027)*($G$7-$E$7)*($G$7-$F$7))))</f>
        <v>0.763186181148768</v>
      </c>
      <c r="D1027" s="37" t="n">
        <f aca="false">1+IF($G$8=$E$8,$F$8,IF(R1027&lt;($F$8-$E$8)/($G$8-$E$8),$E$8+SQRT(R1027*($G$8-$E$8)*($F$8-$E$8)),$G$8-SQRT((1-R1027)*($G$8-$E$8)*($G$8-$F$8))))</f>
        <v>1.01422605310983</v>
      </c>
      <c r="E1027" s="37" t="n">
        <f aca="false">1+IF($G$9=$E$9,$F$9,IF(S1027&lt;($F$9-$E$9)/($G$9-$E$9),$E$9+SQRT(S1027*($G$9-$E$9)*($F$9-$E$9)),$G$9-SQRT((1-S1027)*($G$9-$E$9)*($G$9-$F$9))))</f>
        <v>0.922259760944494</v>
      </c>
      <c r="F1027" s="37" t="n">
        <f aca="false">1+IF($G$10=$E$10,$F$10,IF(T1027&lt;($F$10-$E$10)/($G$10-$E$10),$E$10+SQRT(T1027*($G$10-$E$10)*($F$10-$E$10)),$G$10-SQRT((1-T1027)*($G$10-$E$10)*($G$10-$F$10))))</f>
        <v>1.08528602938283</v>
      </c>
      <c r="G1027" s="38" t="n">
        <f aca="false">IF($G$11=$E$11,$F$11,IF(U1027&lt;($F$11-$E$11)/($G$11-$E$11),$E$11+SQRT(U1027*($G$11-$E$11)*($F$11-$E$11)),$G$11-SQRT((1-U1027)*($G$11-$E$11)*($G$11-$F$11))))</f>
        <v>0.0999754106850634</v>
      </c>
      <c r="H1027" s="39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-2170572058.76567</v>
      </c>
      <c r="I1027" s="39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-25977199.0472604</v>
      </c>
      <c r="J1027" s="39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228932042.32841</v>
      </c>
      <c r="K1027" s="39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538105585.173222</v>
      </c>
      <c r="L1027" s="39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650550331.950672</v>
      </c>
      <c r="M1027" s="39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801662830.037921</v>
      </c>
      <c r="N1027" s="39" t="n">
        <f aca="false">IF(COUNT('Business Case'!B11:G11)=0,"",H1027+NPV(G1027,I1027:M1027))</f>
        <v>-658466377.066409</v>
      </c>
      <c r="P1027" s="40" t="n">
        <f aca="true">RAND()</f>
        <v>0.99076575786488</v>
      </c>
      <c r="Q1027" s="40" t="n">
        <f aca="true">RAND()</f>
        <v>0.0295740258382587</v>
      </c>
      <c r="R1027" s="40" t="n">
        <f aca="true">RAND()</f>
        <v>0.509522002325475</v>
      </c>
      <c r="S1027" s="40" t="n">
        <f aca="true">RAND()</f>
        <v>0.0198198782922405</v>
      </c>
      <c r="T1027" s="40" t="n">
        <f aca="true">RAND()</f>
        <v>0.638257438447025</v>
      </c>
      <c r="U1027" s="40" t="n">
        <f aca="true">RAND()</f>
        <v>0.399017032036945</v>
      </c>
    </row>
    <row r="1028" customFormat="false" ht="15" hidden="false" customHeight="false" outlineLevel="0" collapsed="false">
      <c r="A1028" s="36" t="n">
        <v>948</v>
      </c>
      <c r="B1028" s="37" t="n">
        <f aca="false">1+IF($G$6=$E$6,$F$6,IF(P1028&lt;($F$6-$E$6)/($G$6-$E$6),$E$6+SQRT(P1028*($G$6-$E$6)*($F$6-$E$6)),$G$6-SQRT((1-P1028)*($G$6-$E$6)*($G$6-$F$6))))</f>
        <v>0.993033032590095</v>
      </c>
      <c r="C1028" s="37" t="n">
        <f aca="false">1+IF($G$7=$E$7,$F$7,IF(Q1028&lt;($F$7-$E$7)/($G$7-$E$7),$E$7+SQRT(Q1028*($G$7-$E$7)*($F$7-$E$7)),$G$7-SQRT((1-Q1028)*($G$7-$E$7)*($G$7-$F$7))))</f>
        <v>0.972505063198247</v>
      </c>
      <c r="D1028" s="37" t="n">
        <f aca="false">1+IF($G$8=$E$8,$F$8,IF(R1028&lt;($F$8-$E$8)/($G$8-$E$8),$E$8+SQRT(R1028*($G$8-$E$8)*($F$8-$E$8)),$G$8-SQRT((1-R1028)*($G$8-$E$8)*($G$8-$F$8))))</f>
        <v>1.04477128008122</v>
      </c>
      <c r="E1028" s="37" t="n">
        <f aca="false">1+IF($G$9=$E$9,$F$9,IF(S1028&lt;($F$9-$E$9)/($G$9-$E$9),$E$9+SQRT(S1028*($G$9-$E$9)*($F$9-$E$9)),$G$9-SQRT((1-S1028)*($G$9-$E$9)*($G$9-$F$9))))</f>
        <v>0.974515355025468</v>
      </c>
      <c r="F1028" s="37" t="n">
        <f aca="false">1+IF($G$10=$E$10,$F$10,IF(T1028&lt;($F$10-$E$10)/($G$10-$E$10),$E$10+SQRT(T1028*($G$10-$E$10)*($F$10-$E$10)),$G$10-SQRT((1-T1028)*($G$10-$E$10)*($G$10-$F$10))))</f>
        <v>1.04016556256111</v>
      </c>
      <c r="G1028" s="38" t="n">
        <f aca="false">IF($G$11=$E$11,$F$11,IF(U1028&lt;($F$11-$E$11)/($G$11-$E$11),$E$11+SQRT(U1028*($G$11-$E$11)*($F$11-$E$11)),$G$11-SQRT((1-U1028)*($G$11-$E$11)*($G$11-$F$11))))</f>
        <v>0.0976323797998502</v>
      </c>
      <c r="H1028" s="39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-2080331125.12222</v>
      </c>
      <c r="I1028" s="39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-21787887.8576447</v>
      </c>
      <c r="J1028" s="39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249080289.191188</v>
      </c>
      <c r="K1028" s="39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571956744.368075</v>
      </c>
      <c r="L1028" s="39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695621753.494849</v>
      </c>
      <c r="M1028" s="39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879187645.769244</v>
      </c>
      <c r="N1028" s="39" t="n">
        <f aca="false">IF(COUNT('Business Case'!B11:G11)=0,"",H1028+NPV(G1028,I1028:M1028))</f>
        <v>-429883060.864137</v>
      </c>
      <c r="P1028" s="40" t="n">
        <f aca="true">RAND()</f>
        <v>0.57700967686064</v>
      </c>
      <c r="Q1028" s="40" t="n">
        <f aca="true">RAND()</f>
        <v>0.550066736805042</v>
      </c>
      <c r="R1028" s="40" t="n">
        <f aca="true">RAND()</f>
        <v>0.796652566408835</v>
      </c>
      <c r="S1028" s="40" t="n">
        <f aca="true">RAND()</f>
        <v>0.222101525382864</v>
      </c>
      <c r="T1028" s="40" t="n">
        <f aca="true">RAND()</f>
        <v>0.412926784862735</v>
      </c>
      <c r="U1028" s="40" t="n">
        <f aca="true">RAND()</f>
        <v>0.310900817406165</v>
      </c>
    </row>
    <row r="1029" customFormat="false" ht="15" hidden="false" customHeight="false" outlineLevel="0" collapsed="false">
      <c r="A1029" s="36" t="n">
        <v>949</v>
      </c>
      <c r="B1029" s="37" t="n">
        <f aca="false">1+IF($G$6=$E$6,$F$6,IF(P1029&lt;($F$6-$E$6)/($G$6-$E$6),$E$6+SQRT(P1029*($G$6-$E$6)*($F$6-$E$6)),$G$6-SQRT((1-P1029)*($G$6-$E$6)*($G$6-$F$6))))</f>
        <v>0.963569961571884</v>
      </c>
      <c r="C1029" s="37" t="n">
        <f aca="false">1+IF($G$7=$E$7,$F$7,IF(Q1029&lt;($F$7-$E$7)/($G$7-$E$7),$E$7+SQRT(Q1029*($G$7-$E$7)*($F$7-$E$7)),$G$7-SQRT((1-Q1029)*($G$7-$E$7)*($G$7-$F$7))))</f>
        <v>0.861579827240636</v>
      </c>
      <c r="D1029" s="37" t="n">
        <f aca="false">1+IF($G$8=$E$8,$F$8,IF(R1029&lt;($F$8-$E$8)/($G$8-$E$8),$E$8+SQRT(R1029*($G$8-$E$8)*($F$8-$E$8)),$G$8-SQRT((1-R1029)*($G$8-$E$8)*($G$8-$F$8))))</f>
        <v>0.97370849469671</v>
      </c>
      <c r="E1029" s="37" t="n">
        <f aca="false">1+IF($G$9=$E$9,$F$9,IF(S1029&lt;($F$9-$E$9)/($G$9-$E$9),$E$9+SQRT(S1029*($G$9-$E$9)*($F$9-$E$9)),$G$9-SQRT((1-S1029)*($G$9-$E$9)*($G$9-$F$9))))</f>
        <v>0.950039640696918</v>
      </c>
      <c r="F1029" s="37" t="n">
        <f aca="false">1+IF($G$10=$E$10,$F$10,IF(T1029&lt;($F$10-$E$10)/($G$10-$E$10),$E$10+SQRT(T1029*($G$10-$E$10)*($F$10-$E$10)),$G$10-SQRT((1-T1029)*($G$10-$E$10)*($G$10-$F$10))))</f>
        <v>1.11486521459792</v>
      </c>
      <c r="G1029" s="38" t="n">
        <f aca="false">IF($G$11=$E$11,$F$11,IF(U1029&lt;($F$11-$E$11)/($G$11-$E$11),$E$11+SQRT(U1029*($G$11-$E$11)*($F$11-$E$11)),$G$11-SQRT((1-U1029)*($G$11-$E$11)*($G$11-$F$11))))</f>
        <v>0.0986340932107956</v>
      </c>
      <c r="H1029" s="39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-2229730429.19584</v>
      </c>
      <c r="I1029" s="39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-39095766.7278735</v>
      </c>
      <c r="J1029" s="39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211427801.053902</v>
      </c>
      <c r="K1029" s="39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517694629.565573</v>
      </c>
      <c r="L1029" s="39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629893936.254668</v>
      </c>
      <c r="M1029" s="39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787696915.44477</v>
      </c>
      <c r="N1029" s="39" t="n">
        <f aca="false">IF(COUNT('Business Case'!B11:G11)=0,"",H1029+NPV(G1029,I1029:M1029))</f>
        <v>-775228192.631568</v>
      </c>
      <c r="P1029" s="40" t="n">
        <f aca="true">RAND()</f>
        <v>0.269409334283386</v>
      </c>
      <c r="Q1029" s="40" t="n">
        <f aca="true">RAND()</f>
        <v>0.193392893119361</v>
      </c>
      <c r="R1029" s="40" t="n">
        <f aca="true">RAND()</f>
        <v>0.074945696104523</v>
      </c>
      <c r="S1029" s="40" t="n">
        <f aca="true">RAND()</f>
        <v>0.100158625643064</v>
      </c>
      <c r="T1029" s="40" t="n">
        <f aca="true">RAND()</f>
        <v>0.75651453032445</v>
      </c>
      <c r="U1029" s="40" t="n">
        <f aca="true">RAND()</f>
        <v>0.347229429788618</v>
      </c>
    </row>
    <row r="1030" customFormat="false" ht="15" hidden="false" customHeight="false" outlineLevel="0" collapsed="false">
      <c r="A1030" s="36" t="n">
        <v>950</v>
      </c>
      <c r="B1030" s="37" t="n">
        <f aca="false">1+IF($G$6=$E$6,$F$6,IF(P1030&lt;($F$6-$E$6)/($G$6-$E$6),$E$6+SQRT(P1030*($G$6-$E$6)*($F$6-$E$6)),$G$6-SQRT((1-P1030)*($G$6-$E$6)*($G$6-$F$6))))</f>
        <v>1.0022834335659</v>
      </c>
      <c r="C1030" s="37" t="n">
        <f aca="false">1+IF($G$7=$E$7,$F$7,IF(Q1030&lt;($F$7-$E$7)/($G$7-$E$7),$E$7+SQRT(Q1030*($G$7-$E$7)*($F$7-$E$7)),$G$7-SQRT((1-Q1030)*($G$7-$E$7)*($G$7-$F$7))))</f>
        <v>0.741903666236622</v>
      </c>
      <c r="D1030" s="37" t="n">
        <f aca="false">1+IF($G$8=$E$8,$F$8,IF(R1030&lt;($F$8-$E$8)/($G$8-$E$8),$E$8+SQRT(R1030*($G$8-$E$8)*($F$8-$E$8)),$G$8-SQRT((1-R1030)*($G$8-$E$8)*($G$8-$F$8))))</f>
        <v>0.993899212569385</v>
      </c>
      <c r="E1030" s="37" t="n">
        <f aca="false">1+IF($G$9=$E$9,$F$9,IF(S1030&lt;($F$9-$E$9)/($G$9-$E$9),$E$9+SQRT(S1030*($G$9-$E$9)*($F$9-$E$9)),$G$9-SQRT((1-S1030)*($G$9-$E$9)*($G$9-$F$9))))</f>
        <v>1.04338291569995</v>
      </c>
      <c r="F1030" s="37" t="n">
        <f aca="false">1+IF($G$10=$E$10,$F$10,IF(T1030&lt;($F$10-$E$10)/($G$10-$E$10),$E$10+SQRT(T1030*($G$10-$E$10)*($F$10-$E$10)),$G$10-SQRT((1-T1030)*($G$10-$E$10)*($G$10-$F$10))))</f>
        <v>0.979487861715808</v>
      </c>
      <c r="G1030" s="38" t="n">
        <f aca="false">IF($G$11=$E$11,$F$11,IF(U1030&lt;($F$11-$E$11)/($G$11-$E$11),$E$11+SQRT(U1030*($G$11-$E$11)*($F$11-$E$11)),$G$11-SQRT((1-U1030)*($G$11-$E$11)*($G$11-$F$11))))</f>
        <v>0.105385954908796</v>
      </c>
      <c r="H1030" s="39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-1958975723.43162</v>
      </c>
      <c r="I1030" s="39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-53284119.0855964</v>
      </c>
      <c r="J1030" s="39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178297706.178765</v>
      </c>
      <c r="K1030" s="39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458853924.528917</v>
      </c>
      <c r="L1030" s="39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561746604.660934</v>
      </c>
      <c r="M1030" s="39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703089665.735697</v>
      </c>
      <c r="N1030" s="39" t="n">
        <f aca="false">IF(COUNT('Business Case'!B11:G11)=0,"",H1030+NPV(G1030,I1030:M1030))</f>
        <v>-719241889.023312</v>
      </c>
      <c r="P1030" s="40" t="n">
        <f aca="true">RAND()</f>
        <v>0.696417238365318</v>
      </c>
      <c r="Q1030" s="40" t="n">
        <f aca="true">RAND()</f>
        <v>0.0130067944005199</v>
      </c>
      <c r="R1030" s="40" t="n">
        <f aca="true">RAND()</f>
        <v>0.256952115228275</v>
      </c>
      <c r="S1030" s="40" t="n">
        <f aca="true">RAND()</f>
        <v>0.696874595609472</v>
      </c>
      <c r="T1030" s="40" t="n">
        <f aca="true">RAND()</f>
        <v>0.0579689325713749</v>
      </c>
      <c r="U1030" s="40" t="n">
        <f aca="true">RAND()</f>
        <v>0.596099189498768</v>
      </c>
    </row>
    <row r="1031" customFormat="false" ht="15" hidden="false" customHeight="false" outlineLevel="0" collapsed="false">
      <c r="A1031" s="36" t="n">
        <v>951</v>
      </c>
      <c r="B1031" s="37" t="n">
        <f aca="false">1+IF($G$6=$E$6,$F$6,IF(P1031&lt;($F$6-$E$6)/($G$6-$E$6),$E$6+SQRT(P1031*($G$6-$E$6)*($F$6-$E$6)),$G$6-SQRT((1-P1031)*($G$6-$E$6)*($G$6-$F$6))))</f>
        <v>1.04741128199447</v>
      </c>
      <c r="C1031" s="37" t="n">
        <f aca="false">1+IF($G$7=$E$7,$F$7,IF(Q1031&lt;($F$7-$E$7)/($G$7-$E$7),$E$7+SQRT(Q1031*($G$7-$E$7)*($F$7-$E$7)),$G$7-SQRT((1-Q1031)*($G$7-$E$7)*($G$7-$F$7))))</f>
        <v>0.96978404020786</v>
      </c>
      <c r="D1031" s="37" t="n">
        <f aca="false">1+IF($G$8=$E$8,$F$8,IF(R1031&lt;($F$8-$E$8)/($G$8-$E$8),$E$8+SQRT(R1031*($G$8-$E$8)*($F$8-$E$8)),$G$8-SQRT((1-R1031)*($G$8-$E$8)*($G$8-$F$8))))</f>
        <v>1.02865935029276</v>
      </c>
      <c r="E1031" s="37" t="n">
        <f aca="false">1+IF($G$9=$E$9,$F$9,IF(S1031&lt;($F$9-$E$9)/($G$9-$E$9),$E$9+SQRT(S1031*($G$9-$E$9)*($F$9-$E$9)),$G$9-SQRT((1-S1031)*($G$9-$E$9)*($G$9-$F$9))))</f>
        <v>0.999943895146914</v>
      </c>
      <c r="F1031" s="37" t="n">
        <f aca="false">1+IF($G$10=$E$10,$F$10,IF(T1031&lt;($F$10-$E$10)/($G$10-$E$10),$E$10+SQRT(T1031*($G$10-$E$10)*($F$10-$E$10)),$G$10-SQRT((1-T1031)*($G$10-$E$10)*($G$10-$F$10))))</f>
        <v>1.09735268037048</v>
      </c>
      <c r="G1031" s="38" t="n">
        <f aca="false">IF($G$11=$E$11,$F$11,IF(U1031&lt;($F$11-$E$11)/($G$11-$E$11),$E$11+SQRT(U1031*($G$11-$E$11)*($F$11-$E$11)),$G$11-SQRT((1-U1031)*($G$11-$E$11)*($G$11-$F$11))))</f>
        <v>0.0975145853794399</v>
      </c>
      <c r="H1031" s="39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-2194705360.74096</v>
      </c>
      <c r="I1031" s="39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16718559.0832887</v>
      </c>
      <c r="J1031" s="39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338021548.784565</v>
      </c>
      <c r="K1031" s="39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714192172.504366</v>
      </c>
      <c r="L1031" s="39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856397929.532157</v>
      </c>
      <c r="M1031" s="39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1049474112.066</v>
      </c>
      <c r="N1031" s="39" t="n">
        <f aca="false">IF(COUNT('Business Case'!B11:G11)=0,"",H1031+NPV(G1031,I1031:M1031))</f>
        <v>-109311420.792995</v>
      </c>
      <c r="P1031" s="40" t="n">
        <f aca="true">RAND()</f>
        <v>0.999106471878381</v>
      </c>
      <c r="Q1031" s="40" t="n">
        <f aca="true">RAND()</f>
        <v>0.539136506302785</v>
      </c>
      <c r="R1031" s="40" t="n">
        <f aca="true">RAND()</f>
        <v>0.660700779956634</v>
      </c>
      <c r="S1031" s="40" t="n">
        <f aca="true">RAND()</f>
        <v>0.399551287085497</v>
      </c>
      <c r="T1031" s="40" t="n">
        <f aca="true">RAND()</f>
        <v>0.689317277465643</v>
      </c>
      <c r="U1031" s="40" t="n">
        <f aca="true">RAND()</f>
        <v>0.306760701013689</v>
      </c>
    </row>
    <row r="1032" customFormat="false" ht="15" hidden="false" customHeight="false" outlineLevel="0" collapsed="false">
      <c r="A1032" s="36" t="n">
        <v>952</v>
      </c>
      <c r="B1032" s="37" t="n">
        <f aca="false">1+IF($G$6=$E$6,$F$6,IF(P1032&lt;($F$6-$E$6)/($G$6-$E$6),$E$6+SQRT(P1032*($G$6-$E$6)*($F$6-$E$6)),$G$6-SQRT((1-P1032)*($G$6-$E$6)*($G$6-$F$6))))</f>
        <v>0.931649032686222</v>
      </c>
      <c r="C1032" s="37" t="n">
        <f aca="false">1+IF($G$7=$E$7,$F$7,IF(Q1032&lt;($F$7-$E$7)/($G$7-$E$7),$E$7+SQRT(Q1032*($G$7-$E$7)*($F$7-$E$7)),$G$7-SQRT((1-Q1032)*($G$7-$E$7)*($G$7-$F$7))))</f>
        <v>0.733749708362629</v>
      </c>
      <c r="D1032" s="37" t="n">
        <f aca="false">1+IF($G$8=$E$8,$F$8,IF(R1032&lt;($F$8-$E$8)/($G$8-$E$8),$E$8+SQRT(R1032*($G$8-$E$8)*($F$8-$E$8)),$G$8-SQRT((1-R1032)*($G$8-$E$8)*($G$8-$F$8))))</f>
        <v>0.975702472545863</v>
      </c>
      <c r="E1032" s="37" t="n">
        <f aca="false">1+IF($G$9=$E$9,$F$9,IF(S1032&lt;($F$9-$E$9)/($G$9-$E$9),$E$9+SQRT(S1032*($G$9-$E$9)*($F$9-$E$9)),$G$9-SQRT((1-S1032)*($G$9-$E$9)*($G$9-$F$9))))</f>
        <v>0.938697049350743</v>
      </c>
      <c r="F1032" s="37" t="n">
        <f aca="false">1+IF($G$10=$E$10,$F$10,IF(T1032&lt;($F$10-$E$10)/($G$10-$E$10),$E$10+SQRT(T1032*($G$10-$E$10)*($F$10-$E$10)),$G$10-SQRT((1-T1032)*($G$10-$E$10)*($G$10-$F$10))))</f>
        <v>1.17039393560952</v>
      </c>
      <c r="G1032" s="38" t="n">
        <f aca="false">IF($G$11=$E$11,$F$11,IF(U1032&lt;($F$11-$E$11)/($G$11-$E$11),$E$11+SQRT(U1032*($G$11-$E$11)*($F$11-$E$11)),$G$11-SQRT((1-U1032)*($G$11-$E$11)*($G$11-$F$11))))</f>
        <v>0.109911471214359</v>
      </c>
      <c r="H1032" s="39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-2340787871.21904</v>
      </c>
      <c r="I1032" s="39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-92538947.8853285</v>
      </c>
      <c r="J1032" s="39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100881897.368558</v>
      </c>
      <c r="K1032" s="39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352822439.40292</v>
      </c>
      <c r="L1032" s="39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440921173.927939</v>
      </c>
      <c r="M1032" s="39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570859330.850092</v>
      </c>
      <c r="N1032" s="39" t="n">
        <f aca="false">IF(COUNT('Business Case'!B11:G11)=0,"",H1032+NPV(G1032,I1032:M1032))</f>
        <v>-1454775936.48621</v>
      </c>
      <c r="P1032" s="40" t="n">
        <f aca="true">RAND()</f>
        <v>0.0667774179982369</v>
      </c>
      <c r="Q1032" s="40" t="n">
        <f aca="true">RAND()</f>
        <v>0.00843735418194436</v>
      </c>
      <c r="R1032" s="40" t="n">
        <f aca="true">RAND()</f>
        <v>0.0880822793294427</v>
      </c>
      <c r="S1032" s="40" t="n">
        <f aca="true">RAND()</f>
        <v>0.0598984651381549</v>
      </c>
      <c r="T1032" s="40" t="n">
        <f aca="true">RAND()</f>
        <v>0.915504993496782</v>
      </c>
      <c r="U1032" s="40" t="n">
        <f aca="true">RAND()</f>
        <v>0.730967340818978</v>
      </c>
    </row>
    <row r="1033" customFormat="false" ht="15" hidden="false" customHeight="false" outlineLevel="0" collapsed="false">
      <c r="A1033" s="36" t="n">
        <v>953</v>
      </c>
      <c r="B1033" s="37" t="n">
        <f aca="false">1+IF($G$6=$E$6,$F$6,IF(P1033&lt;($F$6-$E$6)/($G$6-$E$6),$E$6+SQRT(P1033*($G$6-$E$6)*($F$6-$E$6)),$G$6-SQRT((1-P1033)*($G$6-$E$6)*($G$6-$F$6))))</f>
        <v>0.968187152561913</v>
      </c>
      <c r="C1033" s="37" t="n">
        <f aca="false">1+IF($G$7=$E$7,$F$7,IF(Q1033&lt;($F$7-$E$7)/($G$7-$E$7),$E$7+SQRT(Q1033*($G$7-$E$7)*($F$7-$E$7)),$G$7-SQRT((1-Q1033)*($G$7-$E$7)*($G$7-$F$7))))</f>
        <v>0.881064474511557</v>
      </c>
      <c r="D1033" s="37" t="n">
        <f aca="false">1+IF($G$8=$E$8,$F$8,IF(R1033&lt;($F$8-$E$8)/($G$8-$E$8),$E$8+SQRT(R1033*($G$8-$E$8)*($F$8-$E$8)),$G$8-SQRT((1-R1033)*($G$8-$E$8)*($G$8-$F$8))))</f>
        <v>1.01714682113274</v>
      </c>
      <c r="E1033" s="37" t="n">
        <f aca="false">1+IF($G$9=$E$9,$F$9,IF(S1033&lt;($F$9-$E$9)/($G$9-$E$9),$E$9+SQRT(S1033*($G$9-$E$9)*($F$9-$E$9)),$G$9-SQRT((1-S1033)*($G$9-$E$9)*($G$9-$F$9))))</f>
        <v>0.996064767398616</v>
      </c>
      <c r="F1033" s="37" t="n">
        <f aca="false">1+IF($G$10=$E$10,$F$10,IF(T1033&lt;($F$10-$E$10)/($G$10-$E$10),$E$10+SQRT(T1033*($G$10-$E$10)*($F$10-$E$10)),$G$10-SQRT((1-T1033)*($G$10-$E$10)*($G$10-$F$10))))</f>
        <v>1.09338032298224</v>
      </c>
      <c r="G1033" s="38" t="n">
        <f aca="false">IF($G$11=$E$11,$F$11,IF(U1033&lt;($F$11-$E$11)/($G$11-$E$11),$E$11+SQRT(U1033*($G$11-$E$11)*($F$11-$E$11)),$G$11-SQRT((1-U1033)*($G$11-$E$11)*($G$11-$F$11))))</f>
        <v>0.115391974096082</v>
      </c>
      <c r="H1033" s="39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-2186760645.96447</v>
      </c>
      <c r="I1033" s="39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-55270793.3797787</v>
      </c>
      <c r="J1033" s="39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184658205.663623</v>
      </c>
      <c r="K1033" s="39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479256220.856137</v>
      </c>
      <c r="L1033" s="39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588713454.00452</v>
      </c>
      <c r="M1033" s="39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750858404.741057</v>
      </c>
      <c r="N1033" s="39" t="n">
        <f aca="false">IF(COUNT('Business Case'!B11:G11)=0,"",H1033+NPV(G1033,I1033:M1033))</f>
        <v>-927225449.907311</v>
      </c>
      <c r="P1033" s="40" t="n">
        <f aca="true">RAND()</f>
        <v>0.309965851633442</v>
      </c>
      <c r="Q1033" s="40" t="n">
        <f aca="true">RAND()</f>
        <v>0.242846992075158</v>
      </c>
      <c r="R1033" s="40" t="n">
        <f aca="true">RAND()</f>
        <v>0.542356716772653</v>
      </c>
      <c r="S1033" s="40" t="n">
        <f aca="true">RAND()</f>
        <v>0.36913758141401</v>
      </c>
      <c r="T1033" s="40" t="n">
        <f aca="true">RAND()</f>
        <v>0.672937023611355</v>
      </c>
      <c r="U1033" s="40" t="n">
        <f aca="true">RAND()</f>
        <v>0.857737052793641</v>
      </c>
    </row>
    <row r="1034" customFormat="false" ht="15" hidden="false" customHeight="false" outlineLevel="0" collapsed="false">
      <c r="A1034" s="36" t="n">
        <v>954</v>
      </c>
      <c r="B1034" s="37" t="n">
        <f aca="false">1+IF($G$6=$E$6,$F$6,IF(P1034&lt;($F$6-$E$6)/($G$6-$E$6),$E$6+SQRT(P1034*($G$6-$E$6)*($F$6-$E$6)),$G$6-SQRT((1-P1034)*($G$6-$E$6)*($G$6-$F$6))))</f>
        <v>1.01210311643459</v>
      </c>
      <c r="C1034" s="37" t="n">
        <f aca="false">1+IF($G$7=$E$7,$F$7,IF(Q1034&lt;($F$7-$E$7)/($G$7-$E$7),$E$7+SQRT(Q1034*($G$7-$E$7)*($F$7-$E$7)),$G$7-SQRT((1-Q1034)*($G$7-$E$7)*($G$7-$F$7))))</f>
        <v>0.851569562254707</v>
      </c>
      <c r="D1034" s="37" t="n">
        <f aca="false">1+IF($G$8=$E$8,$F$8,IF(R1034&lt;($F$8-$E$8)/($G$8-$E$8),$E$8+SQRT(R1034*($G$8-$E$8)*($F$8-$E$8)),$G$8-SQRT((1-R1034)*($G$8-$E$8)*($G$8-$F$8))))</f>
        <v>1.02673023644095</v>
      </c>
      <c r="E1034" s="37" t="n">
        <f aca="false">1+IF($G$9=$E$9,$F$9,IF(S1034&lt;($F$9-$E$9)/($G$9-$E$9),$E$9+SQRT(S1034*($G$9-$E$9)*($F$9-$E$9)),$G$9-SQRT((1-S1034)*($G$9-$E$9)*($G$9-$F$9))))</f>
        <v>1.07388308853912</v>
      </c>
      <c r="F1034" s="37" t="n">
        <f aca="false">1+IF($G$10=$E$10,$F$10,IF(T1034&lt;($F$10-$E$10)/($G$10-$E$10),$E$10+SQRT(T1034*($G$10-$E$10)*($F$10-$E$10)),$G$10-SQRT((1-T1034)*($G$10-$E$10)*($G$10-$F$10))))</f>
        <v>1.10023883330066</v>
      </c>
      <c r="G1034" s="38" t="n">
        <f aca="false">IF($G$11=$E$11,$F$11,IF(U1034&lt;($F$11-$E$11)/($G$11-$E$11),$E$11+SQRT(U1034*($G$11-$E$11)*($F$11-$E$11)),$G$11-SQRT((1-U1034)*($G$11-$E$11)*($G$11-$F$11))))</f>
        <v>0.0968794267383547</v>
      </c>
      <c r="H1034" s="39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-2200477666.60133</v>
      </c>
      <c r="I1034" s="39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-49059200.881478</v>
      </c>
      <c r="J1034" s="39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209291319.370701</v>
      </c>
      <c r="K1034" s="39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522653781.287914</v>
      </c>
      <c r="L1034" s="39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638557063.114193</v>
      </c>
      <c r="M1034" s="39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802382492.696395</v>
      </c>
      <c r="N1034" s="39" t="n">
        <f aca="false">IF(COUNT('Business Case'!B11:G11)=0,"",H1034+NPV(G1034,I1034:M1034))</f>
        <v>-728740328.889905</v>
      </c>
      <c r="P1034" s="40" t="n">
        <f aca="true">RAND()</f>
        <v>0.808510162137273</v>
      </c>
      <c r="Q1034" s="40" t="n">
        <f aca="true">RAND()</f>
        <v>0.170172831126544</v>
      </c>
      <c r="R1034" s="40" t="n">
        <f aca="true">RAND()</f>
        <v>0.642102783200062</v>
      </c>
      <c r="S1034" s="40" t="n">
        <f aca="true">RAND()</f>
        <v>0.84549908772418</v>
      </c>
      <c r="T1034" s="40" t="n">
        <f aca="true">RAND()</f>
        <v>0.700954572651384</v>
      </c>
      <c r="U1034" s="40" t="n">
        <f aca="true">RAND()</f>
        <v>0.284915047015483</v>
      </c>
    </row>
    <row r="1035" customFormat="false" ht="15" hidden="false" customHeight="false" outlineLevel="0" collapsed="false">
      <c r="A1035" s="36" t="n">
        <v>955</v>
      </c>
      <c r="B1035" s="37" t="n">
        <f aca="false">1+IF($G$6=$E$6,$F$6,IF(P1035&lt;($F$6-$E$6)/($G$6-$E$6),$E$6+SQRT(P1035*($G$6-$E$6)*($F$6-$E$6)),$G$6-SQRT((1-P1035)*($G$6-$E$6)*($G$6-$F$6))))</f>
        <v>0.928230484214554</v>
      </c>
      <c r="C1035" s="37" t="n">
        <f aca="false">1+IF($G$7=$E$7,$F$7,IF(Q1035&lt;($F$7-$E$7)/($G$7-$E$7),$E$7+SQRT(Q1035*($G$7-$E$7)*($F$7-$E$7)),$G$7-SQRT((1-Q1035)*($G$7-$E$7)*($G$7-$F$7))))</f>
        <v>0.849753593457525</v>
      </c>
      <c r="D1035" s="37" t="n">
        <f aca="false">1+IF($G$8=$E$8,$F$8,IF(R1035&lt;($F$8-$E$8)/($G$8-$E$8),$E$8+SQRT(R1035*($G$8-$E$8)*($F$8-$E$8)),$G$8-SQRT((1-R1035)*($G$8-$E$8)*($G$8-$F$8))))</f>
        <v>0.989066717272867</v>
      </c>
      <c r="E1035" s="37" t="n">
        <f aca="false">1+IF($G$9=$E$9,$F$9,IF(S1035&lt;($F$9-$E$9)/($G$9-$E$9),$E$9+SQRT(S1035*($G$9-$E$9)*($F$9-$E$9)),$G$9-SQRT((1-S1035)*($G$9-$E$9)*($G$9-$F$9))))</f>
        <v>1.02941713861244</v>
      </c>
      <c r="F1035" s="37" t="n">
        <f aca="false">1+IF($G$10=$E$10,$F$10,IF(T1035&lt;($F$10-$E$10)/($G$10-$E$10),$E$10+SQRT(T1035*($G$10-$E$10)*($F$10-$E$10)),$G$10-SQRT((1-T1035)*($G$10-$E$10)*($G$10-$F$10))))</f>
        <v>1.00300009511949</v>
      </c>
      <c r="G1035" s="38" t="n">
        <f aca="false">IF($G$11=$E$11,$F$11,IF(U1035&lt;($F$11-$E$11)/($G$11-$E$11),$E$11+SQRT(U1035*($G$11-$E$11)*($F$11-$E$11)),$G$11-SQRT((1-U1035)*($G$11-$E$11)*($G$11-$F$11))))</f>
        <v>0.121235808482541</v>
      </c>
      <c r="H1035" s="39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-2006000190.23899</v>
      </c>
      <c r="I1035" s="39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-71765515.7864779</v>
      </c>
      <c r="J1035" s="39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144041786.154303</v>
      </c>
      <c r="K1035" s="39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409999092.851059</v>
      </c>
      <c r="L1035" s="39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509194654.2344</v>
      </c>
      <c r="M1035" s="39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659123521.618007</v>
      </c>
      <c r="N1035" s="39" t="n">
        <f aca="false">IF(COUNT('Business Case'!B11:G11)=0,"",H1035+NPV(G1035,I1035:M1035))</f>
        <v>-970438401.605375</v>
      </c>
      <c r="P1035" s="40" t="n">
        <f aca="true">RAND()</f>
        <v>0.0531306825992103</v>
      </c>
      <c r="Q1035" s="40" t="n">
        <f aca="true">RAND()</f>
        <v>0.166119546321791</v>
      </c>
      <c r="R1035" s="40" t="n">
        <f aca="true">RAND()</f>
        <v>0.203494453130419</v>
      </c>
      <c r="S1035" s="40" t="n">
        <f aca="true">RAND()</f>
        <v>0.612260627722383</v>
      </c>
      <c r="T1035" s="40" t="n">
        <f aca="true">RAND()</f>
        <v>0.186547293186946</v>
      </c>
      <c r="U1035" s="40" t="n">
        <f aca="true">RAND()</f>
        <v>0.948792631363534</v>
      </c>
    </row>
    <row r="1036" customFormat="false" ht="15" hidden="false" customHeight="false" outlineLevel="0" collapsed="false">
      <c r="A1036" s="36" t="n">
        <v>956</v>
      </c>
      <c r="B1036" s="37" t="n">
        <f aca="false">1+IF($G$6=$E$6,$F$6,IF(P1036&lt;($F$6-$E$6)/($G$6-$E$6),$E$6+SQRT(P1036*($G$6-$E$6)*($F$6-$E$6)),$G$6-SQRT((1-P1036)*($G$6-$E$6)*($G$6-$F$6))))</f>
        <v>0.970566210368408</v>
      </c>
      <c r="C1036" s="37" t="n">
        <f aca="false">1+IF($G$7=$E$7,$F$7,IF(Q1036&lt;($F$7-$E$7)/($G$7-$E$7),$E$7+SQRT(Q1036*($G$7-$E$7)*($F$7-$E$7)),$G$7-SQRT((1-Q1036)*($G$7-$E$7)*($G$7-$F$7))))</f>
        <v>1.0689299457513</v>
      </c>
      <c r="D1036" s="37" t="n">
        <f aca="false">1+IF($G$8=$E$8,$F$8,IF(R1036&lt;($F$8-$E$8)/($G$8-$E$8),$E$8+SQRT(R1036*($G$8-$E$8)*($F$8-$E$8)),$G$8-SQRT((1-R1036)*($G$8-$E$8)*($G$8-$F$8))))</f>
        <v>1.00581304014298</v>
      </c>
      <c r="E1036" s="37" t="n">
        <f aca="false">1+IF($G$9=$E$9,$F$9,IF(S1036&lt;($F$9-$E$9)/($G$9-$E$9),$E$9+SQRT(S1036*($G$9-$E$9)*($F$9-$E$9)),$G$9-SQRT((1-S1036)*($G$9-$E$9)*($G$9-$F$9))))</f>
        <v>1.10513194318386</v>
      </c>
      <c r="F1036" s="37" t="n">
        <f aca="false">1+IF($G$10=$E$10,$F$10,IF(T1036&lt;($F$10-$E$10)/($G$10-$E$10),$E$10+SQRT(T1036*($G$10-$E$10)*($F$10-$E$10)),$G$10-SQRT((1-T1036)*($G$10-$E$10)*($G$10-$F$10))))</f>
        <v>1.22371941185885</v>
      </c>
      <c r="G1036" s="38" t="n">
        <f aca="false">IF($G$11=$E$11,$F$11,IF(U1036&lt;($F$11-$E$11)/($G$11-$E$11),$E$11+SQRT(U1036*($G$11-$E$11)*($F$11-$E$11)),$G$11-SQRT((1-U1036)*($G$11-$E$11)*($G$11-$F$11))))</f>
        <v>0.0933440486242572</v>
      </c>
      <c r="H1036" s="39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-2447438823.7177</v>
      </c>
      <c r="I1036" s="39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-33931154.1410795</v>
      </c>
      <c r="J1036" s="39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265441699.361667</v>
      </c>
      <c r="K1036" s="39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626000523.457356</v>
      </c>
      <c r="L1036" s="39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761646344.049735</v>
      </c>
      <c r="M1036" s="39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958848125.88612</v>
      </c>
      <c r="N1036" s="39" t="n">
        <f aca="false">IF(COUNT('Business Case'!B11:G11)=0,"",H1036+NPV(G1036,I1036:M1036))</f>
        <v>-630743417.524143</v>
      </c>
      <c r="P1036" s="40" t="n">
        <f aca="true">RAND()</f>
        <v>0.331972669717223</v>
      </c>
      <c r="Q1036" s="40" t="n">
        <f aca="true">RAND()</f>
        <v>0.902631797097957</v>
      </c>
      <c r="R1036" s="40" t="n">
        <f aca="true">RAND()</f>
        <v>0.408587772859495</v>
      </c>
      <c r="S1036" s="40" t="n">
        <f aca="true">RAND()</f>
        <v>0.946316199401157</v>
      </c>
      <c r="T1036" s="40" t="n">
        <f aca="true">RAND()</f>
        <v>0.990791075826071</v>
      </c>
      <c r="U1036" s="40" t="n">
        <f aca="true">RAND()</f>
        <v>0.178063633686541</v>
      </c>
    </row>
    <row r="1037" customFormat="false" ht="15" hidden="false" customHeight="false" outlineLevel="0" collapsed="false">
      <c r="A1037" s="36" t="n">
        <v>957</v>
      </c>
      <c r="B1037" s="37" t="n">
        <f aca="false">1+IF($G$6=$E$6,$F$6,IF(P1037&lt;($F$6-$E$6)/($G$6-$E$6),$E$6+SQRT(P1037*($G$6-$E$6)*($F$6-$E$6)),$G$6-SQRT((1-P1037)*($G$6-$E$6)*($G$6-$F$6))))</f>
        <v>1.02905633720457</v>
      </c>
      <c r="C1037" s="37" t="n">
        <f aca="false">1+IF($G$7=$E$7,$F$7,IF(Q1037&lt;($F$7-$E$7)/($G$7-$E$7),$E$7+SQRT(Q1037*($G$7-$E$7)*($F$7-$E$7)),$G$7-SQRT((1-Q1037)*($G$7-$E$7)*($G$7-$F$7))))</f>
        <v>1.03954595355239</v>
      </c>
      <c r="D1037" s="37" t="n">
        <f aca="false">1+IF($G$8=$E$8,$F$8,IF(R1037&lt;($F$8-$E$8)/($G$8-$E$8),$E$8+SQRT(R1037*($G$8-$E$8)*($F$8-$E$8)),$G$8-SQRT((1-R1037)*($G$8-$E$8)*($G$8-$F$8))))</f>
        <v>0.99573126118599</v>
      </c>
      <c r="E1037" s="37" t="n">
        <f aca="false">1+IF($G$9=$E$9,$F$9,IF(S1037&lt;($F$9-$E$9)/($G$9-$E$9),$E$9+SQRT(S1037*($G$9-$E$9)*($F$9-$E$9)),$G$9-SQRT((1-S1037)*($G$9-$E$9)*($G$9-$F$9))))</f>
        <v>0.967831956381814</v>
      </c>
      <c r="F1037" s="37" t="n">
        <f aca="false">1+IF($G$10=$E$10,$F$10,IF(T1037&lt;($F$10-$E$10)/($G$10-$E$10),$E$10+SQRT(T1037*($G$10-$E$10)*($F$10-$E$10)),$G$10-SQRT((1-T1037)*($G$10-$E$10)*($G$10-$F$10))))</f>
        <v>1.11094367629497</v>
      </c>
      <c r="G1037" s="38" t="n">
        <f aca="false">IF($G$11=$E$11,$F$11,IF(U1037&lt;($F$11-$E$11)/($G$11-$E$11),$E$11+SQRT(U1037*($G$11-$E$11)*($F$11-$E$11)),$G$11-SQRT((1-U1037)*($G$11-$E$11)*($G$11-$F$11))))</f>
        <v>0.0888922994662783</v>
      </c>
      <c r="H1037" s="39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-2221887352.58995</v>
      </c>
      <c r="I1037" s="39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42134703.0835882</v>
      </c>
      <c r="J1037" s="39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388445388.046516</v>
      </c>
      <c r="K1037" s="39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790303256.824194</v>
      </c>
      <c r="L1037" s="39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942710758.513402</v>
      </c>
      <c r="M1037" s="39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1146049095.37201</v>
      </c>
      <c r="N1037" s="39" t="n">
        <f aca="false">IF(COUNT('Business Case'!B11:G11)=0,"",H1037+NPV(G1037,I1037:M1037))</f>
        <v>175754621.949339</v>
      </c>
      <c r="P1037" s="40" t="n">
        <f aca="true">RAND()</f>
        <v>0.941515065161531</v>
      </c>
      <c r="Q1037" s="40" t="n">
        <f aca="true">RAND()</f>
        <v>0.81925783145702</v>
      </c>
      <c r="R1037" s="40" t="n">
        <f aca="true">RAND()</f>
        <v>0.278846433288161</v>
      </c>
      <c r="S1037" s="40" t="n">
        <f aca="true">RAND()</f>
        <v>0.184046972263372</v>
      </c>
      <c r="T1037" s="40" t="n">
        <f aca="true">RAND()</f>
        <v>0.74217785116857</v>
      </c>
      <c r="U1037" s="40" t="n">
        <f aca="true">RAND()</f>
        <v>0.0790729897979736</v>
      </c>
    </row>
    <row r="1038" customFormat="false" ht="15" hidden="false" customHeight="false" outlineLevel="0" collapsed="false">
      <c r="A1038" s="36" t="n">
        <v>958</v>
      </c>
      <c r="B1038" s="37" t="n">
        <f aca="false">1+IF($G$6=$E$6,$F$6,IF(P1038&lt;($F$6-$E$6)/($G$6-$E$6),$E$6+SQRT(P1038*($G$6-$E$6)*($F$6-$E$6)),$G$6-SQRT((1-P1038)*($G$6-$E$6)*($G$6-$F$6))))</f>
        <v>0.981776599012256</v>
      </c>
      <c r="C1038" s="37" t="n">
        <f aca="false">1+IF($G$7=$E$7,$F$7,IF(Q1038&lt;($F$7-$E$7)/($G$7-$E$7),$E$7+SQRT(Q1038*($G$7-$E$7)*($F$7-$E$7)),$G$7-SQRT((1-Q1038)*($G$7-$E$7)*($G$7-$F$7))))</f>
        <v>0.966798776334521</v>
      </c>
      <c r="D1038" s="37" t="n">
        <f aca="false">1+IF($G$8=$E$8,$F$8,IF(R1038&lt;($F$8-$E$8)/($G$8-$E$8),$E$8+SQRT(R1038*($G$8-$E$8)*($F$8-$E$8)),$G$8-SQRT((1-R1038)*($G$8-$E$8)*($G$8-$F$8))))</f>
        <v>0.983089778398974</v>
      </c>
      <c r="E1038" s="37" t="n">
        <f aca="false">1+IF($G$9=$E$9,$F$9,IF(S1038&lt;($F$9-$E$9)/($G$9-$E$9),$E$9+SQRT(S1038*($G$9-$E$9)*($F$9-$E$9)),$G$9-SQRT((1-S1038)*($G$9-$E$9)*($G$9-$F$9))))</f>
        <v>1.11768140854429</v>
      </c>
      <c r="F1038" s="37" t="n">
        <f aca="false">1+IF($G$10=$E$10,$F$10,IF(T1038&lt;($F$10-$E$10)/($G$10-$E$10),$E$10+SQRT(T1038*($G$10-$E$10)*($F$10-$E$10)),$G$10-SQRT((1-T1038)*($G$10-$E$10)*($G$10-$F$10))))</f>
        <v>1.02667998146352</v>
      </c>
      <c r="G1038" s="38" t="n">
        <f aca="false">IF($G$11=$E$11,$F$11,IF(U1038&lt;($F$11-$E$11)/($G$11-$E$11),$E$11+SQRT(U1038*($G$11-$E$11)*($F$11-$E$11)),$G$11-SQRT((1-U1038)*($G$11-$E$11)*($G$11-$F$11))))</f>
        <v>0.107472228074983</v>
      </c>
      <c r="H1038" s="39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-2053359962.92703</v>
      </c>
      <c r="I1038" s="39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-19915067.9478494</v>
      </c>
      <c r="J1038" s="39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270977671.236385</v>
      </c>
      <c r="K1038" s="39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613204409.493795</v>
      </c>
      <c r="L1038" s="39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742972331.015696</v>
      </c>
      <c r="M1038" s="39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923392544.215055</v>
      </c>
      <c r="N1038" s="39" t="n">
        <f aca="false">IF(COUNT('Business Case'!B11:G11)=0,"",H1038+NPV(G1038,I1038:M1038))</f>
        <v>-350785250.069406</v>
      </c>
      <c r="P1038" s="40" t="n">
        <f aca="true">RAND()</f>
        <v>0.445827476400749</v>
      </c>
      <c r="Q1038" s="40" t="n">
        <f aca="true">RAND()</f>
        <v>0.527271015211834</v>
      </c>
      <c r="R1038" s="40" t="n">
        <f aca="true">RAND()</f>
        <v>0.145991124599092</v>
      </c>
      <c r="S1038" s="40" t="n">
        <f aca="true">RAND()</f>
        <v>0.972146897235169</v>
      </c>
      <c r="T1038" s="40" t="n">
        <f aca="true">RAND()</f>
        <v>0.335042257611525</v>
      </c>
      <c r="U1038" s="40" t="n">
        <f aca="true">RAND()</f>
        <v>0.661666328062956</v>
      </c>
    </row>
    <row r="1039" customFormat="false" ht="15" hidden="false" customHeight="false" outlineLevel="0" collapsed="false">
      <c r="A1039" s="36" t="n">
        <v>959</v>
      </c>
      <c r="B1039" s="37" t="n">
        <f aca="false">1+IF($G$6=$E$6,$F$6,IF(P1039&lt;($F$6-$E$6)/($G$6-$E$6),$E$6+SQRT(P1039*($G$6-$E$6)*($F$6-$E$6)),$G$6-SQRT((1-P1039)*($G$6-$E$6)*($G$6-$F$6))))</f>
        <v>0.952968492009242</v>
      </c>
      <c r="C1039" s="37" t="n">
        <f aca="false">1+IF($G$7=$E$7,$F$7,IF(Q1039&lt;($F$7-$E$7)/($G$7-$E$7),$E$7+SQRT(Q1039*($G$7-$E$7)*($F$7-$E$7)),$G$7-SQRT((1-Q1039)*($G$7-$E$7)*($G$7-$F$7))))</f>
        <v>0.861860419695512</v>
      </c>
      <c r="D1039" s="37" t="n">
        <f aca="false">1+IF($G$8=$E$8,$F$8,IF(R1039&lt;($F$8-$E$8)/($G$8-$E$8),$E$8+SQRT(R1039*($G$8-$E$8)*($F$8-$E$8)),$G$8-SQRT((1-R1039)*($G$8-$E$8)*($G$8-$F$8))))</f>
        <v>1.06082215518812</v>
      </c>
      <c r="E1039" s="37" t="n">
        <f aca="false">1+IF($G$9=$E$9,$F$9,IF(S1039&lt;($F$9-$E$9)/($G$9-$E$9),$E$9+SQRT(S1039*($G$9-$E$9)*($F$9-$E$9)),$G$9-SQRT((1-S1039)*($G$9-$E$9)*($G$9-$F$9))))</f>
        <v>1.04153099946688</v>
      </c>
      <c r="F1039" s="37" t="n">
        <f aca="false">1+IF($G$10=$E$10,$F$10,IF(T1039&lt;($F$10-$E$10)/($G$10-$E$10),$E$10+SQRT(T1039*($G$10-$E$10)*($F$10-$E$10)),$G$10-SQRT((1-T1039)*($G$10-$E$10)*($G$10-$F$10))))</f>
        <v>1.11025937984369</v>
      </c>
      <c r="G1039" s="38" t="n">
        <f aca="false">IF($G$11=$E$11,$F$11,IF(U1039&lt;($F$11-$E$11)/($G$11-$E$11),$E$11+SQRT(U1039*($G$11-$E$11)*($F$11-$E$11)),$G$11-SQRT((1-U1039)*($G$11-$E$11)*($G$11-$F$11))))</f>
        <v>0.114445479930182</v>
      </c>
      <c r="H1039" s="39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-2220518759.68738</v>
      </c>
      <c r="I1039" s="39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-97022730.1722088</v>
      </c>
      <c r="J1039" s="39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107663716.505169</v>
      </c>
      <c r="K1039" s="39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367863132.17473</v>
      </c>
      <c r="L1039" s="39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464476968.227874</v>
      </c>
      <c r="M1039" s="39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620594580.944972</v>
      </c>
      <c r="N1039" s="39" t="n">
        <f aca="false">IF(COUNT('Business Case'!B11:G11)=0,"",H1039+NPV(G1039,I1039:M1039))</f>
        <v>-1293000983.94324</v>
      </c>
      <c r="P1039" s="40" t="n">
        <f aca="true">RAND()</f>
        <v>0.187044076382212</v>
      </c>
      <c r="Q1039" s="40" t="n">
        <f aca="true">RAND()</f>
        <v>0.194065151585239</v>
      </c>
      <c r="R1039" s="40" t="n">
        <f aca="true">RAND()</f>
        <v>0.897673098393087</v>
      </c>
      <c r="S1039" s="40" t="n">
        <f aca="true">RAND()</f>
        <v>0.686252691289233</v>
      </c>
      <c r="T1039" s="40" t="n">
        <f aca="true">RAND()</f>
        <v>0.739634121044392</v>
      </c>
      <c r="U1039" s="40" t="n">
        <f aca="true">RAND()</f>
        <v>0.838704603598419</v>
      </c>
    </row>
    <row r="1040" customFormat="false" ht="15" hidden="false" customHeight="false" outlineLevel="0" collapsed="false">
      <c r="A1040" s="36" t="n">
        <v>960</v>
      </c>
      <c r="B1040" s="37" t="n">
        <f aca="false">1+IF($G$6=$E$6,$F$6,IF(P1040&lt;($F$6-$E$6)/($G$6-$E$6),$E$6+SQRT(P1040*($G$6-$E$6)*($F$6-$E$6)),$G$6-SQRT((1-P1040)*($G$6-$E$6)*($G$6-$F$6))))</f>
        <v>1.00285921928477</v>
      </c>
      <c r="C1040" s="37" t="n">
        <f aca="false">1+IF($G$7=$E$7,$F$7,IF(Q1040&lt;($F$7-$E$7)/($G$7-$E$7),$E$7+SQRT(Q1040*($G$7-$E$7)*($F$7-$E$7)),$G$7-SQRT((1-Q1040)*($G$7-$E$7)*($G$7-$F$7))))</f>
        <v>0.93530288341829</v>
      </c>
      <c r="D1040" s="37" t="n">
        <f aca="false">1+IF($G$8=$E$8,$F$8,IF(R1040&lt;($F$8-$E$8)/($G$8-$E$8),$E$8+SQRT(R1040*($G$8-$E$8)*($F$8-$E$8)),$G$8-SQRT((1-R1040)*($G$8-$E$8)*($G$8-$F$8))))</f>
        <v>1.06957763244374</v>
      </c>
      <c r="E1040" s="37" t="n">
        <f aca="false">1+IF($G$9=$E$9,$F$9,IF(S1040&lt;($F$9-$E$9)/($G$9-$E$9),$E$9+SQRT(S1040*($G$9-$E$9)*($F$9-$E$9)),$G$9-SQRT((1-S1040)*($G$9-$E$9)*($G$9-$F$9))))</f>
        <v>1.09677831706097</v>
      </c>
      <c r="F1040" s="37" t="n">
        <f aca="false">1+IF($G$10=$E$10,$F$10,IF(T1040&lt;($F$10-$E$10)/($G$10-$E$10),$E$10+SQRT(T1040*($G$10-$E$10)*($F$10-$E$10)),$G$10-SQRT((1-T1040)*($G$10-$E$10)*($G$10-$F$10))))</f>
        <v>1.01213428685674</v>
      </c>
      <c r="G1040" s="38" t="n">
        <f aca="false">IF($G$11=$E$11,$F$11,IF(U1040&lt;($F$11-$E$11)/($G$11-$E$11),$E$11+SQRT(U1040*($G$11-$E$11)*($F$11-$E$11)),$G$11-SQRT((1-U1040)*($G$11-$E$11)*($G$11-$F$11))))</f>
        <v>0.12240854395032</v>
      </c>
      <c r="H1040" s="39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-2024268573.71347</v>
      </c>
      <c r="I1040" s="39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-49643284.0871114</v>
      </c>
      <c r="J1040" s="39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206513471.070309</v>
      </c>
      <c r="K1040" s="39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513276940.570567</v>
      </c>
      <c r="L1040" s="39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631079014.871566</v>
      </c>
      <c r="M1040" s="39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809369705.73846</v>
      </c>
      <c r="N1040" s="39" t="n">
        <f aca="false">IF(COUNT('Business Case'!B11:G11)=0,"",H1040+NPV(G1040,I1040:M1040))</f>
        <v>-689596487.184984</v>
      </c>
      <c r="P1040" s="40" t="n">
        <f aca="true">RAND()</f>
        <v>0.703699572474536</v>
      </c>
      <c r="Q1040" s="40" t="n">
        <f aca="true">RAND()</f>
        <v>0.410129236629344</v>
      </c>
      <c r="R1040" s="40" t="n">
        <f aca="true">RAND()</f>
        <v>0.938298636818105</v>
      </c>
      <c r="S1040" s="40" t="n">
        <f aca="true">RAND()</f>
        <v>0.924465399070324</v>
      </c>
      <c r="T1040" s="40" t="n">
        <f aca="true">RAND()</f>
        <v>0.245598700144613</v>
      </c>
      <c r="U1040" s="40" t="n">
        <f aca="true">RAND()</f>
        <v>0.961579863363847</v>
      </c>
    </row>
    <row r="1041" customFormat="false" ht="15" hidden="false" customHeight="false" outlineLevel="0" collapsed="false">
      <c r="A1041" s="36" t="n">
        <v>961</v>
      </c>
      <c r="B1041" s="37" t="n">
        <f aca="false">1+IF($G$6=$E$6,$F$6,IF(P1041&lt;($F$6-$E$6)/($G$6-$E$6),$E$6+SQRT(P1041*($G$6-$E$6)*($F$6-$E$6)),$G$6-SQRT((1-P1041)*($G$6-$E$6)*($G$6-$F$6))))</f>
        <v>0.994647973780323</v>
      </c>
      <c r="C1041" s="37" t="n">
        <f aca="false">1+IF($G$7=$E$7,$F$7,IF(Q1041&lt;($F$7-$E$7)/($G$7-$E$7),$E$7+SQRT(Q1041*($G$7-$E$7)*($F$7-$E$7)),$G$7-SQRT((1-Q1041)*($G$7-$E$7)*($G$7-$F$7))))</f>
        <v>1.02574975805233</v>
      </c>
      <c r="D1041" s="37" t="n">
        <f aca="false">1+IF($G$8=$E$8,$F$8,IF(R1041&lt;($F$8-$E$8)/($G$8-$E$8),$E$8+SQRT(R1041*($G$8-$E$8)*($F$8-$E$8)),$G$8-SQRT((1-R1041)*($G$8-$E$8)*($G$8-$F$8))))</f>
        <v>0.982079769710783</v>
      </c>
      <c r="E1041" s="37" t="n">
        <f aca="false">1+IF($G$9=$E$9,$F$9,IF(S1041&lt;($F$9-$E$9)/($G$9-$E$9),$E$9+SQRT(S1041*($G$9-$E$9)*($F$9-$E$9)),$G$9-SQRT((1-S1041)*($G$9-$E$9)*($G$9-$F$9))))</f>
        <v>1.00729733814501</v>
      </c>
      <c r="F1041" s="37" t="n">
        <f aca="false">1+IF($G$10=$E$10,$F$10,IF(T1041&lt;($F$10-$E$10)/($G$10-$E$10),$E$10+SQRT(T1041*($G$10-$E$10)*($F$10-$E$10)),$G$10-SQRT((1-T1041)*($G$10-$E$10)*($G$10-$F$10))))</f>
        <v>1.02337496891238</v>
      </c>
      <c r="G1041" s="38" t="n">
        <f aca="false">IF($G$11=$E$11,$F$11,IF(U1041&lt;($F$11-$E$11)/($G$11-$E$11),$E$11+SQRT(U1041*($G$11-$E$11)*($F$11-$E$11)),$G$11-SQRT((1-U1041)*($G$11-$E$11)*($G$11-$F$11))))</f>
        <v>0.104272360276356</v>
      </c>
      <c r="H1041" s="39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-2046749937.82476</v>
      </c>
      <c r="I1041" s="39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21509008.7070217</v>
      </c>
      <c r="J1041" s="39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341483469.962075</v>
      </c>
      <c r="K1041" s="39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712626679.662748</v>
      </c>
      <c r="L1041" s="39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854545016.196147</v>
      </c>
      <c r="M1041" s="39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1048476021.49558</v>
      </c>
      <c r="N1041" s="39" t="n">
        <f aca="false">IF(COUNT('Business Case'!B11:G11)=0,"",H1041+NPV(G1041,I1041:M1041))</f>
        <v>-4807368.32042384</v>
      </c>
      <c r="P1041" s="40" t="n">
        <f aca="true">RAND()</f>
        <v>0.597215929381386</v>
      </c>
      <c r="Q1041" s="40" t="n">
        <f aca="true">RAND()</f>
        <v>0.771287072236218</v>
      </c>
      <c r="R1041" s="40" t="n">
        <f aca="true">RAND()</f>
        <v>0.137214883292919</v>
      </c>
      <c r="S1041" s="40" t="n">
        <f aca="true">RAND()</f>
        <v>0.456958674653375</v>
      </c>
      <c r="T1041" s="40" t="n">
        <f aca="true">RAND()</f>
        <v>0.315214603793815</v>
      </c>
      <c r="U1041" s="40" t="n">
        <f aca="true">RAND()</f>
        <v>0.558725702833593</v>
      </c>
    </row>
    <row r="1042" customFormat="false" ht="15" hidden="false" customHeight="false" outlineLevel="0" collapsed="false">
      <c r="A1042" s="36" t="n">
        <v>962</v>
      </c>
      <c r="B1042" s="37" t="n">
        <f aca="false">1+IF($G$6=$E$6,$F$6,IF(P1042&lt;($F$6-$E$6)/($G$6-$E$6),$E$6+SQRT(P1042*($G$6-$E$6)*($F$6-$E$6)),$G$6-SQRT((1-P1042)*($G$6-$E$6)*($G$6-$F$6))))</f>
        <v>1.00352872890528</v>
      </c>
      <c r="C1042" s="37" t="n">
        <f aca="false">1+IF($G$7=$E$7,$F$7,IF(Q1042&lt;($F$7-$E$7)/($G$7-$E$7),$E$7+SQRT(Q1042*($G$7-$E$7)*($F$7-$E$7)),$G$7-SQRT((1-Q1042)*($G$7-$E$7)*($G$7-$F$7))))</f>
        <v>0.827356302089075</v>
      </c>
      <c r="D1042" s="37" t="n">
        <f aca="false">1+IF($G$8=$E$8,$F$8,IF(R1042&lt;($F$8-$E$8)/($G$8-$E$8),$E$8+SQRT(R1042*($G$8-$E$8)*($F$8-$E$8)),$G$8-SQRT((1-R1042)*($G$8-$E$8)*($G$8-$F$8))))</f>
        <v>1.02342763884109</v>
      </c>
      <c r="E1042" s="37" t="n">
        <f aca="false">1+IF($G$9=$E$9,$F$9,IF(S1042&lt;($F$9-$E$9)/($G$9-$E$9),$E$9+SQRT(S1042*($G$9-$E$9)*($F$9-$E$9)),$G$9-SQRT((1-S1042)*($G$9-$E$9)*($G$9-$F$9))))</f>
        <v>0.944481435928064</v>
      </c>
      <c r="F1042" s="37" t="n">
        <f aca="false">1+IF($G$10=$E$10,$F$10,IF(T1042&lt;($F$10-$E$10)/($G$10-$E$10),$E$10+SQRT(T1042*($G$10-$E$10)*($F$10-$E$10)),$G$10-SQRT((1-T1042)*($G$10-$E$10)*($G$10-$F$10))))</f>
        <v>1.16661791077321</v>
      </c>
      <c r="G1042" s="38" t="n">
        <f aca="false">IF($G$11=$E$11,$F$11,IF(U1042&lt;($F$11-$E$11)/($G$11-$E$11),$E$11+SQRT(U1042*($G$11-$E$11)*($F$11-$E$11)),$G$11-SQRT((1-U1042)*($G$11-$E$11)*($G$11-$F$11))))</f>
        <v>0.0900058723033272</v>
      </c>
      <c r="H1042" s="39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-2333235821.54643</v>
      </c>
      <c r="I1042" s="39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-47415660.6267207</v>
      </c>
      <c r="J1042" s="39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199177228.427676</v>
      </c>
      <c r="K1042" s="39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504101013.020734</v>
      </c>
      <c r="L1042" s="39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614992974.982084</v>
      </c>
      <c r="M1042" s="39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772811802.503111</v>
      </c>
      <c r="N1042" s="39" t="n">
        <f aca="false">IF(COUNT('Business Case'!B11:G11)=0,"",H1042+NPV(G1042,I1042:M1042))</f>
        <v>-881914071.993287</v>
      </c>
      <c r="P1042" s="40" t="n">
        <f aca="true">RAND()</f>
        <v>0.712056128378811</v>
      </c>
      <c r="Q1042" s="40" t="n">
        <f aca="true">RAND()</f>
        <v>0.120145390235583</v>
      </c>
      <c r="R1042" s="40" t="n">
        <f aca="true">RAND()</f>
        <v>0.609111567103278</v>
      </c>
      <c r="S1042" s="40" t="n">
        <f aca="true">RAND()</f>
        <v>0.0791439256888997</v>
      </c>
      <c r="T1042" s="40" t="n">
        <f aca="true">RAND()</f>
        <v>0.907299029282349</v>
      </c>
      <c r="U1042" s="40" t="n">
        <f aca="true">RAND()</f>
        <v>0.10011748055049</v>
      </c>
    </row>
    <row r="1043" customFormat="false" ht="15" hidden="false" customHeight="false" outlineLevel="0" collapsed="false">
      <c r="A1043" s="36" t="n">
        <v>963</v>
      </c>
      <c r="B1043" s="37" t="n">
        <f aca="false">1+IF($G$6=$E$6,$F$6,IF(P1043&lt;($F$6-$E$6)/($G$6-$E$6),$E$6+SQRT(P1043*($G$6-$E$6)*($F$6-$E$6)),$G$6-SQRT((1-P1043)*($G$6-$E$6)*($G$6-$F$6))))</f>
        <v>0.995773762722497</v>
      </c>
      <c r="C1043" s="37" t="n">
        <f aca="false">1+IF($G$7=$E$7,$F$7,IF(Q1043&lt;($F$7-$E$7)/($G$7-$E$7),$E$7+SQRT(Q1043*($G$7-$E$7)*($F$7-$E$7)),$G$7-SQRT((1-Q1043)*($G$7-$E$7)*($G$7-$F$7))))</f>
        <v>0.921802744730148</v>
      </c>
      <c r="D1043" s="37" t="n">
        <f aca="false">1+IF($G$8=$E$8,$F$8,IF(R1043&lt;($F$8-$E$8)/($G$8-$E$8),$E$8+SQRT(R1043*($G$8-$E$8)*($F$8-$E$8)),$G$8-SQRT((1-R1043)*($G$8-$E$8)*($G$8-$F$8))))</f>
        <v>0.999058711430409</v>
      </c>
      <c r="E1043" s="37" t="n">
        <f aca="false">1+IF($G$9=$E$9,$F$9,IF(S1043&lt;($F$9-$E$9)/($G$9-$E$9),$E$9+SQRT(S1043*($G$9-$E$9)*($F$9-$E$9)),$G$9-SQRT((1-S1043)*($G$9-$E$9)*($G$9-$F$9))))</f>
        <v>0.944867615804801</v>
      </c>
      <c r="F1043" s="37" t="n">
        <f aca="false">1+IF($G$10=$E$10,$F$10,IF(T1043&lt;($F$10-$E$10)/($G$10-$E$10),$E$10+SQRT(T1043*($G$10-$E$10)*($F$10-$E$10)),$G$10-SQRT((1-T1043)*($G$10-$E$10)*($G$10-$F$10))))</f>
        <v>1.01431688683517</v>
      </c>
      <c r="G1043" s="38" t="n">
        <f aca="false">IF($G$11=$E$11,$F$11,IF(U1043&lt;($F$11-$E$11)/($G$11-$E$11),$E$11+SQRT(U1043*($G$11-$E$11)*($F$11-$E$11)),$G$11-SQRT((1-U1043)*($G$11-$E$11)*($G$11-$F$11))))</f>
        <v>0.0958521266614596</v>
      </c>
      <c r="H1043" s="39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-2028633773.67033</v>
      </c>
      <c r="I1043" s="39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-2989326.84928997</v>
      </c>
      <c r="J1043" s="39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277397508.189971</v>
      </c>
      <c r="K1043" s="39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608500187.570991</v>
      </c>
      <c r="L1043" s="39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733685331.409138</v>
      </c>
      <c r="M1043" s="39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908161091.613641</v>
      </c>
      <c r="N1043" s="39" t="n">
        <f aca="false">IF(COUNT('Business Case'!B11:G11)=0,"",H1043+NPV(G1043,I1043:M1043))</f>
        <v>-254585740.229322</v>
      </c>
      <c r="P1043" s="40" t="n">
        <f aca="true">RAND()</f>
        <v>0.611507575068338</v>
      </c>
      <c r="Q1043" s="40" t="n">
        <f aca="true">RAND()</f>
        <v>0.364418204220942</v>
      </c>
      <c r="R1043" s="40" t="n">
        <f aca="true">RAND()</f>
        <v>0.320900955628278</v>
      </c>
      <c r="S1043" s="40" t="n">
        <f aca="true">RAND()</f>
        <v>0.0805241179202895</v>
      </c>
      <c r="T1043" s="40" t="n">
        <f aca="true">RAND()</f>
        <v>0.259379602252435</v>
      </c>
      <c r="U1043" s="40" t="n">
        <f aca="true">RAND()</f>
        <v>0.251289919690958</v>
      </c>
    </row>
    <row r="1044" customFormat="false" ht="15" hidden="false" customHeight="false" outlineLevel="0" collapsed="false">
      <c r="A1044" s="36" t="n">
        <v>964</v>
      </c>
      <c r="B1044" s="37" t="n">
        <f aca="false">1+IF($G$6=$E$6,$F$6,IF(P1044&lt;($F$6-$E$6)/($G$6-$E$6),$E$6+SQRT(P1044*($G$6-$E$6)*($F$6-$E$6)),$G$6-SQRT((1-P1044)*($G$6-$E$6)*($G$6-$F$6))))</f>
        <v>0.903212970122792</v>
      </c>
      <c r="C1044" s="37" t="n">
        <f aca="false">1+IF($G$7=$E$7,$F$7,IF(Q1044&lt;($F$7-$E$7)/($G$7-$E$7),$E$7+SQRT(Q1044*($G$7-$E$7)*($F$7-$E$7)),$G$7-SQRT((1-Q1044)*($G$7-$E$7)*($G$7-$F$7))))</f>
        <v>1.03598787190233</v>
      </c>
      <c r="D1044" s="37" t="n">
        <f aca="false">1+IF($G$8=$E$8,$F$8,IF(R1044&lt;($F$8-$E$8)/($G$8-$E$8),$E$8+SQRT(R1044*($G$8-$E$8)*($F$8-$E$8)),$G$8-SQRT((1-R1044)*($G$8-$E$8)*($G$8-$F$8))))</f>
        <v>1.02301188826358</v>
      </c>
      <c r="E1044" s="37" t="n">
        <f aca="false">1+IF($G$9=$E$9,$F$9,IF(S1044&lt;($F$9-$E$9)/($G$9-$E$9),$E$9+SQRT(S1044*($G$9-$E$9)*($F$9-$E$9)),$G$9-SQRT((1-S1044)*($G$9-$E$9)*($G$9-$F$9))))</f>
        <v>1.05506272188775</v>
      </c>
      <c r="F1044" s="37" t="n">
        <f aca="false">1+IF($G$10=$E$10,$F$10,IF(T1044&lt;($F$10-$E$10)/($G$10-$E$10),$E$10+SQRT(T1044*($G$10-$E$10)*($F$10-$E$10)),$G$10-SQRT((1-T1044)*($G$10-$E$10)*($G$10-$F$10))))</f>
        <v>1.04545816286161</v>
      </c>
      <c r="G1044" s="38" t="n">
        <f aca="false">IF($G$11=$E$11,$F$11,IF(U1044&lt;($F$11-$E$11)/($G$11-$E$11),$E$11+SQRT(U1044*($G$11-$E$11)*($F$11-$E$11)),$G$11-SQRT((1-U1044)*($G$11-$E$11)*($G$11-$F$11))))</f>
        <v>0.102817231014378</v>
      </c>
      <c r="H1044" s="39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-2090916325.72321</v>
      </c>
      <c r="I1044" s="39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-79210289.3370507</v>
      </c>
      <c r="J1044" s="39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144662761.340439</v>
      </c>
      <c r="K1044" s="39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420808720.161009</v>
      </c>
      <c r="L1044" s="39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527771473.504134</v>
      </c>
      <c r="M1044" s="39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705632690.649255</v>
      </c>
      <c r="N1044" s="39" t="n">
        <f aca="false">IF(COUNT('Business Case'!B11:G11)=0,"",H1044+NPV(G1044,I1044:M1044))</f>
        <v>-940672507.685728</v>
      </c>
      <c r="P1044" s="40" t="n">
        <f aca="true">RAND()</f>
        <v>0.000688211800663432</v>
      </c>
      <c r="Q1044" s="40" t="n">
        <f aca="true">RAND()</f>
        <v>0.807425698468743</v>
      </c>
      <c r="R1044" s="40" t="n">
        <f aca="true">RAND()</f>
        <v>0.60485537675068</v>
      </c>
      <c r="S1044" s="40" t="n">
        <f aca="true">RAND()</f>
        <v>0.759651019323657</v>
      </c>
      <c r="T1044" s="40" t="n">
        <f aca="true">RAND()</f>
        <v>0.442168491467338</v>
      </c>
      <c r="U1044" s="40" t="n">
        <f aca="true">RAND()</f>
        <v>0.507398046849546</v>
      </c>
    </row>
    <row r="1045" customFormat="false" ht="15" hidden="false" customHeight="false" outlineLevel="0" collapsed="false">
      <c r="A1045" s="36" t="n">
        <v>965</v>
      </c>
      <c r="B1045" s="37" t="n">
        <f aca="false">1+IF($G$6=$E$6,$F$6,IF(P1045&lt;($F$6-$E$6)/($G$6-$E$6),$E$6+SQRT(P1045*($G$6-$E$6)*($F$6-$E$6)),$G$6-SQRT((1-P1045)*($G$6-$E$6)*($G$6-$F$6))))</f>
        <v>0.972993642886578</v>
      </c>
      <c r="C1045" s="37" t="n">
        <f aca="false">1+IF($G$7=$E$7,$F$7,IF(Q1045&lt;($F$7-$E$7)/($G$7-$E$7),$E$7+SQRT(Q1045*($G$7-$E$7)*($F$7-$E$7)),$G$7-SQRT((1-Q1045)*($G$7-$E$7)*($G$7-$F$7))))</f>
        <v>1.00189238225349</v>
      </c>
      <c r="D1045" s="37" t="n">
        <f aca="false">1+IF($G$8=$E$8,$F$8,IF(R1045&lt;($F$8-$E$8)/($G$8-$E$8),$E$8+SQRT(R1045*($G$8-$E$8)*($F$8-$E$8)),$G$8-SQRT((1-R1045)*($G$8-$E$8)*($G$8-$F$8))))</f>
        <v>1.02104350589752</v>
      </c>
      <c r="E1045" s="37" t="n">
        <f aca="false">1+IF($G$9=$E$9,$F$9,IF(S1045&lt;($F$9-$E$9)/($G$9-$E$9),$E$9+SQRT(S1045*($G$9-$E$9)*($F$9-$E$9)),$G$9-SQRT((1-S1045)*($G$9-$E$9)*($G$9-$F$9))))</f>
        <v>0.988716083447353</v>
      </c>
      <c r="F1045" s="37" t="n">
        <f aca="false">1+IF($G$10=$E$10,$F$10,IF(T1045&lt;($F$10-$E$10)/($G$10-$E$10),$E$10+SQRT(T1045*($G$10-$E$10)*($F$10-$E$10)),$G$10-SQRT((1-T1045)*($G$10-$E$10)*($G$10-$F$10))))</f>
        <v>1.06339441580539</v>
      </c>
      <c r="G1045" s="38" t="n">
        <f aca="false">IF($G$11=$E$11,$F$11,IF(U1045&lt;($F$11-$E$11)/($G$11-$E$11),$E$11+SQRT(U1045*($G$11-$E$11)*($F$11-$E$11)),$G$11-SQRT((1-U1045)*($G$11-$E$11)*($G$11-$F$11))))</f>
        <v>0.0987088295877216</v>
      </c>
      <c r="H1045" s="39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-2126788831.61077</v>
      </c>
      <c r="I1045" s="39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-22692049.9576427</v>
      </c>
      <c r="J1045" s="39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252086210.921496</v>
      </c>
      <c r="K1045" s="39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580034192.590903</v>
      </c>
      <c r="L1045" s="39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705317241.010635</v>
      </c>
      <c r="M1045" s="39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890613862.374073</v>
      </c>
      <c r="N1045" s="39" t="n">
        <f aca="false">IF(COUNT('Business Case'!B11:G11)=0,"",H1045+NPV(G1045,I1045:M1045))</f>
        <v>-461022283.788527</v>
      </c>
      <c r="P1045" s="40" t="n">
        <f aca="true">RAND()</f>
        <v>0.355204793456887</v>
      </c>
      <c r="Q1045" s="40" t="n">
        <f aca="true">RAND()</f>
        <v>0.675024200969672</v>
      </c>
      <c r="R1045" s="40" t="n">
        <f aca="true">RAND()</f>
        <v>0.584391469269628</v>
      </c>
      <c r="S1045" s="40" t="n">
        <f aca="true">RAND()</f>
        <v>0.31482173848951</v>
      </c>
      <c r="T1045" s="40" t="n">
        <f aca="true">RAND()</f>
        <v>0.535711412631825</v>
      </c>
      <c r="U1045" s="40" t="n">
        <f aca="true">RAND()</f>
        <v>0.350020304542408</v>
      </c>
    </row>
    <row r="1046" customFormat="false" ht="15" hidden="false" customHeight="false" outlineLevel="0" collapsed="false">
      <c r="A1046" s="36" t="n">
        <v>966</v>
      </c>
      <c r="B1046" s="37" t="n">
        <f aca="false">1+IF($G$6=$E$6,$F$6,IF(P1046&lt;($F$6-$E$6)/($G$6-$E$6),$E$6+SQRT(P1046*($G$6-$E$6)*($F$6-$E$6)),$G$6-SQRT((1-P1046)*($G$6-$E$6)*($G$6-$F$6))))</f>
        <v>1.0081770674392</v>
      </c>
      <c r="C1046" s="37" t="n">
        <f aca="false">1+IF($G$7=$E$7,$F$7,IF(Q1046&lt;($F$7-$E$7)/($G$7-$E$7),$E$7+SQRT(Q1046*($G$7-$E$7)*($F$7-$E$7)),$G$7-SQRT((1-Q1046)*($G$7-$E$7)*($G$7-$F$7))))</f>
        <v>0.991044734397638</v>
      </c>
      <c r="D1046" s="37" t="n">
        <f aca="false">1+IF($G$8=$E$8,$F$8,IF(R1046&lt;($F$8-$E$8)/($G$8-$E$8),$E$8+SQRT(R1046*($G$8-$E$8)*($F$8-$E$8)),$G$8-SQRT((1-R1046)*($G$8-$E$8)*($G$8-$F$8))))</f>
        <v>1.02045947161793</v>
      </c>
      <c r="E1046" s="37" t="n">
        <f aca="false">1+IF($G$9=$E$9,$F$9,IF(S1046&lt;($F$9-$E$9)/($G$9-$E$9),$E$9+SQRT(S1046*($G$9-$E$9)*($F$9-$E$9)),$G$9-SQRT((1-S1046)*($G$9-$E$9)*($G$9-$F$9))))</f>
        <v>0.955237266783958</v>
      </c>
      <c r="F1046" s="37" t="n">
        <f aca="false">1+IF($G$10=$E$10,$F$10,IF(T1046&lt;($F$10-$E$10)/($G$10-$E$10),$E$10+SQRT(T1046*($G$10-$E$10)*($F$10-$E$10)),$G$10-SQRT((1-T1046)*($G$10-$E$10)*($G$10-$F$10))))</f>
        <v>0.988409598045675</v>
      </c>
      <c r="G1046" s="38" t="n">
        <f aca="false">IF($G$11=$E$11,$F$11,IF(U1046&lt;($F$11-$E$11)/($G$11-$E$11),$E$11+SQRT(U1046*($G$11-$E$11)*($F$11-$E$11)),$G$11-SQRT((1-U1046)*($G$11-$E$11)*($G$11-$F$11))))</f>
        <v>0.113430620148911</v>
      </c>
      <c r="H1046" s="39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-1976819196.09135</v>
      </c>
      <c r="I1046" s="39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14187620.4460797</v>
      </c>
      <c r="J1046" s="39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314846802.110918</v>
      </c>
      <c r="K1046" s="39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664926463.678039</v>
      </c>
      <c r="L1046" s="39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799676765.617993</v>
      </c>
      <c r="M1046" s="39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989594926.568869</v>
      </c>
      <c r="N1046" s="39" t="n">
        <f aca="false">IF(COUNT('Business Case'!B11:G11)=0,"",H1046+NPV(G1046,I1046:M1046))</f>
        <v>-129809921.92969</v>
      </c>
      <c r="P1046" s="40" t="n">
        <f aca="true">RAND()</f>
        <v>0.766778974935341</v>
      </c>
      <c r="Q1046" s="40" t="n">
        <f aca="true">RAND()</f>
        <v>0.627459536448825</v>
      </c>
      <c r="R1046" s="40" t="n">
        <f aca="true">RAND()</f>
        <v>0.578220289646697</v>
      </c>
      <c r="S1046" s="40" t="n">
        <f aca="true">RAND()</f>
        <v>0.122046225670487</v>
      </c>
      <c r="T1046" s="40" t="n">
        <f aca="true">RAND()</f>
        <v>0.0983531481353563</v>
      </c>
      <c r="U1046" s="40" t="n">
        <f aca="true">RAND()</f>
        <v>0.81697043423354</v>
      </c>
    </row>
    <row r="1047" customFormat="false" ht="15" hidden="false" customHeight="false" outlineLevel="0" collapsed="false">
      <c r="A1047" s="36" t="n">
        <v>967</v>
      </c>
      <c r="B1047" s="37" t="n">
        <f aca="false">1+IF($G$6=$E$6,$F$6,IF(P1047&lt;($F$6-$E$6)/($G$6-$E$6),$E$6+SQRT(P1047*($G$6-$E$6)*($F$6-$E$6)),$G$6-SQRT((1-P1047)*($G$6-$E$6)*($G$6-$F$6))))</f>
        <v>0.950859551781967</v>
      </c>
      <c r="C1047" s="37" t="n">
        <f aca="false">1+IF($G$7=$E$7,$F$7,IF(Q1047&lt;($F$7-$E$7)/($G$7-$E$7),$E$7+SQRT(Q1047*($G$7-$E$7)*($F$7-$E$7)),$G$7-SQRT((1-Q1047)*($G$7-$E$7)*($G$7-$F$7))))</f>
        <v>0.818521133850427</v>
      </c>
      <c r="D1047" s="37" t="n">
        <f aca="false">1+IF($G$8=$E$8,$F$8,IF(R1047&lt;($F$8-$E$8)/($G$8-$E$8),$E$8+SQRT(R1047*($G$8-$E$8)*($F$8-$E$8)),$G$8-SQRT((1-R1047)*($G$8-$E$8)*($G$8-$F$8))))</f>
        <v>0.961363211924169</v>
      </c>
      <c r="E1047" s="37" t="n">
        <f aca="false">1+IF($G$9=$E$9,$F$9,IF(S1047&lt;($F$9-$E$9)/($G$9-$E$9),$E$9+SQRT(S1047*($G$9-$E$9)*($F$9-$E$9)),$G$9-SQRT((1-S1047)*($G$9-$E$9)*($G$9-$F$9))))</f>
        <v>1.00920203205819</v>
      </c>
      <c r="F1047" s="37" t="n">
        <f aca="false">1+IF($G$10=$E$10,$F$10,IF(T1047&lt;($F$10-$E$10)/($G$10-$E$10),$E$10+SQRT(T1047*($G$10-$E$10)*($F$10-$E$10)),$G$10-SQRT((1-T1047)*($G$10-$E$10)*($G$10-$F$10))))</f>
        <v>1.06018453040299</v>
      </c>
      <c r="G1047" s="38" t="n">
        <f aca="false">IF($G$11=$E$11,$F$11,IF(U1047&lt;($F$11-$E$11)/($G$11-$E$11),$E$11+SQRT(U1047*($G$11-$E$11)*($F$11-$E$11)),$G$11-SQRT((1-U1047)*($G$11-$E$11)*($G$11-$F$11))))</f>
        <v>0.105330625369976</v>
      </c>
      <c r="H1047" s="39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-2120369060.80598</v>
      </c>
      <c r="I1047" s="39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-55219215.7380908</v>
      </c>
      <c r="J1047" s="39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179435551.940407</v>
      </c>
      <c r="K1047" s="39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467099546.139055</v>
      </c>
      <c r="L1047" s="39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572215802.976964</v>
      </c>
      <c r="M1047" s="39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720154808.174887</v>
      </c>
      <c r="N1047" s="39" t="n">
        <f aca="false">IF(COUNT('Business Case'!B11:G11)=0,"",H1047+NPV(G1047,I1047:M1047))</f>
        <v>-857746827.945679</v>
      </c>
      <c r="P1047" s="40" t="n">
        <f aca="true">RAND()</f>
        <v>0.172446267164174</v>
      </c>
      <c r="Q1047" s="40" t="n">
        <f aca="true">RAND()</f>
        <v>0.104053771623635</v>
      </c>
      <c r="R1047" s="40" t="n">
        <f aca="true">RAND()</f>
        <v>0.0172163446978091</v>
      </c>
      <c r="S1047" s="40" t="n">
        <f aca="true">RAND()</f>
        <v>0.471358192625506</v>
      </c>
      <c r="T1047" s="40" t="n">
        <f aca="true">RAND()</f>
        <v>0.519601166688891</v>
      </c>
      <c r="U1047" s="40" t="n">
        <f aca="true">RAND()</f>
        <v>0.594281303575691</v>
      </c>
    </row>
    <row r="1048" customFormat="false" ht="15" hidden="false" customHeight="false" outlineLevel="0" collapsed="false">
      <c r="A1048" s="36" t="n">
        <v>968</v>
      </c>
      <c r="B1048" s="37" t="n">
        <f aca="false">1+IF($G$6=$E$6,$F$6,IF(P1048&lt;($F$6-$E$6)/($G$6-$E$6),$E$6+SQRT(P1048*($G$6-$E$6)*($F$6-$E$6)),$G$6-SQRT((1-P1048)*($G$6-$E$6)*($G$6-$F$6))))</f>
        <v>0.995176009228334</v>
      </c>
      <c r="C1048" s="37" t="n">
        <f aca="false">1+IF($G$7=$E$7,$F$7,IF(Q1048&lt;($F$7-$E$7)/($G$7-$E$7),$E$7+SQRT(Q1048*($G$7-$E$7)*($F$7-$E$7)),$G$7-SQRT((1-Q1048)*($G$7-$E$7)*($G$7-$F$7))))</f>
        <v>1.10199005638367</v>
      </c>
      <c r="D1048" s="37" t="n">
        <f aca="false">1+IF($G$8=$E$8,$F$8,IF(R1048&lt;($F$8-$E$8)/($G$8-$E$8),$E$8+SQRT(R1048*($G$8-$E$8)*($F$8-$E$8)),$G$8-SQRT((1-R1048)*($G$8-$E$8)*($G$8-$F$8))))</f>
        <v>1.01095852516448</v>
      </c>
      <c r="E1048" s="37" t="n">
        <f aca="false">1+IF($G$9=$E$9,$F$9,IF(S1048&lt;($F$9-$E$9)/($G$9-$E$9),$E$9+SQRT(S1048*($G$9-$E$9)*($F$9-$E$9)),$G$9-SQRT((1-S1048)*($G$9-$E$9)*($G$9-$F$9))))</f>
        <v>1.07816410080917</v>
      </c>
      <c r="F1048" s="37" t="n">
        <f aca="false">1+IF($G$10=$E$10,$F$10,IF(T1048&lt;($F$10-$E$10)/($G$10-$E$10),$E$10+SQRT(T1048*($G$10-$E$10)*($F$10-$E$10)),$G$10-SQRT((1-T1048)*($G$10-$E$10)*($G$10-$F$10))))</f>
        <v>1.09583046828105</v>
      </c>
      <c r="G1048" s="38" t="n">
        <f aca="false">IF($G$11=$E$11,$F$11,IF(U1048&lt;($F$11-$E$11)/($G$11-$E$11),$E$11+SQRT(U1048*($G$11-$E$11)*($F$11-$E$11)),$G$11-SQRT((1-U1048)*($G$11-$E$11)*($G$11-$F$11))))</f>
        <v>0.109263837813364</v>
      </c>
      <c r="H1048" s="39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-2191660936.56209</v>
      </c>
      <c r="I1048" s="39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8192664.76185235</v>
      </c>
      <c r="J1048" s="39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336134895.095333</v>
      </c>
      <c r="K1048" s="39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718868648.842867</v>
      </c>
      <c r="L1048" s="39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866083781.359666</v>
      </c>
      <c r="M1048" s="39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1074539587.92402</v>
      </c>
      <c r="N1048" s="39" t="n">
        <f aca="false">IF(COUNT('Business Case'!B11:G11)=0,"",H1048+NPV(G1048,I1048:M1048))</f>
        <v>-172582682.565289</v>
      </c>
      <c r="P1048" s="40" t="n">
        <f aca="true">RAND()</f>
        <v>0.603898182175467</v>
      </c>
      <c r="Q1048" s="40" t="n">
        <f aca="true">RAND()</f>
        <v>0.96585252316973</v>
      </c>
      <c r="R1048" s="40" t="n">
        <f aca="true">RAND()</f>
        <v>0.471441050607703</v>
      </c>
      <c r="S1048" s="40" t="n">
        <f aca="true">RAND()</f>
        <v>0.862389428998546</v>
      </c>
      <c r="T1048" s="40" t="n">
        <f aca="true">RAND()</f>
        <v>0.683090073194111</v>
      </c>
      <c r="U1048" s="40" t="n">
        <f aca="true">RAND()</f>
        <v>0.713341051846343</v>
      </c>
    </row>
    <row r="1049" customFormat="false" ht="15" hidden="false" customHeight="false" outlineLevel="0" collapsed="false">
      <c r="A1049" s="36" t="n">
        <v>969</v>
      </c>
      <c r="B1049" s="37" t="n">
        <f aca="false">1+IF($G$6=$E$6,$F$6,IF(P1049&lt;($F$6-$E$6)/($G$6-$E$6),$E$6+SQRT(P1049*($G$6-$E$6)*($F$6-$E$6)),$G$6-SQRT((1-P1049)*($G$6-$E$6)*($G$6-$F$6))))</f>
        <v>0.973447168379201</v>
      </c>
      <c r="C1049" s="37" t="n">
        <f aca="false">1+IF($G$7=$E$7,$F$7,IF(Q1049&lt;($F$7-$E$7)/($G$7-$E$7),$E$7+SQRT(Q1049*($G$7-$E$7)*($F$7-$E$7)),$G$7-SQRT((1-Q1049)*($G$7-$E$7)*($G$7-$F$7))))</f>
        <v>0.872833001972242</v>
      </c>
      <c r="D1049" s="37" t="n">
        <f aca="false">1+IF($G$8=$E$8,$F$8,IF(R1049&lt;($F$8-$E$8)/($G$8-$E$8),$E$8+SQRT(R1049*($G$8-$E$8)*($F$8-$E$8)),$G$8-SQRT((1-R1049)*($G$8-$E$8)*($G$8-$F$8))))</f>
        <v>1.03265346903117</v>
      </c>
      <c r="E1049" s="37" t="n">
        <f aca="false">1+IF($G$9=$E$9,$F$9,IF(S1049&lt;($F$9-$E$9)/($G$9-$E$9),$E$9+SQRT(S1049*($G$9-$E$9)*($F$9-$E$9)),$G$9-SQRT((1-S1049)*($G$9-$E$9)*($G$9-$F$9))))</f>
        <v>0.945621674455072</v>
      </c>
      <c r="F1049" s="37" t="n">
        <f aca="false">1+IF($G$10=$E$10,$F$10,IF(T1049&lt;($F$10-$E$10)/($G$10-$E$10),$E$10+SQRT(T1049*($G$10-$E$10)*($F$10-$E$10)),$G$10-SQRT((1-T1049)*($G$10-$E$10)*($G$10-$F$10))))</f>
        <v>1.00452082655185</v>
      </c>
      <c r="G1049" s="38" t="n">
        <f aca="false">IF($G$11=$E$11,$F$11,IF(U1049&lt;($F$11-$E$11)/($G$11-$E$11),$E$11+SQRT(U1049*($G$11-$E$11)*($F$11-$E$11)),$G$11-SQRT((1-U1049)*($G$11-$E$11)*($G$11-$F$11))))</f>
        <v>0.103415444491426</v>
      </c>
      <c r="H1049" s="39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-2009041653.10369</v>
      </c>
      <c r="I1049" s="39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-44446503.1534333</v>
      </c>
      <c r="J1049" s="39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190072687.705916</v>
      </c>
      <c r="K1049" s="39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474817919.892859</v>
      </c>
      <c r="L1049" s="39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582355123.0127</v>
      </c>
      <c r="M1049" s="39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743857890.263021</v>
      </c>
      <c r="N1049" s="39" t="n">
        <f aca="false">IF(COUNT('Business Case'!B11:G11)=0,"",H1049+NPV(G1049,I1049:M1049))</f>
        <v>-692145833.966309</v>
      </c>
      <c r="P1049" s="40" t="n">
        <f aca="true">RAND()</f>
        <v>0.359632436194851</v>
      </c>
      <c r="Q1049" s="40" t="n">
        <f aca="true">RAND()</f>
        <v>0.22126849311657</v>
      </c>
      <c r="R1049" s="40" t="n">
        <f aca="true">RAND()</f>
        <v>0.697629651097618</v>
      </c>
      <c r="S1049" s="40" t="n">
        <f aca="true">RAND()</f>
        <v>0.0832534872033814</v>
      </c>
      <c r="T1049" s="40" t="n">
        <f aca="true">RAND()</f>
        <v>0.196533005376146</v>
      </c>
      <c r="U1049" s="40" t="n">
        <f aca="true">RAND()</f>
        <v>0.52884093894102</v>
      </c>
    </row>
    <row r="1050" customFormat="false" ht="15" hidden="false" customHeight="false" outlineLevel="0" collapsed="false">
      <c r="A1050" s="36" t="n">
        <v>970</v>
      </c>
      <c r="B1050" s="37" t="n">
        <f aca="false">1+IF($G$6=$E$6,$F$6,IF(P1050&lt;($F$6-$E$6)/($G$6-$E$6),$E$6+SQRT(P1050*($G$6-$E$6)*($F$6-$E$6)),$G$6-SQRT((1-P1050)*($G$6-$E$6)*($G$6-$F$6))))</f>
        <v>0.982686615582347</v>
      </c>
      <c r="C1050" s="37" t="n">
        <f aca="false">1+IF($G$7=$E$7,$F$7,IF(Q1050&lt;($F$7-$E$7)/($G$7-$E$7),$E$7+SQRT(Q1050*($G$7-$E$7)*($F$7-$E$7)),$G$7-SQRT((1-Q1050)*($G$7-$E$7)*($G$7-$F$7))))</f>
        <v>1.0141272054007</v>
      </c>
      <c r="D1050" s="37" t="n">
        <f aca="false">1+IF($G$8=$E$8,$F$8,IF(R1050&lt;($F$8-$E$8)/($G$8-$E$8),$E$8+SQRT(R1050*($G$8-$E$8)*($F$8-$E$8)),$G$8-SQRT((1-R1050)*($G$8-$E$8)*($G$8-$F$8))))</f>
        <v>1.01425215805481</v>
      </c>
      <c r="E1050" s="37" t="n">
        <f aca="false">1+IF($G$9=$E$9,$F$9,IF(S1050&lt;($F$9-$E$9)/($G$9-$E$9),$E$9+SQRT(S1050*($G$9-$E$9)*($F$9-$E$9)),$G$9-SQRT((1-S1050)*($G$9-$E$9)*($G$9-$F$9))))</f>
        <v>0.971515459522461</v>
      </c>
      <c r="F1050" s="37" t="n">
        <f aca="false">1+IF($G$10=$E$10,$F$10,IF(T1050&lt;($F$10-$E$10)/($G$10-$E$10),$E$10+SQRT(T1050*($G$10-$E$10)*($F$10-$E$10)),$G$10-SQRT((1-T1050)*($G$10-$E$10)*($G$10-$F$10))))</f>
        <v>1.08947068465948</v>
      </c>
      <c r="G1050" s="38" t="n">
        <f aca="false">IF($G$11=$E$11,$F$11,IF(U1050&lt;($F$11-$E$11)/($G$11-$E$11),$E$11+SQRT(U1050*($G$11-$E$11)*($F$11-$E$11)),$G$11-SQRT((1-U1050)*($G$11-$E$11)*($G$11-$F$11))))</f>
        <v>0.126809544672217</v>
      </c>
      <c r="H1050" s="39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-2178941369.31896</v>
      </c>
      <c r="I1050" s="39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-9047797.7161103</v>
      </c>
      <c r="J1050" s="39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280663120.325572</v>
      </c>
      <c r="K1050" s="39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624847572.600228</v>
      </c>
      <c r="L1050" s="39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755859311.245956</v>
      </c>
      <c r="M1050" s="39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945287190.721043</v>
      </c>
      <c r="N1050" s="39" t="n">
        <f aca="false">IF(COUNT('Business Case'!B11:G11)=0,"",H1050+NPV(G1050,I1050:M1050))</f>
        <v>-539960433.565696</v>
      </c>
      <c r="P1050" s="40" t="n">
        <f aca="true">RAND()</f>
        <v>0.455805093097517</v>
      </c>
      <c r="Q1050" s="40" t="n">
        <f aca="true">RAND()</f>
        <v>0.72649753611519</v>
      </c>
      <c r="R1050" s="40" t="n">
        <f aca="true">RAND()</f>
        <v>0.509820506782809</v>
      </c>
      <c r="S1050" s="40" t="n">
        <f aca="true">RAND()</f>
        <v>0.20457843802835</v>
      </c>
      <c r="T1050" s="40" t="n">
        <f aca="true">RAND()</f>
        <v>0.656404518884044</v>
      </c>
      <c r="U1050" s="40" t="n">
        <f aca="true">RAND()</f>
        <v>0.993213996534279</v>
      </c>
    </row>
    <row r="1051" customFormat="false" ht="15" hidden="false" customHeight="false" outlineLevel="0" collapsed="false">
      <c r="A1051" s="36" t="n">
        <v>971</v>
      </c>
      <c r="B1051" s="37" t="n">
        <f aca="false">1+IF($G$6=$E$6,$F$6,IF(P1051&lt;($F$6-$E$6)/($G$6-$E$6),$E$6+SQRT(P1051*($G$6-$E$6)*($F$6-$E$6)),$G$6-SQRT((1-P1051)*($G$6-$E$6)*($G$6-$F$6))))</f>
        <v>0.962846030159827</v>
      </c>
      <c r="C1051" s="37" t="n">
        <f aca="false">1+IF($G$7=$E$7,$F$7,IF(Q1051&lt;($F$7-$E$7)/($G$7-$E$7),$E$7+SQRT(Q1051*($G$7-$E$7)*($F$7-$E$7)),$G$7-SQRT((1-Q1051)*($G$7-$E$7)*($G$7-$F$7))))</f>
        <v>0.824459253076027</v>
      </c>
      <c r="D1051" s="37" t="n">
        <f aca="false">1+IF($G$8=$E$8,$F$8,IF(R1051&lt;($F$8-$E$8)/($G$8-$E$8),$E$8+SQRT(R1051*($G$8-$E$8)*($F$8-$E$8)),$G$8-SQRT((1-R1051)*($G$8-$E$8)*($G$8-$F$8))))</f>
        <v>1.07010022845877</v>
      </c>
      <c r="E1051" s="37" t="n">
        <f aca="false">1+IF($G$9=$E$9,$F$9,IF(S1051&lt;($F$9-$E$9)/($G$9-$E$9),$E$9+SQRT(S1051*($G$9-$E$9)*($F$9-$E$9)),$G$9-SQRT((1-S1051)*($G$9-$E$9)*($G$9-$F$9))))</f>
        <v>1.09411205404103</v>
      </c>
      <c r="F1051" s="37" t="n">
        <f aca="false">1+IF($G$10=$E$10,$F$10,IF(T1051&lt;($F$10-$E$10)/($G$10-$E$10),$E$10+SQRT(T1051*($G$10-$E$10)*($F$10-$E$10)),$G$10-SQRT((1-T1051)*($G$10-$E$10)*($G$10-$F$10))))</f>
        <v>0.965099399821385</v>
      </c>
      <c r="G1051" s="38" t="n">
        <f aca="false">IF($G$11=$E$11,$F$11,IF(U1051&lt;($F$11-$E$11)/($G$11-$E$11),$E$11+SQRT(U1051*($G$11-$E$11)*($F$11-$E$11)),$G$11-SQRT((1-U1051)*($G$11-$E$11)*($G$11-$F$11))))</f>
        <v>0.0953826988346361</v>
      </c>
      <c r="H1051" s="39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-1930198799.64277</v>
      </c>
      <c r="I1051" s="39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-94686438.2025659</v>
      </c>
      <c r="J1051" s="39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103871805.87097</v>
      </c>
      <c r="K1051" s="39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350685019.935575</v>
      </c>
      <c r="L1051" s="39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444305773.432973</v>
      </c>
      <c r="M1051" s="39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595196470.200511</v>
      </c>
      <c r="N1051" s="39" t="n">
        <f aca="false">IF(COUNT('Business Case'!B11:G11)=0,"",H1051+NPV(G1051,I1051:M1051))</f>
        <v>-977208513.436666</v>
      </c>
      <c r="P1051" s="40" t="n">
        <f aca="true">RAND()</f>
        <v>0.263308233789992</v>
      </c>
      <c r="Q1051" s="40" t="n">
        <f aca="true">RAND()</f>
        <v>0.114741523527722</v>
      </c>
      <c r="R1051" s="40" t="n">
        <f aca="true">RAND()</f>
        <v>0.94040024411882</v>
      </c>
      <c r="S1051" s="40" t="n">
        <f aca="true">RAND()</f>
        <v>0.916707666572997</v>
      </c>
      <c r="T1051" s="40" t="n">
        <f aca="true">RAND()</f>
        <v>0.0151994583310688</v>
      </c>
      <c r="U1051" s="40" t="n">
        <f aca="true">RAND()</f>
        <v>0.236627423437115</v>
      </c>
    </row>
    <row r="1052" customFormat="false" ht="15" hidden="false" customHeight="false" outlineLevel="0" collapsed="false">
      <c r="A1052" s="36" t="n">
        <v>972</v>
      </c>
      <c r="B1052" s="37" t="n">
        <f aca="false">1+IF($G$6=$E$6,$F$6,IF(P1052&lt;($F$6-$E$6)/($G$6-$E$6),$E$6+SQRT(P1052*($G$6-$E$6)*($F$6-$E$6)),$G$6-SQRT((1-P1052)*($G$6-$E$6)*($G$6-$F$6))))</f>
        <v>0.99296953779241</v>
      </c>
      <c r="C1052" s="37" t="n">
        <f aca="false">1+IF($G$7=$E$7,$F$7,IF(Q1052&lt;($F$7-$E$7)/($G$7-$E$7),$E$7+SQRT(Q1052*($G$7-$E$7)*($F$7-$E$7)),$G$7-SQRT((1-Q1052)*($G$7-$E$7)*($G$7-$F$7))))</f>
        <v>0.916812900157199</v>
      </c>
      <c r="D1052" s="37" t="n">
        <f aca="false">1+IF($G$8=$E$8,$F$8,IF(R1052&lt;($F$8-$E$8)/($G$8-$E$8),$E$8+SQRT(R1052*($G$8-$E$8)*($F$8-$E$8)),$G$8-SQRT((1-R1052)*($G$8-$E$8)*($G$8-$F$8))))</f>
        <v>1.04053050723928</v>
      </c>
      <c r="E1052" s="37" t="n">
        <f aca="false">1+IF($G$9=$E$9,$F$9,IF(S1052&lt;($F$9-$E$9)/($G$9-$E$9),$E$9+SQRT(S1052*($G$9-$E$9)*($F$9-$E$9)),$G$9-SQRT((1-S1052)*($G$9-$E$9)*($G$9-$F$9))))</f>
        <v>1.07980141369235</v>
      </c>
      <c r="F1052" s="37" t="n">
        <f aca="false">1+IF($G$10=$E$10,$F$10,IF(T1052&lt;($F$10-$E$10)/($G$10-$E$10),$E$10+SQRT(T1052*($G$10-$E$10)*($F$10-$E$10)),$G$10-SQRT((1-T1052)*($G$10-$E$10)*($G$10-$F$10))))</f>
        <v>0.988169939685863</v>
      </c>
      <c r="G1052" s="38" t="n">
        <f aca="false">IF($G$11=$E$11,$F$11,IF(U1052&lt;($F$11-$E$11)/($G$11-$E$11),$E$11+SQRT(U1052*($G$11-$E$11)*($F$11-$E$11)),$G$11-SQRT((1-U1052)*($G$11-$E$11)*($G$11-$F$11))))</f>
        <v>0.0910238888469981</v>
      </c>
      <c r="H1052" s="39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-1976339879.37173</v>
      </c>
      <c r="I1052" s="39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-42259084.4969906</v>
      </c>
      <c r="J1052" s="39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215040025.885566</v>
      </c>
      <c r="K1052" s="39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521747633.252417</v>
      </c>
      <c r="L1052" s="39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638976296.635876</v>
      </c>
      <c r="M1052" s="39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812018909.543543</v>
      </c>
      <c r="N1052" s="39" t="n">
        <f aca="false">IF(COUNT('Business Case'!B11:G11)=0,"",H1052+NPV(G1052,I1052:M1052))</f>
        <v>-456411410.277341</v>
      </c>
      <c r="P1052" s="40" t="n">
        <f aca="true">RAND()</f>
        <v>0.576222330488956</v>
      </c>
      <c r="Q1052" s="40" t="n">
        <f aca="true">RAND()</f>
        <v>0.348206175367227</v>
      </c>
      <c r="R1052" s="40" t="n">
        <f aca="true">RAND()</f>
        <v>0.764225295385532</v>
      </c>
      <c r="S1052" s="40" t="n">
        <f aca="true">RAND()</f>
        <v>0.868590892810856</v>
      </c>
      <c r="T1052" s="40" t="n">
        <f aca="true">RAND()</f>
        <v>0.0971296197081625</v>
      </c>
      <c r="U1052" s="40" t="n">
        <f aca="true">RAND()</f>
        <v>0.121526125310969</v>
      </c>
    </row>
    <row r="1053" customFormat="false" ht="15" hidden="false" customHeight="false" outlineLevel="0" collapsed="false">
      <c r="A1053" s="36" t="n">
        <v>973</v>
      </c>
      <c r="B1053" s="37" t="n">
        <f aca="false">1+IF($G$6=$E$6,$F$6,IF(P1053&lt;($F$6-$E$6)/($G$6-$E$6),$E$6+SQRT(P1053*($G$6-$E$6)*($F$6-$E$6)),$G$6-SQRT((1-P1053)*($G$6-$E$6)*($G$6-$F$6))))</f>
        <v>0.978724259264685</v>
      </c>
      <c r="C1053" s="37" t="n">
        <f aca="false">1+IF($G$7=$E$7,$F$7,IF(Q1053&lt;($F$7-$E$7)/($G$7-$E$7),$E$7+SQRT(Q1053*($G$7-$E$7)*($F$7-$E$7)),$G$7-SQRT((1-Q1053)*($G$7-$E$7)*($G$7-$F$7))))</f>
        <v>0.96887161805935</v>
      </c>
      <c r="D1053" s="37" t="n">
        <f aca="false">1+IF($G$8=$E$8,$F$8,IF(R1053&lt;($F$8-$E$8)/($G$8-$E$8),$E$8+SQRT(R1053*($G$8-$E$8)*($F$8-$E$8)),$G$8-SQRT((1-R1053)*($G$8-$E$8)*($G$8-$F$8))))</f>
        <v>0.973556914112236</v>
      </c>
      <c r="E1053" s="37" t="n">
        <f aca="false">1+IF($G$9=$E$9,$F$9,IF(S1053&lt;($F$9-$E$9)/($G$9-$E$9),$E$9+SQRT(S1053*($G$9-$E$9)*($F$9-$E$9)),$G$9-SQRT((1-S1053)*($G$9-$E$9)*($G$9-$F$9))))</f>
        <v>0.956392633762891</v>
      </c>
      <c r="F1053" s="37" t="n">
        <f aca="false">1+IF($G$10=$E$10,$F$10,IF(T1053&lt;($F$10-$E$10)/($G$10-$E$10),$E$10+SQRT(T1053*($G$10-$E$10)*($F$10-$E$10)),$G$10-SQRT((1-T1053)*($G$10-$E$10)*($G$10-$F$10))))</f>
        <v>1.03726015833886</v>
      </c>
      <c r="G1053" s="38" t="n">
        <f aca="false">IF($G$11=$E$11,$F$11,IF(U1053&lt;($F$11-$E$11)/($G$11-$E$11),$E$11+SQRT(U1053*($G$11-$E$11)*($F$11-$E$11)),$G$11-SQRT((1-U1053)*($G$11-$E$11)*($G$11-$F$11))))</f>
        <v>0.117306134026232</v>
      </c>
      <c r="H1053" s="39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-2074520316.67771</v>
      </c>
      <c r="I1053" s="39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4939562.58903585</v>
      </c>
      <c r="J1053" s="39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298761876.376768</v>
      </c>
      <c r="K1053" s="39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644447198.081443</v>
      </c>
      <c r="L1053" s="39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775159771.23984</v>
      </c>
      <c r="M1053" s="39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955404681.666842</v>
      </c>
      <c r="N1053" s="39" t="n">
        <f aca="false">IF(COUNT('Business Case'!B11:G11)=0,"",H1053+NPV(G1053,I1053:M1053))</f>
        <v>-322662220.361881</v>
      </c>
      <c r="P1053" s="40" t="n">
        <f aca="true">RAND()</f>
        <v>0.413167266451557</v>
      </c>
      <c r="Q1053" s="40" t="n">
        <f aca="true">RAND()</f>
        <v>0.5354959036878</v>
      </c>
      <c r="R1053" s="40" t="n">
        <f aca="true">RAND()</f>
        <v>0.073990426998835</v>
      </c>
      <c r="S1053" s="40" t="n">
        <f aca="true">RAND()</f>
        <v>0.12720516570862</v>
      </c>
      <c r="T1053" s="40" t="n">
        <f aca="true">RAND()</f>
        <v>0.396556796933222</v>
      </c>
      <c r="U1053" s="40" t="n">
        <f aca="true">RAND()</f>
        <v>0.892577177760006</v>
      </c>
    </row>
    <row r="1054" customFormat="false" ht="15" hidden="false" customHeight="false" outlineLevel="0" collapsed="false">
      <c r="A1054" s="36" t="n">
        <v>974</v>
      </c>
      <c r="B1054" s="37" t="n">
        <f aca="false">1+IF($G$6=$E$6,$F$6,IF(P1054&lt;($F$6-$E$6)/($G$6-$E$6),$E$6+SQRT(P1054*($G$6-$E$6)*($F$6-$E$6)),$G$6-SQRT((1-P1054)*($G$6-$E$6)*($G$6-$F$6))))</f>
        <v>1.03199947463478</v>
      </c>
      <c r="C1054" s="37" t="n">
        <f aca="false">1+IF($G$7=$E$7,$F$7,IF(Q1054&lt;($F$7-$E$7)/($G$7-$E$7),$E$7+SQRT(Q1054*($G$7-$E$7)*($F$7-$E$7)),$G$7-SQRT((1-Q1054)*($G$7-$E$7)*($G$7-$F$7))))</f>
        <v>0.932285348113713</v>
      </c>
      <c r="D1054" s="37" t="n">
        <f aca="false">1+IF($G$8=$E$8,$F$8,IF(R1054&lt;($F$8-$E$8)/($G$8-$E$8),$E$8+SQRT(R1054*($G$8-$E$8)*($F$8-$E$8)),$G$8-SQRT((1-R1054)*($G$8-$E$8)*($G$8-$F$8))))</f>
        <v>1.02128854217141</v>
      </c>
      <c r="E1054" s="37" t="n">
        <f aca="false">1+IF($G$9=$E$9,$F$9,IF(S1054&lt;($F$9-$E$9)/($G$9-$E$9),$E$9+SQRT(S1054*($G$9-$E$9)*($F$9-$E$9)),$G$9-SQRT((1-S1054)*($G$9-$E$9)*($G$9-$F$9))))</f>
        <v>0.972717075766175</v>
      </c>
      <c r="F1054" s="37" t="n">
        <f aca="false">1+IF($G$10=$E$10,$F$10,IF(T1054&lt;($F$10-$E$10)/($G$10-$E$10),$E$10+SQRT(T1054*($G$10-$E$10)*($F$10-$E$10)),$G$10-SQRT((1-T1054)*($G$10-$E$10)*($G$10-$F$10))))</f>
        <v>1.11188295507046</v>
      </c>
      <c r="G1054" s="38" t="n">
        <f aca="false">IF($G$11=$E$11,$F$11,IF(U1054&lt;($F$11-$E$11)/($G$11-$E$11),$E$11+SQRT(U1054*($G$11-$E$11)*($F$11-$E$11)),$G$11-SQRT((1-U1054)*($G$11-$E$11)*($G$11-$F$11))))</f>
        <v>0.091768287788464</v>
      </c>
      <c r="H1054" s="39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-2223765910.14093</v>
      </c>
      <c r="I1054" s="39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1243456.03808354</v>
      </c>
      <c r="J1054" s="39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301871772.330929</v>
      </c>
      <c r="K1054" s="39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658094236.377297</v>
      </c>
      <c r="L1054" s="39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791554472.857422</v>
      </c>
      <c r="M1054" s="39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974433860.29456</v>
      </c>
      <c r="N1054" s="39" t="n">
        <f aca="false">IF(COUNT('Business Case'!B11:G11)=0,"",H1054+NPV(G1054,I1054:M1054))</f>
        <v>-278329593.705136</v>
      </c>
      <c r="P1054" s="40" t="n">
        <f aca="true">RAND()</f>
        <v>0.956797478210154</v>
      </c>
      <c r="Q1054" s="40" t="n">
        <f aca="true">RAND()</f>
        <v>0.399677651468955</v>
      </c>
      <c r="R1054" s="40" t="n">
        <f aca="true">RAND()</f>
        <v>0.586967093766574</v>
      </c>
      <c r="S1054" s="40" t="n">
        <f aca="true">RAND()</f>
        <v>0.211510924319347</v>
      </c>
      <c r="T1054" s="40" t="n">
        <f aca="true">RAND()</f>
        <v>0.745649091999102</v>
      </c>
      <c r="U1054" s="40" t="n">
        <f aca="true">RAND()</f>
        <v>0.138492597472112</v>
      </c>
    </row>
    <row r="1055" customFormat="false" ht="15" hidden="false" customHeight="false" outlineLevel="0" collapsed="false">
      <c r="A1055" s="36" t="n">
        <v>975</v>
      </c>
      <c r="B1055" s="37" t="n">
        <f aca="false">1+IF($G$6=$E$6,$F$6,IF(P1055&lt;($F$6-$E$6)/($G$6-$E$6),$E$6+SQRT(P1055*($G$6-$E$6)*($F$6-$E$6)),$G$6-SQRT((1-P1055)*($G$6-$E$6)*($G$6-$F$6))))</f>
        <v>1.01244235837088</v>
      </c>
      <c r="C1055" s="37" t="n">
        <f aca="false">1+IF($G$7=$E$7,$F$7,IF(Q1055&lt;($F$7-$E$7)/($G$7-$E$7),$E$7+SQRT(Q1055*($G$7-$E$7)*($F$7-$E$7)),$G$7-SQRT((1-Q1055)*($G$7-$E$7)*($G$7-$F$7))))</f>
        <v>1.06018318498036</v>
      </c>
      <c r="D1055" s="37" t="n">
        <f aca="false">1+IF($G$8=$E$8,$F$8,IF(R1055&lt;($F$8-$E$8)/($G$8-$E$8),$E$8+SQRT(R1055*($G$8-$E$8)*($F$8-$E$8)),$G$8-SQRT((1-R1055)*($G$8-$E$8)*($G$8-$F$8))))</f>
        <v>1.03072277138367</v>
      </c>
      <c r="E1055" s="37" t="n">
        <f aca="false">1+IF($G$9=$E$9,$F$9,IF(S1055&lt;($F$9-$E$9)/($G$9-$E$9),$E$9+SQRT(S1055*($G$9-$E$9)*($F$9-$E$9)),$G$9-SQRT((1-S1055)*($G$9-$E$9)*($G$9-$F$9))))</f>
        <v>0.971602212384048</v>
      </c>
      <c r="F1055" s="37" t="n">
        <f aca="false">1+IF($G$10=$E$10,$F$10,IF(T1055&lt;($F$10-$E$10)/($G$10-$E$10),$E$10+SQRT(T1055*($G$10-$E$10)*($F$10-$E$10)),$G$10-SQRT((1-T1055)*($G$10-$E$10)*($G$10-$F$10))))</f>
        <v>1.2048371751629</v>
      </c>
      <c r="G1055" s="38" t="n">
        <f aca="false">IF($G$11=$E$11,$F$11,IF(U1055&lt;($F$11-$E$11)/($G$11-$E$11),$E$11+SQRT(U1055*($G$11-$E$11)*($F$11-$E$11)),$G$11-SQRT((1-U1055)*($G$11-$E$11)*($G$11-$F$11))))</f>
        <v>0.115135098065229</v>
      </c>
      <c r="H1055" s="39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-2409674350.3258</v>
      </c>
      <c r="I1055" s="39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5478493.69520211</v>
      </c>
      <c r="J1055" s="39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325246266.542995</v>
      </c>
      <c r="K1055" s="39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705255898.148934</v>
      </c>
      <c r="L1055" s="39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848940973.788391</v>
      </c>
      <c r="M1055" s="39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1052967972.91779</v>
      </c>
      <c r="N1055" s="39" t="n">
        <f aca="false">IF(COUNT('Business Case'!B11:G11)=0,"",H1055+NPV(G1055,I1055:M1055))</f>
        <v>-475000687.580762</v>
      </c>
      <c r="P1055" s="40" t="n">
        <f aca="true">RAND()</f>
        <v>0.811923140701176</v>
      </c>
      <c r="Q1055" s="40" t="n">
        <f aca="true">RAND()</f>
        <v>0.880487996144106</v>
      </c>
      <c r="R1055" s="40" t="n">
        <f aca="true">RAND()</f>
        <v>0.680044373016091</v>
      </c>
      <c r="S1055" s="40" t="n">
        <f aca="true">RAND()</f>
        <v>0.205075072731612</v>
      </c>
      <c r="T1055" s="40" t="n">
        <f aca="true">RAND()</f>
        <v>0.972804256703113</v>
      </c>
      <c r="U1055" s="40" t="n">
        <f aca="true">RAND()</f>
        <v>0.852689793646422</v>
      </c>
    </row>
    <row r="1056" customFormat="false" ht="15" hidden="false" customHeight="false" outlineLevel="0" collapsed="false">
      <c r="A1056" s="36" t="n">
        <v>976</v>
      </c>
      <c r="B1056" s="37" t="n">
        <f aca="false">1+IF($G$6=$E$6,$F$6,IF(P1056&lt;($F$6-$E$6)/($G$6-$E$6),$E$6+SQRT(P1056*($G$6-$E$6)*($F$6-$E$6)),$G$6-SQRT((1-P1056)*($G$6-$E$6)*($G$6-$F$6))))</f>
        <v>0.959945067896038</v>
      </c>
      <c r="C1056" s="37" t="n">
        <f aca="false">1+IF($G$7=$E$7,$F$7,IF(Q1056&lt;($F$7-$E$7)/($G$7-$E$7),$E$7+SQRT(Q1056*($G$7-$E$7)*($F$7-$E$7)),$G$7-SQRT((1-Q1056)*($G$7-$E$7)*($G$7-$F$7))))</f>
        <v>1.02267368906757</v>
      </c>
      <c r="D1056" s="37" t="n">
        <f aca="false">1+IF($G$8=$E$8,$F$8,IF(R1056&lt;($F$8-$E$8)/($G$8-$E$8),$E$8+SQRT(R1056*($G$8-$E$8)*($F$8-$E$8)),$G$8-SQRT((1-R1056)*($G$8-$E$8)*($G$8-$F$8))))</f>
        <v>0.988465938621507</v>
      </c>
      <c r="E1056" s="37" t="n">
        <f aca="false">1+IF($G$9=$E$9,$F$9,IF(S1056&lt;($F$9-$E$9)/($G$9-$E$9),$E$9+SQRT(S1056*($G$9-$E$9)*($F$9-$E$9)),$G$9-SQRT((1-S1056)*($G$9-$E$9)*($G$9-$F$9))))</f>
        <v>1.09869133704853</v>
      </c>
      <c r="F1056" s="37" t="n">
        <f aca="false">1+IF($G$10=$E$10,$F$10,IF(T1056&lt;($F$10-$E$10)/($G$10-$E$10),$E$10+SQRT(T1056*($G$10-$E$10)*($F$10-$E$10)),$G$10-SQRT((1-T1056)*($G$10-$E$10)*($G$10-$F$10))))</f>
        <v>1.07320296032293</v>
      </c>
      <c r="G1056" s="38" t="n">
        <f aca="false">IF($G$11=$E$11,$F$11,IF(U1056&lt;($F$11-$E$11)/($G$11-$E$11),$E$11+SQRT(U1056*($G$11-$E$11)*($F$11-$E$11)),$G$11-SQRT((1-U1056)*($G$11-$E$11)*($G$11-$F$11))))</f>
        <v>0.0928531635194883</v>
      </c>
      <c r="H1056" s="39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-2146405920.64585</v>
      </c>
      <c r="I1056" s="39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-27843165.8389118</v>
      </c>
      <c r="J1056" s="39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258759748.114695</v>
      </c>
      <c r="K1056" s="39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599022810.084448</v>
      </c>
      <c r="L1056" s="39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728485031.823601</v>
      </c>
      <c r="M1056" s="39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915088575.807329</v>
      </c>
      <c r="N1056" s="39" t="n">
        <f aca="false">IF(COUNT('Business Case'!B11:G11)=0,"",H1056+NPV(G1056,I1056:M1056))</f>
        <v>-398553695.911869</v>
      </c>
      <c r="P1056" s="40" t="n">
        <f aca="true">RAND()</f>
        <v>0.239560744337374</v>
      </c>
      <c r="Q1056" s="40" t="n">
        <f aca="true">RAND()</f>
        <v>0.759822378434632</v>
      </c>
      <c r="R1056" s="40" t="n">
        <f aca="true">RAND()</f>
        <v>0.197283791204472</v>
      </c>
      <c r="S1056" s="40" t="n">
        <f aca="true">RAND()</f>
        <v>0.929797896163519</v>
      </c>
      <c r="T1056" s="40" t="n">
        <f aca="true">RAND()</f>
        <v>0.583237423485637</v>
      </c>
      <c r="U1056" s="40" t="n">
        <f aca="true">RAND()</f>
        <v>0.165203812458705</v>
      </c>
    </row>
    <row r="1057" customFormat="false" ht="15" hidden="false" customHeight="false" outlineLevel="0" collapsed="false">
      <c r="A1057" s="36" t="n">
        <v>977</v>
      </c>
      <c r="B1057" s="37" t="n">
        <f aca="false">1+IF($G$6=$E$6,$F$6,IF(P1057&lt;($F$6-$E$6)/($G$6-$E$6),$E$6+SQRT(P1057*($G$6-$E$6)*($F$6-$E$6)),$G$6-SQRT((1-P1057)*($G$6-$E$6)*($G$6-$F$6))))</f>
        <v>0.992655438135231</v>
      </c>
      <c r="C1057" s="37" t="n">
        <f aca="false">1+IF($G$7=$E$7,$F$7,IF(Q1057&lt;($F$7-$E$7)/($G$7-$E$7),$E$7+SQRT(Q1057*($G$7-$E$7)*($F$7-$E$7)),$G$7-SQRT((1-Q1057)*($G$7-$E$7)*($G$7-$F$7))))</f>
        <v>1.00694484298261</v>
      </c>
      <c r="D1057" s="37" t="n">
        <f aca="false">1+IF($G$8=$E$8,$F$8,IF(R1057&lt;($F$8-$E$8)/($G$8-$E$8),$E$8+SQRT(R1057*($G$8-$E$8)*($F$8-$E$8)),$G$8-SQRT((1-R1057)*($G$8-$E$8)*($G$8-$F$8))))</f>
        <v>1.01812739098094</v>
      </c>
      <c r="E1057" s="37" t="n">
        <f aca="false">1+IF($G$9=$E$9,$F$9,IF(S1057&lt;($F$9-$E$9)/($G$9-$E$9),$E$9+SQRT(S1057*($G$9-$E$9)*($F$9-$E$9)),$G$9-SQRT((1-S1057)*($G$9-$E$9)*($G$9-$F$9))))</f>
        <v>1.03935680727761</v>
      </c>
      <c r="F1057" s="37" t="n">
        <f aca="false">1+IF($G$10=$E$10,$F$10,IF(T1057&lt;($F$10-$E$10)/($G$10-$E$10),$E$10+SQRT(T1057*($G$10-$E$10)*($F$10-$E$10)),$G$10-SQRT((1-T1057)*($G$10-$E$10)*($G$10-$F$10))))</f>
        <v>1.00270556899404</v>
      </c>
      <c r="G1057" s="38" t="n">
        <f aca="false">IF($G$11=$E$11,$F$11,IF(U1057&lt;($F$11-$E$11)/($G$11-$E$11),$E$11+SQRT(U1057*($G$11-$E$11)*($F$11-$E$11)),$G$11-SQRT((1-U1057)*($G$11-$E$11)*($G$11-$F$11))))</f>
        <v>0.0966691757462294</v>
      </c>
      <c r="H1057" s="39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-2005411137.98807</v>
      </c>
      <c r="I1057" s="39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-6000330.6669513</v>
      </c>
      <c r="J1057" s="39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287883067.939515</v>
      </c>
      <c r="K1057" s="39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631901744.995683</v>
      </c>
      <c r="L1057" s="39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764407300.78393</v>
      </c>
      <c r="M1057" s="39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954401626.840768</v>
      </c>
      <c r="N1057" s="39" t="n">
        <f aca="false">IF(COUNT('Business Case'!B11:G11)=0,"",H1057+NPV(G1057,I1057:M1057))</f>
        <v>-162284206.690265</v>
      </c>
      <c r="P1057" s="40" t="n">
        <f aca="true">RAND()</f>
        <v>0.572335347735436</v>
      </c>
      <c r="Q1057" s="40" t="n">
        <f aca="true">RAND()</f>
        <v>0.696818104455273</v>
      </c>
      <c r="R1057" s="40" t="n">
        <f aca="true">RAND()</f>
        <v>0.553125059494187</v>
      </c>
      <c r="S1057" s="40" t="n">
        <f aca="true">RAND()</f>
        <v>0.673548904111909</v>
      </c>
      <c r="T1057" s="40" t="n">
        <f aca="true">RAND()</f>
        <v>0.184606191912488</v>
      </c>
      <c r="U1057" s="40" t="n">
        <f aca="true">RAND()</f>
        <v>0.277861420058681</v>
      </c>
    </row>
    <row r="1058" customFormat="false" ht="15" hidden="false" customHeight="false" outlineLevel="0" collapsed="false">
      <c r="A1058" s="36" t="n">
        <v>978</v>
      </c>
      <c r="B1058" s="37" t="n">
        <f aca="false">1+IF($G$6=$E$6,$F$6,IF(P1058&lt;($F$6-$E$6)/($G$6-$E$6),$E$6+SQRT(P1058*($G$6-$E$6)*($F$6-$E$6)),$G$6-SQRT((1-P1058)*($G$6-$E$6)*($G$6-$F$6))))</f>
        <v>1.03011607304894</v>
      </c>
      <c r="C1058" s="37" t="n">
        <f aca="false">1+IF($G$7=$E$7,$F$7,IF(Q1058&lt;($F$7-$E$7)/($G$7-$E$7),$E$7+SQRT(Q1058*($G$7-$E$7)*($F$7-$E$7)),$G$7-SQRT((1-Q1058)*($G$7-$E$7)*($G$7-$F$7))))</f>
        <v>1.01647856242477</v>
      </c>
      <c r="D1058" s="37" t="n">
        <f aca="false">1+IF($G$8=$E$8,$F$8,IF(R1058&lt;($F$8-$E$8)/($G$8-$E$8),$E$8+SQRT(R1058*($G$8-$E$8)*($F$8-$E$8)),$G$8-SQRT((1-R1058)*($G$8-$E$8)*($G$8-$F$8))))</f>
        <v>1.00612814942136</v>
      </c>
      <c r="E1058" s="37" t="n">
        <f aca="false">1+IF($G$9=$E$9,$F$9,IF(S1058&lt;($F$9-$E$9)/($G$9-$E$9),$E$9+SQRT(S1058*($G$9-$E$9)*($F$9-$E$9)),$G$9-SQRT((1-S1058)*($G$9-$E$9)*($G$9-$F$9))))</f>
        <v>1.10095070650969</v>
      </c>
      <c r="F1058" s="37" t="n">
        <f aca="false">1+IF($G$10=$E$10,$F$10,IF(T1058&lt;($F$10-$E$10)/($G$10-$E$10),$E$10+SQRT(T1058*($G$10-$E$10)*($F$10-$E$10)),$G$10-SQRT((1-T1058)*($G$10-$E$10)*($G$10-$F$10))))</f>
        <v>1.02384545129528</v>
      </c>
      <c r="G1058" s="38" t="n">
        <f aca="false">IF($G$11=$E$11,$F$11,IF(U1058&lt;($F$11-$E$11)/($G$11-$E$11),$E$11+SQRT(U1058*($G$11-$E$11)*($F$11-$E$11)),$G$11-SQRT((1-U1058)*($G$11-$E$11)*($G$11-$F$11))))</f>
        <v>0.0830096141950518</v>
      </c>
      <c r="H1058" s="39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-2047690902.59056</v>
      </c>
      <c r="I1058" s="39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20877390.4852963</v>
      </c>
      <c r="J1058" s="39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354975709.084287</v>
      </c>
      <c r="K1058" s="39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740266300.248042</v>
      </c>
      <c r="L1058" s="39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887819868.126699</v>
      </c>
      <c r="M1058" s="39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1086850907.36116</v>
      </c>
      <c r="N1058" s="39" t="n">
        <f aca="false">IF(COUNT('Business Case'!B11:G11)=0,"",H1058+NPV(G1058,I1058:M1058))</f>
        <v>231815486.661208</v>
      </c>
      <c r="P1058" s="40" t="n">
        <f aca="true">RAND()</f>
        <v>0.947283926533997</v>
      </c>
      <c r="Q1058" s="40" t="n">
        <f aca="true">RAND()</f>
        <v>0.73588186233844</v>
      </c>
      <c r="R1058" s="40" t="n">
        <f aca="true">RAND()</f>
        <v>0.412538377929401</v>
      </c>
      <c r="S1058" s="40" t="n">
        <f aca="true">RAND()</f>
        <v>0.935844448216044</v>
      </c>
      <c r="T1058" s="40" t="n">
        <f aca="true">RAND()</f>
        <v>0.318054934668846</v>
      </c>
      <c r="U1058" s="40" t="n">
        <f aca="true">RAND()</f>
        <v>0.00905777760305718</v>
      </c>
    </row>
    <row r="1059" customFormat="false" ht="15" hidden="false" customHeight="false" outlineLevel="0" collapsed="false">
      <c r="A1059" s="36" t="n">
        <v>979</v>
      </c>
      <c r="B1059" s="37" t="n">
        <f aca="false">1+IF($G$6=$E$6,$F$6,IF(P1059&lt;($F$6-$E$6)/($G$6-$E$6),$E$6+SQRT(P1059*($G$6-$E$6)*($F$6-$E$6)),$G$6-SQRT((1-P1059)*($G$6-$E$6)*($G$6-$F$6))))</f>
        <v>1.03312744922766</v>
      </c>
      <c r="C1059" s="37" t="n">
        <f aca="false">1+IF($G$7=$E$7,$F$7,IF(Q1059&lt;($F$7-$E$7)/($G$7-$E$7),$E$7+SQRT(Q1059*($G$7-$E$7)*($F$7-$E$7)),$G$7-SQRT((1-Q1059)*($G$7-$E$7)*($G$7-$F$7))))</f>
        <v>1.01275646981722</v>
      </c>
      <c r="D1059" s="37" t="n">
        <f aca="false">1+IF($G$8=$E$8,$F$8,IF(R1059&lt;($F$8-$E$8)/($G$8-$E$8),$E$8+SQRT(R1059*($G$8-$E$8)*($F$8-$E$8)),$G$8-SQRT((1-R1059)*($G$8-$E$8)*($G$8-$F$8))))</f>
        <v>1.03328025269197</v>
      </c>
      <c r="E1059" s="37" t="n">
        <f aca="false">1+IF($G$9=$E$9,$F$9,IF(S1059&lt;($F$9-$E$9)/($G$9-$E$9),$E$9+SQRT(S1059*($G$9-$E$9)*($F$9-$E$9)),$G$9-SQRT((1-S1059)*($G$9-$E$9)*($G$9-$F$9))))</f>
        <v>1.13590779025577</v>
      </c>
      <c r="F1059" s="37" t="n">
        <f aca="false">1+IF($G$10=$E$10,$F$10,IF(T1059&lt;($F$10-$E$10)/($G$10-$E$10),$E$10+SQRT(T1059*($G$10-$E$10)*($F$10-$E$10)),$G$10-SQRT((1-T1059)*($G$10-$E$10)*($G$10-$F$10))))</f>
        <v>1.22362850068593</v>
      </c>
      <c r="G1059" s="38" t="n">
        <f aca="false">IF($G$11=$E$11,$F$11,IF(U1059&lt;($F$11-$E$11)/($G$11-$E$11),$E$11+SQRT(U1059*($G$11-$E$11)*($F$11-$E$11)),$G$11-SQRT((1-U1059)*($G$11-$E$11)*($G$11-$F$11))))</f>
        <v>0.110926631928905</v>
      </c>
      <c r="H1059" s="39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-2447257001.37187</v>
      </c>
      <c r="I1059" s="39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-16833551.58353</v>
      </c>
      <c r="J1059" s="39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304462364.068823</v>
      </c>
      <c r="K1059" s="39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686939704.755473</v>
      </c>
      <c r="L1059" s="39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830198696.23487</v>
      </c>
      <c r="M1059" s="39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1029080637.34224</v>
      </c>
      <c r="N1059" s="39" t="n">
        <f aca="false">IF(COUNT('Business Case'!B11:G11)=0,"",H1059+NPV(G1059,I1059:M1059))</f>
        <v>-561462933.810625</v>
      </c>
      <c r="P1059" s="40" t="n">
        <f aca="true">RAND()</f>
        <v>0.962042270724639</v>
      </c>
      <c r="Q1059" s="40" t="n">
        <f aca="true">RAND()</f>
        <v>0.72095130996991</v>
      </c>
      <c r="R1059" s="40" t="n">
        <f aca="true">RAND()</f>
        <v>0.703231687943542</v>
      </c>
      <c r="S1059" s="40" t="n">
        <f aca="true">RAND()</f>
        <v>0.994704256653987</v>
      </c>
      <c r="T1059" s="40" t="n">
        <f aca="true">RAND()</f>
        <v>0.990727253652375</v>
      </c>
      <c r="U1059" s="40" t="n">
        <f aca="true">RAND()</f>
        <v>0.757471086949678</v>
      </c>
    </row>
    <row r="1060" customFormat="false" ht="15" hidden="false" customHeight="false" outlineLevel="0" collapsed="false">
      <c r="A1060" s="36" t="n">
        <v>980</v>
      </c>
      <c r="B1060" s="37" t="n">
        <f aca="false">1+IF($G$6=$E$6,$F$6,IF(P1060&lt;($F$6-$E$6)/($G$6-$E$6),$E$6+SQRT(P1060*($G$6-$E$6)*($F$6-$E$6)),$G$6-SQRT((1-P1060)*($G$6-$E$6)*($G$6-$F$6))))</f>
        <v>1.00536498673496</v>
      </c>
      <c r="C1060" s="37" t="n">
        <f aca="false">1+IF($G$7=$E$7,$F$7,IF(Q1060&lt;($F$7-$E$7)/($G$7-$E$7),$E$7+SQRT(Q1060*($G$7-$E$7)*($F$7-$E$7)),$G$7-SQRT((1-Q1060)*($G$7-$E$7)*($G$7-$F$7))))</f>
        <v>1.00839356032186</v>
      </c>
      <c r="D1060" s="37" t="n">
        <f aca="false">1+IF($G$8=$E$8,$F$8,IF(R1060&lt;($F$8-$E$8)/($G$8-$E$8),$E$8+SQRT(R1060*($G$8-$E$8)*($F$8-$E$8)),$G$8-SQRT((1-R1060)*($G$8-$E$8)*($G$8-$F$8))))</f>
        <v>1.01698975363404</v>
      </c>
      <c r="E1060" s="37" t="n">
        <f aca="false">1+IF($G$9=$E$9,$F$9,IF(S1060&lt;($F$9-$E$9)/($G$9-$E$9),$E$9+SQRT(S1060*($G$9-$E$9)*($F$9-$E$9)),$G$9-SQRT((1-S1060)*($G$9-$E$9)*($G$9-$F$9))))</f>
        <v>1.12033217475101</v>
      </c>
      <c r="F1060" s="37" t="n">
        <f aca="false">1+IF($G$10=$E$10,$F$10,IF(T1060&lt;($F$10-$E$10)/($G$10-$E$10),$E$10+SQRT(T1060*($G$10-$E$10)*($F$10-$E$10)),$G$10-SQRT((1-T1060)*($G$10-$E$10)*($G$10-$F$10))))</f>
        <v>1.15372100423374</v>
      </c>
      <c r="G1060" s="38" t="n">
        <f aca="false">IF($G$11=$E$11,$F$11,IF(U1060&lt;($F$11-$E$11)/($G$11-$E$11),$E$11+SQRT(U1060*($G$11-$E$11)*($F$11-$E$11)),$G$11-SQRT((1-U1060)*($G$11-$E$11)*($G$11-$F$11))))</f>
        <v>0.122610236205524</v>
      </c>
      <c r="H1060" s="39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-2307442008.46747</v>
      </c>
      <c r="I1060" s="39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-21848016.7997804</v>
      </c>
      <c r="J1060" s="39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283542879.577487</v>
      </c>
      <c r="K1060" s="39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646619826.166441</v>
      </c>
      <c r="L1060" s="39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783453843.294916</v>
      </c>
      <c r="M1060" s="39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976157627.476543</v>
      </c>
      <c r="N1060" s="39" t="n">
        <f aca="false">IF(COUNT('Business Case'!B11:G11)=0,"",H1060+NPV(G1060,I1060:M1060))</f>
        <v>-604093966.105653</v>
      </c>
      <c r="P1060" s="40" t="n">
        <f aca="true">RAND()</f>
        <v>0.734362078777315</v>
      </c>
      <c r="Q1060" s="40" t="n">
        <f aca="true">RAND()</f>
        <v>0.702927648024887</v>
      </c>
      <c r="R1060" s="40" t="n">
        <f aca="true">RAND()</f>
        <v>0.540619933217531</v>
      </c>
      <c r="S1060" s="40" t="n">
        <f aca="true">RAND()</f>
        <v>0.976528537199881</v>
      </c>
      <c r="T1060" s="40" t="n">
        <f aca="true">RAND()</f>
        <v>0.876404732989863</v>
      </c>
      <c r="U1060" s="40" t="n">
        <f aca="true">RAND()</f>
        <v>0.963594260707901</v>
      </c>
    </row>
    <row r="1061" customFormat="false" ht="15" hidden="false" customHeight="false" outlineLevel="0" collapsed="false">
      <c r="A1061" s="36" t="n">
        <v>981</v>
      </c>
      <c r="B1061" s="37" t="n">
        <f aca="false">1+IF($G$6=$E$6,$F$6,IF(P1061&lt;($F$6-$E$6)/($G$6-$E$6),$E$6+SQRT(P1061*($G$6-$E$6)*($F$6-$E$6)),$G$6-SQRT((1-P1061)*($G$6-$E$6)*($G$6-$F$6))))</f>
        <v>0.978005019541701</v>
      </c>
      <c r="C1061" s="37" t="n">
        <f aca="false">1+IF($G$7=$E$7,$F$7,IF(Q1061&lt;($F$7-$E$7)/($G$7-$E$7),$E$7+SQRT(Q1061*($G$7-$E$7)*($F$7-$E$7)),$G$7-SQRT((1-Q1061)*($G$7-$E$7)*($G$7-$F$7))))</f>
        <v>0.789660957586649</v>
      </c>
      <c r="D1061" s="37" t="n">
        <f aca="false">1+IF($G$8=$E$8,$F$8,IF(R1061&lt;($F$8-$E$8)/($G$8-$E$8),$E$8+SQRT(R1061*($G$8-$E$8)*($F$8-$E$8)),$G$8-SQRT((1-R1061)*($G$8-$E$8)*($G$8-$F$8))))</f>
        <v>1.04824413096048</v>
      </c>
      <c r="E1061" s="37" t="n">
        <f aca="false">1+IF($G$9=$E$9,$F$9,IF(S1061&lt;($F$9-$E$9)/($G$9-$E$9),$E$9+SQRT(S1061*($G$9-$E$9)*($F$9-$E$9)),$G$9-SQRT((1-S1061)*($G$9-$E$9)*($G$9-$F$9))))</f>
        <v>1.05223709836349</v>
      </c>
      <c r="F1061" s="37" t="n">
        <f aca="false">1+IF($G$10=$E$10,$F$10,IF(T1061&lt;($F$10-$E$10)/($G$10-$E$10),$E$10+SQRT(T1061*($G$10-$E$10)*($F$10-$E$10)),$G$10-SQRT((1-T1061)*($G$10-$E$10)*($G$10-$F$10))))</f>
        <v>1.07699876811614</v>
      </c>
      <c r="G1061" s="38" t="n">
        <f aca="false">IF($G$11=$E$11,$F$11,IF(U1061&lt;($F$11-$E$11)/($G$11-$E$11),$E$11+SQRT(U1061*($G$11-$E$11)*($F$11-$E$11)),$G$11-SQRT((1-U1061)*($G$11-$E$11)*($G$11-$F$11))))</f>
        <v>0.0926619618450992</v>
      </c>
      <c r="H1061" s="39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-2153997536.23228</v>
      </c>
      <c r="I1061" s="39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-88546165.8035937</v>
      </c>
      <c r="J1061" s="39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120271297.584178</v>
      </c>
      <c r="K1061" s="39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382938699.377757</v>
      </c>
      <c r="L1061" s="39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479234945.168656</v>
      </c>
      <c r="M1061" s="39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626032280.807688</v>
      </c>
      <c r="N1061" s="39" t="n">
        <f aca="false">IF(COUNT('Business Case'!B11:G11)=0,"",H1061+NPV(G1061,I1061:M1061))</f>
        <v>-1102602611.30605</v>
      </c>
      <c r="P1061" s="40" t="n">
        <f aca="true">RAND()</f>
        <v>0.405652204913413</v>
      </c>
      <c r="Q1061" s="40" t="n">
        <f aca="true">RAND()</f>
        <v>0.059548794928555</v>
      </c>
      <c r="R1061" s="40" t="n">
        <f aca="true">RAND()</f>
        <v>0.821422001330969</v>
      </c>
      <c r="S1061" s="40" t="n">
        <f aca="true">RAND()</f>
        <v>0.745131068362917</v>
      </c>
      <c r="T1061" s="40" t="n">
        <f aca="true">RAND()</f>
        <v>0.600940983555569</v>
      </c>
      <c r="U1061" s="40" t="n">
        <f aca="true">RAND()</f>
        <v>0.160325277766748</v>
      </c>
    </row>
    <row r="1062" customFormat="false" ht="15" hidden="false" customHeight="false" outlineLevel="0" collapsed="false">
      <c r="A1062" s="36" t="n">
        <v>982</v>
      </c>
      <c r="B1062" s="37" t="n">
        <f aca="false">1+IF($G$6=$E$6,$F$6,IF(P1062&lt;($F$6-$E$6)/($G$6-$E$6),$E$6+SQRT(P1062*($G$6-$E$6)*($F$6-$E$6)),$G$6-SQRT((1-P1062)*($G$6-$E$6)*($G$6-$F$6))))</f>
        <v>1.0335218336865</v>
      </c>
      <c r="C1062" s="37" t="n">
        <f aca="false">1+IF($G$7=$E$7,$F$7,IF(Q1062&lt;($F$7-$E$7)/($G$7-$E$7),$E$7+SQRT(Q1062*($G$7-$E$7)*($F$7-$E$7)),$G$7-SQRT((1-Q1062)*($G$7-$E$7)*($G$7-$F$7))))</f>
        <v>0.73608215504626</v>
      </c>
      <c r="D1062" s="37" t="n">
        <f aca="false">1+IF($G$8=$E$8,$F$8,IF(R1062&lt;($F$8-$E$8)/($G$8-$E$8),$E$8+SQRT(R1062*($G$8-$E$8)*($F$8-$E$8)),$G$8-SQRT((1-R1062)*($G$8-$E$8)*($G$8-$F$8))))</f>
        <v>0.99771335415581</v>
      </c>
      <c r="E1062" s="37" t="n">
        <f aca="false">1+IF($G$9=$E$9,$F$9,IF(S1062&lt;($F$9-$E$9)/($G$9-$E$9),$E$9+SQRT(S1062*($G$9-$E$9)*($F$9-$E$9)),$G$9-SQRT((1-S1062)*($G$9-$E$9)*($G$9-$F$9))))</f>
        <v>0.968184961564559</v>
      </c>
      <c r="F1062" s="37" t="n">
        <f aca="false">1+IF($G$10=$E$10,$F$10,IF(T1062&lt;($F$10-$E$10)/($G$10-$E$10),$E$10+SQRT(T1062*($G$10-$E$10)*($F$10-$E$10)),$G$10-SQRT((1-T1062)*($G$10-$E$10)*($G$10-$F$10))))</f>
        <v>0.994309226376711</v>
      </c>
      <c r="G1062" s="38" t="n">
        <f aca="false">IF($G$11=$E$11,$F$11,IF(U1062&lt;($F$11-$E$11)/($G$11-$E$11),$E$11+SQRT(U1062*($G$11-$E$11)*($F$11-$E$11)),$G$11-SQRT((1-U1062)*($G$11-$E$11)*($G$11-$F$11))))</f>
        <v>0.0870837550747805</v>
      </c>
      <c r="H1062" s="39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-1988618452.75342</v>
      </c>
      <c r="I1062" s="39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-29383259.899151</v>
      </c>
      <c r="J1062" s="39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217777946.14589</v>
      </c>
      <c r="K1062" s="39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514654613.509766</v>
      </c>
      <c r="L1062" s="39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623333443.372807</v>
      </c>
      <c r="M1062" s="39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767938129.870288</v>
      </c>
      <c r="N1062" s="39" t="n">
        <f aca="false">IF(COUNT('Business Case'!B11:G11)=0,"",H1062+NPV(G1062,I1062:M1062))</f>
        <v>-478568728.105408</v>
      </c>
      <c r="P1062" s="40" t="n">
        <f aca="true">RAND()</f>
        <v>0.963796004659297</v>
      </c>
      <c r="Q1062" s="40" t="n">
        <f aca="true">RAND()</f>
        <v>0.00964386602060995</v>
      </c>
      <c r="R1062" s="40" t="n">
        <f aca="true">RAND()</f>
        <v>0.3035418886397</v>
      </c>
      <c r="S1062" s="40" t="n">
        <f aca="true">RAND()</f>
        <v>0.185967559342415</v>
      </c>
      <c r="T1062" s="40" t="n">
        <f aca="true">RAND()</f>
        <v>0.130887169473505</v>
      </c>
      <c r="U1062" s="40" t="n">
        <f aca="true">RAND()</f>
        <v>0.0501795859594778</v>
      </c>
    </row>
    <row r="1063" customFormat="false" ht="15" hidden="false" customHeight="false" outlineLevel="0" collapsed="false">
      <c r="A1063" s="36" t="n">
        <v>983</v>
      </c>
      <c r="B1063" s="37" t="n">
        <f aca="false">1+IF($G$6=$E$6,$F$6,IF(P1063&lt;($F$6-$E$6)/($G$6-$E$6),$E$6+SQRT(P1063*($G$6-$E$6)*($F$6-$E$6)),$G$6-SQRT((1-P1063)*($G$6-$E$6)*($G$6-$F$6))))</f>
        <v>0.99770507517018</v>
      </c>
      <c r="C1063" s="37" t="n">
        <f aca="false">1+IF($G$7=$E$7,$F$7,IF(Q1063&lt;($F$7-$E$7)/($G$7-$E$7),$E$7+SQRT(Q1063*($G$7-$E$7)*($F$7-$E$7)),$G$7-SQRT((1-Q1063)*($G$7-$E$7)*($G$7-$F$7))))</f>
        <v>1.01613610759426</v>
      </c>
      <c r="D1063" s="37" t="n">
        <f aca="false">1+IF($G$8=$E$8,$F$8,IF(R1063&lt;($F$8-$E$8)/($G$8-$E$8),$E$8+SQRT(R1063*($G$8-$E$8)*($F$8-$E$8)),$G$8-SQRT((1-R1063)*($G$8-$E$8)*($G$8-$F$8))))</f>
        <v>1.00267310469705</v>
      </c>
      <c r="E1063" s="37" t="n">
        <f aca="false">1+IF($G$9=$E$9,$F$9,IF(S1063&lt;($F$9-$E$9)/($G$9-$E$9),$E$9+SQRT(S1063*($G$9-$E$9)*($F$9-$E$9)),$G$9-SQRT((1-S1063)*($G$9-$E$9)*($G$9-$F$9))))</f>
        <v>1.07058154861244</v>
      </c>
      <c r="F1063" s="37" t="n">
        <f aca="false">1+IF($G$10=$E$10,$F$10,IF(T1063&lt;($F$10-$E$10)/($G$10-$E$10),$E$10+SQRT(T1063*($G$10-$E$10)*($F$10-$E$10)),$G$10-SQRT((1-T1063)*($G$10-$E$10)*($G$10-$F$10))))</f>
        <v>1.04165590261405</v>
      </c>
      <c r="G1063" s="38" t="n">
        <f aca="false">IF($G$11=$E$11,$F$11,IF(U1063&lt;($F$11-$E$11)/($G$11-$E$11),$E$11+SQRT(U1063*($G$11-$E$11)*($F$11-$E$11)),$G$11-SQRT((1-U1063)*($G$11-$E$11)*($G$11-$F$11))))</f>
        <v>0.123113535870135</v>
      </c>
      <c r="H1063" s="39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-2083311805.2281</v>
      </c>
      <c r="I1063" s="39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-150192.48574388</v>
      </c>
      <c r="J1063" s="39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308657508.722092</v>
      </c>
      <c r="K1063" s="39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669548005.06063</v>
      </c>
      <c r="L1063" s="39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807520976.942899</v>
      </c>
      <c r="M1063" s="39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1000224870.08102</v>
      </c>
      <c r="N1063" s="39" t="n">
        <f aca="false">IF(COUNT('Business Case'!B11:G11)=0,"",H1063+NPV(G1063,I1063:M1063))</f>
        <v>-298871524.279627</v>
      </c>
      <c r="P1063" s="40" t="n">
        <f aca="true">RAND()</f>
        <v>0.636418780934037</v>
      </c>
      <c r="Q1063" s="40" t="n">
        <f aca="true">RAND()</f>
        <v>0.734525308296047</v>
      </c>
      <c r="R1063" s="40" t="n">
        <f aca="true">RAND()</f>
        <v>0.368498363379284</v>
      </c>
      <c r="S1063" s="40" t="n">
        <f aca="true">RAND()</f>
        <v>0.831805588778701</v>
      </c>
      <c r="T1063" s="40" t="n">
        <f aca="true">RAND()</f>
        <v>0.421236494459104</v>
      </c>
      <c r="U1063" s="40" t="n">
        <f aca="true">RAND()</f>
        <v>0.968384407858719</v>
      </c>
    </row>
    <row r="1064" customFormat="false" ht="15" hidden="false" customHeight="false" outlineLevel="0" collapsed="false">
      <c r="A1064" s="36" t="n">
        <v>984</v>
      </c>
      <c r="B1064" s="37" t="n">
        <f aca="false">1+IF($G$6=$E$6,$F$6,IF(P1064&lt;($F$6-$E$6)/($G$6-$E$6),$E$6+SQRT(P1064*($G$6-$E$6)*($F$6-$E$6)),$G$6-SQRT((1-P1064)*($G$6-$E$6)*($G$6-$F$6))))</f>
        <v>1.02035052346576</v>
      </c>
      <c r="C1064" s="37" t="n">
        <f aca="false">1+IF($G$7=$E$7,$F$7,IF(Q1064&lt;($F$7-$E$7)/($G$7-$E$7),$E$7+SQRT(Q1064*($G$7-$E$7)*($F$7-$E$7)),$G$7-SQRT((1-Q1064)*($G$7-$E$7)*($G$7-$F$7))))</f>
        <v>0.761562893522723</v>
      </c>
      <c r="D1064" s="37" t="n">
        <f aca="false">1+IF($G$8=$E$8,$F$8,IF(R1064&lt;($F$8-$E$8)/($G$8-$E$8),$E$8+SQRT(R1064*($G$8-$E$8)*($F$8-$E$8)),$G$8-SQRT((1-R1064)*($G$8-$E$8)*($G$8-$F$8))))</f>
        <v>1.00810384571514</v>
      </c>
      <c r="E1064" s="37" t="n">
        <f aca="false">1+IF($G$9=$E$9,$F$9,IF(S1064&lt;($F$9-$E$9)/($G$9-$E$9),$E$9+SQRT(S1064*($G$9-$E$9)*($F$9-$E$9)),$G$9-SQRT((1-S1064)*($G$9-$E$9)*($G$9-$F$9))))</f>
        <v>0.938057020977269</v>
      </c>
      <c r="F1064" s="37" t="n">
        <f aca="false">1+IF($G$10=$E$10,$F$10,IF(T1064&lt;($F$10-$E$10)/($G$10-$E$10),$E$10+SQRT(T1064*($G$10-$E$10)*($F$10-$E$10)),$G$10-SQRT((1-T1064)*($G$10-$E$10)*($G$10-$F$10))))</f>
        <v>1.00230509160888</v>
      </c>
      <c r="G1064" s="38" t="n">
        <f aca="false">IF($G$11=$E$11,$F$11,IF(U1064&lt;($F$11-$E$11)/($G$11-$E$11),$E$11+SQRT(U1064*($G$11-$E$11)*($F$11-$E$11)),$G$11-SQRT((1-U1064)*($G$11-$E$11)*($G$11-$F$11))))</f>
        <v>0.0935326941388495</v>
      </c>
      <c r="H1064" s="39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-2004610183.21776</v>
      </c>
      <c r="I1064" s="39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-30454713.8049814</v>
      </c>
      <c r="J1064" s="39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212995637.20538</v>
      </c>
      <c r="K1064" s="39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506561242.796185</v>
      </c>
      <c r="L1064" s="39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614566591.313963</v>
      </c>
      <c r="M1064" s="39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762270364.642749</v>
      </c>
      <c r="N1064" s="39" t="n">
        <f aca="false">IF(COUNT('Business Case'!B11:G11)=0,"",H1064+NPV(G1064,I1064:M1064))</f>
        <v>-549714518.380068</v>
      </c>
      <c r="P1064" s="40" t="n">
        <f aca="true">RAND()</f>
        <v>0.882787805499388</v>
      </c>
      <c r="Q1064" s="40" t="n">
        <f aca="true">RAND()</f>
        <v>0.0280739989547415</v>
      </c>
      <c r="R1064" s="40" t="n">
        <f aca="true">RAND()</f>
        <v>0.437006455176831</v>
      </c>
      <c r="S1064" s="40" t="n">
        <f aca="true">RAND()</f>
        <v>0.0579334738265704</v>
      </c>
      <c r="T1064" s="40" t="n">
        <f aca="true">RAND()</f>
        <v>0.181963098094853</v>
      </c>
      <c r="U1064" s="40" t="n">
        <f aca="true">RAND()</f>
        <v>0.183133810655652</v>
      </c>
    </row>
    <row r="1065" customFormat="false" ht="15" hidden="false" customHeight="false" outlineLevel="0" collapsed="false">
      <c r="A1065" s="36" t="n">
        <v>985</v>
      </c>
      <c r="B1065" s="37" t="n">
        <f aca="false">1+IF($G$6=$E$6,$F$6,IF(P1065&lt;($F$6-$E$6)/($G$6-$E$6),$E$6+SQRT(P1065*($G$6-$E$6)*($F$6-$E$6)),$G$6-SQRT((1-P1065)*($G$6-$E$6)*($G$6-$F$6))))</f>
        <v>1.02561949639485</v>
      </c>
      <c r="C1065" s="37" t="n">
        <f aca="false">1+IF($G$7=$E$7,$F$7,IF(Q1065&lt;($F$7-$E$7)/($G$7-$E$7),$E$7+SQRT(Q1065*($G$7-$E$7)*($F$7-$E$7)),$G$7-SQRT((1-Q1065)*($G$7-$E$7)*($G$7-$F$7))))</f>
        <v>0.949316540768521</v>
      </c>
      <c r="D1065" s="37" t="n">
        <f aca="false">1+IF($G$8=$E$8,$F$8,IF(R1065&lt;($F$8-$E$8)/($G$8-$E$8),$E$8+SQRT(R1065*($G$8-$E$8)*($F$8-$E$8)),$G$8-SQRT((1-R1065)*($G$8-$E$8)*($G$8-$F$8))))</f>
        <v>0.983377884401208</v>
      </c>
      <c r="E1065" s="37" t="n">
        <f aca="false">1+IF($G$9=$E$9,$F$9,IF(S1065&lt;($F$9-$E$9)/($G$9-$E$9),$E$9+SQRT(S1065*($G$9-$E$9)*($F$9-$E$9)),$G$9-SQRT((1-S1065)*($G$9-$E$9)*($G$9-$F$9))))</f>
        <v>0.96064263883152</v>
      </c>
      <c r="F1065" s="37" t="n">
        <f aca="false">1+IF($G$10=$E$10,$F$10,IF(T1065&lt;($F$10-$E$10)/($G$10-$E$10),$E$10+SQRT(T1065*($G$10-$E$10)*($F$10-$E$10)),$G$10-SQRT((1-T1065)*($G$10-$E$10)*($G$10-$F$10))))</f>
        <v>1.10854431968507</v>
      </c>
      <c r="G1065" s="38" t="n">
        <f aca="false">IF($G$11=$E$11,$F$11,IF(U1065&lt;($F$11-$E$11)/($G$11-$E$11),$E$11+SQRT(U1065*($G$11-$E$11)*($F$11-$E$11)),$G$11-SQRT((1-U1065)*($G$11-$E$11)*($G$11-$F$11))))</f>
        <v>0.111020887564224</v>
      </c>
      <c r="H1065" s="39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-2217088639.37013</v>
      </c>
      <c r="I1065" s="39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21651865.949866</v>
      </c>
      <c r="J1065" s="39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341234917.829727</v>
      </c>
      <c r="K1065" s="39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716245185.693841</v>
      </c>
      <c r="L1065" s="39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856421783.466892</v>
      </c>
      <c r="M1065" s="39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1041490809.43893</v>
      </c>
      <c r="N1065" s="39" t="n">
        <f aca="false">IF(COUNT('Business Case'!B11:G11)=0,"",H1065+NPV(G1065,I1065:M1065))</f>
        <v>-221564708.783369</v>
      </c>
      <c r="P1065" s="40" t="n">
        <f aca="true">RAND()</f>
        <v>0.920745472527889</v>
      </c>
      <c r="Q1065" s="40" t="n">
        <f aca="true">RAND()</f>
        <v>0.460435092598381</v>
      </c>
      <c r="R1065" s="40" t="n">
        <f aca="true">RAND()</f>
        <v>0.148544422280056</v>
      </c>
      <c r="S1065" s="40" t="n">
        <f aca="true">RAND()</f>
        <v>0.147101185778006</v>
      </c>
      <c r="T1065" s="40" t="n">
        <f aca="true">RAND()</f>
        <v>0.733203873421854</v>
      </c>
      <c r="U1065" s="40" t="n">
        <f aca="true">RAND()</f>
        <v>0.759862194100118</v>
      </c>
    </row>
    <row r="1066" customFormat="false" ht="15" hidden="false" customHeight="false" outlineLevel="0" collapsed="false">
      <c r="A1066" s="36" t="n">
        <v>986</v>
      </c>
      <c r="B1066" s="37" t="n">
        <f aca="false">1+IF($G$6=$E$6,$F$6,IF(P1066&lt;($F$6-$E$6)/($G$6-$E$6),$E$6+SQRT(P1066*($G$6-$E$6)*($F$6-$E$6)),$G$6-SQRT((1-P1066)*($G$6-$E$6)*($G$6-$F$6))))</f>
        <v>1.01117531400165</v>
      </c>
      <c r="C1066" s="37" t="n">
        <f aca="false">1+IF($G$7=$E$7,$F$7,IF(Q1066&lt;($F$7-$E$7)/($G$7-$E$7),$E$7+SQRT(Q1066*($G$7-$E$7)*($F$7-$E$7)),$G$7-SQRT((1-Q1066)*($G$7-$E$7)*($G$7-$F$7))))</f>
        <v>1.02231574299493</v>
      </c>
      <c r="D1066" s="37" t="n">
        <f aca="false">1+IF($G$8=$E$8,$F$8,IF(R1066&lt;($F$8-$E$8)/($G$8-$E$8),$E$8+SQRT(R1066*($G$8-$E$8)*($F$8-$E$8)),$G$8-SQRT((1-R1066)*($G$8-$E$8)*($G$8-$F$8))))</f>
        <v>1.02653277319702</v>
      </c>
      <c r="E1066" s="37" t="n">
        <f aca="false">1+IF($G$9=$E$9,$F$9,IF(S1066&lt;($F$9-$E$9)/($G$9-$E$9),$E$9+SQRT(S1066*($G$9-$E$9)*($F$9-$E$9)),$G$9-SQRT((1-S1066)*($G$9-$E$9)*($G$9-$F$9))))</f>
        <v>1.02215974449837</v>
      </c>
      <c r="F1066" s="37" t="n">
        <f aca="false">1+IF($G$10=$E$10,$F$10,IF(T1066&lt;($F$10-$E$10)/($G$10-$E$10),$E$10+SQRT(T1066*($G$10-$E$10)*($F$10-$E$10)),$G$10-SQRT((1-T1066)*($G$10-$E$10)*($G$10-$F$10))))</f>
        <v>1.20550891979949</v>
      </c>
      <c r="G1066" s="38" t="n">
        <f aca="false">IF($G$11=$E$11,$F$11,IF(U1066&lt;($F$11-$E$11)/($G$11-$E$11),$E$11+SQRT(U1066*($G$11-$E$11)*($F$11-$E$11)),$G$11-SQRT((1-U1066)*($G$11-$E$11)*($G$11-$F$11))))</f>
        <v>0.0873918665385948</v>
      </c>
      <c r="H1066" s="39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-2411017839.59897</v>
      </c>
      <c r="I1066" s="39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-10012900.0173118</v>
      </c>
      <c r="J1066" s="39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299465312.148654</v>
      </c>
      <c r="K1066" s="39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669218970.304593</v>
      </c>
      <c r="L1066" s="39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808104444.050355</v>
      </c>
      <c r="M1066" s="39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1004597827.34778</v>
      </c>
      <c r="N1066" s="39" t="n">
        <f aca="false">IF(COUNT('Business Case'!B11:G11)=0,"",H1066+NPV(G1066,I1066:M1066))</f>
        <v>-407693040.467929</v>
      </c>
      <c r="P1066" s="40" t="n">
        <f aca="true">RAND()</f>
        <v>0.799019167617292</v>
      </c>
      <c r="Q1066" s="40" t="n">
        <f aca="true">RAND()</f>
        <v>0.758470081674998</v>
      </c>
      <c r="R1066" s="40" t="n">
        <f aca="true">RAND()</f>
        <v>0.640171105725332</v>
      </c>
      <c r="S1066" s="40" t="n">
        <f aca="true">RAND()</f>
        <v>0.564183175287404</v>
      </c>
      <c r="T1066" s="40" t="n">
        <f aca="true">RAND()</f>
        <v>0.973607250434551</v>
      </c>
      <c r="U1066" s="40" t="n">
        <f aca="true">RAND()</f>
        <v>0.0546396909243968</v>
      </c>
    </row>
    <row r="1067" customFormat="false" ht="15" hidden="false" customHeight="false" outlineLevel="0" collapsed="false">
      <c r="A1067" s="36" t="n">
        <v>987</v>
      </c>
      <c r="B1067" s="37" t="n">
        <f aca="false">1+IF($G$6=$E$6,$F$6,IF(P1067&lt;($F$6-$E$6)/($G$6-$E$6),$E$6+SQRT(P1067*($G$6-$E$6)*($F$6-$E$6)),$G$6-SQRT((1-P1067)*($G$6-$E$6)*($G$6-$F$6))))</f>
        <v>0.97987248521172</v>
      </c>
      <c r="C1067" s="37" t="n">
        <f aca="false">1+IF($G$7=$E$7,$F$7,IF(Q1067&lt;($F$7-$E$7)/($G$7-$E$7),$E$7+SQRT(Q1067*($G$7-$E$7)*($F$7-$E$7)),$G$7-SQRT((1-Q1067)*($G$7-$E$7)*($G$7-$F$7))))</f>
        <v>0.868594604512759</v>
      </c>
      <c r="D1067" s="37" t="n">
        <f aca="false">1+IF($G$8=$E$8,$F$8,IF(R1067&lt;($F$8-$E$8)/($G$8-$E$8),$E$8+SQRT(R1067*($G$8-$E$8)*($F$8-$E$8)),$G$8-SQRT((1-R1067)*($G$8-$E$8)*($G$8-$F$8))))</f>
        <v>0.976322845000158</v>
      </c>
      <c r="E1067" s="37" t="n">
        <f aca="false">1+IF($G$9=$E$9,$F$9,IF(S1067&lt;($F$9-$E$9)/($G$9-$E$9),$E$9+SQRT(S1067*($G$9-$E$9)*($F$9-$E$9)),$G$9-SQRT((1-S1067)*($G$9-$E$9)*($G$9-$F$9))))</f>
        <v>1.00460596107702</v>
      </c>
      <c r="F1067" s="37" t="n">
        <f aca="false">1+IF($G$10=$E$10,$F$10,IF(T1067&lt;($F$10-$E$10)/($G$10-$E$10),$E$10+SQRT(T1067*($G$10-$E$10)*($F$10-$E$10)),$G$10-SQRT((1-T1067)*($G$10-$E$10)*($G$10-$F$10))))</f>
        <v>0.960251302429958</v>
      </c>
      <c r="G1067" s="38" t="n">
        <f aca="false">IF($G$11=$E$11,$F$11,IF(U1067&lt;($F$11-$E$11)/($G$11-$E$11),$E$11+SQRT(U1067*($G$11-$E$11)*($F$11-$E$11)),$G$11-SQRT((1-U1067)*($G$11-$E$11)*($G$11-$F$11))))</f>
        <v>0.106438362955713</v>
      </c>
      <c r="H1067" s="39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-1920502604.85992</v>
      </c>
      <c r="I1067" s="39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-20002651.8763707</v>
      </c>
      <c r="J1067" s="39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242996437.838605</v>
      </c>
      <c r="K1067" s="39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554008092.67508</v>
      </c>
      <c r="L1067" s="39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671088885.035538</v>
      </c>
      <c r="M1067" s="39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832868245.207267</v>
      </c>
      <c r="N1067" s="39" t="n">
        <f aca="false">IF(COUNT('Business Case'!B11:G11)=0,"",H1067+NPV(G1067,I1067:M1067))</f>
        <v>-381017373.790289</v>
      </c>
      <c r="P1067" s="40" t="n">
        <f aca="true">RAND()</f>
        <v>0.425307592926424</v>
      </c>
      <c r="Q1067" s="40" t="n">
        <f aca="true">RAND()</f>
        <v>0.210549190154176</v>
      </c>
      <c r="R1067" s="40" t="n">
        <f aca="true">RAND()</f>
        <v>0.0923856225203141</v>
      </c>
      <c r="S1067" s="40" t="n">
        <f aca="true">RAND()</f>
        <v>0.436281958551023</v>
      </c>
      <c r="T1067" s="40" t="n">
        <f aca="true">RAND()</f>
        <v>0.007005946767364</v>
      </c>
      <c r="U1067" s="40" t="n">
        <f aca="true">RAND()</f>
        <v>0.629899506528848</v>
      </c>
    </row>
    <row r="1068" customFormat="false" ht="15" hidden="false" customHeight="false" outlineLevel="0" collapsed="false">
      <c r="A1068" s="36" t="n">
        <v>988</v>
      </c>
      <c r="B1068" s="37" t="n">
        <f aca="false">1+IF($G$6=$E$6,$F$6,IF(P1068&lt;($F$6-$E$6)/($G$6-$E$6),$E$6+SQRT(P1068*($G$6-$E$6)*($F$6-$E$6)),$G$6-SQRT((1-P1068)*($G$6-$E$6)*($G$6-$F$6))))</f>
        <v>0.941366761418592</v>
      </c>
      <c r="C1068" s="37" t="n">
        <f aca="false">1+IF($G$7=$E$7,$F$7,IF(Q1068&lt;($F$7-$E$7)/($G$7-$E$7),$E$7+SQRT(Q1068*($G$7-$E$7)*($F$7-$E$7)),$G$7-SQRT((1-Q1068)*($G$7-$E$7)*($G$7-$F$7))))</f>
        <v>0.957901967899358</v>
      </c>
      <c r="D1068" s="37" t="n">
        <f aca="false">1+IF($G$8=$E$8,$F$8,IF(R1068&lt;($F$8-$E$8)/($G$8-$E$8),$E$8+SQRT(R1068*($G$8-$E$8)*($F$8-$E$8)),$G$8-SQRT((1-R1068)*($G$8-$E$8)*($G$8-$F$8))))</f>
        <v>0.972625537756628</v>
      </c>
      <c r="E1068" s="37" t="n">
        <f aca="false">1+IF($G$9=$E$9,$F$9,IF(S1068&lt;($F$9-$E$9)/($G$9-$E$9),$E$9+SQRT(S1068*($G$9-$E$9)*($F$9-$E$9)),$G$9-SQRT((1-S1068)*($G$9-$E$9)*($G$9-$F$9))))</f>
        <v>1.00180053475196</v>
      </c>
      <c r="F1068" s="37" t="n">
        <f aca="false">1+IF($G$10=$E$10,$F$10,IF(T1068&lt;($F$10-$E$10)/($G$10-$E$10),$E$10+SQRT(T1068*($G$10-$E$10)*($F$10-$E$10)),$G$10-SQRT((1-T1068)*($G$10-$E$10)*($G$10-$F$10))))</f>
        <v>1.00029311117933</v>
      </c>
      <c r="G1068" s="38" t="n">
        <f aca="false">IF($G$11=$E$11,$F$11,IF(U1068&lt;($F$11-$E$11)/($G$11-$E$11),$E$11+SQRT(U1068*($G$11-$E$11)*($F$11-$E$11)),$G$11-SQRT((1-U1068)*($G$11-$E$11)*($G$11-$F$11))))</f>
        <v>0.100780111367264</v>
      </c>
      <c r="H1068" s="39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-2000586222.35865</v>
      </c>
      <c r="I1068" s="39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-27589391.884046</v>
      </c>
      <c r="J1068" s="39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234052613.270296</v>
      </c>
      <c r="K1068" s="39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545709273.983605</v>
      </c>
      <c r="L1068" s="39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664087308.954204</v>
      </c>
      <c r="M1068" s="39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835489491.84287</v>
      </c>
      <c r="N1068" s="39" t="n">
        <f aca="false">IF(COUNT('Business Case'!B11:G11)=0,"",H1068+NPV(G1068,I1068:M1068))</f>
        <v>-454129744.192797</v>
      </c>
      <c r="P1068" s="40" t="n">
        <f aca="true">RAND()</f>
        <v>0.114080596684182</v>
      </c>
      <c r="Q1068" s="40" t="n">
        <f aca="true">RAND()</f>
        <v>0.492692037380456</v>
      </c>
      <c r="R1068" s="40" t="n">
        <f aca="true">RAND()</f>
        <v>0.0682553278368815</v>
      </c>
      <c r="S1068" s="40" t="n">
        <f aca="true">RAND()</f>
        <v>0.414317826671861</v>
      </c>
      <c r="T1068" s="40" t="n">
        <f aca="true">RAND()</f>
        <v>0.168619595673325</v>
      </c>
      <c r="U1068" s="40" t="n">
        <f aca="true">RAND()</f>
        <v>0.430798738860341</v>
      </c>
    </row>
    <row r="1069" customFormat="false" ht="15" hidden="false" customHeight="false" outlineLevel="0" collapsed="false">
      <c r="A1069" s="36" t="n">
        <v>989</v>
      </c>
      <c r="B1069" s="37" t="n">
        <f aca="false">1+IF($G$6=$E$6,$F$6,IF(P1069&lt;($F$6-$E$6)/($G$6-$E$6),$E$6+SQRT(P1069*($G$6-$E$6)*($F$6-$E$6)),$G$6-SQRT((1-P1069)*($G$6-$E$6)*($G$6-$F$6))))</f>
        <v>1.02889756723091</v>
      </c>
      <c r="C1069" s="37" t="n">
        <f aca="false">1+IF($G$7=$E$7,$F$7,IF(Q1069&lt;($F$7-$E$7)/($G$7-$E$7),$E$7+SQRT(Q1069*($G$7-$E$7)*($F$7-$E$7)),$G$7-SQRT((1-Q1069)*($G$7-$E$7)*($G$7-$F$7))))</f>
        <v>0.866326506904872</v>
      </c>
      <c r="D1069" s="37" t="n">
        <f aca="false">1+IF($G$8=$E$8,$F$8,IF(R1069&lt;($F$8-$E$8)/($G$8-$E$8),$E$8+SQRT(R1069*($G$8-$E$8)*($F$8-$E$8)),$G$8-SQRT((1-R1069)*($G$8-$E$8)*($G$8-$F$8))))</f>
        <v>1.00785430900052</v>
      </c>
      <c r="E1069" s="37" t="n">
        <f aca="false">1+IF($G$9=$E$9,$F$9,IF(S1069&lt;($F$9-$E$9)/($G$9-$E$9),$E$9+SQRT(S1069*($G$9-$E$9)*($F$9-$E$9)),$G$9-SQRT((1-S1069)*($G$9-$E$9)*($G$9-$F$9))))</f>
        <v>1.07739693840934</v>
      </c>
      <c r="F1069" s="37" t="n">
        <f aca="false">1+IF($G$10=$E$10,$F$10,IF(T1069&lt;($F$10-$E$10)/($G$10-$E$10),$E$10+SQRT(T1069*($G$10-$E$10)*($F$10-$E$10)),$G$10-SQRT((1-T1069)*($G$10-$E$10)*($G$10-$F$10))))</f>
        <v>1.12351371328072</v>
      </c>
      <c r="G1069" s="38" t="n">
        <f aca="false">IF($G$11=$E$11,$F$11,IF(U1069&lt;($F$11-$E$11)/($G$11-$E$11),$E$11+SQRT(U1069*($G$11-$E$11)*($F$11-$E$11)),$G$11-SQRT((1-U1069)*($G$11-$E$11)*($G$11-$F$11))))</f>
        <v>0.0933577862863696</v>
      </c>
      <c r="H1069" s="39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-2247027426.56143</v>
      </c>
      <c r="I1069" s="39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-28649524.4815317</v>
      </c>
      <c r="J1069" s="39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254466333.449023</v>
      </c>
      <c r="K1069" s="39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593757877.043612</v>
      </c>
      <c r="L1069" s="39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718935273.981935</v>
      </c>
      <c r="M1069" s="39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888365217.603359</v>
      </c>
      <c r="N1069" s="39" t="n">
        <f aca="false">IF(COUNT('Business Case'!B11:G11)=0,"",H1069+NPV(G1069,I1069:M1069))</f>
        <v>-534437166.928612</v>
      </c>
      <c r="P1069" s="40" t="n">
        <f aca="true">RAND()</f>
        <v>0.940624977496782</v>
      </c>
      <c r="Q1069" s="40" t="n">
        <f aca="true">RAND()</f>
        <v>0.204922273327233</v>
      </c>
      <c r="R1069" s="40" t="n">
        <f aca="true">RAND()</f>
        <v>0.43394477534859</v>
      </c>
      <c r="S1069" s="40" t="n">
        <f aca="true">RAND()</f>
        <v>0.859434545270995</v>
      </c>
      <c r="T1069" s="40" t="n">
        <f aca="true">RAND()</f>
        <v>0.786682923626231</v>
      </c>
      <c r="U1069" s="40" t="n">
        <f aca="true">RAND()</f>
        <v>0.178430454472323</v>
      </c>
    </row>
    <row r="1070" customFormat="false" ht="15" hidden="false" customHeight="false" outlineLevel="0" collapsed="false">
      <c r="A1070" s="36" t="n">
        <v>990</v>
      </c>
      <c r="B1070" s="37" t="n">
        <f aca="false">1+IF($G$6=$E$6,$F$6,IF(P1070&lt;($F$6-$E$6)/($G$6-$E$6),$E$6+SQRT(P1070*($G$6-$E$6)*($F$6-$E$6)),$G$6-SQRT((1-P1070)*($G$6-$E$6)*($G$6-$F$6))))</f>
        <v>0.955583621320919</v>
      </c>
      <c r="C1070" s="37" t="n">
        <f aca="false">1+IF($G$7=$E$7,$F$7,IF(Q1070&lt;($F$7-$E$7)/($G$7-$E$7),$E$7+SQRT(Q1070*($G$7-$E$7)*($F$7-$E$7)),$G$7-SQRT((1-Q1070)*($G$7-$E$7)*($G$7-$F$7))))</f>
        <v>1.08522066904155</v>
      </c>
      <c r="D1070" s="37" t="n">
        <f aca="false">1+IF($G$8=$E$8,$F$8,IF(R1070&lt;($F$8-$E$8)/($G$8-$E$8),$E$8+SQRT(R1070*($G$8-$E$8)*($F$8-$E$8)),$G$8-SQRT((1-R1070)*($G$8-$E$8)*($G$8-$F$8))))</f>
        <v>1.05395562782799</v>
      </c>
      <c r="E1070" s="37" t="n">
        <f aca="false">1+IF($G$9=$E$9,$F$9,IF(S1070&lt;($F$9-$E$9)/($G$9-$E$9),$E$9+SQRT(S1070*($G$9-$E$9)*($F$9-$E$9)),$G$9-SQRT((1-S1070)*($G$9-$E$9)*($G$9-$F$9))))</f>
        <v>0.958254495318138</v>
      </c>
      <c r="F1070" s="37" t="n">
        <f aca="false">1+IF($G$10=$E$10,$F$10,IF(T1070&lt;($F$10-$E$10)/($G$10-$E$10),$E$10+SQRT(T1070*($G$10-$E$10)*($F$10-$E$10)),$G$10-SQRT((1-T1070)*($G$10-$E$10)*($G$10-$F$10))))</f>
        <v>1.02028657409839</v>
      </c>
      <c r="G1070" s="38" t="n">
        <f aca="false">IF($G$11=$E$11,$F$11,IF(U1070&lt;($F$11-$E$11)/($G$11-$E$11),$E$11+SQRT(U1070*($G$11-$E$11)*($F$11-$E$11)),$G$11-SQRT((1-U1070)*($G$11-$E$11)*($G$11-$F$11))))</f>
        <v>0.0847454527786654</v>
      </c>
      <c r="H1070" s="39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-2040573148.19679</v>
      </c>
      <c r="I1070" s="39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-28179217.9359292</v>
      </c>
      <c r="J1070" s="39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235693080.753185</v>
      </c>
      <c r="K1070" s="39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550579708.14722</v>
      </c>
      <c r="L1070" s="39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674376521.030902</v>
      </c>
      <c r="M1070" s="39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871493110.961107</v>
      </c>
      <c r="N1070" s="39" t="n">
        <f aca="false">IF(COUNT('Business Case'!B11:G11)=0,"",H1070+NPV(G1070,I1070:M1070))</f>
        <v>-367556804.374603</v>
      </c>
      <c r="P1070" s="40" t="n">
        <f aca="true">RAND()</f>
        <v>0.205969263943156</v>
      </c>
      <c r="Q1070" s="40" t="n">
        <f aca="true">RAND()</f>
        <v>0.937831678230749</v>
      </c>
      <c r="R1070" s="40" t="n">
        <f aca="true">RAND()</f>
        <v>0.858661052752361</v>
      </c>
      <c r="S1070" s="40" t="n">
        <f aca="true">RAND()</f>
        <v>0.135743448990839</v>
      </c>
      <c r="T1070" s="40" t="n">
        <f aca="true">RAND()</f>
        <v>0.296423226140634</v>
      </c>
      <c r="U1070" s="40" t="n">
        <f aca="true">RAND()</f>
        <v>0.0225193220745436</v>
      </c>
    </row>
    <row r="1071" customFormat="false" ht="15" hidden="false" customHeight="false" outlineLevel="0" collapsed="false">
      <c r="A1071" s="36" t="n">
        <v>991</v>
      </c>
      <c r="B1071" s="37" t="n">
        <f aca="false">1+IF($G$6=$E$6,$F$6,IF(P1071&lt;($F$6-$E$6)/($G$6-$E$6),$E$6+SQRT(P1071*($G$6-$E$6)*($F$6-$E$6)),$G$6-SQRT((1-P1071)*($G$6-$E$6)*($G$6-$F$6))))</f>
        <v>0.956174138067277</v>
      </c>
      <c r="C1071" s="37" t="n">
        <f aca="false">1+IF($G$7=$E$7,$F$7,IF(Q1071&lt;($F$7-$E$7)/($G$7-$E$7),$E$7+SQRT(Q1071*($G$7-$E$7)*($F$7-$E$7)),$G$7-SQRT((1-Q1071)*($G$7-$E$7)*($G$7-$F$7))))</f>
        <v>0.882016856001701</v>
      </c>
      <c r="D1071" s="37" t="n">
        <f aca="false">1+IF($G$8=$E$8,$F$8,IF(R1071&lt;($F$8-$E$8)/($G$8-$E$8),$E$8+SQRT(R1071*($G$8-$E$8)*($F$8-$E$8)),$G$8-SQRT((1-R1071)*($G$8-$E$8)*($G$8-$F$8))))</f>
        <v>1.05692696560664</v>
      </c>
      <c r="E1071" s="37" t="n">
        <f aca="false">1+IF($G$9=$E$9,$F$9,IF(S1071&lt;($F$9-$E$9)/($G$9-$E$9),$E$9+SQRT(S1071*($G$9-$E$9)*($F$9-$E$9)),$G$9-SQRT((1-S1071)*($G$9-$E$9)*($G$9-$F$9))))</f>
        <v>1.00817497547179</v>
      </c>
      <c r="F1071" s="37" t="n">
        <f aca="false">1+IF($G$10=$E$10,$F$10,IF(T1071&lt;($F$10-$E$10)/($G$10-$E$10),$E$10+SQRT(T1071*($G$10-$E$10)*($F$10-$E$10)),$G$10-SQRT((1-T1071)*($G$10-$E$10)*($G$10-$F$10))))</f>
        <v>1.09573687853788</v>
      </c>
      <c r="G1071" s="38" t="n">
        <f aca="false">IF($G$11=$E$11,$F$11,IF(U1071&lt;($F$11-$E$11)/($G$11-$E$11),$E$11+SQRT(U1071*($G$11-$E$11)*($F$11-$E$11)),$G$11-SQRT((1-U1071)*($G$11-$E$11)*($G$11-$F$11))))</f>
        <v>0.107754095277576</v>
      </c>
      <c r="H1071" s="39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-2191473757.07575</v>
      </c>
      <c r="I1071" s="39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-83107930.3565308</v>
      </c>
      <c r="J1071" s="39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130440179.546195</v>
      </c>
      <c r="K1071" s="39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398775133.375815</v>
      </c>
      <c r="L1071" s="39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499104417.272311</v>
      </c>
      <c r="M1071" s="39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659410610.54804</v>
      </c>
      <c r="N1071" s="39" t="n">
        <f aca="false">IF(COUNT('Business Case'!B11:G11)=0,"",H1071+NPV(G1071,I1071:M1071))</f>
        <v>-1140080503.41904</v>
      </c>
      <c r="P1071" s="40" t="n">
        <f aca="true">RAND()</f>
        <v>0.210368919173435</v>
      </c>
      <c r="Q1071" s="40" t="n">
        <f aca="true">RAND()</f>
        <v>0.245408413842549</v>
      </c>
      <c r="R1071" s="40" t="n">
        <f aca="true">RAND()</f>
        <v>0.876314247209879</v>
      </c>
      <c r="S1071" s="40" t="n">
        <f aca="true">RAND()</f>
        <v>0.46361766446859</v>
      </c>
      <c r="T1071" s="40" t="n">
        <f aca="true">RAND()</f>
        <v>0.682705191423498</v>
      </c>
      <c r="U1071" s="40" t="n">
        <f aca="true">RAND()</f>
        <v>0.670079815387232</v>
      </c>
    </row>
    <row r="1072" customFormat="false" ht="15" hidden="false" customHeight="false" outlineLevel="0" collapsed="false">
      <c r="A1072" s="36" t="n">
        <v>992</v>
      </c>
      <c r="B1072" s="37" t="n">
        <f aca="false">1+IF($G$6=$E$6,$F$6,IF(P1072&lt;($F$6-$E$6)/($G$6-$E$6),$E$6+SQRT(P1072*($G$6-$E$6)*($F$6-$E$6)),$G$6-SQRT((1-P1072)*($G$6-$E$6)*($G$6-$F$6))))</f>
        <v>0.961783563250686</v>
      </c>
      <c r="C1072" s="37" t="n">
        <f aca="false">1+IF($G$7=$E$7,$F$7,IF(Q1072&lt;($F$7-$E$7)/($G$7-$E$7),$E$7+SQRT(Q1072*($G$7-$E$7)*($F$7-$E$7)),$G$7-SQRT((1-Q1072)*($G$7-$E$7)*($G$7-$F$7))))</f>
        <v>0.769915592389053</v>
      </c>
      <c r="D1072" s="37" t="n">
        <f aca="false">1+IF($G$8=$E$8,$F$8,IF(R1072&lt;($F$8-$E$8)/($G$8-$E$8),$E$8+SQRT(R1072*($G$8-$E$8)*($F$8-$E$8)),$G$8-SQRT((1-R1072)*($G$8-$E$8)*($G$8-$F$8))))</f>
        <v>0.991311342468584</v>
      </c>
      <c r="E1072" s="37" t="n">
        <f aca="false">1+IF($G$9=$E$9,$F$9,IF(S1072&lt;($F$9-$E$9)/($G$9-$E$9),$E$9+SQRT(S1072*($G$9-$E$9)*($F$9-$E$9)),$G$9-SQRT((1-S1072)*($G$9-$E$9)*($G$9-$F$9))))</f>
        <v>1.08089308703647</v>
      </c>
      <c r="F1072" s="37" t="n">
        <f aca="false">1+IF($G$10=$E$10,$F$10,IF(T1072&lt;($F$10-$E$10)/($G$10-$E$10),$E$10+SQRT(T1072*($G$10-$E$10)*($F$10-$E$10)),$G$10-SQRT((1-T1072)*($G$10-$E$10)*($G$10-$F$10))))</f>
        <v>1.04958506086149</v>
      </c>
      <c r="G1072" s="38" t="n">
        <f aca="false">IF($G$11=$E$11,$F$11,IF(U1072&lt;($F$11-$E$11)/($G$11-$E$11),$E$11+SQRT(U1072*($G$11-$E$11)*($F$11-$E$11)),$G$11-SQRT((1-U1072)*($G$11-$E$11)*($G$11-$F$11))))</f>
        <v>0.0993346092040757</v>
      </c>
      <c r="H1072" s="39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-2099170121.72298</v>
      </c>
      <c r="I1072" s="39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-81242905.1104066</v>
      </c>
      <c r="J1072" s="39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134562806.512236</v>
      </c>
      <c r="K1072" s="39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402847771.177953</v>
      </c>
      <c r="L1072" s="39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500374417.499043</v>
      </c>
      <c r="M1072" s="39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641127167.623531</v>
      </c>
      <c r="N1072" s="39" t="n">
        <f aca="false">IF(COUNT('Business Case'!B11:G11)=0,"",H1072+NPV(G1072,I1072:M1072))</f>
        <v>-1016626629.94555</v>
      </c>
      <c r="P1072" s="40" t="n">
        <f aca="true">RAND()</f>
        <v>0.254480579196768</v>
      </c>
      <c r="Q1072" s="40" t="n">
        <f aca="true">RAND()</f>
        <v>0.0362088152526829</v>
      </c>
      <c r="R1072" s="40" t="n">
        <f aca="true">RAND()</f>
        <v>0.227550268874215</v>
      </c>
      <c r="S1072" s="40" t="n">
        <f aca="true">RAND()</f>
        <v>0.87264625548402</v>
      </c>
      <c r="T1072" s="40" t="n">
        <f aca="true">RAND()</f>
        <v>0.46445136226809</v>
      </c>
      <c r="U1072" s="40" t="n">
        <f aca="true">RAND()</f>
        <v>0.373827113074327</v>
      </c>
    </row>
    <row r="1073" customFormat="false" ht="15" hidden="false" customHeight="false" outlineLevel="0" collapsed="false">
      <c r="A1073" s="36" t="n">
        <v>993</v>
      </c>
      <c r="B1073" s="37" t="n">
        <f aca="false">1+IF($G$6=$E$6,$F$6,IF(P1073&lt;($F$6-$E$6)/($G$6-$E$6),$E$6+SQRT(P1073*($G$6-$E$6)*($F$6-$E$6)),$G$6-SQRT((1-P1073)*($G$6-$E$6)*($G$6-$F$6))))</f>
        <v>0.999907715253052</v>
      </c>
      <c r="C1073" s="37" t="n">
        <f aca="false">1+IF($G$7=$E$7,$F$7,IF(Q1073&lt;($F$7-$E$7)/($G$7-$E$7),$E$7+SQRT(Q1073*($G$7-$E$7)*($F$7-$E$7)),$G$7-SQRT((1-Q1073)*($G$7-$E$7)*($G$7-$F$7))))</f>
        <v>1.02315419049465</v>
      </c>
      <c r="D1073" s="37" t="n">
        <f aca="false">1+IF($G$8=$E$8,$F$8,IF(R1073&lt;($F$8-$E$8)/($G$8-$E$8),$E$8+SQRT(R1073*($G$8-$E$8)*($F$8-$E$8)),$G$8-SQRT((1-R1073)*($G$8-$E$8)*($G$8-$F$8))))</f>
        <v>0.98837719390442</v>
      </c>
      <c r="E1073" s="37" t="n">
        <f aca="false">1+IF($G$9=$E$9,$F$9,IF(S1073&lt;($F$9-$E$9)/($G$9-$E$9),$E$9+SQRT(S1073*($G$9-$E$9)*($F$9-$E$9)),$G$9-SQRT((1-S1073)*($G$9-$E$9)*($G$9-$F$9))))</f>
        <v>1.06161936138179</v>
      </c>
      <c r="F1073" s="37" t="n">
        <f aca="false">1+IF($G$10=$E$10,$F$10,IF(T1073&lt;($F$10-$E$10)/($G$10-$E$10),$E$10+SQRT(T1073*($G$10-$E$10)*($F$10-$E$10)),$G$10-SQRT((1-T1073)*($G$10-$E$10)*($G$10-$F$10))))</f>
        <v>1.05701668451202</v>
      </c>
      <c r="G1073" s="38" t="n">
        <f aca="false">IF($G$11=$E$11,$F$11,IF(U1073&lt;($F$11-$E$11)/($G$11-$E$11),$E$11+SQRT(U1073*($G$11-$E$11)*($F$11-$E$11)),$G$11-SQRT((1-U1073)*($G$11-$E$11)*($G$11-$F$11))))</f>
        <v>0.116567542500522</v>
      </c>
      <c r="H1073" s="39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-2114033369.02405</v>
      </c>
      <c r="I1073" s="39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10574870.9283007</v>
      </c>
      <c r="J1073" s="39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330849101.919653</v>
      </c>
      <c r="K1073" s="39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703974167.136606</v>
      </c>
      <c r="L1073" s="39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846089189.749295</v>
      </c>
      <c r="M1073" s="39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1040552390.63494</v>
      </c>
      <c r="N1073" s="39" t="n">
        <f aca="false">IF(COUNT('Business Case'!B11:G11)=0,"",H1073+NPV(G1073,I1073:M1073))</f>
        <v>-189561209.433993</v>
      </c>
      <c r="P1073" s="40" t="n">
        <f aca="true">RAND()</f>
        <v>0.665436771138991</v>
      </c>
      <c r="Q1073" s="40" t="n">
        <f aca="true">RAND()</f>
        <v>0.761631712754538</v>
      </c>
      <c r="R1073" s="40" t="n">
        <f aca="true">RAND()</f>
        <v>0.196374534930323</v>
      </c>
      <c r="S1073" s="40" t="n">
        <f aca="true">RAND()</f>
        <v>0.791703005798351</v>
      </c>
      <c r="T1073" s="40" t="n">
        <f aca="true">RAND()</f>
        <v>0.503432532576913</v>
      </c>
      <c r="U1073" s="40" t="n">
        <f aca="true">RAND()</f>
        <v>0.879712723683147</v>
      </c>
    </row>
    <row r="1074" customFormat="false" ht="15" hidden="false" customHeight="false" outlineLevel="0" collapsed="false">
      <c r="A1074" s="36" t="n">
        <v>994</v>
      </c>
      <c r="B1074" s="37" t="n">
        <f aca="false">1+IF($G$6=$E$6,$F$6,IF(P1074&lt;($F$6-$E$6)/($G$6-$E$6),$E$6+SQRT(P1074*($G$6-$E$6)*($F$6-$E$6)),$G$6-SQRT((1-P1074)*($G$6-$E$6)*($G$6-$F$6))))</f>
        <v>1.02817351668747</v>
      </c>
      <c r="C1074" s="37" t="n">
        <f aca="false">1+IF($G$7=$E$7,$F$7,IF(Q1074&lt;($F$7-$E$7)/($G$7-$E$7),$E$7+SQRT(Q1074*($G$7-$E$7)*($F$7-$E$7)),$G$7-SQRT((1-Q1074)*($G$7-$E$7)*($G$7-$F$7))))</f>
        <v>1.00849432245047</v>
      </c>
      <c r="D1074" s="37" t="n">
        <f aca="false">1+IF($G$8=$E$8,$F$8,IF(R1074&lt;($F$8-$E$8)/($G$8-$E$8),$E$8+SQRT(R1074*($G$8-$E$8)*($F$8-$E$8)),$G$8-SQRT((1-R1074)*($G$8-$E$8)*($G$8-$F$8))))</f>
        <v>1.09075075576405</v>
      </c>
      <c r="E1074" s="37" t="n">
        <f aca="false">1+IF($G$9=$E$9,$F$9,IF(S1074&lt;($F$9-$E$9)/($G$9-$E$9),$E$9+SQRT(S1074*($G$9-$E$9)*($F$9-$E$9)),$G$9-SQRT((1-S1074)*($G$9-$E$9)*($G$9-$F$9))))</f>
        <v>0.975961804949359</v>
      </c>
      <c r="F1074" s="37" t="n">
        <f aca="false">1+IF($G$10=$E$10,$F$10,IF(T1074&lt;($F$10-$E$10)/($G$10-$E$10),$E$10+SQRT(T1074*($G$10-$E$10)*($F$10-$E$10)),$G$10-SQRT((1-T1074)*($G$10-$E$10)*($G$10-$F$10))))</f>
        <v>1.09635910461929</v>
      </c>
      <c r="G1074" s="38" t="n">
        <f aca="false">IF($G$11=$E$11,$F$11,IF(U1074&lt;($F$11-$E$11)/($G$11-$E$11),$E$11+SQRT(U1074*($G$11-$E$11)*($F$11-$E$11)),$G$11-SQRT((1-U1074)*($G$11-$E$11)*($G$11-$F$11))))</f>
        <v>0.0984902927070264</v>
      </c>
      <c r="H1074" s="39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-2192718209.23858</v>
      </c>
      <c r="I1074" s="39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-15989491.7473118</v>
      </c>
      <c r="J1074" s="39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270191962.498261</v>
      </c>
      <c r="K1074" s="39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611191371.974799</v>
      </c>
      <c r="L1074" s="39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742420701.301429</v>
      </c>
      <c r="M1074" s="39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939516013.147672</v>
      </c>
      <c r="N1074" s="39" t="n">
        <f aca="false">IF(COUNT('Business Case'!B11:G11)=0,"",H1074+NPV(G1074,I1074:M1074))</f>
        <v>-425005716.77596</v>
      </c>
      <c r="P1074" s="40" t="n">
        <f aca="true">RAND()</f>
        <v>0.936480616827724</v>
      </c>
      <c r="Q1074" s="40" t="n">
        <f aca="true">RAND()</f>
        <v>0.703350269944427</v>
      </c>
      <c r="R1074" s="40" t="n">
        <f aca="true">RAND()</f>
        <v>0.994296765404254</v>
      </c>
      <c r="S1074" s="40" t="n">
        <f aca="true">RAND()</f>
        <v>0.23080783244658</v>
      </c>
      <c r="T1074" s="40" t="n">
        <f aca="true">RAND()</f>
        <v>0.685259670221512</v>
      </c>
      <c r="U1074" s="40" t="n">
        <f aca="true">RAND()</f>
        <v>0.341890924391514</v>
      </c>
    </row>
    <row r="1075" customFormat="false" ht="15" hidden="false" customHeight="false" outlineLevel="0" collapsed="false">
      <c r="A1075" s="36" t="n">
        <v>995</v>
      </c>
      <c r="B1075" s="37" t="n">
        <f aca="false">1+IF($G$6=$E$6,$F$6,IF(P1075&lt;($F$6-$E$6)/($G$6-$E$6),$E$6+SQRT(P1075*($G$6-$E$6)*($F$6-$E$6)),$G$6-SQRT((1-P1075)*($G$6-$E$6)*($G$6-$F$6))))</f>
        <v>1.01304543361151</v>
      </c>
      <c r="C1075" s="37" t="n">
        <f aca="false">1+IF($G$7=$E$7,$F$7,IF(Q1075&lt;($F$7-$E$7)/($G$7-$E$7),$E$7+SQRT(Q1075*($G$7-$E$7)*($F$7-$E$7)),$G$7-SQRT((1-Q1075)*($G$7-$E$7)*($G$7-$F$7))))</f>
        <v>0.859193757596481</v>
      </c>
      <c r="D1075" s="37" t="n">
        <f aca="false">1+IF($G$8=$E$8,$F$8,IF(R1075&lt;($F$8-$E$8)/($G$8-$E$8),$E$8+SQRT(R1075*($G$8-$E$8)*($F$8-$E$8)),$G$8-SQRT((1-R1075)*($G$8-$E$8)*($G$8-$F$8))))</f>
        <v>1.07920254711848</v>
      </c>
      <c r="E1075" s="37" t="n">
        <f aca="false">1+IF($G$9=$E$9,$F$9,IF(S1075&lt;($F$9-$E$9)/($G$9-$E$9),$E$9+SQRT(S1075*($G$9-$E$9)*($F$9-$E$9)),$G$9-SQRT((1-S1075)*($G$9-$E$9)*($G$9-$F$9))))</f>
        <v>0.931841664147053</v>
      </c>
      <c r="F1075" s="37" t="n">
        <f aca="false">1+IF($G$10=$E$10,$F$10,IF(T1075&lt;($F$10-$E$10)/($G$10-$E$10),$E$10+SQRT(T1075*($G$10-$E$10)*($F$10-$E$10)),$G$10-SQRT((1-T1075)*($G$10-$E$10)*($G$10-$F$10))))</f>
        <v>1.17201866457797</v>
      </c>
      <c r="G1075" s="38" t="n">
        <f aca="false">IF($G$11=$E$11,$F$11,IF(U1075&lt;($F$11-$E$11)/($G$11-$E$11),$E$11+SQRT(U1075*($G$11-$E$11)*($F$11-$E$11)),$G$11-SQRT((1-U1075)*($G$11-$E$11)*($G$11-$F$11))))</f>
        <v>0.0998786493101833</v>
      </c>
      <c r="H1075" s="39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-2344037329.15593</v>
      </c>
      <c r="I1075" s="39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-56584039.3121066</v>
      </c>
      <c r="J1075" s="39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181663328.366732</v>
      </c>
      <c r="K1075" s="39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478511629.274469</v>
      </c>
      <c r="L1075" s="39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588008522.428373</v>
      </c>
      <c r="M1075" s="39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753454594.030311</v>
      </c>
      <c r="N1075" s="39" t="n">
        <f aca="false">IF(COUNT('Business Case'!B11:G11)=0,"",H1075+NPV(G1075,I1075:M1075))</f>
        <v>-1015793878.54831</v>
      </c>
      <c r="P1075" s="40" t="n">
        <f aca="true">RAND()</f>
        <v>0.81791466973851</v>
      </c>
      <c r="Q1075" s="40" t="n">
        <f aca="true">RAND()</f>
        <v>0.187723351538423</v>
      </c>
      <c r="R1075" s="40" t="n">
        <f aca="true">RAND()</f>
        <v>0.971164396909401</v>
      </c>
      <c r="S1075" s="40" t="n">
        <f aca="true">RAND()</f>
        <v>0.0405556630261497</v>
      </c>
      <c r="T1075" s="40" t="n">
        <f aca="true">RAND()</f>
        <v>0.918918817677282</v>
      </c>
      <c r="U1075" s="40" t="n">
        <f aca="true">RAND()</f>
        <v>0.39516069839725</v>
      </c>
    </row>
    <row r="1076" customFormat="false" ht="15" hidden="false" customHeight="false" outlineLevel="0" collapsed="false">
      <c r="A1076" s="36" t="n">
        <v>996</v>
      </c>
      <c r="B1076" s="37" t="n">
        <f aca="false">1+IF($G$6=$E$6,$F$6,IF(P1076&lt;($F$6-$E$6)/($G$6-$E$6),$E$6+SQRT(P1076*($G$6-$E$6)*($F$6-$E$6)),$G$6-SQRT((1-P1076)*($G$6-$E$6)*($G$6-$F$6))))</f>
        <v>1.0072429438389</v>
      </c>
      <c r="C1076" s="37" t="n">
        <f aca="false">1+IF($G$7=$E$7,$F$7,IF(Q1076&lt;($F$7-$E$7)/($G$7-$E$7),$E$7+SQRT(Q1076*($G$7-$E$7)*($F$7-$E$7)),$G$7-SQRT((1-Q1076)*($G$7-$E$7)*($G$7-$F$7))))</f>
        <v>1.09831293264898</v>
      </c>
      <c r="D1076" s="37" t="n">
        <f aca="false">1+IF($G$8=$E$8,$F$8,IF(R1076&lt;($F$8-$E$8)/($G$8-$E$8),$E$8+SQRT(R1076*($G$8-$E$8)*($F$8-$E$8)),$G$8-SQRT((1-R1076)*($G$8-$E$8)*($G$8-$F$8))))</f>
        <v>1.00708096759111</v>
      </c>
      <c r="E1076" s="37" t="n">
        <f aca="false">1+IF($G$9=$E$9,$F$9,IF(S1076&lt;($F$9-$E$9)/($G$9-$E$9),$E$9+SQRT(S1076*($G$9-$E$9)*($F$9-$E$9)),$G$9-SQRT((1-S1076)*($G$9-$E$9)*($G$9-$F$9))))</f>
        <v>0.950902016683718</v>
      </c>
      <c r="F1076" s="37" t="n">
        <f aca="false">1+IF($G$10=$E$10,$F$10,IF(T1076&lt;($F$10-$E$10)/($G$10-$E$10),$E$10+SQRT(T1076*($G$10-$E$10)*($F$10-$E$10)),$G$10-SQRT((1-T1076)*($G$10-$E$10)*($G$10-$F$10))))</f>
        <v>1.02235377765619</v>
      </c>
      <c r="G1076" s="38" t="n">
        <f aca="false">IF($G$11=$E$11,$F$11,IF(U1076&lt;($F$11-$E$11)/($G$11-$E$11),$E$11+SQRT(U1076*($G$11-$E$11)*($F$11-$E$11)),$G$11-SQRT((1-U1076)*($G$11-$E$11)*($G$11-$F$11))))</f>
        <v>0.10781871676985</v>
      </c>
      <c r="H1076" s="39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-2044707555.31237</v>
      </c>
      <c r="I1076" s="39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45080909.5840609</v>
      </c>
      <c r="J1076" s="39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384964394.313879</v>
      </c>
      <c r="K1076" s="39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775965567.926507</v>
      </c>
      <c r="L1076" s="39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927492683.241589</v>
      </c>
      <c r="M1076" s="39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1137772095.46987</v>
      </c>
      <c r="N1076" s="39" t="n">
        <f aca="false">IF(COUNT('Business Case'!B11:G11)=0,"",H1076+NPV(G1076,I1076:M1076))</f>
        <v>178080997.333205</v>
      </c>
      <c r="P1076" s="40" t="n">
        <f aca="true">RAND()</f>
        <v>0.756244553124917</v>
      </c>
      <c r="Q1076" s="40" t="n">
        <f aca="true">RAND()</f>
        <v>0.960421438054088</v>
      </c>
      <c r="R1076" s="40" t="n">
        <f aca="true">RAND()</f>
        <v>0.424403561079701</v>
      </c>
      <c r="S1076" s="40" t="n">
        <f aca="true">RAND()</f>
        <v>0.103640612098782</v>
      </c>
      <c r="T1076" s="40" t="n">
        <f aca="true">RAND()</f>
        <v>0.309029299367874</v>
      </c>
      <c r="U1076" s="40" t="n">
        <f aca="true">RAND()</f>
        <v>0.67199378284259</v>
      </c>
    </row>
    <row r="1077" customFormat="false" ht="15" hidden="false" customHeight="false" outlineLevel="0" collapsed="false">
      <c r="A1077" s="36" t="n">
        <v>997</v>
      </c>
      <c r="B1077" s="37" t="n">
        <f aca="false">1+IF($G$6=$E$6,$F$6,IF(P1077&lt;($F$6-$E$6)/($G$6-$E$6),$E$6+SQRT(P1077*($G$6-$E$6)*($F$6-$E$6)),$G$6-SQRT((1-P1077)*($G$6-$E$6)*($G$6-$F$6))))</f>
        <v>1.01783149648206</v>
      </c>
      <c r="C1077" s="37" t="n">
        <f aca="false">1+IF($G$7=$E$7,$F$7,IF(Q1077&lt;($F$7-$E$7)/($G$7-$E$7),$E$7+SQRT(Q1077*($G$7-$E$7)*($F$7-$E$7)),$G$7-SQRT((1-Q1077)*($G$7-$E$7)*($G$7-$F$7))))</f>
        <v>0.870086116680438</v>
      </c>
      <c r="D1077" s="37" t="n">
        <f aca="false">1+IF($G$8=$E$8,$F$8,IF(R1077&lt;($F$8-$E$8)/($G$8-$E$8),$E$8+SQRT(R1077*($G$8-$E$8)*($F$8-$E$8)),$G$8-SQRT((1-R1077)*($G$8-$E$8)*($G$8-$F$8))))</f>
        <v>1.00836748210008</v>
      </c>
      <c r="E1077" s="37" t="n">
        <f aca="false">1+IF($G$9=$E$9,$F$9,IF(S1077&lt;($F$9-$E$9)/($G$9-$E$9),$E$9+SQRT(S1077*($G$9-$E$9)*($F$9-$E$9)),$G$9-SQRT((1-S1077)*($G$9-$E$9)*($G$9-$F$9))))</f>
        <v>1.09050726951649</v>
      </c>
      <c r="F1077" s="37" t="n">
        <f aca="false">1+IF($G$10=$E$10,$F$10,IF(T1077&lt;($F$10-$E$10)/($G$10-$E$10),$E$10+SQRT(T1077*($G$10-$E$10)*($F$10-$E$10)),$G$10-SQRT((1-T1077)*($G$10-$E$10)*($G$10-$F$10))))</f>
        <v>0.993016755401901</v>
      </c>
      <c r="G1077" s="38" t="n">
        <f aca="false">IF($G$11=$E$11,$F$11,IF(U1077&lt;($F$11-$E$11)/($G$11-$E$11),$E$11+SQRT(U1077*($G$11-$E$11)*($F$11-$E$11)),$G$11-SQRT((1-U1077)*($G$11-$E$11)*($G$11-$F$11))))</f>
        <v>0.118956238188103</v>
      </c>
      <c r="H1077" s="39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-1986033510.8038</v>
      </c>
      <c r="I1077" s="39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-24051823.8226199</v>
      </c>
      <c r="J1077" s="39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252177720.270395</v>
      </c>
      <c r="K1077" s="39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578058102.133505</v>
      </c>
      <c r="L1077" s="39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700740989.264644</v>
      </c>
      <c r="M1077" s="39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869076037.648713</v>
      </c>
      <c r="N1077" s="39" t="n">
        <f aca="false">IF(COUNT('Business Case'!B11:G11)=0,"",H1077+NPV(G1077,I1077:M1077))</f>
        <v>-451076920.823442</v>
      </c>
      <c r="P1077" s="40" t="n">
        <f aca="true">RAND()</f>
        <v>0.862024984188875</v>
      </c>
      <c r="Q1077" s="40" t="n">
        <f aca="true">RAND()</f>
        <v>0.214291015462456</v>
      </c>
      <c r="R1077" s="40" t="n">
        <f aca="true">RAND()</f>
        <v>0.440232110888012</v>
      </c>
      <c r="S1077" s="40" t="n">
        <f aca="true">RAND()</f>
        <v>0.905616400523093</v>
      </c>
      <c r="T1077" s="40" t="n">
        <f aca="true">RAND()</f>
        <v>0.123362749687131</v>
      </c>
      <c r="U1077" s="40" t="n">
        <f aca="true">RAND()</f>
        <v>0.918690216694719</v>
      </c>
    </row>
    <row r="1078" customFormat="false" ht="15" hidden="false" customHeight="false" outlineLevel="0" collapsed="false">
      <c r="A1078" s="36" t="n">
        <v>998</v>
      </c>
      <c r="B1078" s="37" t="n">
        <f aca="false">1+IF($G$6=$E$6,$F$6,IF(P1078&lt;($F$6-$E$6)/($G$6-$E$6),$E$6+SQRT(P1078*($G$6-$E$6)*($F$6-$E$6)),$G$6-SQRT((1-P1078)*($G$6-$E$6)*($G$6-$F$6))))</f>
        <v>0.990849933582687</v>
      </c>
      <c r="C1078" s="37" t="n">
        <f aca="false">1+IF($G$7=$E$7,$F$7,IF(Q1078&lt;($F$7-$E$7)/($G$7-$E$7),$E$7+SQRT(Q1078*($G$7-$E$7)*($F$7-$E$7)),$G$7-SQRT((1-Q1078)*($G$7-$E$7)*($G$7-$F$7))))</f>
        <v>0.876042454494514</v>
      </c>
      <c r="D1078" s="37" t="n">
        <f aca="false">1+IF($G$8=$E$8,$F$8,IF(R1078&lt;($F$8-$E$8)/($G$8-$E$8),$E$8+SQRT(R1078*($G$8-$E$8)*($F$8-$E$8)),$G$8-SQRT((1-R1078)*($G$8-$E$8)*($G$8-$F$8))))</f>
        <v>1.01220917023261</v>
      </c>
      <c r="E1078" s="37" t="n">
        <f aca="false">1+IF($G$9=$E$9,$F$9,IF(S1078&lt;($F$9-$E$9)/($G$9-$E$9),$E$9+SQRT(S1078*($G$9-$E$9)*($F$9-$E$9)),$G$9-SQRT((1-S1078)*($G$9-$E$9)*($G$9-$F$9))))</f>
        <v>1.07106685495442</v>
      </c>
      <c r="F1078" s="37" t="n">
        <f aca="false">1+IF($G$10=$E$10,$F$10,IF(T1078&lt;($F$10-$E$10)/($G$10-$E$10),$E$10+SQRT(T1078*($G$10-$E$10)*($F$10-$E$10)),$G$10-SQRT((1-T1078)*($G$10-$E$10)*($G$10-$F$10))))</f>
        <v>1.00770168654894</v>
      </c>
      <c r="G1078" s="38" t="n">
        <f aca="false">IF($G$11=$E$11,$F$11,IF(U1078&lt;($F$11-$E$11)/($G$11-$E$11),$E$11+SQRT(U1078*($G$11-$E$11)*($F$11-$E$11)),$G$11-SQRT((1-U1078)*($G$11-$E$11)*($G$11-$F$11))))</f>
        <v>0.090729986971754</v>
      </c>
      <c r="H1078" s="39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-2015403373.09788</v>
      </c>
      <c r="I1078" s="39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-41037107.4254564</v>
      </c>
      <c r="J1078" s="39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216000159.929521</v>
      </c>
      <c r="K1078" s="39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523422511.611945</v>
      </c>
      <c r="L1078" s="39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639100600.297619</v>
      </c>
      <c r="M1078" s="39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804095097.918033</v>
      </c>
      <c r="N1078" s="39" t="n">
        <f aca="false">IF(COUNT('Business Case'!B11:G11)=0,"",H1078+NPV(G1078,I1078:M1078))</f>
        <v>-495695586.866884</v>
      </c>
      <c r="P1078" s="40" t="n">
        <f aca="true">RAND()</f>
        <v>0.550247362131905</v>
      </c>
      <c r="Q1078" s="40" t="n">
        <f aca="true">RAND()</f>
        <v>0.229562561366319</v>
      </c>
      <c r="R1078" s="40" t="n">
        <f aca="true">RAND()</f>
        <v>0.486184680583559</v>
      </c>
      <c r="S1078" s="40" t="n">
        <f aca="true">RAND()</f>
        <v>0.83385489635234</v>
      </c>
      <c r="T1078" s="40" t="n">
        <f aca="true">RAND()</f>
        <v>0.217220363983616</v>
      </c>
      <c r="U1078" s="40" t="n">
        <f aca="true">RAND()</f>
        <v>0.11513262041401</v>
      </c>
    </row>
    <row r="1079" customFormat="false" ht="15" hidden="false" customHeight="false" outlineLevel="0" collapsed="false">
      <c r="A1079" s="36" t="n">
        <v>999</v>
      </c>
      <c r="B1079" s="37" t="n">
        <f aca="false">1+IF($G$6=$E$6,$F$6,IF(P1079&lt;($F$6-$E$6)/($G$6-$E$6),$E$6+SQRT(P1079*($G$6-$E$6)*($F$6-$E$6)),$G$6-SQRT((1-P1079)*($G$6-$E$6)*($G$6-$F$6))))</f>
        <v>1.0157250069374</v>
      </c>
      <c r="C1079" s="37" t="n">
        <f aca="false">1+IF($G$7=$E$7,$F$7,IF(Q1079&lt;($F$7-$E$7)/($G$7-$E$7),$E$7+SQRT(Q1079*($G$7-$E$7)*($F$7-$E$7)),$G$7-SQRT((1-Q1079)*($G$7-$E$7)*($G$7-$F$7))))</f>
        <v>1.04058321569991</v>
      </c>
      <c r="D1079" s="37" t="n">
        <f aca="false">1+IF($G$8=$E$8,$F$8,IF(R1079&lt;($F$8-$E$8)/($G$8-$E$8),$E$8+SQRT(R1079*($G$8-$E$8)*($F$8-$E$8)),$G$8-SQRT((1-R1079)*($G$8-$E$8)*($G$8-$F$8))))</f>
        <v>1.00707676941523</v>
      </c>
      <c r="E1079" s="37" t="n">
        <f aca="false">1+IF($G$9=$E$9,$F$9,IF(S1079&lt;($F$9-$E$9)/($G$9-$E$9),$E$9+SQRT(S1079*($G$9-$E$9)*($F$9-$E$9)),$G$9-SQRT((1-S1079)*($G$9-$E$9)*($G$9-$F$9))))</f>
        <v>0.973555424659646</v>
      </c>
      <c r="F1079" s="37" t="n">
        <f aca="false">1+IF($G$10=$E$10,$F$10,IF(T1079&lt;($F$10-$E$10)/($G$10-$E$10),$E$10+SQRT(T1079*($G$10-$E$10)*($F$10-$E$10)),$G$10-SQRT((1-T1079)*($G$10-$E$10)*($G$10-$F$10))))</f>
        <v>1.16468696368795</v>
      </c>
      <c r="G1079" s="38" t="n">
        <f aca="false">IF($G$11=$E$11,$F$11,IF(U1079&lt;($F$11-$E$11)/($G$11-$E$11),$E$11+SQRT(U1079*($G$11-$E$11)*($F$11-$E$11)),$G$11-SQRT((1-U1079)*($G$11-$E$11)*($G$11-$F$11))))</f>
        <v>0.109929329077502</v>
      </c>
      <c r="H1079" s="39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-2329373927.37589</v>
      </c>
      <c r="I1079" s="39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19549695.9842367</v>
      </c>
      <c r="J1079" s="39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348799770.788091</v>
      </c>
      <c r="K1079" s="39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736284193.776342</v>
      </c>
      <c r="L1079" s="39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882562286.087107</v>
      </c>
      <c r="M1079" s="39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1083466656.65592</v>
      </c>
      <c r="N1079" s="39" t="n">
        <f aca="false">IF(COUNT('Business Case'!B11:G11)=0,"",H1079+NPV(G1079,I1079:M1079))</f>
        <v>-265454551.272441</v>
      </c>
      <c r="P1079" s="40" t="n">
        <f aca="true">RAND()</f>
        <v>0.84336331340787</v>
      </c>
      <c r="Q1079" s="40" t="n">
        <f aca="true">RAND()</f>
        <v>0.822636552791528</v>
      </c>
      <c r="R1079" s="40" t="n">
        <f aca="true">RAND()</f>
        <v>0.424351547846012</v>
      </c>
      <c r="S1079" s="40" t="n">
        <f aca="true">RAND()</f>
        <v>0.216416019874433</v>
      </c>
      <c r="T1079" s="40" t="n">
        <f aca="true">RAND()</f>
        <v>0.902955811136243</v>
      </c>
      <c r="U1079" s="40" t="n">
        <f aca="true">RAND()</f>
        <v>0.731445445813872</v>
      </c>
    </row>
    <row r="1080" customFormat="false" ht="15" hidden="false" customHeight="false" outlineLevel="0" collapsed="false">
      <c r="A1080" s="36" t="n">
        <v>1000</v>
      </c>
      <c r="B1080" s="37" t="n">
        <f aca="false">1+IF($G$6=$E$6,$F$6,IF(P1080&lt;($F$6-$E$6)/($G$6-$E$6),$E$6+SQRT(P1080*($G$6-$E$6)*($F$6-$E$6)),$G$6-SQRT((1-P1080)*($G$6-$E$6)*($G$6-$F$6))))</f>
        <v>0.982364940504164</v>
      </c>
      <c r="C1080" s="37" t="n">
        <f aca="false">1+IF($G$7=$E$7,$F$7,IF(Q1080&lt;($F$7-$E$7)/($G$7-$E$7),$E$7+SQRT(Q1080*($G$7-$E$7)*($F$7-$E$7)),$G$7-SQRT((1-Q1080)*($G$7-$E$7)*($G$7-$F$7))))</f>
        <v>1.01478492372843</v>
      </c>
      <c r="D1080" s="37" t="n">
        <f aca="false">1+IF($G$8=$E$8,$F$8,IF(R1080&lt;($F$8-$E$8)/($G$8-$E$8),$E$8+SQRT(R1080*($G$8-$E$8)*($F$8-$E$8)),$G$8-SQRT((1-R1080)*($G$8-$E$8)*($G$8-$F$8))))</f>
        <v>1.01970331246598</v>
      </c>
      <c r="E1080" s="37" t="n">
        <f aca="false">1+IF($G$9=$E$9,$F$9,IF(S1080&lt;($F$9-$E$9)/($G$9-$E$9),$E$9+SQRT(S1080*($G$9-$E$9)*($F$9-$E$9)),$G$9-SQRT((1-S1080)*($G$9-$E$9)*($G$9-$F$9))))</f>
        <v>0.992123763021237</v>
      </c>
      <c r="F1080" s="37" t="n">
        <f aca="false">1+IF($G$10=$E$10,$F$10,IF(T1080&lt;($F$10-$E$10)/($G$10-$E$10),$E$10+SQRT(T1080*($G$10-$E$10)*($F$10-$E$10)),$G$10-SQRT((1-T1080)*($G$10-$E$10)*($G$10-$F$10))))</f>
        <v>1.05171052698545</v>
      </c>
      <c r="G1080" s="38" t="n">
        <f aca="false">IF($G$11=$E$11,$F$11,IF(U1080&lt;($F$11-$E$11)/($G$11-$E$11),$E$11+SQRT(U1080*($G$11-$E$11)*($F$11-$E$11)),$G$11-SQRT((1-U1080)*($G$11-$E$11)*($G$11-$F$11))))</f>
        <v>0.1119945872794</v>
      </c>
      <c r="H1080" s="39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-2103421053.9709</v>
      </c>
      <c r="I1080" s="39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-11130156.1710316</v>
      </c>
      <c r="J1080" s="39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275669472.020702</v>
      </c>
      <c r="K1080" s="39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615054626.561709</v>
      </c>
      <c r="L1080" s="39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745106991.000687</v>
      </c>
      <c r="M1080" s="39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934595677.063555</v>
      </c>
      <c r="N1080" s="39" t="n">
        <f aca="false">IF(COUNT('Business Case'!B11:G11)=0,"",H1080+NPV(G1080,I1080:M1080))</f>
        <v>-406192126.951743</v>
      </c>
      <c r="P1080" s="40" t="n">
        <f aca="true">RAND()</f>
        <v>0.45226556161696</v>
      </c>
      <c r="Q1080" s="40" t="n">
        <f aca="true">RAND()</f>
        <v>0.729139009612941</v>
      </c>
      <c r="R1080" s="40" t="n">
        <f aca="true">RAND()</f>
        <v>0.570162798070932</v>
      </c>
      <c r="S1080" s="40" t="n">
        <f aca="true">RAND()</f>
        <v>0.33947150852772</v>
      </c>
      <c r="T1080" s="40" t="n">
        <f aca="true">RAND()</f>
        <v>0.475750465221505</v>
      </c>
      <c r="U1080" s="40" t="n">
        <f aca="true">RAND()</f>
        <v>0.783870075173899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6" t="s">
        <v>25</v>
      </c>
    </row>
    <row r="2" customFormat="false" ht="15" hidden="false" customHeight="false" outlineLevel="0" collapsed="false">
      <c r="A2" s="3" t="s">
        <v>328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329</v>
      </c>
      <c r="B5" s="8" t="s">
        <v>330</v>
      </c>
      <c r="C5" s="8" t="s">
        <v>331</v>
      </c>
      <c r="D5" s="8" t="s">
        <v>332</v>
      </c>
      <c r="E5" s="8" t="s">
        <v>333</v>
      </c>
      <c r="F5" s="8" t="s">
        <v>334</v>
      </c>
      <c r="G5" s="8" t="s">
        <v>335</v>
      </c>
      <c r="H5" s="8" t="s">
        <v>336</v>
      </c>
      <c r="I5" s="8" t="s">
        <v>337</v>
      </c>
      <c r="J5" s="8" t="s">
        <v>338</v>
      </c>
      <c r="K5" s="8" t="s">
        <v>339</v>
      </c>
      <c r="L5" s="8" t="s">
        <v>340</v>
      </c>
    </row>
    <row r="6" customFormat="false" ht="15" hidden="false" customHeight="false" outlineLevel="0" collapsed="false">
      <c r="A6" s="9" t="s">
        <v>341</v>
      </c>
      <c r="B6" s="9" t="s">
        <v>342</v>
      </c>
      <c r="C6" s="9" t="s">
        <v>343</v>
      </c>
      <c r="D6" s="9" t="s">
        <v>344</v>
      </c>
      <c r="E6" s="9" t="s">
        <v>345</v>
      </c>
      <c r="F6" s="41" t="n">
        <v>13000</v>
      </c>
      <c r="G6" s="41" t="n">
        <v>12400</v>
      </c>
      <c r="H6" s="22" t="n">
        <f aca="false">IF(AND(ISNUMBER(F6),ISNUMBER(G6),F6&lt;&gt;0,G6&lt;&gt;0),IF(E6="Lower",F6/G6,G6/F6),"")</f>
        <v>0.953846153846154</v>
      </c>
      <c r="I6" s="14" t="str">
        <f aca="false">IF(H6="",IF(C6="","","No actual yet"),IF(H6&gt;=1,"On target",IF(H6&gt;=0.9,"Caution","Below plan")))</f>
        <v>Caution</v>
      </c>
      <c r="J6" s="9" t="s">
        <v>346</v>
      </c>
      <c r="K6" s="9" t="s">
        <v>347</v>
      </c>
      <c r="L6" s="9" t="s">
        <v>348</v>
      </c>
    </row>
    <row r="7" customFormat="false" ht="23.85" hidden="false" customHeight="false" outlineLevel="0" collapsed="false">
      <c r="A7" s="9" t="s">
        <v>349</v>
      </c>
      <c r="B7" s="9" t="s">
        <v>350</v>
      </c>
      <c r="C7" s="9" t="s">
        <v>351</v>
      </c>
      <c r="D7" s="9" t="s">
        <v>352</v>
      </c>
      <c r="E7" s="9" t="s">
        <v>345</v>
      </c>
      <c r="F7" s="41" t="n">
        <v>0.95</v>
      </c>
      <c r="G7" s="41" t="n">
        <v>0.97</v>
      </c>
      <c r="H7" s="22" t="n">
        <f aca="false">IF(AND(ISNUMBER(F7),ISNUMBER(G7),F7&lt;&gt;0,G7&lt;&gt;0),IF(E7="Lower",F7/G7,G7/F7),"")</f>
        <v>1.02105263157895</v>
      </c>
      <c r="I7" s="14" t="str">
        <f aca="false">IF(H7="",IF(C7="","","No actual yet"),IF(H7&gt;=1,"On target",IF(H7&gt;=0.9,"Caution","Below plan")))</f>
        <v>On target</v>
      </c>
      <c r="J7" s="9" t="s">
        <v>353</v>
      </c>
      <c r="K7" s="9" t="s">
        <v>354</v>
      </c>
      <c r="L7" s="9" t="s">
        <v>355</v>
      </c>
    </row>
    <row r="8" customFormat="false" ht="15" hidden="false" customHeight="false" outlineLevel="0" collapsed="false">
      <c r="A8" s="9"/>
      <c r="B8" s="9"/>
      <c r="C8" s="9"/>
      <c r="D8" s="9"/>
      <c r="E8" s="9"/>
      <c r="F8" s="41"/>
      <c r="G8" s="41"/>
      <c r="H8" s="22" t="str">
        <f aca="false">IF(AND(ISNUMBER(F8),ISNUMBER(G8),F8&lt;&gt;0,G8&lt;&gt;0),IF(E8="Lower",F8/G8,G8/F8),"")</f>
        <v/>
      </c>
      <c r="I8" s="14" t="str">
        <f aca="false">IF(H8="",IF(C8="","","No actual yet"),IF(H8&gt;=1,"On target",IF(H8&gt;=0.9,"Caution","Below plan")))</f>
        <v/>
      </c>
      <c r="J8" s="9"/>
      <c r="K8" s="9"/>
      <c r="L8" s="9"/>
    </row>
    <row r="9" customFormat="false" ht="15" hidden="false" customHeight="false" outlineLevel="0" collapsed="false">
      <c r="A9" s="9"/>
      <c r="B9" s="9"/>
      <c r="C9" s="9"/>
      <c r="D9" s="9"/>
      <c r="E9" s="9"/>
      <c r="F9" s="41"/>
      <c r="G9" s="41"/>
      <c r="H9" s="22" t="str">
        <f aca="false">IF(AND(ISNUMBER(F9),ISNUMBER(G9),F9&lt;&gt;0,G9&lt;&gt;0),IF(E9="Lower",F9/G9,G9/F9),"")</f>
        <v/>
      </c>
      <c r="I9" s="14" t="str">
        <f aca="false">IF(H9="",IF(C9="","","No actual yet"),IF(H9&gt;=1,"On target",IF(H9&gt;=0.9,"Caution","Below plan")))</f>
        <v/>
      </c>
      <c r="J9" s="9"/>
      <c r="K9" s="9"/>
      <c r="L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41"/>
      <c r="G10" s="41"/>
      <c r="H10" s="22" t="str">
        <f aca="false">IF(AND(ISNUMBER(F10),ISNUMBER(G10),F10&lt;&gt;0,G10&lt;&gt;0),IF(E10="Lower",F10/G10,G10/F10),"")</f>
        <v/>
      </c>
      <c r="I10" s="14" t="str">
        <f aca="false">IF(H10="",IF(C10="","","No actual yet"),IF(H10&gt;=1,"On target",IF(H10&gt;=0.9,"Caution","Below plan")))</f>
        <v/>
      </c>
      <c r="J10" s="9"/>
      <c r="K10" s="9"/>
      <c r="L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41"/>
      <c r="G11" s="41"/>
      <c r="H11" s="22" t="str">
        <f aca="false">IF(AND(ISNUMBER(F11),ISNUMBER(G11),F11&lt;&gt;0,G11&lt;&gt;0),IF(E11="Lower",F11/G11,G11/F11),"")</f>
        <v/>
      </c>
      <c r="I11" s="14" t="str">
        <f aca="false">IF(H11="",IF(C11="","","No actual yet"),IF(H11&gt;=1,"On target",IF(H11&gt;=0.9,"Caution","Below plan")))</f>
        <v/>
      </c>
      <c r="J11" s="9"/>
      <c r="K11" s="9"/>
      <c r="L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41"/>
      <c r="G12" s="41"/>
      <c r="H12" s="22" t="str">
        <f aca="false">IF(AND(ISNUMBER(F12),ISNUMBER(G12),F12&lt;&gt;0,G12&lt;&gt;0),IF(E12="Lower",F12/G12,G12/F12),"")</f>
        <v/>
      </c>
      <c r="I12" s="14" t="str">
        <f aca="false">IF(H12="",IF(C12="","","No actual yet"),IF(H12&gt;=1,"On target",IF(H12&gt;=0.9,"Caution","Below plan")))</f>
        <v/>
      </c>
      <c r="J12" s="9"/>
      <c r="K12" s="9"/>
      <c r="L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41"/>
      <c r="G13" s="41"/>
      <c r="H13" s="22" t="str">
        <f aca="false">IF(AND(ISNUMBER(F13),ISNUMBER(G13),F13&lt;&gt;0,G13&lt;&gt;0),IF(E13="Lower",F13/G13,G13/F13),"")</f>
        <v/>
      </c>
      <c r="I13" s="14" t="str">
        <f aca="false">IF(H13="",IF(C13="","","No actual yet"),IF(H13&gt;=1,"On target",IF(H13&gt;=0.9,"Caution","Below plan")))</f>
        <v/>
      </c>
      <c r="J13" s="9"/>
      <c r="K13" s="9"/>
      <c r="L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41"/>
      <c r="G14" s="41"/>
      <c r="H14" s="22" t="str">
        <f aca="false">IF(AND(ISNUMBER(F14),ISNUMBER(G14),F14&lt;&gt;0,G14&lt;&gt;0),IF(E14="Lower",F14/G14,G14/F14),"")</f>
        <v/>
      </c>
      <c r="I14" s="14" t="str">
        <f aca="false">IF(H14="",IF(C14="","","No actual yet"),IF(H14&gt;=1,"On target",IF(H14&gt;=0.9,"Caution","Below plan")))</f>
        <v/>
      </c>
      <c r="J14" s="9"/>
      <c r="K14" s="9"/>
      <c r="L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41"/>
      <c r="G15" s="41"/>
      <c r="H15" s="22" t="str">
        <f aca="false">IF(AND(ISNUMBER(F15),ISNUMBER(G15),F15&lt;&gt;0,G15&lt;&gt;0),IF(E15="Lower",F15/G15,G15/F15),"")</f>
        <v/>
      </c>
      <c r="I15" s="14" t="str">
        <f aca="false">IF(H15="",IF(C15="","","No actual yet"),IF(H15&gt;=1,"On target",IF(H15&gt;=0.9,"Caution","Below plan")))</f>
        <v/>
      </c>
      <c r="J15" s="9"/>
      <c r="K15" s="9"/>
      <c r="L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41"/>
      <c r="G16" s="41"/>
      <c r="H16" s="22" t="str">
        <f aca="false">IF(AND(ISNUMBER(F16),ISNUMBER(G16),F16&lt;&gt;0,G16&lt;&gt;0),IF(E16="Lower",F16/G16,G16/F16),"")</f>
        <v/>
      </c>
      <c r="I16" s="14" t="str">
        <f aca="false">IF(H16="",IF(C16="","","No actual yet"),IF(H16&gt;=1,"On target",IF(H16&gt;=0.9,"Caution","Below plan")))</f>
        <v/>
      </c>
      <c r="J16" s="9"/>
      <c r="K16" s="9"/>
      <c r="L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41"/>
      <c r="G17" s="41"/>
      <c r="H17" s="22" t="str">
        <f aca="false">IF(AND(ISNUMBER(F17),ISNUMBER(G17),F17&lt;&gt;0,G17&lt;&gt;0),IF(E17="Lower",F17/G17,G17/F17),"")</f>
        <v/>
      </c>
      <c r="I17" s="14" t="str">
        <f aca="false">IF(H17="",IF(C17="","","No actual yet"),IF(H17&gt;=1,"On target",IF(H17&gt;=0.9,"Caution","Below plan")))</f>
        <v/>
      </c>
      <c r="J17" s="9"/>
      <c r="K17" s="9"/>
      <c r="L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41"/>
      <c r="G18" s="41"/>
      <c r="H18" s="22" t="str">
        <f aca="false">IF(AND(ISNUMBER(F18),ISNUMBER(G18),F18&lt;&gt;0,G18&lt;&gt;0),IF(E18="Lower",F18/G18,G18/F18),"")</f>
        <v/>
      </c>
      <c r="I18" s="14" t="str">
        <f aca="false">IF(H18="",IF(C18="","","No actual yet"),IF(H18&gt;=1,"On target",IF(H18&gt;=0.9,"Caution","Below plan")))</f>
        <v/>
      </c>
      <c r="J18" s="9"/>
      <c r="K18" s="9"/>
      <c r="L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41"/>
      <c r="G19" s="41"/>
      <c r="H19" s="22" t="str">
        <f aca="false">IF(AND(ISNUMBER(F19),ISNUMBER(G19),F19&lt;&gt;0,G19&lt;&gt;0),IF(E19="Lower",F19/G19,G19/F19),"")</f>
        <v/>
      </c>
      <c r="I19" s="14" t="str">
        <f aca="false">IF(H19="",IF(C19="","","No actual yet"),IF(H19&gt;=1,"On target",IF(H19&gt;=0.9,"Caution","Below plan")))</f>
        <v/>
      </c>
      <c r="J19" s="9"/>
      <c r="K19" s="9"/>
      <c r="L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41"/>
      <c r="G20" s="41"/>
      <c r="H20" s="22" t="str">
        <f aca="false">IF(AND(ISNUMBER(F20),ISNUMBER(G20),F20&lt;&gt;0,G20&lt;&gt;0),IF(E20="Lower",F20/G20,G20/F20),"")</f>
        <v/>
      </c>
      <c r="I20" s="14" t="str">
        <f aca="false">IF(H20="",IF(C20="","","No actual yet"),IF(H20&gt;=1,"On target",IF(H20&gt;=0.9,"Caution","Below plan")))</f>
        <v/>
      </c>
      <c r="J20" s="9"/>
      <c r="K20" s="9"/>
      <c r="L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41"/>
      <c r="G21" s="41"/>
      <c r="H21" s="22" t="str">
        <f aca="false">IF(AND(ISNUMBER(F21),ISNUMBER(G21),F21&lt;&gt;0,G21&lt;&gt;0),IF(E21="Lower",F21/G21,G21/F21),"")</f>
        <v/>
      </c>
      <c r="I21" s="14" t="str">
        <f aca="false">IF(H21="",IF(C21="","","No actual yet"),IF(H21&gt;=1,"On target",IF(H21&gt;=0.9,"Caution","Below plan")))</f>
        <v/>
      </c>
      <c r="J21" s="9"/>
      <c r="K21" s="9"/>
      <c r="L21" s="9"/>
    </row>
    <row r="23" customFormat="false" ht="15" hidden="false" customHeight="false" outlineLevel="0" collapsed="false">
      <c r="A23" s="11" t="s">
        <v>356</v>
      </c>
    </row>
    <row r="24" customFormat="false" ht="15" hidden="false" customHeight="false" outlineLevel="0" collapsed="false">
      <c r="B24" s="5" t="s">
        <v>341</v>
      </c>
      <c r="C24" s="10" t="n">
        <f aca="false">COUNTIFS($A$6:$A$21,B24,$C$6:$C$21,"&lt;&gt;")</f>
        <v>1</v>
      </c>
      <c r="D24" s="14" t="str">
        <f aca="false">IF(C24=0,"Add a measure","OK")</f>
        <v>OK</v>
      </c>
    </row>
    <row r="25" customFormat="false" ht="23.85" hidden="false" customHeight="false" outlineLevel="0" collapsed="false">
      <c r="B25" s="5" t="s">
        <v>357</v>
      </c>
      <c r="C25" s="10" t="n">
        <f aca="false">COUNTIFS($A$6:$A$21,B25,$C$6:$C$21,"&lt;&gt;")</f>
        <v>0</v>
      </c>
      <c r="D25" s="14" t="str">
        <f aca="false">IF(C25=0,"Add a measure","OK")</f>
        <v>Add a measure</v>
      </c>
    </row>
    <row r="26" customFormat="false" ht="15" hidden="false" customHeight="false" outlineLevel="0" collapsed="false">
      <c r="B26" s="5" t="s">
        <v>349</v>
      </c>
      <c r="C26" s="10" t="n">
        <f aca="false">COUNTIFS($A$6:$A$21,B26,$C$6:$C$21,"&lt;&gt;")</f>
        <v>1</v>
      </c>
      <c r="D26" s="14" t="str">
        <f aca="false">IF(C26=0,"Add a measure","OK")</f>
        <v>OK</v>
      </c>
    </row>
    <row r="27" customFormat="false" ht="23.85" hidden="false" customHeight="false" outlineLevel="0" collapsed="false">
      <c r="B27" s="5" t="s">
        <v>358</v>
      </c>
      <c r="C27" s="10" t="n">
        <f aca="false">COUNTIFS($A$6:$A$21,B27,$C$6:$C$21,"&lt;&gt;")</f>
        <v>0</v>
      </c>
      <c r="D27" s="14" t="str">
        <f aca="false">IF(C27=0,"Add a measure","OK")</f>
        <v>Add a measure</v>
      </c>
    </row>
    <row r="29" customFormat="false" ht="15" hidden="false" customHeight="false" outlineLevel="0" collapsed="false">
      <c r="B29" s="5" t="s">
        <v>359</v>
      </c>
      <c r="C29" s="10" t="n">
        <f aca="false">COUNTA(C6:C21)</f>
        <v>2</v>
      </c>
    </row>
    <row r="30" customFormat="false" ht="15" hidden="false" customHeight="false" outlineLevel="0" collapsed="false">
      <c r="B30" s="5" t="s">
        <v>360</v>
      </c>
      <c r="C30" s="22" t="n">
        <f aca="false">IF(C29=0,"",COUNTIFS(D6:D21,"Leading",C6:C21,"&lt;&gt;")/C29)</f>
        <v>0.5</v>
      </c>
      <c r="D30" s="14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361</v>
      </c>
      <c r="C31" s="10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6" t="s">
        <v>27</v>
      </c>
    </row>
    <row r="2" customFormat="false" ht="15" hidden="false" customHeight="false" outlineLevel="0" collapsed="false">
      <c r="A2" s="3" t="s">
        <v>362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43</v>
      </c>
      <c r="B5" s="8" t="s">
        <v>329</v>
      </c>
      <c r="C5" s="8" t="s">
        <v>330</v>
      </c>
      <c r="D5" s="8" t="s">
        <v>363</v>
      </c>
      <c r="E5" s="8" t="s">
        <v>364</v>
      </c>
    </row>
    <row r="6" customFormat="false" ht="15" hidden="false" customHeight="false" outlineLevel="0" collapsed="false">
      <c r="A6" s="9" t="s">
        <v>365</v>
      </c>
      <c r="B6" s="9" t="s">
        <v>341</v>
      </c>
      <c r="C6" s="9" t="s">
        <v>342</v>
      </c>
      <c r="D6" s="9"/>
      <c r="E6" s="14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9" t="s">
        <v>366</v>
      </c>
      <c r="B7" s="9" t="s">
        <v>357</v>
      </c>
      <c r="C7" s="9" t="s">
        <v>367</v>
      </c>
      <c r="D7" s="9" t="s">
        <v>365</v>
      </c>
      <c r="E7" s="14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9" t="s">
        <v>368</v>
      </c>
      <c r="B8" s="9" t="s">
        <v>349</v>
      </c>
      <c r="C8" s="9" t="s">
        <v>350</v>
      </c>
      <c r="D8" s="9" t="s">
        <v>366</v>
      </c>
      <c r="E8" s="14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9" t="s">
        <v>369</v>
      </c>
      <c r="B9" s="9" t="s">
        <v>358</v>
      </c>
      <c r="C9" s="9" t="s">
        <v>370</v>
      </c>
      <c r="D9" s="9" t="s">
        <v>368</v>
      </c>
      <c r="E9" s="14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9"/>
      <c r="B10" s="9"/>
      <c r="C10" s="9"/>
      <c r="D10" s="9"/>
      <c r="E10" s="14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14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14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14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14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4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4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6" t="s">
        <v>371</v>
      </c>
    </row>
    <row r="2" customFormat="false" ht="15" hidden="false" customHeight="false" outlineLevel="0" collapsed="false">
      <c r="A2" s="3" t="s">
        <v>372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373</v>
      </c>
      <c r="B5" s="8" t="s">
        <v>374</v>
      </c>
      <c r="C5" s="8" t="s">
        <v>375</v>
      </c>
      <c r="D5" s="8" t="s">
        <v>376</v>
      </c>
      <c r="E5" s="8" t="s">
        <v>377</v>
      </c>
      <c r="F5" s="8" t="s">
        <v>378</v>
      </c>
      <c r="G5" s="8" t="s">
        <v>379</v>
      </c>
    </row>
    <row r="6" customFormat="false" ht="15" hidden="false" customHeight="false" outlineLevel="0" collapsed="false">
      <c r="A6" s="9" t="s">
        <v>380</v>
      </c>
      <c r="B6" s="9" t="s">
        <v>381</v>
      </c>
      <c r="C6" s="29" t="n">
        <v>279</v>
      </c>
      <c r="D6" s="13" t="n">
        <v>4.2</v>
      </c>
      <c r="E6" s="13" t="n">
        <v>14</v>
      </c>
      <c r="F6" s="42" t="n">
        <v>5</v>
      </c>
      <c r="G6" s="14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>Premium differentiator</v>
      </c>
    </row>
    <row r="7" customFormat="false" ht="15" hidden="false" customHeight="false" outlineLevel="0" collapsed="false">
      <c r="A7" s="9" t="s">
        <v>382</v>
      </c>
      <c r="B7" s="9" t="s">
        <v>381</v>
      </c>
      <c r="C7" s="29" t="n">
        <v>239</v>
      </c>
      <c r="D7" s="13" t="n">
        <v>3.4</v>
      </c>
      <c r="E7" s="13" t="n">
        <v>16.5</v>
      </c>
      <c r="F7" s="42" t="n">
        <v>4</v>
      </c>
      <c r="G7" s="14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>Low-cost / economy</v>
      </c>
    </row>
    <row r="8" customFormat="false" ht="15" hidden="false" customHeight="false" outlineLevel="0" collapsed="false">
      <c r="A8" s="9" t="s">
        <v>383</v>
      </c>
      <c r="B8" s="9" t="s">
        <v>381</v>
      </c>
      <c r="C8" s="29" t="n">
        <v>264</v>
      </c>
      <c r="D8" s="13" t="n">
        <v>4</v>
      </c>
      <c r="E8" s="13" t="n">
        <v>12</v>
      </c>
      <c r="F8" s="42" t="n">
        <v>5</v>
      </c>
      <c r="G8" s="14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>Low-cost / economy</v>
      </c>
    </row>
    <row r="9" customFormat="false" ht="15" hidden="false" customHeight="false" outlineLevel="0" collapsed="false">
      <c r="A9" s="9" t="s">
        <v>384</v>
      </c>
      <c r="B9" s="9" t="s">
        <v>381</v>
      </c>
      <c r="C9" s="29" t="n">
        <v>319</v>
      </c>
      <c r="D9" s="13" t="n">
        <v>5.1</v>
      </c>
      <c r="E9" s="13" t="n">
        <v>11</v>
      </c>
      <c r="F9" s="42" t="n">
        <v>6</v>
      </c>
      <c r="G9" s="14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>Premium differentiator</v>
      </c>
    </row>
    <row r="10" customFormat="false" ht="15" hidden="false" customHeight="false" outlineLevel="0" collapsed="false">
      <c r="A10" s="9" t="s">
        <v>385</v>
      </c>
      <c r="B10" s="9" t="s">
        <v>381</v>
      </c>
      <c r="C10" s="29" t="n">
        <v>299</v>
      </c>
      <c r="D10" s="13" t="n">
        <v>3.6</v>
      </c>
      <c r="E10" s="13" t="n">
        <v>9.5</v>
      </c>
      <c r="F10" s="42" t="n">
        <v>5</v>
      </c>
      <c r="G10" s="14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>Stuck in the middle</v>
      </c>
    </row>
    <row r="11" customFormat="false" ht="15" hidden="false" customHeight="false" outlineLevel="0" collapsed="false">
      <c r="A11" s="9"/>
      <c r="B11" s="9"/>
      <c r="C11" s="29"/>
      <c r="D11" s="13"/>
      <c r="E11" s="13"/>
      <c r="F11" s="42"/>
      <c r="G11" s="14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9"/>
      <c r="B12" s="9"/>
      <c r="C12" s="29"/>
      <c r="D12" s="13"/>
      <c r="E12" s="13"/>
      <c r="F12" s="42"/>
      <c r="G12" s="14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9"/>
      <c r="B13" s="9"/>
      <c r="C13" s="29"/>
      <c r="D13" s="13"/>
      <c r="E13" s="13"/>
      <c r="F13" s="42"/>
      <c r="G13" s="14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9"/>
      <c r="B14" s="9"/>
      <c r="C14" s="29"/>
      <c r="D14" s="13"/>
      <c r="E14" s="13"/>
      <c r="F14" s="42"/>
      <c r="G14" s="14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9"/>
      <c r="B15" s="9"/>
      <c r="C15" s="29"/>
      <c r="D15" s="13"/>
      <c r="E15" s="13"/>
      <c r="F15" s="42"/>
      <c r="G15" s="14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9"/>
      <c r="B16" s="9"/>
      <c r="C16" s="29"/>
      <c r="D16" s="13"/>
      <c r="E16" s="13"/>
      <c r="F16" s="42"/>
      <c r="G16" s="14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9"/>
      <c r="B17" s="9"/>
      <c r="C17" s="29"/>
      <c r="D17" s="13"/>
      <c r="E17" s="13"/>
      <c r="F17" s="42"/>
      <c r="G17" s="14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9"/>
      <c r="B18" s="9"/>
      <c r="C18" s="29"/>
      <c r="D18" s="13"/>
      <c r="E18" s="13"/>
      <c r="F18" s="42"/>
      <c r="G18" s="14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9"/>
      <c r="B19" s="9"/>
      <c r="C19" s="29"/>
      <c r="D19" s="13"/>
      <c r="E19" s="13"/>
      <c r="F19" s="42"/>
      <c r="G19" s="14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9"/>
      <c r="B20" s="9"/>
      <c r="C20" s="29"/>
      <c r="D20" s="13"/>
      <c r="E20" s="13"/>
      <c r="F20" s="42"/>
      <c r="G20" s="14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9"/>
      <c r="B21" s="9"/>
      <c r="C21" s="29"/>
      <c r="D21" s="13"/>
      <c r="E21" s="13"/>
      <c r="F21" s="42"/>
      <c r="G21" s="14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9"/>
      <c r="B22" s="9"/>
      <c r="C22" s="29"/>
      <c r="D22" s="13"/>
      <c r="E22" s="13"/>
      <c r="F22" s="42"/>
      <c r="G22" s="14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9"/>
      <c r="B23" s="9"/>
      <c r="C23" s="29"/>
      <c r="D23" s="13"/>
      <c r="E23" s="13"/>
      <c r="F23" s="42"/>
      <c r="G23" s="14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9"/>
      <c r="B24" s="9"/>
      <c r="C24" s="29"/>
      <c r="D24" s="13"/>
      <c r="E24" s="13"/>
      <c r="F24" s="42"/>
      <c r="G24" s="14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9"/>
      <c r="B25" s="9"/>
      <c r="C25" s="29"/>
      <c r="D25" s="13"/>
      <c r="E25" s="13"/>
      <c r="F25" s="42"/>
      <c r="G25" s="14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9"/>
      <c r="B26" s="9"/>
      <c r="C26" s="29"/>
      <c r="D26" s="13"/>
      <c r="E26" s="13"/>
      <c r="F26" s="42"/>
      <c r="G26" s="14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9"/>
      <c r="B27" s="9"/>
      <c r="C27" s="29"/>
      <c r="D27" s="13"/>
      <c r="E27" s="13"/>
      <c r="F27" s="42"/>
      <c r="G27" s="14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9"/>
      <c r="B28" s="9"/>
      <c r="C28" s="29"/>
      <c r="D28" s="13"/>
      <c r="E28" s="13"/>
      <c r="F28" s="42"/>
      <c r="G28" s="14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9"/>
      <c r="B29" s="9"/>
      <c r="C29" s="29"/>
      <c r="D29" s="13"/>
      <c r="E29" s="13"/>
      <c r="F29" s="42"/>
      <c r="G29" s="14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11" t="s">
        <v>386</v>
      </c>
      <c r="C31" s="11" t="s">
        <v>387</v>
      </c>
      <c r="D31" s="11" t="s">
        <v>388</v>
      </c>
    </row>
    <row r="32" customFormat="false" ht="15" hidden="false" customHeight="false" outlineLevel="0" collapsed="false">
      <c r="A32" s="5" t="s">
        <v>381</v>
      </c>
      <c r="C32" s="33" t="n">
        <f aca="false">IFERROR(SUMPRODUCT(($B$6:$B$29="Camera")*$C$6:$C$29*$E$6:$E$29)/SUMIF($B$6:$B$29,"Camera",$E$6:$E$29),"")</f>
        <v>275.666666666667</v>
      </c>
      <c r="D32" s="25" t="n">
        <f aca="false">IFERROR(SUMPRODUCT(($B$6:$B$29="Camera")*$D$6:$D$29*$E$6:$E$29)/SUMIF($B$6:$B$29,"Camera",$E$6:$E$29),"")</f>
        <v>4.01904761904762</v>
      </c>
    </row>
    <row r="33" customFormat="false" ht="15" hidden="false" customHeight="false" outlineLevel="0" collapsed="false">
      <c r="A33" s="5" t="s">
        <v>389</v>
      </c>
      <c r="C33" s="33" t="str">
        <f aca="false">IFERROR(SUMPRODUCT(($B$6:$B$29="Drone")*$C$6:$C$29*$E$6:$E$29)/SUMIF($B$6:$B$29,"Drone",$E$6:$E$29),"")</f>
        <v/>
      </c>
      <c r="D33" s="25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6" t="s">
        <v>390</v>
      </c>
    </row>
    <row r="2" customFormat="false" ht="15" hidden="false" customHeight="false" outlineLevel="0" collapsed="false">
      <c r="A2" s="3" t="s">
        <v>391</v>
      </c>
    </row>
    <row r="3" customFormat="false" ht="15" hidden="false" customHeight="false" outlineLevel="0" collapsed="false">
      <c r="A3" s="7" t="s">
        <v>42</v>
      </c>
    </row>
    <row r="4" customFormat="false" ht="15" hidden="false" customHeight="false" outlineLevel="0" collapsed="false">
      <c r="A4" s="4" t="s">
        <v>392</v>
      </c>
      <c r="D4" s="17" t="n">
        <v>0.15</v>
      </c>
    </row>
    <row r="5" customFormat="false" ht="30" hidden="false" customHeight="true" outlineLevel="0" collapsed="false">
      <c r="A5" s="8" t="s">
        <v>393</v>
      </c>
      <c r="B5" s="8" t="s">
        <v>394</v>
      </c>
      <c r="C5" s="8" t="s">
        <v>395</v>
      </c>
      <c r="D5" s="8" t="s">
        <v>396</v>
      </c>
      <c r="E5" s="8" t="s">
        <v>397</v>
      </c>
      <c r="F5" s="8" t="s">
        <v>398</v>
      </c>
      <c r="G5" s="8" t="s">
        <v>399</v>
      </c>
      <c r="H5" s="8" t="s">
        <v>400</v>
      </c>
      <c r="I5" s="8" t="s">
        <v>401</v>
      </c>
      <c r="J5" s="8" t="s">
        <v>402</v>
      </c>
      <c r="K5" s="8" t="s">
        <v>403</v>
      </c>
      <c r="L5" s="8" t="s">
        <v>404</v>
      </c>
      <c r="M5" s="8" t="s">
        <v>405</v>
      </c>
      <c r="N5" s="8" t="s">
        <v>406</v>
      </c>
    </row>
    <row r="6" customFormat="false" ht="15" hidden="false" customHeight="false" outlineLevel="0" collapsed="false">
      <c r="A6" s="43" t="s">
        <v>407</v>
      </c>
      <c r="B6" s="11" t="s">
        <v>408</v>
      </c>
      <c r="C6" s="5" t="s">
        <v>409</v>
      </c>
      <c r="D6" s="5" t="s">
        <v>410</v>
      </c>
      <c r="E6" s="9" t="s">
        <v>411</v>
      </c>
      <c r="F6" s="9" t="s">
        <v>411</v>
      </c>
      <c r="G6" s="9"/>
      <c r="H6" s="9"/>
      <c r="I6" s="9"/>
      <c r="J6" s="9"/>
      <c r="K6" s="9"/>
      <c r="L6" s="9"/>
      <c r="M6" s="9"/>
      <c r="N6" s="9"/>
    </row>
    <row r="7" customFormat="false" ht="23.85" hidden="false" customHeight="false" outlineLevel="0" collapsed="false">
      <c r="A7" s="43" t="s">
        <v>412</v>
      </c>
      <c r="B7" s="11"/>
      <c r="C7" s="5" t="s">
        <v>413</v>
      </c>
      <c r="D7" s="5" t="s">
        <v>410</v>
      </c>
      <c r="E7" s="9" t="s">
        <v>414</v>
      </c>
      <c r="F7" s="9" t="s">
        <v>414</v>
      </c>
      <c r="G7" s="9"/>
      <c r="H7" s="9"/>
      <c r="I7" s="9"/>
      <c r="J7" s="9"/>
      <c r="K7" s="9"/>
      <c r="L7" s="9"/>
      <c r="M7" s="9"/>
      <c r="N7" s="9"/>
    </row>
    <row r="8" customFormat="false" ht="15" hidden="false" customHeight="false" outlineLevel="0" collapsed="false">
      <c r="A8" s="43" t="s">
        <v>415</v>
      </c>
      <c r="B8" s="11" t="s">
        <v>416</v>
      </c>
      <c r="C8" s="5" t="s">
        <v>417</v>
      </c>
      <c r="D8" s="5" t="s">
        <v>418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customFormat="false" ht="15" hidden="false" customHeight="false" outlineLevel="0" collapsed="false">
      <c r="A9" s="43" t="s">
        <v>419</v>
      </c>
      <c r="B9" s="11"/>
      <c r="C9" s="5" t="s">
        <v>420</v>
      </c>
      <c r="D9" s="5" t="s">
        <v>418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customFormat="false" ht="15" hidden="false" customHeight="false" outlineLevel="0" collapsed="false">
      <c r="A10" s="43" t="s">
        <v>421</v>
      </c>
      <c r="B10" s="11"/>
      <c r="C10" s="5" t="s">
        <v>422</v>
      </c>
      <c r="D10" s="5" t="s">
        <v>423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</row>
    <row r="11" customFormat="false" ht="15" hidden="false" customHeight="false" outlineLevel="0" collapsed="false">
      <c r="A11" s="43" t="s">
        <v>424</v>
      </c>
      <c r="B11" s="11"/>
      <c r="C11" s="5" t="s">
        <v>425</v>
      </c>
      <c r="D11" s="5" t="s">
        <v>423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</row>
    <row r="12" customFormat="false" ht="15" hidden="false" customHeight="false" outlineLevel="0" collapsed="false">
      <c r="A12" s="43" t="s">
        <v>426</v>
      </c>
      <c r="B12" s="11"/>
      <c r="C12" s="5" t="s">
        <v>427</v>
      </c>
      <c r="D12" s="5" t="s">
        <v>428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</row>
    <row r="13" customFormat="false" ht="15" hidden="false" customHeight="false" outlineLevel="0" collapsed="false">
      <c r="A13" s="43" t="s">
        <v>429</v>
      </c>
      <c r="B13" s="11"/>
      <c r="C13" s="5" t="s">
        <v>430</v>
      </c>
      <c r="D13" s="5" t="s">
        <v>428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</row>
    <row r="14" customFormat="false" ht="15" hidden="false" customHeight="false" outlineLevel="0" collapsed="false">
      <c r="A14" s="43" t="s">
        <v>431</v>
      </c>
      <c r="B14" s="11" t="s">
        <v>432</v>
      </c>
      <c r="C14" s="5" t="s">
        <v>433</v>
      </c>
      <c r="D14" s="5" t="s">
        <v>239</v>
      </c>
      <c r="E14" s="44" t="n">
        <v>264</v>
      </c>
      <c r="F14" s="44" t="n">
        <v>249</v>
      </c>
      <c r="G14" s="44"/>
      <c r="H14" s="44"/>
      <c r="I14" s="44"/>
      <c r="J14" s="44"/>
      <c r="K14" s="44"/>
      <c r="L14" s="44"/>
      <c r="M14" s="44"/>
      <c r="N14" s="44"/>
    </row>
    <row r="15" customFormat="false" ht="15" hidden="false" customHeight="false" outlineLevel="0" collapsed="false">
      <c r="A15" s="43" t="s">
        <v>434</v>
      </c>
      <c r="B15" s="11"/>
      <c r="C15" s="5" t="s">
        <v>435</v>
      </c>
      <c r="D15" s="5" t="s">
        <v>239</v>
      </c>
      <c r="E15" s="44"/>
      <c r="F15" s="44"/>
      <c r="G15" s="44"/>
      <c r="H15" s="44"/>
      <c r="I15" s="44"/>
      <c r="J15" s="44"/>
      <c r="K15" s="44"/>
      <c r="L15" s="44"/>
      <c r="M15" s="44"/>
      <c r="N15" s="44"/>
    </row>
    <row r="16" customFormat="false" ht="15" hidden="false" customHeight="false" outlineLevel="0" collapsed="false">
      <c r="A16" s="43" t="s">
        <v>436</v>
      </c>
      <c r="B16" s="11"/>
      <c r="C16" s="5" t="s">
        <v>437</v>
      </c>
      <c r="D16" s="5" t="s">
        <v>239</v>
      </c>
      <c r="E16" s="44"/>
      <c r="F16" s="44"/>
      <c r="G16" s="44"/>
      <c r="H16" s="44"/>
      <c r="I16" s="44"/>
      <c r="J16" s="44"/>
      <c r="K16" s="44"/>
      <c r="L16" s="44"/>
      <c r="M16" s="44"/>
      <c r="N16" s="44"/>
    </row>
    <row r="17" customFormat="false" ht="15" hidden="false" customHeight="false" outlineLevel="0" collapsed="false">
      <c r="A17" s="43" t="s">
        <v>438</v>
      </c>
      <c r="B17" s="11"/>
      <c r="C17" s="5" t="s">
        <v>439</v>
      </c>
      <c r="D17" s="5" t="s">
        <v>239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</row>
    <row r="18" customFormat="false" ht="15" hidden="false" customHeight="false" outlineLevel="0" collapsed="false">
      <c r="A18" s="43" t="s">
        <v>440</v>
      </c>
      <c r="B18" s="11"/>
      <c r="C18" s="5" t="s">
        <v>441</v>
      </c>
      <c r="D18" s="5" t="s">
        <v>239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</row>
    <row r="19" customFormat="false" ht="15" hidden="false" customHeight="false" outlineLevel="0" collapsed="false">
      <c r="A19" s="43" t="s">
        <v>442</v>
      </c>
      <c r="B19" s="11"/>
      <c r="C19" s="5" t="s">
        <v>443</v>
      </c>
      <c r="D19" s="5" t="s">
        <v>239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</row>
    <row r="20" customFormat="false" ht="15" hidden="false" customHeight="false" outlineLevel="0" collapsed="false">
      <c r="A20" s="43" t="s">
        <v>444</v>
      </c>
      <c r="B20" s="11"/>
      <c r="C20" s="5" t="s">
        <v>445</v>
      </c>
      <c r="D20" s="5" t="s">
        <v>239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</row>
    <row r="21" customFormat="false" ht="15" hidden="false" customHeight="false" outlineLevel="0" collapsed="false">
      <c r="A21" s="43" t="s">
        <v>446</v>
      </c>
      <c r="B21" s="11"/>
      <c r="C21" s="5" t="s">
        <v>447</v>
      </c>
      <c r="D21" s="5" t="s">
        <v>239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</row>
    <row r="22" customFormat="false" ht="15" hidden="false" customHeight="false" outlineLevel="0" collapsed="false">
      <c r="A22" s="43" t="s">
        <v>448</v>
      </c>
      <c r="B22" s="11"/>
      <c r="C22" s="5" t="s">
        <v>449</v>
      </c>
      <c r="D22" s="5" t="s">
        <v>428</v>
      </c>
      <c r="E22" s="28" t="n">
        <v>7500</v>
      </c>
      <c r="F22" s="28" t="n">
        <v>6800</v>
      </c>
      <c r="G22" s="28"/>
      <c r="H22" s="28"/>
      <c r="I22" s="28"/>
      <c r="J22" s="28"/>
      <c r="K22" s="28"/>
      <c r="L22" s="28"/>
      <c r="M22" s="28"/>
      <c r="N22" s="28"/>
    </row>
    <row r="23" customFormat="false" ht="15" hidden="false" customHeight="false" outlineLevel="0" collapsed="false">
      <c r="A23" s="43" t="s">
        <v>450</v>
      </c>
      <c r="B23" s="11"/>
      <c r="C23" s="5" t="s">
        <v>451</v>
      </c>
      <c r="D23" s="5" t="s">
        <v>428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</row>
    <row r="24" customFormat="false" ht="15" hidden="false" customHeight="false" outlineLevel="0" collapsed="false">
      <c r="A24" s="43" t="s">
        <v>452</v>
      </c>
      <c r="B24" s="11"/>
      <c r="C24" s="5" t="s">
        <v>453</v>
      </c>
      <c r="D24" s="5" t="s">
        <v>428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</row>
    <row r="25" customFormat="false" ht="15" hidden="false" customHeight="false" outlineLevel="0" collapsed="false">
      <c r="A25" s="43" t="s">
        <v>454</v>
      </c>
      <c r="B25" s="11"/>
      <c r="C25" s="5" t="s">
        <v>455</v>
      </c>
      <c r="D25" s="5" t="s">
        <v>428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</row>
    <row r="26" customFormat="false" ht="15" hidden="false" customHeight="false" outlineLevel="0" collapsed="false">
      <c r="A26" s="43" t="s">
        <v>456</v>
      </c>
      <c r="B26" s="11"/>
      <c r="C26" s="5" t="s">
        <v>457</v>
      </c>
      <c r="D26" s="5" t="s">
        <v>428</v>
      </c>
      <c r="E26" s="28"/>
      <c r="F26" s="28"/>
      <c r="G26" s="28"/>
      <c r="H26" s="28"/>
      <c r="I26" s="28"/>
      <c r="J26" s="28"/>
      <c r="K26" s="28"/>
      <c r="L26" s="28"/>
      <c r="M26" s="28"/>
      <c r="N26" s="28"/>
    </row>
    <row r="27" customFormat="false" ht="15" hidden="false" customHeight="false" outlineLevel="0" collapsed="false">
      <c r="A27" s="43" t="s">
        <v>458</v>
      </c>
      <c r="B27" s="11"/>
      <c r="C27" s="5" t="s">
        <v>459</v>
      </c>
      <c r="D27" s="5" t="s">
        <v>428</v>
      </c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customFormat="false" ht="15" hidden="false" customHeight="false" outlineLevel="0" collapsed="false">
      <c r="A28" s="43" t="s">
        <v>460</v>
      </c>
      <c r="B28" s="11"/>
      <c r="C28" s="5" t="s">
        <v>461</v>
      </c>
      <c r="D28" s="5" t="s">
        <v>428</v>
      </c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customFormat="false" ht="15" hidden="false" customHeight="false" outlineLevel="0" collapsed="false">
      <c r="A29" s="43" t="s">
        <v>462</v>
      </c>
      <c r="B29" s="11"/>
      <c r="C29" s="5" t="s">
        <v>463</v>
      </c>
      <c r="D29" s="5" t="s">
        <v>428</v>
      </c>
      <c r="E29" s="28"/>
      <c r="F29" s="28"/>
      <c r="G29" s="28"/>
      <c r="H29" s="28"/>
      <c r="I29" s="28"/>
      <c r="J29" s="28"/>
      <c r="K29" s="28"/>
      <c r="L29" s="28"/>
      <c r="M29" s="28"/>
      <c r="N29" s="28"/>
    </row>
    <row r="30" customFormat="false" ht="23.85" hidden="false" customHeight="false" outlineLevel="0" collapsed="false">
      <c r="A30" s="43" t="s">
        <v>464</v>
      </c>
      <c r="B30" s="11"/>
      <c r="C30" s="5" t="s">
        <v>465</v>
      </c>
      <c r="D30" s="5" t="s">
        <v>466</v>
      </c>
      <c r="E30" s="9"/>
      <c r="F30" s="9"/>
      <c r="G30" s="9"/>
      <c r="H30" s="9"/>
      <c r="I30" s="9"/>
      <c r="J30" s="9"/>
      <c r="K30" s="9"/>
      <c r="L30" s="9"/>
      <c r="M30" s="9"/>
      <c r="N30" s="9"/>
    </row>
    <row r="31" customFormat="false" ht="23.85" hidden="false" customHeight="false" outlineLevel="0" collapsed="false">
      <c r="A31" s="43" t="s">
        <v>467</v>
      </c>
      <c r="B31" s="11"/>
      <c r="C31" s="5" t="s">
        <v>468</v>
      </c>
      <c r="D31" s="5" t="s">
        <v>466</v>
      </c>
      <c r="E31" s="9"/>
      <c r="F31" s="9"/>
      <c r="G31" s="9"/>
      <c r="H31" s="9"/>
      <c r="I31" s="9"/>
      <c r="J31" s="9"/>
      <c r="K31" s="9"/>
      <c r="L31" s="9"/>
      <c r="M31" s="9"/>
      <c r="N31" s="9"/>
    </row>
    <row r="32" customFormat="false" ht="23.85" hidden="false" customHeight="false" outlineLevel="0" collapsed="false">
      <c r="A32" s="43" t="s">
        <v>469</v>
      </c>
      <c r="B32" s="11"/>
      <c r="C32" s="5" t="s">
        <v>470</v>
      </c>
      <c r="D32" s="5" t="s">
        <v>466</v>
      </c>
      <c r="E32" s="9"/>
      <c r="F32" s="9"/>
      <c r="G32" s="9"/>
      <c r="H32" s="9"/>
      <c r="I32" s="9"/>
      <c r="J32" s="9"/>
      <c r="K32" s="9"/>
      <c r="L32" s="9"/>
      <c r="M32" s="9"/>
      <c r="N32" s="9"/>
    </row>
    <row r="33" customFormat="false" ht="23.85" hidden="false" customHeight="false" outlineLevel="0" collapsed="false">
      <c r="A33" s="43" t="s">
        <v>471</v>
      </c>
      <c r="B33" s="11"/>
      <c r="C33" s="5" t="s">
        <v>472</v>
      </c>
      <c r="D33" s="5" t="s">
        <v>466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customFormat="false" ht="23.85" hidden="false" customHeight="false" outlineLevel="0" collapsed="false">
      <c r="A34" s="43" t="s">
        <v>473</v>
      </c>
      <c r="B34" s="11"/>
      <c r="C34" s="5" t="s">
        <v>474</v>
      </c>
      <c r="D34" s="5" t="s">
        <v>466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23.85" hidden="false" customHeight="false" outlineLevel="0" collapsed="false">
      <c r="A35" s="43" t="s">
        <v>475</v>
      </c>
      <c r="B35" s="11"/>
      <c r="C35" s="5" t="s">
        <v>476</v>
      </c>
      <c r="D35" s="5" t="s">
        <v>466</v>
      </c>
      <c r="E35" s="9"/>
      <c r="F35" s="9"/>
      <c r="G35" s="9"/>
      <c r="H35" s="9"/>
      <c r="I35" s="9"/>
      <c r="J35" s="9"/>
      <c r="K35" s="9"/>
      <c r="L35" s="9"/>
      <c r="M35" s="9"/>
      <c r="N35" s="9"/>
    </row>
    <row r="36" customFormat="false" ht="23.85" hidden="false" customHeight="false" outlineLevel="0" collapsed="false">
      <c r="A36" s="43" t="s">
        <v>477</v>
      </c>
      <c r="B36" s="11"/>
      <c r="C36" s="5" t="s">
        <v>478</v>
      </c>
      <c r="D36" s="5" t="s">
        <v>466</v>
      </c>
      <c r="E36" s="9"/>
      <c r="F36" s="9"/>
      <c r="G36" s="9"/>
      <c r="H36" s="9"/>
      <c r="I36" s="9"/>
      <c r="J36" s="9"/>
      <c r="K36" s="9"/>
      <c r="L36" s="9"/>
      <c r="M36" s="9"/>
      <c r="N36" s="9"/>
    </row>
    <row r="37" customFormat="false" ht="23.85" hidden="false" customHeight="false" outlineLevel="0" collapsed="false">
      <c r="A37" s="43" t="s">
        <v>479</v>
      </c>
      <c r="B37" s="11"/>
      <c r="C37" s="5" t="s">
        <v>480</v>
      </c>
      <c r="D37" s="5" t="s">
        <v>466</v>
      </c>
      <c r="E37" s="9"/>
      <c r="F37" s="9"/>
      <c r="G37" s="9"/>
      <c r="H37" s="9"/>
      <c r="I37" s="9"/>
      <c r="J37" s="9"/>
      <c r="K37" s="9"/>
      <c r="L37" s="9"/>
      <c r="M37" s="9"/>
      <c r="N37" s="9"/>
    </row>
    <row r="38" customFormat="false" ht="15" hidden="false" customHeight="false" outlineLevel="0" collapsed="false">
      <c r="A38" s="43" t="s">
        <v>481</v>
      </c>
      <c r="B38" s="11"/>
      <c r="C38" s="5" t="s">
        <v>482</v>
      </c>
      <c r="D38" s="5" t="s">
        <v>483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</row>
    <row r="39" customFormat="false" ht="15" hidden="false" customHeight="false" outlineLevel="0" collapsed="false">
      <c r="A39" s="43" t="s">
        <v>484</v>
      </c>
      <c r="B39" s="11"/>
      <c r="C39" s="5" t="s">
        <v>485</v>
      </c>
      <c r="D39" s="5" t="s">
        <v>483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</row>
    <row r="40" customFormat="false" ht="15" hidden="false" customHeight="false" outlineLevel="0" collapsed="false">
      <c r="A40" s="43" t="s">
        <v>486</v>
      </c>
      <c r="B40" s="11"/>
      <c r="C40" s="5" t="s">
        <v>487</v>
      </c>
      <c r="D40" s="5" t="s">
        <v>483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</row>
    <row r="41" customFormat="false" ht="15" hidden="false" customHeight="false" outlineLevel="0" collapsed="false">
      <c r="A41" s="43" t="s">
        <v>488</v>
      </c>
      <c r="B41" s="11"/>
      <c r="C41" s="5" t="s">
        <v>489</v>
      </c>
      <c r="D41" s="5" t="s">
        <v>483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customFormat="false" ht="15" hidden="false" customHeight="false" outlineLevel="0" collapsed="false">
      <c r="A42" s="43" t="s">
        <v>490</v>
      </c>
      <c r="B42" s="11"/>
      <c r="C42" s="5" t="s">
        <v>491</v>
      </c>
      <c r="D42" s="5" t="s">
        <v>483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</row>
    <row r="43" customFormat="false" ht="15" hidden="false" customHeight="false" outlineLevel="0" collapsed="false">
      <c r="A43" s="43" t="s">
        <v>492</v>
      </c>
      <c r="B43" s="11"/>
      <c r="C43" s="5" t="s">
        <v>493</v>
      </c>
      <c r="D43" s="5" t="s">
        <v>483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</row>
    <row r="44" customFormat="false" ht="15" hidden="false" customHeight="false" outlineLevel="0" collapsed="false">
      <c r="A44" s="43" t="s">
        <v>494</v>
      </c>
      <c r="B44" s="11"/>
      <c r="C44" s="5" t="s">
        <v>495</v>
      </c>
      <c r="D44" s="5" t="s">
        <v>483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</row>
    <row r="45" customFormat="false" ht="15" hidden="false" customHeight="false" outlineLevel="0" collapsed="false">
      <c r="A45" s="43" t="s">
        <v>496</v>
      </c>
      <c r="B45" s="11"/>
      <c r="C45" s="5" t="s">
        <v>497</v>
      </c>
      <c r="D45" s="5" t="s">
        <v>483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</row>
    <row r="46" customFormat="false" ht="15" hidden="false" customHeight="false" outlineLevel="0" collapsed="false">
      <c r="A46" s="43" t="s">
        <v>498</v>
      </c>
      <c r="B46" s="11" t="s">
        <v>499</v>
      </c>
      <c r="C46" s="5" t="s">
        <v>500</v>
      </c>
      <c r="D46" s="5" t="s">
        <v>423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</row>
    <row r="47" customFormat="false" ht="15" hidden="false" customHeight="false" outlineLevel="0" collapsed="false">
      <c r="A47" s="43" t="s">
        <v>501</v>
      </c>
      <c r="B47" s="11"/>
      <c r="C47" s="5" t="s">
        <v>502</v>
      </c>
      <c r="D47" s="5" t="s">
        <v>423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</row>
    <row r="48" customFormat="false" ht="15" hidden="false" customHeight="false" outlineLevel="0" collapsed="false">
      <c r="A48" s="43" t="s">
        <v>503</v>
      </c>
      <c r="B48" s="11"/>
      <c r="C48" s="5" t="s">
        <v>504</v>
      </c>
      <c r="D48" s="5" t="s">
        <v>505</v>
      </c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customFormat="false" ht="15" hidden="false" customHeight="false" outlineLevel="0" collapsed="false">
      <c r="A49" s="43" t="s">
        <v>506</v>
      </c>
      <c r="B49" s="11"/>
      <c r="C49" s="5" t="s">
        <v>507</v>
      </c>
      <c r="D49" s="5" t="s">
        <v>505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customFormat="false" ht="15" hidden="false" customHeight="false" outlineLevel="0" collapsed="false">
      <c r="A50" s="43" t="s">
        <v>508</v>
      </c>
      <c r="B50" s="11"/>
      <c r="C50" s="5" t="s">
        <v>509</v>
      </c>
      <c r="D50" s="5" t="s">
        <v>510</v>
      </c>
      <c r="E50" s="9"/>
      <c r="F50" s="9"/>
      <c r="G50" s="9"/>
      <c r="H50" s="9"/>
      <c r="I50" s="9"/>
      <c r="J50" s="9"/>
      <c r="K50" s="9"/>
      <c r="L50" s="9"/>
      <c r="M50" s="9"/>
      <c r="N50" s="9"/>
    </row>
    <row r="51" customFormat="false" ht="15" hidden="false" customHeight="false" outlineLevel="0" collapsed="false">
      <c r="A51" s="43" t="s">
        <v>511</v>
      </c>
      <c r="B51" s="11"/>
      <c r="C51" s="5" t="s">
        <v>512</v>
      </c>
      <c r="D51" s="5" t="s">
        <v>510</v>
      </c>
      <c r="E51" s="9"/>
      <c r="F51" s="9"/>
      <c r="G51" s="9"/>
      <c r="H51" s="9"/>
      <c r="I51" s="9"/>
      <c r="J51" s="9"/>
      <c r="K51" s="9"/>
      <c r="L51" s="9"/>
      <c r="M51" s="9"/>
      <c r="N51" s="9"/>
    </row>
    <row r="52" customFormat="false" ht="15" hidden="false" customHeight="false" outlineLevel="0" collapsed="false">
      <c r="A52" s="43" t="s">
        <v>513</v>
      </c>
      <c r="B52" s="11" t="s">
        <v>514</v>
      </c>
      <c r="C52" s="5" t="s">
        <v>515</v>
      </c>
      <c r="D52" s="5" t="s">
        <v>510</v>
      </c>
      <c r="E52" s="9"/>
      <c r="F52" s="9"/>
      <c r="G52" s="9"/>
      <c r="H52" s="9"/>
      <c r="I52" s="9"/>
      <c r="J52" s="9"/>
      <c r="K52" s="9"/>
      <c r="L52" s="9"/>
      <c r="M52" s="9"/>
      <c r="N52" s="9"/>
    </row>
    <row r="53" customFormat="false" ht="15" hidden="false" customHeight="false" outlineLevel="0" collapsed="false">
      <c r="A53" s="43" t="s">
        <v>516</v>
      </c>
      <c r="B53" s="11"/>
      <c r="C53" s="5" t="s">
        <v>517</v>
      </c>
      <c r="D53" s="5" t="s">
        <v>518</v>
      </c>
      <c r="E53" s="9"/>
      <c r="F53" s="9"/>
      <c r="G53" s="9"/>
      <c r="H53" s="9"/>
      <c r="I53" s="9"/>
      <c r="J53" s="9"/>
      <c r="K53" s="9"/>
      <c r="L53" s="9"/>
      <c r="M53" s="9"/>
      <c r="N53" s="9"/>
    </row>
    <row r="54" customFormat="false" ht="15" hidden="false" customHeight="false" outlineLevel="0" collapsed="false">
      <c r="A54" s="43" t="s">
        <v>519</v>
      </c>
      <c r="B54" s="11"/>
      <c r="C54" s="5" t="s">
        <v>520</v>
      </c>
      <c r="D54" s="5" t="s">
        <v>510</v>
      </c>
      <c r="E54" s="9"/>
      <c r="F54" s="9"/>
      <c r="G54" s="9"/>
      <c r="H54" s="9"/>
      <c r="I54" s="9"/>
      <c r="J54" s="9"/>
      <c r="K54" s="9"/>
      <c r="L54" s="9"/>
      <c r="M54" s="9"/>
      <c r="N54" s="9"/>
    </row>
    <row r="55" customFormat="false" ht="15" hidden="false" customHeight="false" outlineLevel="0" collapsed="false">
      <c r="A55" s="43" t="s">
        <v>521</v>
      </c>
      <c r="B55" s="11" t="s">
        <v>522</v>
      </c>
      <c r="C55" s="5" t="s">
        <v>523</v>
      </c>
      <c r="D55" s="5" t="s">
        <v>428</v>
      </c>
      <c r="E55" s="28"/>
      <c r="F55" s="28"/>
      <c r="G55" s="28"/>
      <c r="H55" s="28"/>
      <c r="I55" s="28"/>
      <c r="J55" s="28"/>
      <c r="K55" s="28"/>
      <c r="L55" s="28"/>
      <c r="M55" s="28"/>
      <c r="N55" s="28"/>
    </row>
    <row r="56" customFormat="false" ht="15" hidden="false" customHeight="false" outlineLevel="0" collapsed="false">
      <c r="A56" s="43" t="s">
        <v>524</v>
      </c>
      <c r="B56" s="11"/>
      <c r="C56" s="5" t="s">
        <v>525</v>
      </c>
      <c r="D56" s="5" t="s">
        <v>410</v>
      </c>
      <c r="E56" s="9"/>
      <c r="F56" s="9"/>
      <c r="G56" s="9"/>
      <c r="H56" s="9"/>
      <c r="I56" s="9"/>
      <c r="J56" s="9"/>
      <c r="K56" s="9"/>
      <c r="L56" s="9"/>
      <c r="M56" s="9"/>
      <c r="N56" s="9"/>
    </row>
    <row r="57" customFormat="false" ht="15" hidden="false" customHeight="false" outlineLevel="0" collapsed="false">
      <c r="A57" s="43" t="s">
        <v>526</v>
      </c>
      <c r="B57" s="11" t="s">
        <v>527</v>
      </c>
      <c r="C57" s="5" t="s">
        <v>528</v>
      </c>
      <c r="D57" s="5" t="s">
        <v>428</v>
      </c>
      <c r="E57" s="28"/>
      <c r="F57" s="28"/>
      <c r="G57" s="28"/>
      <c r="H57" s="28"/>
      <c r="I57" s="28"/>
      <c r="J57" s="28"/>
      <c r="K57" s="28"/>
      <c r="L57" s="28"/>
      <c r="M57" s="28"/>
      <c r="N57" s="28"/>
    </row>
    <row r="58" customFormat="false" ht="15" hidden="false" customHeight="false" outlineLevel="0" collapsed="false">
      <c r="A58" s="43" t="s">
        <v>529</v>
      </c>
      <c r="B58" s="11"/>
      <c r="C58" s="5" t="s">
        <v>530</v>
      </c>
      <c r="D58" s="5" t="s">
        <v>428</v>
      </c>
      <c r="E58" s="28"/>
      <c r="F58" s="28"/>
      <c r="G58" s="28"/>
      <c r="H58" s="28"/>
      <c r="I58" s="28"/>
      <c r="J58" s="28"/>
      <c r="K58" s="28"/>
      <c r="L58" s="28"/>
      <c r="M58" s="28"/>
      <c r="N58" s="28"/>
    </row>
    <row r="59" customFormat="false" ht="15" hidden="false" customHeight="false" outlineLevel="0" collapsed="false">
      <c r="A59" s="43" t="s">
        <v>531</v>
      </c>
      <c r="B59" s="11"/>
      <c r="C59" s="5" t="s">
        <v>532</v>
      </c>
      <c r="D59" s="5" t="s">
        <v>533</v>
      </c>
      <c r="E59" s="9"/>
      <c r="F59" s="9"/>
      <c r="G59" s="9"/>
      <c r="H59" s="9"/>
      <c r="I59" s="9"/>
      <c r="J59" s="9"/>
      <c r="K59" s="9"/>
      <c r="L59" s="9"/>
      <c r="M59" s="9"/>
      <c r="N59" s="9"/>
    </row>
    <row r="60" customFormat="false" ht="15" hidden="false" customHeight="false" outlineLevel="0" collapsed="false">
      <c r="A60" s="43" t="s">
        <v>534</v>
      </c>
      <c r="B60" s="11"/>
      <c r="C60" s="5" t="s">
        <v>535</v>
      </c>
      <c r="D60" s="5" t="s">
        <v>533</v>
      </c>
      <c r="E60" s="9"/>
      <c r="F60" s="9"/>
      <c r="G60" s="9"/>
      <c r="H60" s="9"/>
      <c r="I60" s="9"/>
      <c r="J60" s="9"/>
      <c r="K60" s="9"/>
      <c r="L60" s="9"/>
      <c r="M60" s="9"/>
      <c r="N60" s="9"/>
    </row>
    <row r="61" customFormat="false" ht="15" hidden="false" customHeight="false" outlineLevel="0" collapsed="false">
      <c r="A61" s="43" t="s">
        <v>536</v>
      </c>
      <c r="B61" s="11"/>
      <c r="C61" s="5" t="s">
        <v>537</v>
      </c>
      <c r="D61" s="5" t="s">
        <v>239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</row>
    <row r="62" customFormat="false" ht="23.85" hidden="false" customHeight="false" outlineLevel="0" collapsed="false">
      <c r="A62" s="43" t="s">
        <v>538</v>
      </c>
      <c r="B62" s="11" t="s">
        <v>539</v>
      </c>
      <c r="C62" s="5" t="s">
        <v>540</v>
      </c>
      <c r="D62" s="5" t="s">
        <v>239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</row>
    <row r="63" customFormat="false" ht="15" hidden="false" customHeight="false" outlineLevel="0" collapsed="false">
      <c r="A63" s="43" t="s">
        <v>541</v>
      </c>
      <c r="B63" s="11"/>
      <c r="C63" s="5" t="s">
        <v>542</v>
      </c>
      <c r="D63" s="5" t="s">
        <v>505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15" hidden="false" customHeight="false" outlineLevel="0" collapsed="false">
      <c r="A64" s="43" t="s">
        <v>543</v>
      </c>
      <c r="B64" s="11"/>
      <c r="C64" s="5" t="s">
        <v>544</v>
      </c>
      <c r="D64" s="5" t="s">
        <v>239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</row>
    <row r="65" customFormat="false" ht="15" hidden="false" customHeight="false" outlineLevel="0" collapsed="false">
      <c r="A65" s="43" t="s">
        <v>545</v>
      </c>
      <c r="B65" s="11"/>
      <c r="C65" s="5" t="s">
        <v>546</v>
      </c>
      <c r="D65" s="5" t="s">
        <v>410</v>
      </c>
      <c r="E65" s="9"/>
      <c r="F65" s="9"/>
      <c r="G65" s="9"/>
      <c r="H65" s="9"/>
      <c r="I65" s="9"/>
      <c r="J65" s="9"/>
      <c r="K65" s="9"/>
      <c r="L65" s="9"/>
      <c r="M65" s="9"/>
      <c r="N65" s="9"/>
    </row>
    <row r="66" customFormat="false" ht="15" hidden="false" customHeight="false" outlineLevel="0" collapsed="false">
      <c r="A66" s="43" t="s">
        <v>547</v>
      </c>
      <c r="B66" s="11"/>
      <c r="C66" s="5" t="s">
        <v>548</v>
      </c>
      <c r="D66" s="5" t="s">
        <v>549</v>
      </c>
      <c r="E66" s="9"/>
      <c r="F66" s="9"/>
      <c r="G66" s="9"/>
      <c r="H66" s="9"/>
      <c r="I66" s="9"/>
      <c r="J66" s="9"/>
      <c r="K66" s="9"/>
      <c r="L66" s="9"/>
      <c r="M66" s="9"/>
      <c r="N66" s="9"/>
    </row>
    <row r="68" customFormat="false" ht="35.05" hidden="false" customHeight="false" outlineLevel="0" collapsed="false">
      <c r="B68" s="11" t="s">
        <v>550</v>
      </c>
    </row>
    <row r="69" customFormat="false" ht="15" hidden="false" customHeight="false" outlineLevel="0" collapsed="false">
      <c r="A69" s="8" t="s">
        <v>551</v>
      </c>
      <c r="B69" s="8" t="s">
        <v>394</v>
      </c>
      <c r="C69" s="8" t="s">
        <v>395</v>
      </c>
      <c r="D69" s="8" t="s">
        <v>396</v>
      </c>
      <c r="E69" s="8" t="s">
        <v>397</v>
      </c>
      <c r="F69" s="8" t="s">
        <v>398</v>
      </c>
      <c r="G69" s="8" t="s">
        <v>399</v>
      </c>
      <c r="H69" s="8" t="s">
        <v>400</v>
      </c>
      <c r="I69" s="8" t="s">
        <v>401</v>
      </c>
      <c r="J69" s="8" t="s">
        <v>402</v>
      </c>
      <c r="K69" s="8" t="s">
        <v>403</v>
      </c>
      <c r="L69" s="8" t="s">
        <v>404</v>
      </c>
      <c r="M69" s="8" t="s">
        <v>405</v>
      </c>
      <c r="N69" s="8" t="s">
        <v>406</v>
      </c>
    </row>
    <row r="70" customFormat="false" ht="15" hidden="false" customHeight="false" outlineLevel="0" collapsed="false">
      <c r="A70" s="43" t="s">
        <v>407</v>
      </c>
      <c r="C70" s="5" t="s">
        <v>409</v>
      </c>
      <c r="F70" s="22" t="str">
        <f aca="false">IF(AND(ISNUMBER(F6),ISNUMBER(E6),E6&lt;&gt;0),F6/E6-1,"")</f>
        <v/>
      </c>
      <c r="G70" s="22" t="str">
        <f aca="false">IF(AND(ISNUMBER(G6),ISNUMBER(F6),F6&lt;&gt;0),G6/F6-1,"")</f>
        <v/>
      </c>
      <c r="H70" s="22" t="str">
        <f aca="false">IF(AND(ISNUMBER(H6),ISNUMBER(G6),G6&lt;&gt;0),H6/G6-1,"")</f>
        <v/>
      </c>
      <c r="I70" s="22" t="str">
        <f aca="false">IF(AND(ISNUMBER(I6),ISNUMBER(H6),H6&lt;&gt;0),I6/H6-1,"")</f>
        <v/>
      </c>
      <c r="J70" s="22" t="str">
        <f aca="false">IF(AND(ISNUMBER(J6),ISNUMBER(I6),I6&lt;&gt;0),J6/I6-1,"")</f>
        <v/>
      </c>
      <c r="K70" s="22" t="str">
        <f aca="false">IF(AND(ISNUMBER(K6),ISNUMBER(J6),J6&lt;&gt;0),K6/J6-1,"")</f>
        <v/>
      </c>
      <c r="L70" s="22" t="str">
        <f aca="false">IF(AND(ISNUMBER(L6),ISNUMBER(K6),K6&lt;&gt;0),L6/K6-1,"")</f>
        <v/>
      </c>
      <c r="M70" s="22" t="str">
        <f aca="false">IF(AND(ISNUMBER(M6),ISNUMBER(L6),L6&lt;&gt;0),M6/L6-1,"")</f>
        <v/>
      </c>
      <c r="N70" s="22" t="str">
        <f aca="false">IF(AND(ISNUMBER(N6),ISNUMBER(M6),M6&lt;&gt;0),N6/M6-1,"")</f>
        <v/>
      </c>
    </row>
    <row r="71" customFormat="false" ht="15" hidden="false" customHeight="false" outlineLevel="0" collapsed="false">
      <c r="A71" s="43" t="s">
        <v>412</v>
      </c>
      <c r="C71" s="5" t="s">
        <v>413</v>
      </c>
      <c r="F71" s="22" t="str">
        <f aca="false">IF(AND(ISNUMBER(F7),ISNUMBER(E7),E7&lt;&gt;0),F7/E7-1,"")</f>
        <v/>
      </c>
      <c r="G71" s="22" t="str">
        <f aca="false">IF(AND(ISNUMBER(G7),ISNUMBER(F7),F7&lt;&gt;0),G7/F7-1,"")</f>
        <v/>
      </c>
      <c r="H71" s="22" t="str">
        <f aca="false">IF(AND(ISNUMBER(H7),ISNUMBER(G7),G7&lt;&gt;0),H7/G7-1,"")</f>
        <v/>
      </c>
      <c r="I71" s="22" t="str">
        <f aca="false">IF(AND(ISNUMBER(I7),ISNUMBER(H7),H7&lt;&gt;0),I7/H7-1,"")</f>
        <v/>
      </c>
      <c r="J71" s="22" t="str">
        <f aca="false">IF(AND(ISNUMBER(J7),ISNUMBER(I7),I7&lt;&gt;0),J7/I7-1,"")</f>
        <v/>
      </c>
      <c r="K71" s="22" t="str">
        <f aca="false">IF(AND(ISNUMBER(K7),ISNUMBER(J7),J7&lt;&gt;0),K7/J7-1,"")</f>
        <v/>
      </c>
      <c r="L71" s="22" t="str">
        <f aca="false">IF(AND(ISNUMBER(L7),ISNUMBER(K7),K7&lt;&gt;0),L7/K7-1,"")</f>
        <v/>
      </c>
      <c r="M71" s="22" t="str">
        <f aca="false">IF(AND(ISNUMBER(M7),ISNUMBER(L7),L7&lt;&gt;0),M7/L7-1,"")</f>
        <v/>
      </c>
      <c r="N71" s="22" t="str">
        <f aca="false">IF(AND(ISNUMBER(N7),ISNUMBER(M7),M7&lt;&gt;0),N7/M7-1,"")</f>
        <v/>
      </c>
    </row>
    <row r="72" customFormat="false" ht="15" hidden="false" customHeight="false" outlineLevel="0" collapsed="false">
      <c r="A72" s="43" t="s">
        <v>415</v>
      </c>
      <c r="C72" s="5" t="s">
        <v>417</v>
      </c>
      <c r="F72" s="22" t="str">
        <f aca="false">IF(AND(ISNUMBER(F8),ISNUMBER(E8),E8&lt;&gt;0),F8/E8-1,"")</f>
        <v/>
      </c>
      <c r="G72" s="22" t="str">
        <f aca="false">IF(AND(ISNUMBER(G8),ISNUMBER(F8),F8&lt;&gt;0),G8/F8-1,"")</f>
        <v/>
      </c>
      <c r="H72" s="22" t="str">
        <f aca="false">IF(AND(ISNUMBER(H8),ISNUMBER(G8),G8&lt;&gt;0),H8/G8-1,"")</f>
        <v/>
      </c>
      <c r="I72" s="22" t="str">
        <f aca="false">IF(AND(ISNUMBER(I8),ISNUMBER(H8),H8&lt;&gt;0),I8/H8-1,"")</f>
        <v/>
      </c>
      <c r="J72" s="22" t="str">
        <f aca="false">IF(AND(ISNUMBER(J8),ISNUMBER(I8),I8&lt;&gt;0),J8/I8-1,"")</f>
        <v/>
      </c>
      <c r="K72" s="22" t="str">
        <f aca="false">IF(AND(ISNUMBER(K8),ISNUMBER(J8),J8&lt;&gt;0),K8/J8-1,"")</f>
        <v/>
      </c>
      <c r="L72" s="22" t="str">
        <f aca="false">IF(AND(ISNUMBER(L8),ISNUMBER(K8),K8&lt;&gt;0),L8/K8-1,"")</f>
        <v/>
      </c>
      <c r="M72" s="22" t="str">
        <f aca="false">IF(AND(ISNUMBER(M8),ISNUMBER(L8),L8&lt;&gt;0),M8/L8-1,"")</f>
        <v/>
      </c>
      <c r="N72" s="22" t="str">
        <f aca="false">IF(AND(ISNUMBER(N8),ISNUMBER(M8),M8&lt;&gt;0),N8/M8-1,"")</f>
        <v/>
      </c>
    </row>
    <row r="73" customFormat="false" ht="15" hidden="false" customHeight="false" outlineLevel="0" collapsed="false">
      <c r="A73" s="43" t="s">
        <v>419</v>
      </c>
      <c r="C73" s="5" t="s">
        <v>420</v>
      </c>
      <c r="F73" s="22" t="str">
        <f aca="false">IF(AND(ISNUMBER(F9),ISNUMBER(E9),E9&lt;&gt;0),F9/E9-1,"")</f>
        <v/>
      </c>
      <c r="G73" s="22" t="str">
        <f aca="false">IF(AND(ISNUMBER(G9),ISNUMBER(F9),F9&lt;&gt;0),G9/F9-1,"")</f>
        <v/>
      </c>
      <c r="H73" s="22" t="str">
        <f aca="false">IF(AND(ISNUMBER(H9),ISNUMBER(G9),G9&lt;&gt;0),H9/G9-1,"")</f>
        <v/>
      </c>
      <c r="I73" s="22" t="str">
        <f aca="false">IF(AND(ISNUMBER(I9),ISNUMBER(H9),H9&lt;&gt;0),I9/H9-1,"")</f>
        <v/>
      </c>
      <c r="J73" s="22" t="str">
        <f aca="false">IF(AND(ISNUMBER(J9),ISNUMBER(I9),I9&lt;&gt;0),J9/I9-1,"")</f>
        <v/>
      </c>
      <c r="K73" s="22" t="str">
        <f aca="false">IF(AND(ISNUMBER(K9),ISNUMBER(J9),J9&lt;&gt;0),K9/J9-1,"")</f>
        <v/>
      </c>
      <c r="L73" s="22" t="str">
        <f aca="false">IF(AND(ISNUMBER(L9),ISNUMBER(K9),K9&lt;&gt;0),L9/K9-1,"")</f>
        <v/>
      </c>
      <c r="M73" s="22" t="str">
        <f aca="false">IF(AND(ISNUMBER(M9),ISNUMBER(L9),L9&lt;&gt;0),M9/L9-1,"")</f>
        <v/>
      </c>
      <c r="N73" s="22" t="str">
        <f aca="false">IF(AND(ISNUMBER(N9),ISNUMBER(M9),M9&lt;&gt;0),N9/M9-1,"")</f>
        <v/>
      </c>
    </row>
    <row r="74" customFormat="false" ht="15" hidden="false" customHeight="false" outlineLevel="0" collapsed="false">
      <c r="A74" s="43" t="s">
        <v>421</v>
      </c>
      <c r="C74" s="5" t="s">
        <v>422</v>
      </c>
      <c r="F74" s="22" t="str">
        <f aca="false">IF(AND(ISNUMBER(F10),ISNUMBER(E10),E10&lt;&gt;0),F10/E10-1,"")</f>
        <v/>
      </c>
      <c r="G74" s="22" t="str">
        <f aca="false">IF(AND(ISNUMBER(G10),ISNUMBER(F10),F10&lt;&gt;0),G10/F10-1,"")</f>
        <v/>
      </c>
      <c r="H74" s="22" t="str">
        <f aca="false">IF(AND(ISNUMBER(H10),ISNUMBER(G10),G10&lt;&gt;0),H10/G10-1,"")</f>
        <v/>
      </c>
      <c r="I74" s="22" t="str">
        <f aca="false">IF(AND(ISNUMBER(I10),ISNUMBER(H10),H10&lt;&gt;0),I10/H10-1,"")</f>
        <v/>
      </c>
      <c r="J74" s="22" t="str">
        <f aca="false">IF(AND(ISNUMBER(J10),ISNUMBER(I10),I10&lt;&gt;0),J10/I10-1,"")</f>
        <v/>
      </c>
      <c r="K74" s="22" t="str">
        <f aca="false">IF(AND(ISNUMBER(K10),ISNUMBER(J10),J10&lt;&gt;0),K10/J10-1,"")</f>
        <v/>
      </c>
      <c r="L74" s="22" t="str">
        <f aca="false">IF(AND(ISNUMBER(L10),ISNUMBER(K10),K10&lt;&gt;0),L10/K10-1,"")</f>
        <v/>
      </c>
      <c r="M74" s="22" t="str">
        <f aca="false">IF(AND(ISNUMBER(M10),ISNUMBER(L10),L10&lt;&gt;0),M10/L10-1,"")</f>
        <v/>
      </c>
      <c r="N74" s="22" t="str">
        <f aca="false">IF(AND(ISNUMBER(N10),ISNUMBER(M10),M10&lt;&gt;0),N10/M10-1,"")</f>
        <v/>
      </c>
    </row>
    <row r="75" customFormat="false" ht="15" hidden="false" customHeight="false" outlineLevel="0" collapsed="false">
      <c r="A75" s="43" t="s">
        <v>424</v>
      </c>
      <c r="C75" s="5" t="s">
        <v>425</v>
      </c>
      <c r="F75" s="22" t="str">
        <f aca="false">IF(AND(ISNUMBER(F11),ISNUMBER(E11),E11&lt;&gt;0),F11/E11-1,"")</f>
        <v/>
      </c>
      <c r="G75" s="22" t="str">
        <f aca="false">IF(AND(ISNUMBER(G11),ISNUMBER(F11),F11&lt;&gt;0),G11/F11-1,"")</f>
        <v/>
      </c>
      <c r="H75" s="22" t="str">
        <f aca="false">IF(AND(ISNUMBER(H11),ISNUMBER(G11),G11&lt;&gt;0),H11/G11-1,"")</f>
        <v/>
      </c>
      <c r="I75" s="22" t="str">
        <f aca="false">IF(AND(ISNUMBER(I11),ISNUMBER(H11),H11&lt;&gt;0),I11/H11-1,"")</f>
        <v/>
      </c>
      <c r="J75" s="22" t="str">
        <f aca="false">IF(AND(ISNUMBER(J11),ISNUMBER(I11),I11&lt;&gt;0),J11/I11-1,"")</f>
        <v/>
      </c>
      <c r="K75" s="22" t="str">
        <f aca="false">IF(AND(ISNUMBER(K11),ISNUMBER(J11),J11&lt;&gt;0),K11/J11-1,"")</f>
        <v/>
      </c>
      <c r="L75" s="22" t="str">
        <f aca="false">IF(AND(ISNUMBER(L11),ISNUMBER(K11),K11&lt;&gt;0),L11/K11-1,"")</f>
        <v/>
      </c>
      <c r="M75" s="22" t="str">
        <f aca="false">IF(AND(ISNUMBER(M11),ISNUMBER(L11),L11&lt;&gt;0),M11/L11-1,"")</f>
        <v/>
      </c>
      <c r="N75" s="22" t="str">
        <f aca="false">IF(AND(ISNUMBER(N11),ISNUMBER(M11),M11&lt;&gt;0),N11/M11-1,"")</f>
        <v/>
      </c>
    </row>
    <row r="76" customFormat="false" ht="15" hidden="false" customHeight="false" outlineLevel="0" collapsed="false">
      <c r="A76" s="43" t="s">
        <v>426</v>
      </c>
      <c r="C76" s="5" t="s">
        <v>427</v>
      </c>
      <c r="F76" s="22" t="str">
        <f aca="false">IF(AND(ISNUMBER(F12),ISNUMBER(E12),E12&lt;&gt;0),F12/E12-1,"")</f>
        <v/>
      </c>
      <c r="G76" s="22" t="str">
        <f aca="false">IF(AND(ISNUMBER(G12),ISNUMBER(F12),F12&lt;&gt;0),G12/F12-1,"")</f>
        <v/>
      </c>
      <c r="H76" s="22" t="str">
        <f aca="false">IF(AND(ISNUMBER(H12),ISNUMBER(G12),G12&lt;&gt;0),H12/G12-1,"")</f>
        <v/>
      </c>
      <c r="I76" s="22" t="str">
        <f aca="false">IF(AND(ISNUMBER(I12),ISNUMBER(H12),H12&lt;&gt;0),I12/H12-1,"")</f>
        <v/>
      </c>
      <c r="J76" s="22" t="str">
        <f aca="false">IF(AND(ISNUMBER(J12),ISNUMBER(I12),I12&lt;&gt;0),J12/I12-1,"")</f>
        <v/>
      </c>
      <c r="K76" s="22" t="str">
        <f aca="false">IF(AND(ISNUMBER(K12),ISNUMBER(J12),J12&lt;&gt;0),K12/J12-1,"")</f>
        <v/>
      </c>
      <c r="L76" s="22" t="str">
        <f aca="false">IF(AND(ISNUMBER(L12),ISNUMBER(K12),K12&lt;&gt;0),L12/K12-1,"")</f>
        <v/>
      </c>
      <c r="M76" s="22" t="str">
        <f aca="false">IF(AND(ISNUMBER(M12),ISNUMBER(L12),L12&lt;&gt;0),M12/L12-1,"")</f>
        <v/>
      </c>
      <c r="N76" s="22" t="str">
        <f aca="false">IF(AND(ISNUMBER(N12),ISNUMBER(M12),M12&lt;&gt;0),N12/M12-1,"")</f>
        <v/>
      </c>
    </row>
    <row r="77" customFormat="false" ht="15" hidden="false" customHeight="false" outlineLevel="0" collapsed="false">
      <c r="A77" s="43" t="s">
        <v>429</v>
      </c>
      <c r="C77" s="5" t="s">
        <v>430</v>
      </c>
      <c r="F77" s="22" t="str">
        <f aca="false">IF(AND(ISNUMBER(F13),ISNUMBER(E13),E13&lt;&gt;0),F13/E13-1,"")</f>
        <v/>
      </c>
      <c r="G77" s="22" t="str">
        <f aca="false">IF(AND(ISNUMBER(G13),ISNUMBER(F13),F13&lt;&gt;0),G13/F13-1,"")</f>
        <v/>
      </c>
      <c r="H77" s="22" t="str">
        <f aca="false">IF(AND(ISNUMBER(H13),ISNUMBER(G13),G13&lt;&gt;0),H13/G13-1,"")</f>
        <v/>
      </c>
      <c r="I77" s="22" t="str">
        <f aca="false">IF(AND(ISNUMBER(I13),ISNUMBER(H13),H13&lt;&gt;0),I13/H13-1,"")</f>
        <v/>
      </c>
      <c r="J77" s="22" t="str">
        <f aca="false">IF(AND(ISNUMBER(J13),ISNUMBER(I13),I13&lt;&gt;0),J13/I13-1,"")</f>
        <v/>
      </c>
      <c r="K77" s="22" t="str">
        <f aca="false">IF(AND(ISNUMBER(K13),ISNUMBER(J13),J13&lt;&gt;0),K13/J13-1,"")</f>
        <v/>
      </c>
      <c r="L77" s="22" t="str">
        <f aca="false">IF(AND(ISNUMBER(L13),ISNUMBER(K13),K13&lt;&gt;0),L13/K13-1,"")</f>
        <v/>
      </c>
      <c r="M77" s="22" t="str">
        <f aca="false">IF(AND(ISNUMBER(M13),ISNUMBER(L13),L13&lt;&gt;0),M13/L13-1,"")</f>
        <v/>
      </c>
      <c r="N77" s="22" t="str">
        <f aca="false">IF(AND(ISNUMBER(N13),ISNUMBER(M13),M13&lt;&gt;0),N13/M13-1,"")</f>
        <v/>
      </c>
    </row>
    <row r="78" customFormat="false" ht="15" hidden="false" customHeight="false" outlineLevel="0" collapsed="false">
      <c r="A78" s="43" t="s">
        <v>431</v>
      </c>
      <c r="C78" s="5" t="s">
        <v>433</v>
      </c>
      <c r="F78" s="22" t="n">
        <f aca="false">IF(AND(ISNUMBER(F14),ISNUMBER(E14),E14&lt;&gt;0),F14/E14-1,"")</f>
        <v>-0.0568181818181818</v>
      </c>
      <c r="G78" s="22" t="str">
        <f aca="false">IF(AND(ISNUMBER(G14),ISNUMBER(F14),F14&lt;&gt;0),G14/F14-1,"")</f>
        <v/>
      </c>
      <c r="H78" s="22" t="str">
        <f aca="false">IF(AND(ISNUMBER(H14),ISNUMBER(G14),G14&lt;&gt;0),H14/G14-1,"")</f>
        <v/>
      </c>
      <c r="I78" s="22" t="str">
        <f aca="false">IF(AND(ISNUMBER(I14),ISNUMBER(H14),H14&lt;&gt;0),I14/H14-1,"")</f>
        <v/>
      </c>
      <c r="J78" s="22" t="str">
        <f aca="false">IF(AND(ISNUMBER(J14),ISNUMBER(I14),I14&lt;&gt;0),J14/I14-1,"")</f>
        <v/>
      </c>
      <c r="K78" s="22" t="str">
        <f aca="false">IF(AND(ISNUMBER(K14),ISNUMBER(J14),J14&lt;&gt;0),K14/J14-1,"")</f>
        <v/>
      </c>
      <c r="L78" s="22" t="str">
        <f aca="false">IF(AND(ISNUMBER(L14),ISNUMBER(K14),K14&lt;&gt;0),L14/K14-1,"")</f>
        <v/>
      </c>
      <c r="M78" s="22" t="str">
        <f aca="false">IF(AND(ISNUMBER(M14),ISNUMBER(L14),L14&lt;&gt;0),M14/L14-1,"")</f>
        <v/>
      </c>
      <c r="N78" s="22" t="str">
        <f aca="false">IF(AND(ISNUMBER(N14),ISNUMBER(M14),M14&lt;&gt;0),N14/M14-1,"")</f>
        <v/>
      </c>
    </row>
    <row r="79" customFormat="false" ht="15" hidden="false" customHeight="false" outlineLevel="0" collapsed="false">
      <c r="A79" s="43" t="s">
        <v>434</v>
      </c>
      <c r="C79" s="5" t="s">
        <v>435</v>
      </c>
      <c r="F79" s="22" t="str">
        <f aca="false">IF(AND(ISNUMBER(F15),ISNUMBER(E15),E15&lt;&gt;0),F15/E15-1,"")</f>
        <v/>
      </c>
      <c r="G79" s="22" t="str">
        <f aca="false">IF(AND(ISNUMBER(G15),ISNUMBER(F15),F15&lt;&gt;0),G15/F15-1,"")</f>
        <v/>
      </c>
      <c r="H79" s="22" t="str">
        <f aca="false">IF(AND(ISNUMBER(H15),ISNUMBER(G15),G15&lt;&gt;0),H15/G15-1,"")</f>
        <v/>
      </c>
      <c r="I79" s="22" t="str">
        <f aca="false">IF(AND(ISNUMBER(I15),ISNUMBER(H15),H15&lt;&gt;0),I15/H15-1,"")</f>
        <v/>
      </c>
      <c r="J79" s="22" t="str">
        <f aca="false">IF(AND(ISNUMBER(J15),ISNUMBER(I15),I15&lt;&gt;0),J15/I15-1,"")</f>
        <v/>
      </c>
      <c r="K79" s="22" t="str">
        <f aca="false">IF(AND(ISNUMBER(K15),ISNUMBER(J15),J15&lt;&gt;0),K15/J15-1,"")</f>
        <v/>
      </c>
      <c r="L79" s="22" t="str">
        <f aca="false">IF(AND(ISNUMBER(L15),ISNUMBER(K15),K15&lt;&gt;0),L15/K15-1,"")</f>
        <v/>
      </c>
      <c r="M79" s="22" t="str">
        <f aca="false">IF(AND(ISNUMBER(M15),ISNUMBER(L15),L15&lt;&gt;0),M15/L15-1,"")</f>
        <v/>
      </c>
      <c r="N79" s="22" t="str">
        <f aca="false">IF(AND(ISNUMBER(N15),ISNUMBER(M15),M15&lt;&gt;0),N15/M15-1,"")</f>
        <v/>
      </c>
    </row>
    <row r="80" customFormat="false" ht="15" hidden="false" customHeight="false" outlineLevel="0" collapsed="false">
      <c r="A80" s="43" t="s">
        <v>436</v>
      </c>
      <c r="C80" s="5" t="s">
        <v>437</v>
      </c>
      <c r="F80" s="22" t="str">
        <f aca="false">IF(AND(ISNUMBER(F16),ISNUMBER(E16),E16&lt;&gt;0),F16/E16-1,"")</f>
        <v/>
      </c>
      <c r="G80" s="22" t="str">
        <f aca="false">IF(AND(ISNUMBER(G16),ISNUMBER(F16),F16&lt;&gt;0),G16/F16-1,"")</f>
        <v/>
      </c>
      <c r="H80" s="22" t="str">
        <f aca="false">IF(AND(ISNUMBER(H16),ISNUMBER(G16),G16&lt;&gt;0),H16/G16-1,"")</f>
        <v/>
      </c>
      <c r="I80" s="22" t="str">
        <f aca="false">IF(AND(ISNUMBER(I16),ISNUMBER(H16),H16&lt;&gt;0),I16/H16-1,"")</f>
        <v/>
      </c>
      <c r="J80" s="22" t="str">
        <f aca="false">IF(AND(ISNUMBER(J16),ISNUMBER(I16),I16&lt;&gt;0),J16/I16-1,"")</f>
        <v/>
      </c>
      <c r="K80" s="22" t="str">
        <f aca="false">IF(AND(ISNUMBER(K16),ISNUMBER(J16),J16&lt;&gt;0),K16/J16-1,"")</f>
        <v/>
      </c>
      <c r="L80" s="22" t="str">
        <f aca="false">IF(AND(ISNUMBER(L16),ISNUMBER(K16),K16&lt;&gt;0),L16/K16-1,"")</f>
        <v/>
      </c>
      <c r="M80" s="22" t="str">
        <f aca="false">IF(AND(ISNUMBER(M16),ISNUMBER(L16),L16&lt;&gt;0),M16/L16-1,"")</f>
        <v/>
      </c>
      <c r="N80" s="22" t="str">
        <f aca="false">IF(AND(ISNUMBER(N16),ISNUMBER(M16),M16&lt;&gt;0),N16/M16-1,"")</f>
        <v/>
      </c>
    </row>
    <row r="81" customFormat="false" ht="15" hidden="false" customHeight="false" outlineLevel="0" collapsed="false">
      <c r="A81" s="43" t="s">
        <v>438</v>
      </c>
      <c r="C81" s="5" t="s">
        <v>439</v>
      </c>
      <c r="F81" s="22" t="str">
        <f aca="false">IF(AND(ISNUMBER(F17),ISNUMBER(E17),E17&lt;&gt;0),F17/E17-1,"")</f>
        <v/>
      </c>
      <c r="G81" s="22" t="str">
        <f aca="false">IF(AND(ISNUMBER(G17),ISNUMBER(F17),F17&lt;&gt;0),G17/F17-1,"")</f>
        <v/>
      </c>
      <c r="H81" s="22" t="str">
        <f aca="false">IF(AND(ISNUMBER(H17),ISNUMBER(G17),G17&lt;&gt;0),H17/G17-1,"")</f>
        <v/>
      </c>
      <c r="I81" s="22" t="str">
        <f aca="false">IF(AND(ISNUMBER(I17),ISNUMBER(H17),H17&lt;&gt;0),I17/H17-1,"")</f>
        <v/>
      </c>
      <c r="J81" s="22" t="str">
        <f aca="false">IF(AND(ISNUMBER(J17),ISNUMBER(I17),I17&lt;&gt;0),J17/I17-1,"")</f>
        <v/>
      </c>
      <c r="K81" s="22" t="str">
        <f aca="false">IF(AND(ISNUMBER(K17),ISNUMBER(J17),J17&lt;&gt;0),K17/J17-1,"")</f>
        <v/>
      </c>
      <c r="L81" s="22" t="str">
        <f aca="false">IF(AND(ISNUMBER(L17),ISNUMBER(K17),K17&lt;&gt;0),L17/K17-1,"")</f>
        <v/>
      </c>
      <c r="M81" s="22" t="str">
        <f aca="false">IF(AND(ISNUMBER(M17),ISNUMBER(L17),L17&lt;&gt;0),M17/L17-1,"")</f>
        <v/>
      </c>
      <c r="N81" s="22" t="str">
        <f aca="false">IF(AND(ISNUMBER(N17),ISNUMBER(M17),M17&lt;&gt;0),N17/M17-1,"")</f>
        <v/>
      </c>
    </row>
    <row r="82" customFormat="false" ht="15" hidden="false" customHeight="false" outlineLevel="0" collapsed="false">
      <c r="A82" s="43" t="s">
        <v>440</v>
      </c>
      <c r="C82" s="5" t="s">
        <v>441</v>
      </c>
      <c r="F82" s="22" t="str">
        <f aca="false">IF(AND(ISNUMBER(F18),ISNUMBER(E18),E18&lt;&gt;0),F18/E18-1,"")</f>
        <v/>
      </c>
      <c r="G82" s="22" t="str">
        <f aca="false">IF(AND(ISNUMBER(G18),ISNUMBER(F18),F18&lt;&gt;0),G18/F18-1,"")</f>
        <v/>
      </c>
      <c r="H82" s="22" t="str">
        <f aca="false">IF(AND(ISNUMBER(H18),ISNUMBER(G18),G18&lt;&gt;0),H18/G18-1,"")</f>
        <v/>
      </c>
      <c r="I82" s="22" t="str">
        <f aca="false">IF(AND(ISNUMBER(I18),ISNUMBER(H18),H18&lt;&gt;0),I18/H18-1,"")</f>
        <v/>
      </c>
      <c r="J82" s="22" t="str">
        <f aca="false">IF(AND(ISNUMBER(J18),ISNUMBER(I18),I18&lt;&gt;0),J18/I18-1,"")</f>
        <v/>
      </c>
      <c r="K82" s="22" t="str">
        <f aca="false">IF(AND(ISNUMBER(K18),ISNUMBER(J18),J18&lt;&gt;0),K18/J18-1,"")</f>
        <v/>
      </c>
      <c r="L82" s="22" t="str">
        <f aca="false">IF(AND(ISNUMBER(L18),ISNUMBER(K18),K18&lt;&gt;0),L18/K18-1,"")</f>
        <v/>
      </c>
      <c r="M82" s="22" t="str">
        <f aca="false">IF(AND(ISNUMBER(M18),ISNUMBER(L18),L18&lt;&gt;0),M18/L18-1,"")</f>
        <v/>
      </c>
      <c r="N82" s="22" t="str">
        <f aca="false">IF(AND(ISNUMBER(N18),ISNUMBER(M18),M18&lt;&gt;0),N18/M18-1,"")</f>
        <v/>
      </c>
    </row>
    <row r="83" customFormat="false" ht="15" hidden="false" customHeight="false" outlineLevel="0" collapsed="false">
      <c r="A83" s="43" t="s">
        <v>442</v>
      </c>
      <c r="C83" s="5" t="s">
        <v>443</v>
      </c>
      <c r="F83" s="22" t="str">
        <f aca="false">IF(AND(ISNUMBER(F19),ISNUMBER(E19),E19&lt;&gt;0),F19/E19-1,"")</f>
        <v/>
      </c>
      <c r="G83" s="22" t="str">
        <f aca="false">IF(AND(ISNUMBER(G19),ISNUMBER(F19),F19&lt;&gt;0),G19/F19-1,"")</f>
        <v/>
      </c>
      <c r="H83" s="22" t="str">
        <f aca="false">IF(AND(ISNUMBER(H19),ISNUMBER(G19),G19&lt;&gt;0),H19/G19-1,"")</f>
        <v/>
      </c>
      <c r="I83" s="22" t="str">
        <f aca="false">IF(AND(ISNUMBER(I19),ISNUMBER(H19),H19&lt;&gt;0),I19/H19-1,"")</f>
        <v/>
      </c>
      <c r="J83" s="22" t="str">
        <f aca="false">IF(AND(ISNUMBER(J19),ISNUMBER(I19),I19&lt;&gt;0),J19/I19-1,"")</f>
        <v/>
      </c>
      <c r="K83" s="22" t="str">
        <f aca="false">IF(AND(ISNUMBER(K19),ISNUMBER(J19),J19&lt;&gt;0),K19/J19-1,"")</f>
        <v/>
      </c>
      <c r="L83" s="22" t="str">
        <f aca="false">IF(AND(ISNUMBER(L19),ISNUMBER(K19),K19&lt;&gt;0),L19/K19-1,"")</f>
        <v/>
      </c>
      <c r="M83" s="22" t="str">
        <f aca="false">IF(AND(ISNUMBER(M19),ISNUMBER(L19),L19&lt;&gt;0),M19/L19-1,"")</f>
        <v/>
      </c>
      <c r="N83" s="22" t="str">
        <f aca="false">IF(AND(ISNUMBER(N19),ISNUMBER(M19),M19&lt;&gt;0),N19/M19-1,"")</f>
        <v/>
      </c>
    </row>
    <row r="84" customFormat="false" ht="15" hidden="false" customHeight="false" outlineLevel="0" collapsed="false">
      <c r="A84" s="43" t="s">
        <v>444</v>
      </c>
      <c r="C84" s="5" t="s">
        <v>445</v>
      </c>
      <c r="F84" s="22" t="str">
        <f aca="false">IF(AND(ISNUMBER(F20),ISNUMBER(E20),E20&lt;&gt;0),F20/E20-1,"")</f>
        <v/>
      </c>
      <c r="G84" s="22" t="str">
        <f aca="false">IF(AND(ISNUMBER(G20),ISNUMBER(F20),F20&lt;&gt;0),G20/F20-1,"")</f>
        <v/>
      </c>
      <c r="H84" s="22" t="str">
        <f aca="false">IF(AND(ISNUMBER(H20),ISNUMBER(G20),G20&lt;&gt;0),H20/G20-1,"")</f>
        <v/>
      </c>
      <c r="I84" s="22" t="str">
        <f aca="false">IF(AND(ISNUMBER(I20),ISNUMBER(H20),H20&lt;&gt;0),I20/H20-1,"")</f>
        <v/>
      </c>
      <c r="J84" s="22" t="str">
        <f aca="false">IF(AND(ISNUMBER(J20),ISNUMBER(I20),I20&lt;&gt;0),J20/I20-1,"")</f>
        <v/>
      </c>
      <c r="K84" s="22" t="str">
        <f aca="false">IF(AND(ISNUMBER(K20),ISNUMBER(J20),J20&lt;&gt;0),K20/J20-1,"")</f>
        <v/>
      </c>
      <c r="L84" s="22" t="str">
        <f aca="false">IF(AND(ISNUMBER(L20),ISNUMBER(K20),K20&lt;&gt;0),L20/K20-1,"")</f>
        <v/>
      </c>
      <c r="M84" s="22" t="str">
        <f aca="false">IF(AND(ISNUMBER(M20),ISNUMBER(L20),L20&lt;&gt;0),M20/L20-1,"")</f>
        <v/>
      </c>
      <c r="N84" s="22" t="str">
        <f aca="false">IF(AND(ISNUMBER(N20),ISNUMBER(M20),M20&lt;&gt;0),N20/M20-1,"")</f>
        <v/>
      </c>
    </row>
    <row r="85" customFormat="false" ht="15" hidden="false" customHeight="false" outlineLevel="0" collapsed="false">
      <c r="A85" s="43" t="s">
        <v>446</v>
      </c>
      <c r="C85" s="5" t="s">
        <v>447</v>
      </c>
      <c r="F85" s="22" t="str">
        <f aca="false">IF(AND(ISNUMBER(F21),ISNUMBER(E21),E21&lt;&gt;0),F21/E21-1,"")</f>
        <v/>
      </c>
      <c r="G85" s="22" t="str">
        <f aca="false">IF(AND(ISNUMBER(G21),ISNUMBER(F21),F21&lt;&gt;0),G21/F21-1,"")</f>
        <v/>
      </c>
      <c r="H85" s="22" t="str">
        <f aca="false">IF(AND(ISNUMBER(H21),ISNUMBER(G21),G21&lt;&gt;0),H21/G21-1,"")</f>
        <v/>
      </c>
      <c r="I85" s="22" t="str">
        <f aca="false">IF(AND(ISNUMBER(I21),ISNUMBER(H21),H21&lt;&gt;0),I21/H21-1,"")</f>
        <v/>
      </c>
      <c r="J85" s="22" t="str">
        <f aca="false">IF(AND(ISNUMBER(J21),ISNUMBER(I21),I21&lt;&gt;0),J21/I21-1,"")</f>
        <v/>
      </c>
      <c r="K85" s="22" t="str">
        <f aca="false">IF(AND(ISNUMBER(K21),ISNUMBER(J21),J21&lt;&gt;0),K21/J21-1,"")</f>
        <v/>
      </c>
      <c r="L85" s="22" t="str">
        <f aca="false">IF(AND(ISNUMBER(L21),ISNUMBER(K21),K21&lt;&gt;0),L21/K21-1,"")</f>
        <v/>
      </c>
      <c r="M85" s="22" t="str">
        <f aca="false">IF(AND(ISNUMBER(M21),ISNUMBER(L21),L21&lt;&gt;0),M21/L21-1,"")</f>
        <v/>
      </c>
      <c r="N85" s="22" t="str">
        <f aca="false">IF(AND(ISNUMBER(N21),ISNUMBER(M21),M21&lt;&gt;0),N21/M21-1,"")</f>
        <v/>
      </c>
    </row>
    <row r="86" customFormat="false" ht="15" hidden="false" customHeight="false" outlineLevel="0" collapsed="false">
      <c r="A86" s="43" t="s">
        <v>448</v>
      </c>
      <c r="C86" s="5" t="s">
        <v>449</v>
      </c>
      <c r="F86" s="22" t="n">
        <f aca="false">IF(AND(ISNUMBER(F22),ISNUMBER(E22),E22&lt;&gt;0),F22/E22-1,"")</f>
        <v>-0.0933333333333334</v>
      </c>
      <c r="G86" s="22" t="str">
        <f aca="false">IF(AND(ISNUMBER(G22),ISNUMBER(F22),F22&lt;&gt;0),G22/F22-1,"")</f>
        <v/>
      </c>
      <c r="H86" s="22" t="str">
        <f aca="false">IF(AND(ISNUMBER(H22),ISNUMBER(G22),G22&lt;&gt;0),H22/G22-1,"")</f>
        <v/>
      </c>
      <c r="I86" s="22" t="str">
        <f aca="false">IF(AND(ISNUMBER(I22),ISNUMBER(H22),H22&lt;&gt;0),I22/H22-1,"")</f>
        <v/>
      </c>
      <c r="J86" s="22" t="str">
        <f aca="false">IF(AND(ISNUMBER(J22),ISNUMBER(I22),I22&lt;&gt;0),J22/I22-1,"")</f>
        <v/>
      </c>
      <c r="K86" s="22" t="str">
        <f aca="false">IF(AND(ISNUMBER(K22),ISNUMBER(J22),J22&lt;&gt;0),K22/J22-1,"")</f>
        <v/>
      </c>
      <c r="L86" s="22" t="str">
        <f aca="false">IF(AND(ISNUMBER(L22),ISNUMBER(K22),K22&lt;&gt;0),L22/K22-1,"")</f>
        <v/>
      </c>
      <c r="M86" s="22" t="str">
        <f aca="false">IF(AND(ISNUMBER(M22),ISNUMBER(L22),L22&lt;&gt;0),M22/L22-1,"")</f>
        <v/>
      </c>
      <c r="N86" s="22" t="str">
        <f aca="false">IF(AND(ISNUMBER(N22),ISNUMBER(M22),M22&lt;&gt;0),N22/M22-1,"")</f>
        <v/>
      </c>
    </row>
    <row r="87" customFormat="false" ht="15" hidden="false" customHeight="false" outlineLevel="0" collapsed="false">
      <c r="A87" s="43" t="s">
        <v>450</v>
      </c>
      <c r="C87" s="5" t="s">
        <v>451</v>
      </c>
      <c r="F87" s="22" t="str">
        <f aca="false">IF(AND(ISNUMBER(F23),ISNUMBER(E23),E23&lt;&gt;0),F23/E23-1,"")</f>
        <v/>
      </c>
      <c r="G87" s="22" t="str">
        <f aca="false">IF(AND(ISNUMBER(G23),ISNUMBER(F23),F23&lt;&gt;0),G23/F23-1,"")</f>
        <v/>
      </c>
      <c r="H87" s="22" t="str">
        <f aca="false">IF(AND(ISNUMBER(H23),ISNUMBER(G23),G23&lt;&gt;0),H23/G23-1,"")</f>
        <v/>
      </c>
      <c r="I87" s="22" t="str">
        <f aca="false">IF(AND(ISNUMBER(I23),ISNUMBER(H23),H23&lt;&gt;0),I23/H23-1,"")</f>
        <v/>
      </c>
      <c r="J87" s="22" t="str">
        <f aca="false">IF(AND(ISNUMBER(J23),ISNUMBER(I23),I23&lt;&gt;0),J23/I23-1,"")</f>
        <v/>
      </c>
      <c r="K87" s="22" t="str">
        <f aca="false">IF(AND(ISNUMBER(K23),ISNUMBER(J23),J23&lt;&gt;0),K23/J23-1,"")</f>
        <v/>
      </c>
      <c r="L87" s="22" t="str">
        <f aca="false">IF(AND(ISNUMBER(L23),ISNUMBER(K23),K23&lt;&gt;0),L23/K23-1,"")</f>
        <v/>
      </c>
      <c r="M87" s="22" t="str">
        <f aca="false">IF(AND(ISNUMBER(M23),ISNUMBER(L23),L23&lt;&gt;0),M23/L23-1,"")</f>
        <v/>
      </c>
      <c r="N87" s="22" t="str">
        <f aca="false">IF(AND(ISNUMBER(N23),ISNUMBER(M23),M23&lt;&gt;0),N23/M23-1,"")</f>
        <v/>
      </c>
    </row>
    <row r="88" customFormat="false" ht="15" hidden="false" customHeight="false" outlineLevel="0" collapsed="false">
      <c r="A88" s="43" t="s">
        <v>452</v>
      </c>
      <c r="C88" s="5" t="s">
        <v>453</v>
      </c>
      <c r="F88" s="22" t="str">
        <f aca="false">IF(AND(ISNUMBER(F24),ISNUMBER(E24),E24&lt;&gt;0),F24/E24-1,"")</f>
        <v/>
      </c>
      <c r="G88" s="22" t="str">
        <f aca="false">IF(AND(ISNUMBER(G24),ISNUMBER(F24),F24&lt;&gt;0),G24/F24-1,"")</f>
        <v/>
      </c>
      <c r="H88" s="22" t="str">
        <f aca="false">IF(AND(ISNUMBER(H24),ISNUMBER(G24),G24&lt;&gt;0),H24/G24-1,"")</f>
        <v/>
      </c>
      <c r="I88" s="22" t="str">
        <f aca="false">IF(AND(ISNUMBER(I24),ISNUMBER(H24),H24&lt;&gt;0),I24/H24-1,"")</f>
        <v/>
      </c>
      <c r="J88" s="22" t="str">
        <f aca="false">IF(AND(ISNUMBER(J24),ISNUMBER(I24),I24&lt;&gt;0),J24/I24-1,"")</f>
        <v/>
      </c>
      <c r="K88" s="22" t="str">
        <f aca="false">IF(AND(ISNUMBER(K24),ISNUMBER(J24),J24&lt;&gt;0),K24/J24-1,"")</f>
        <v/>
      </c>
      <c r="L88" s="22" t="str">
        <f aca="false">IF(AND(ISNUMBER(L24),ISNUMBER(K24),K24&lt;&gt;0),L24/K24-1,"")</f>
        <v/>
      </c>
      <c r="M88" s="22" t="str">
        <f aca="false">IF(AND(ISNUMBER(M24),ISNUMBER(L24),L24&lt;&gt;0),M24/L24-1,"")</f>
        <v/>
      </c>
      <c r="N88" s="22" t="str">
        <f aca="false">IF(AND(ISNUMBER(N24),ISNUMBER(M24),M24&lt;&gt;0),N24/M24-1,"")</f>
        <v/>
      </c>
    </row>
    <row r="89" customFormat="false" ht="15" hidden="false" customHeight="false" outlineLevel="0" collapsed="false">
      <c r="A89" s="43" t="s">
        <v>454</v>
      </c>
      <c r="C89" s="5" t="s">
        <v>455</v>
      </c>
      <c r="F89" s="22" t="str">
        <f aca="false">IF(AND(ISNUMBER(F25),ISNUMBER(E25),E25&lt;&gt;0),F25/E25-1,"")</f>
        <v/>
      </c>
      <c r="G89" s="22" t="str">
        <f aca="false">IF(AND(ISNUMBER(G25),ISNUMBER(F25),F25&lt;&gt;0),G25/F25-1,"")</f>
        <v/>
      </c>
      <c r="H89" s="22" t="str">
        <f aca="false">IF(AND(ISNUMBER(H25),ISNUMBER(G25),G25&lt;&gt;0),H25/G25-1,"")</f>
        <v/>
      </c>
      <c r="I89" s="22" t="str">
        <f aca="false">IF(AND(ISNUMBER(I25),ISNUMBER(H25),H25&lt;&gt;0),I25/H25-1,"")</f>
        <v/>
      </c>
      <c r="J89" s="22" t="str">
        <f aca="false">IF(AND(ISNUMBER(J25),ISNUMBER(I25),I25&lt;&gt;0),J25/I25-1,"")</f>
        <v/>
      </c>
      <c r="K89" s="22" t="str">
        <f aca="false">IF(AND(ISNUMBER(K25),ISNUMBER(J25),J25&lt;&gt;0),K25/J25-1,"")</f>
        <v/>
      </c>
      <c r="L89" s="22" t="str">
        <f aca="false">IF(AND(ISNUMBER(L25),ISNUMBER(K25),K25&lt;&gt;0),L25/K25-1,"")</f>
        <v/>
      </c>
      <c r="M89" s="22" t="str">
        <f aca="false">IF(AND(ISNUMBER(M25),ISNUMBER(L25),L25&lt;&gt;0),M25/L25-1,"")</f>
        <v/>
      </c>
      <c r="N89" s="22" t="str">
        <f aca="false">IF(AND(ISNUMBER(N25),ISNUMBER(M25),M25&lt;&gt;0),N25/M25-1,"")</f>
        <v/>
      </c>
    </row>
    <row r="90" customFormat="false" ht="15" hidden="false" customHeight="false" outlineLevel="0" collapsed="false">
      <c r="A90" s="43" t="s">
        <v>456</v>
      </c>
      <c r="C90" s="5" t="s">
        <v>457</v>
      </c>
      <c r="F90" s="22" t="str">
        <f aca="false">IF(AND(ISNUMBER(F26),ISNUMBER(E26),E26&lt;&gt;0),F26/E26-1,"")</f>
        <v/>
      </c>
      <c r="G90" s="22" t="str">
        <f aca="false">IF(AND(ISNUMBER(G26),ISNUMBER(F26),F26&lt;&gt;0),G26/F26-1,"")</f>
        <v/>
      </c>
      <c r="H90" s="22" t="str">
        <f aca="false">IF(AND(ISNUMBER(H26),ISNUMBER(G26),G26&lt;&gt;0),H26/G26-1,"")</f>
        <v/>
      </c>
      <c r="I90" s="22" t="str">
        <f aca="false">IF(AND(ISNUMBER(I26),ISNUMBER(H26),H26&lt;&gt;0),I26/H26-1,"")</f>
        <v/>
      </c>
      <c r="J90" s="22" t="str">
        <f aca="false">IF(AND(ISNUMBER(J26),ISNUMBER(I26),I26&lt;&gt;0),J26/I26-1,"")</f>
        <v/>
      </c>
      <c r="K90" s="22" t="str">
        <f aca="false">IF(AND(ISNUMBER(K26),ISNUMBER(J26),J26&lt;&gt;0),K26/J26-1,"")</f>
        <v/>
      </c>
      <c r="L90" s="22" t="str">
        <f aca="false">IF(AND(ISNUMBER(L26),ISNUMBER(K26),K26&lt;&gt;0),L26/K26-1,"")</f>
        <v/>
      </c>
      <c r="M90" s="22" t="str">
        <f aca="false">IF(AND(ISNUMBER(M26),ISNUMBER(L26),L26&lt;&gt;0),M26/L26-1,"")</f>
        <v/>
      </c>
      <c r="N90" s="22" t="str">
        <f aca="false">IF(AND(ISNUMBER(N26),ISNUMBER(M26),M26&lt;&gt;0),N26/M26-1,"")</f>
        <v/>
      </c>
    </row>
    <row r="91" customFormat="false" ht="15" hidden="false" customHeight="false" outlineLevel="0" collapsed="false">
      <c r="A91" s="43" t="s">
        <v>458</v>
      </c>
      <c r="C91" s="5" t="s">
        <v>459</v>
      </c>
      <c r="F91" s="22" t="str">
        <f aca="false">IF(AND(ISNUMBER(F27),ISNUMBER(E27),E27&lt;&gt;0),F27/E27-1,"")</f>
        <v/>
      </c>
      <c r="G91" s="22" t="str">
        <f aca="false">IF(AND(ISNUMBER(G27),ISNUMBER(F27),F27&lt;&gt;0),G27/F27-1,"")</f>
        <v/>
      </c>
      <c r="H91" s="22" t="str">
        <f aca="false">IF(AND(ISNUMBER(H27),ISNUMBER(G27),G27&lt;&gt;0),H27/G27-1,"")</f>
        <v/>
      </c>
      <c r="I91" s="22" t="str">
        <f aca="false">IF(AND(ISNUMBER(I27),ISNUMBER(H27),H27&lt;&gt;0),I27/H27-1,"")</f>
        <v/>
      </c>
      <c r="J91" s="22" t="str">
        <f aca="false">IF(AND(ISNUMBER(J27),ISNUMBER(I27),I27&lt;&gt;0),J27/I27-1,"")</f>
        <v/>
      </c>
      <c r="K91" s="22" t="str">
        <f aca="false">IF(AND(ISNUMBER(K27),ISNUMBER(J27),J27&lt;&gt;0),K27/J27-1,"")</f>
        <v/>
      </c>
      <c r="L91" s="22" t="str">
        <f aca="false">IF(AND(ISNUMBER(L27),ISNUMBER(K27),K27&lt;&gt;0),L27/K27-1,"")</f>
        <v/>
      </c>
      <c r="M91" s="22" t="str">
        <f aca="false">IF(AND(ISNUMBER(M27),ISNUMBER(L27),L27&lt;&gt;0),M27/L27-1,"")</f>
        <v/>
      </c>
      <c r="N91" s="22" t="str">
        <f aca="false">IF(AND(ISNUMBER(N27),ISNUMBER(M27),M27&lt;&gt;0),N27/M27-1,"")</f>
        <v/>
      </c>
    </row>
    <row r="92" customFormat="false" ht="15" hidden="false" customHeight="false" outlineLevel="0" collapsed="false">
      <c r="A92" s="43" t="s">
        <v>460</v>
      </c>
      <c r="C92" s="5" t="s">
        <v>461</v>
      </c>
      <c r="F92" s="22" t="str">
        <f aca="false">IF(AND(ISNUMBER(F28),ISNUMBER(E28),E28&lt;&gt;0),F28/E28-1,"")</f>
        <v/>
      </c>
      <c r="G92" s="22" t="str">
        <f aca="false">IF(AND(ISNUMBER(G28),ISNUMBER(F28),F28&lt;&gt;0),G28/F28-1,"")</f>
        <v/>
      </c>
      <c r="H92" s="22" t="str">
        <f aca="false">IF(AND(ISNUMBER(H28),ISNUMBER(G28),G28&lt;&gt;0),H28/G28-1,"")</f>
        <v/>
      </c>
      <c r="I92" s="22" t="str">
        <f aca="false">IF(AND(ISNUMBER(I28),ISNUMBER(H28),H28&lt;&gt;0),I28/H28-1,"")</f>
        <v/>
      </c>
      <c r="J92" s="22" t="str">
        <f aca="false">IF(AND(ISNUMBER(J28),ISNUMBER(I28),I28&lt;&gt;0),J28/I28-1,"")</f>
        <v/>
      </c>
      <c r="K92" s="22" t="str">
        <f aca="false">IF(AND(ISNUMBER(K28),ISNUMBER(J28),J28&lt;&gt;0),K28/J28-1,"")</f>
        <v/>
      </c>
      <c r="L92" s="22" t="str">
        <f aca="false">IF(AND(ISNUMBER(L28),ISNUMBER(K28),K28&lt;&gt;0),L28/K28-1,"")</f>
        <v/>
      </c>
      <c r="M92" s="22" t="str">
        <f aca="false">IF(AND(ISNUMBER(M28),ISNUMBER(L28),L28&lt;&gt;0),M28/L28-1,"")</f>
        <v/>
      </c>
      <c r="N92" s="22" t="str">
        <f aca="false">IF(AND(ISNUMBER(N28),ISNUMBER(M28),M28&lt;&gt;0),N28/M28-1,"")</f>
        <v/>
      </c>
    </row>
    <row r="93" customFormat="false" ht="15" hidden="false" customHeight="false" outlineLevel="0" collapsed="false">
      <c r="A93" s="43" t="s">
        <v>462</v>
      </c>
      <c r="C93" s="5" t="s">
        <v>463</v>
      </c>
      <c r="F93" s="22" t="str">
        <f aca="false">IF(AND(ISNUMBER(F29),ISNUMBER(E29),E29&lt;&gt;0),F29/E29-1,"")</f>
        <v/>
      </c>
      <c r="G93" s="22" t="str">
        <f aca="false">IF(AND(ISNUMBER(G29),ISNUMBER(F29),F29&lt;&gt;0),G29/F29-1,"")</f>
        <v/>
      </c>
      <c r="H93" s="22" t="str">
        <f aca="false">IF(AND(ISNUMBER(H29),ISNUMBER(G29),G29&lt;&gt;0),H29/G29-1,"")</f>
        <v/>
      </c>
      <c r="I93" s="22" t="str">
        <f aca="false">IF(AND(ISNUMBER(I29),ISNUMBER(H29),H29&lt;&gt;0),I29/H29-1,"")</f>
        <v/>
      </c>
      <c r="J93" s="22" t="str">
        <f aca="false">IF(AND(ISNUMBER(J29),ISNUMBER(I29),I29&lt;&gt;0),J29/I29-1,"")</f>
        <v/>
      </c>
      <c r="K93" s="22" t="str">
        <f aca="false">IF(AND(ISNUMBER(K29),ISNUMBER(J29),J29&lt;&gt;0),K29/J29-1,"")</f>
        <v/>
      </c>
      <c r="L93" s="22" t="str">
        <f aca="false">IF(AND(ISNUMBER(L29),ISNUMBER(K29),K29&lt;&gt;0),L29/K29-1,"")</f>
        <v/>
      </c>
      <c r="M93" s="22" t="str">
        <f aca="false">IF(AND(ISNUMBER(M29),ISNUMBER(L29),L29&lt;&gt;0),M29/L29-1,"")</f>
        <v/>
      </c>
      <c r="N93" s="22" t="str">
        <f aca="false">IF(AND(ISNUMBER(N29),ISNUMBER(M29),M29&lt;&gt;0),N29/M29-1,"")</f>
        <v/>
      </c>
    </row>
    <row r="94" customFormat="false" ht="23.85" hidden="false" customHeight="false" outlineLevel="0" collapsed="false">
      <c r="A94" s="43" t="s">
        <v>464</v>
      </c>
      <c r="C94" s="5" t="s">
        <v>465</v>
      </c>
      <c r="F94" s="22" t="str">
        <f aca="false">IF(AND(ISNUMBER(F30),ISNUMBER(E30),E30&lt;&gt;0),F30/E30-1,"")</f>
        <v/>
      </c>
      <c r="G94" s="22" t="str">
        <f aca="false">IF(AND(ISNUMBER(G30),ISNUMBER(F30),F30&lt;&gt;0),G30/F30-1,"")</f>
        <v/>
      </c>
      <c r="H94" s="22" t="str">
        <f aca="false">IF(AND(ISNUMBER(H30),ISNUMBER(G30),G30&lt;&gt;0),H30/G30-1,"")</f>
        <v/>
      </c>
      <c r="I94" s="22" t="str">
        <f aca="false">IF(AND(ISNUMBER(I30),ISNUMBER(H30),H30&lt;&gt;0),I30/H30-1,"")</f>
        <v/>
      </c>
      <c r="J94" s="22" t="str">
        <f aca="false">IF(AND(ISNUMBER(J30),ISNUMBER(I30),I30&lt;&gt;0),J30/I30-1,"")</f>
        <v/>
      </c>
      <c r="K94" s="22" t="str">
        <f aca="false">IF(AND(ISNUMBER(K30),ISNUMBER(J30),J30&lt;&gt;0),K30/J30-1,"")</f>
        <v/>
      </c>
      <c r="L94" s="22" t="str">
        <f aca="false">IF(AND(ISNUMBER(L30),ISNUMBER(K30),K30&lt;&gt;0),L30/K30-1,"")</f>
        <v/>
      </c>
      <c r="M94" s="22" t="str">
        <f aca="false">IF(AND(ISNUMBER(M30),ISNUMBER(L30),L30&lt;&gt;0),M30/L30-1,"")</f>
        <v/>
      </c>
      <c r="N94" s="22" t="str">
        <f aca="false">IF(AND(ISNUMBER(N30),ISNUMBER(M30),M30&lt;&gt;0),N30/M30-1,"")</f>
        <v/>
      </c>
    </row>
    <row r="95" customFormat="false" ht="23.85" hidden="false" customHeight="false" outlineLevel="0" collapsed="false">
      <c r="A95" s="43" t="s">
        <v>467</v>
      </c>
      <c r="C95" s="5" t="s">
        <v>468</v>
      </c>
      <c r="F95" s="22" t="str">
        <f aca="false">IF(AND(ISNUMBER(F31),ISNUMBER(E31),E31&lt;&gt;0),F31/E31-1,"")</f>
        <v/>
      </c>
      <c r="G95" s="22" t="str">
        <f aca="false">IF(AND(ISNUMBER(G31),ISNUMBER(F31),F31&lt;&gt;0),G31/F31-1,"")</f>
        <v/>
      </c>
      <c r="H95" s="22" t="str">
        <f aca="false">IF(AND(ISNUMBER(H31),ISNUMBER(G31),G31&lt;&gt;0),H31/G31-1,"")</f>
        <v/>
      </c>
      <c r="I95" s="22" t="str">
        <f aca="false">IF(AND(ISNUMBER(I31),ISNUMBER(H31),H31&lt;&gt;0),I31/H31-1,"")</f>
        <v/>
      </c>
      <c r="J95" s="22" t="str">
        <f aca="false">IF(AND(ISNUMBER(J31),ISNUMBER(I31),I31&lt;&gt;0),J31/I31-1,"")</f>
        <v/>
      </c>
      <c r="K95" s="22" t="str">
        <f aca="false">IF(AND(ISNUMBER(K31),ISNUMBER(J31),J31&lt;&gt;0),K31/J31-1,"")</f>
        <v/>
      </c>
      <c r="L95" s="22" t="str">
        <f aca="false">IF(AND(ISNUMBER(L31),ISNUMBER(K31),K31&lt;&gt;0),L31/K31-1,"")</f>
        <v/>
      </c>
      <c r="M95" s="22" t="str">
        <f aca="false">IF(AND(ISNUMBER(M31),ISNUMBER(L31),L31&lt;&gt;0),M31/L31-1,"")</f>
        <v/>
      </c>
      <c r="N95" s="22" t="str">
        <f aca="false">IF(AND(ISNUMBER(N31),ISNUMBER(M31),M31&lt;&gt;0),N31/M31-1,"")</f>
        <v/>
      </c>
    </row>
    <row r="96" customFormat="false" ht="23.85" hidden="false" customHeight="false" outlineLevel="0" collapsed="false">
      <c r="A96" s="43" t="s">
        <v>469</v>
      </c>
      <c r="C96" s="5" t="s">
        <v>470</v>
      </c>
      <c r="F96" s="22" t="str">
        <f aca="false">IF(AND(ISNUMBER(F32),ISNUMBER(E32),E32&lt;&gt;0),F32/E32-1,"")</f>
        <v/>
      </c>
      <c r="G96" s="22" t="str">
        <f aca="false">IF(AND(ISNUMBER(G32),ISNUMBER(F32),F32&lt;&gt;0),G32/F32-1,"")</f>
        <v/>
      </c>
      <c r="H96" s="22" t="str">
        <f aca="false">IF(AND(ISNUMBER(H32),ISNUMBER(G32),G32&lt;&gt;0),H32/G32-1,"")</f>
        <v/>
      </c>
      <c r="I96" s="22" t="str">
        <f aca="false">IF(AND(ISNUMBER(I32),ISNUMBER(H32),H32&lt;&gt;0),I32/H32-1,"")</f>
        <v/>
      </c>
      <c r="J96" s="22" t="str">
        <f aca="false">IF(AND(ISNUMBER(J32),ISNUMBER(I32),I32&lt;&gt;0),J32/I32-1,"")</f>
        <v/>
      </c>
      <c r="K96" s="22" t="str">
        <f aca="false">IF(AND(ISNUMBER(K32),ISNUMBER(J32),J32&lt;&gt;0),K32/J32-1,"")</f>
        <v/>
      </c>
      <c r="L96" s="22" t="str">
        <f aca="false">IF(AND(ISNUMBER(L32),ISNUMBER(K32),K32&lt;&gt;0),L32/K32-1,"")</f>
        <v/>
      </c>
      <c r="M96" s="22" t="str">
        <f aca="false">IF(AND(ISNUMBER(M32),ISNUMBER(L32),L32&lt;&gt;0),M32/L32-1,"")</f>
        <v/>
      </c>
      <c r="N96" s="22" t="str">
        <f aca="false">IF(AND(ISNUMBER(N32),ISNUMBER(M32),M32&lt;&gt;0),N32/M32-1,"")</f>
        <v/>
      </c>
    </row>
    <row r="97" customFormat="false" ht="23.85" hidden="false" customHeight="false" outlineLevel="0" collapsed="false">
      <c r="A97" s="43" t="s">
        <v>471</v>
      </c>
      <c r="C97" s="5" t="s">
        <v>472</v>
      </c>
      <c r="F97" s="22" t="str">
        <f aca="false">IF(AND(ISNUMBER(F33),ISNUMBER(E33),E33&lt;&gt;0),F33/E33-1,"")</f>
        <v/>
      </c>
      <c r="G97" s="22" t="str">
        <f aca="false">IF(AND(ISNUMBER(G33),ISNUMBER(F33),F33&lt;&gt;0),G33/F33-1,"")</f>
        <v/>
      </c>
      <c r="H97" s="22" t="str">
        <f aca="false">IF(AND(ISNUMBER(H33),ISNUMBER(G33),G33&lt;&gt;0),H33/G33-1,"")</f>
        <v/>
      </c>
      <c r="I97" s="22" t="str">
        <f aca="false">IF(AND(ISNUMBER(I33),ISNUMBER(H33),H33&lt;&gt;0),I33/H33-1,"")</f>
        <v/>
      </c>
      <c r="J97" s="22" t="str">
        <f aca="false">IF(AND(ISNUMBER(J33),ISNUMBER(I33),I33&lt;&gt;0),J33/I33-1,"")</f>
        <v/>
      </c>
      <c r="K97" s="22" t="str">
        <f aca="false">IF(AND(ISNUMBER(K33),ISNUMBER(J33),J33&lt;&gt;0),K33/J33-1,"")</f>
        <v/>
      </c>
      <c r="L97" s="22" t="str">
        <f aca="false">IF(AND(ISNUMBER(L33),ISNUMBER(K33),K33&lt;&gt;0),L33/K33-1,"")</f>
        <v/>
      </c>
      <c r="M97" s="22" t="str">
        <f aca="false">IF(AND(ISNUMBER(M33),ISNUMBER(L33),L33&lt;&gt;0),M33/L33-1,"")</f>
        <v/>
      </c>
      <c r="N97" s="22" t="str">
        <f aca="false">IF(AND(ISNUMBER(N33),ISNUMBER(M33),M33&lt;&gt;0),N33/M33-1,"")</f>
        <v/>
      </c>
    </row>
    <row r="98" customFormat="false" ht="23.85" hidden="false" customHeight="false" outlineLevel="0" collapsed="false">
      <c r="A98" s="43" t="s">
        <v>473</v>
      </c>
      <c r="C98" s="5" t="s">
        <v>474</v>
      </c>
      <c r="F98" s="22" t="str">
        <f aca="false">IF(AND(ISNUMBER(F34),ISNUMBER(E34),E34&lt;&gt;0),F34/E34-1,"")</f>
        <v/>
      </c>
      <c r="G98" s="22" t="str">
        <f aca="false">IF(AND(ISNUMBER(G34),ISNUMBER(F34),F34&lt;&gt;0),G34/F34-1,"")</f>
        <v/>
      </c>
      <c r="H98" s="22" t="str">
        <f aca="false">IF(AND(ISNUMBER(H34),ISNUMBER(G34),G34&lt;&gt;0),H34/G34-1,"")</f>
        <v/>
      </c>
      <c r="I98" s="22" t="str">
        <f aca="false">IF(AND(ISNUMBER(I34),ISNUMBER(H34),H34&lt;&gt;0),I34/H34-1,"")</f>
        <v/>
      </c>
      <c r="J98" s="22" t="str">
        <f aca="false">IF(AND(ISNUMBER(J34),ISNUMBER(I34),I34&lt;&gt;0),J34/I34-1,"")</f>
        <v/>
      </c>
      <c r="K98" s="22" t="str">
        <f aca="false">IF(AND(ISNUMBER(K34),ISNUMBER(J34),J34&lt;&gt;0),K34/J34-1,"")</f>
        <v/>
      </c>
      <c r="L98" s="22" t="str">
        <f aca="false">IF(AND(ISNUMBER(L34),ISNUMBER(K34),K34&lt;&gt;0),L34/K34-1,"")</f>
        <v/>
      </c>
      <c r="M98" s="22" t="str">
        <f aca="false">IF(AND(ISNUMBER(M34),ISNUMBER(L34),L34&lt;&gt;0),M34/L34-1,"")</f>
        <v/>
      </c>
      <c r="N98" s="22" t="str">
        <f aca="false">IF(AND(ISNUMBER(N34),ISNUMBER(M34),M34&lt;&gt;0),N34/M34-1,"")</f>
        <v/>
      </c>
    </row>
    <row r="99" customFormat="false" ht="23.85" hidden="false" customHeight="false" outlineLevel="0" collapsed="false">
      <c r="A99" s="43" t="s">
        <v>475</v>
      </c>
      <c r="C99" s="5" t="s">
        <v>476</v>
      </c>
      <c r="F99" s="22" t="str">
        <f aca="false">IF(AND(ISNUMBER(F35),ISNUMBER(E35),E35&lt;&gt;0),F35/E35-1,"")</f>
        <v/>
      </c>
      <c r="G99" s="22" t="str">
        <f aca="false">IF(AND(ISNUMBER(G35),ISNUMBER(F35),F35&lt;&gt;0),G35/F35-1,"")</f>
        <v/>
      </c>
      <c r="H99" s="22" t="str">
        <f aca="false">IF(AND(ISNUMBER(H35),ISNUMBER(G35),G35&lt;&gt;0),H35/G35-1,"")</f>
        <v/>
      </c>
      <c r="I99" s="22" t="str">
        <f aca="false">IF(AND(ISNUMBER(I35),ISNUMBER(H35),H35&lt;&gt;0),I35/H35-1,"")</f>
        <v/>
      </c>
      <c r="J99" s="22" t="str">
        <f aca="false">IF(AND(ISNUMBER(J35),ISNUMBER(I35),I35&lt;&gt;0),J35/I35-1,"")</f>
        <v/>
      </c>
      <c r="K99" s="22" t="str">
        <f aca="false">IF(AND(ISNUMBER(K35),ISNUMBER(J35),J35&lt;&gt;0),K35/J35-1,"")</f>
        <v/>
      </c>
      <c r="L99" s="22" t="str">
        <f aca="false">IF(AND(ISNUMBER(L35),ISNUMBER(K35),K35&lt;&gt;0),L35/K35-1,"")</f>
        <v/>
      </c>
      <c r="M99" s="22" t="str">
        <f aca="false">IF(AND(ISNUMBER(M35),ISNUMBER(L35),L35&lt;&gt;0),M35/L35-1,"")</f>
        <v/>
      </c>
      <c r="N99" s="22" t="str">
        <f aca="false">IF(AND(ISNUMBER(N35),ISNUMBER(M35),M35&lt;&gt;0),N35/M35-1,"")</f>
        <v/>
      </c>
    </row>
    <row r="100" customFormat="false" ht="23.85" hidden="false" customHeight="false" outlineLevel="0" collapsed="false">
      <c r="A100" s="43" t="s">
        <v>477</v>
      </c>
      <c r="C100" s="5" t="s">
        <v>478</v>
      </c>
      <c r="F100" s="22" t="str">
        <f aca="false">IF(AND(ISNUMBER(F36),ISNUMBER(E36),E36&lt;&gt;0),F36/E36-1,"")</f>
        <v/>
      </c>
      <c r="G100" s="22" t="str">
        <f aca="false">IF(AND(ISNUMBER(G36),ISNUMBER(F36),F36&lt;&gt;0),G36/F36-1,"")</f>
        <v/>
      </c>
      <c r="H100" s="22" t="str">
        <f aca="false">IF(AND(ISNUMBER(H36),ISNUMBER(G36),G36&lt;&gt;0),H36/G36-1,"")</f>
        <v/>
      </c>
      <c r="I100" s="22" t="str">
        <f aca="false">IF(AND(ISNUMBER(I36),ISNUMBER(H36),H36&lt;&gt;0),I36/H36-1,"")</f>
        <v/>
      </c>
      <c r="J100" s="22" t="str">
        <f aca="false">IF(AND(ISNUMBER(J36),ISNUMBER(I36),I36&lt;&gt;0),J36/I36-1,"")</f>
        <v/>
      </c>
      <c r="K100" s="22" t="str">
        <f aca="false">IF(AND(ISNUMBER(K36),ISNUMBER(J36),J36&lt;&gt;0),K36/J36-1,"")</f>
        <v/>
      </c>
      <c r="L100" s="22" t="str">
        <f aca="false">IF(AND(ISNUMBER(L36),ISNUMBER(K36),K36&lt;&gt;0),L36/K36-1,"")</f>
        <v/>
      </c>
      <c r="M100" s="22" t="str">
        <f aca="false">IF(AND(ISNUMBER(M36),ISNUMBER(L36),L36&lt;&gt;0),M36/L36-1,"")</f>
        <v/>
      </c>
      <c r="N100" s="22" t="str">
        <f aca="false">IF(AND(ISNUMBER(N36),ISNUMBER(M36),M36&lt;&gt;0),N36/M36-1,"")</f>
        <v/>
      </c>
    </row>
    <row r="101" customFormat="false" ht="23.85" hidden="false" customHeight="false" outlineLevel="0" collapsed="false">
      <c r="A101" s="43" t="s">
        <v>479</v>
      </c>
      <c r="C101" s="5" t="s">
        <v>480</v>
      </c>
      <c r="F101" s="22" t="str">
        <f aca="false">IF(AND(ISNUMBER(F37),ISNUMBER(E37),E37&lt;&gt;0),F37/E37-1,"")</f>
        <v/>
      </c>
      <c r="G101" s="22" t="str">
        <f aca="false">IF(AND(ISNUMBER(G37),ISNUMBER(F37),F37&lt;&gt;0),G37/F37-1,"")</f>
        <v/>
      </c>
      <c r="H101" s="22" t="str">
        <f aca="false">IF(AND(ISNUMBER(H37),ISNUMBER(G37),G37&lt;&gt;0),H37/G37-1,"")</f>
        <v/>
      </c>
      <c r="I101" s="22" t="str">
        <f aca="false">IF(AND(ISNUMBER(I37),ISNUMBER(H37),H37&lt;&gt;0),I37/H37-1,"")</f>
        <v/>
      </c>
      <c r="J101" s="22" t="str">
        <f aca="false">IF(AND(ISNUMBER(J37),ISNUMBER(I37),I37&lt;&gt;0),J37/I37-1,"")</f>
        <v/>
      </c>
      <c r="K101" s="22" t="str">
        <f aca="false">IF(AND(ISNUMBER(K37),ISNUMBER(J37),J37&lt;&gt;0),K37/J37-1,"")</f>
        <v/>
      </c>
      <c r="L101" s="22" t="str">
        <f aca="false">IF(AND(ISNUMBER(L37),ISNUMBER(K37),K37&lt;&gt;0),L37/K37-1,"")</f>
        <v/>
      </c>
      <c r="M101" s="22" t="str">
        <f aca="false">IF(AND(ISNUMBER(M37),ISNUMBER(L37),L37&lt;&gt;0),M37/L37-1,"")</f>
        <v/>
      </c>
      <c r="N101" s="22" t="str">
        <f aca="false">IF(AND(ISNUMBER(N37),ISNUMBER(M37),M37&lt;&gt;0),N37/M37-1,"")</f>
        <v/>
      </c>
    </row>
    <row r="102" customFormat="false" ht="15" hidden="false" customHeight="false" outlineLevel="0" collapsed="false">
      <c r="A102" s="43" t="s">
        <v>481</v>
      </c>
      <c r="C102" s="5" t="s">
        <v>482</v>
      </c>
      <c r="F102" s="22" t="str">
        <f aca="false">IF(AND(ISNUMBER(F38),ISNUMBER(E38),E38&lt;&gt;0),F38/E38-1,"")</f>
        <v/>
      </c>
      <c r="G102" s="22" t="str">
        <f aca="false">IF(AND(ISNUMBER(G38),ISNUMBER(F38),F38&lt;&gt;0),G38/F38-1,"")</f>
        <v/>
      </c>
      <c r="H102" s="22" t="str">
        <f aca="false">IF(AND(ISNUMBER(H38),ISNUMBER(G38),G38&lt;&gt;0),H38/G38-1,"")</f>
        <v/>
      </c>
      <c r="I102" s="22" t="str">
        <f aca="false">IF(AND(ISNUMBER(I38),ISNUMBER(H38),H38&lt;&gt;0),I38/H38-1,"")</f>
        <v/>
      </c>
      <c r="J102" s="22" t="str">
        <f aca="false">IF(AND(ISNUMBER(J38),ISNUMBER(I38),I38&lt;&gt;0),J38/I38-1,"")</f>
        <v/>
      </c>
      <c r="K102" s="22" t="str">
        <f aca="false">IF(AND(ISNUMBER(K38),ISNUMBER(J38),J38&lt;&gt;0),K38/J38-1,"")</f>
        <v/>
      </c>
      <c r="L102" s="22" t="str">
        <f aca="false">IF(AND(ISNUMBER(L38),ISNUMBER(K38),K38&lt;&gt;0),L38/K38-1,"")</f>
        <v/>
      </c>
      <c r="M102" s="22" t="str">
        <f aca="false">IF(AND(ISNUMBER(M38),ISNUMBER(L38),L38&lt;&gt;0),M38/L38-1,"")</f>
        <v/>
      </c>
      <c r="N102" s="22" t="str">
        <f aca="false">IF(AND(ISNUMBER(N38),ISNUMBER(M38),M38&lt;&gt;0),N38/M38-1,"")</f>
        <v/>
      </c>
    </row>
    <row r="103" customFormat="false" ht="15" hidden="false" customHeight="false" outlineLevel="0" collapsed="false">
      <c r="A103" s="43" t="s">
        <v>484</v>
      </c>
      <c r="C103" s="5" t="s">
        <v>485</v>
      </c>
      <c r="F103" s="22" t="str">
        <f aca="false">IF(AND(ISNUMBER(F39),ISNUMBER(E39),E39&lt;&gt;0),F39/E39-1,"")</f>
        <v/>
      </c>
      <c r="G103" s="22" t="str">
        <f aca="false">IF(AND(ISNUMBER(G39),ISNUMBER(F39),F39&lt;&gt;0),G39/F39-1,"")</f>
        <v/>
      </c>
      <c r="H103" s="22" t="str">
        <f aca="false">IF(AND(ISNUMBER(H39),ISNUMBER(G39),G39&lt;&gt;0),H39/G39-1,"")</f>
        <v/>
      </c>
      <c r="I103" s="22" t="str">
        <f aca="false">IF(AND(ISNUMBER(I39),ISNUMBER(H39),H39&lt;&gt;0),I39/H39-1,"")</f>
        <v/>
      </c>
      <c r="J103" s="22" t="str">
        <f aca="false">IF(AND(ISNUMBER(J39),ISNUMBER(I39),I39&lt;&gt;0),J39/I39-1,"")</f>
        <v/>
      </c>
      <c r="K103" s="22" t="str">
        <f aca="false">IF(AND(ISNUMBER(K39),ISNUMBER(J39),J39&lt;&gt;0),K39/J39-1,"")</f>
        <v/>
      </c>
      <c r="L103" s="22" t="str">
        <f aca="false">IF(AND(ISNUMBER(L39),ISNUMBER(K39),K39&lt;&gt;0),L39/K39-1,"")</f>
        <v/>
      </c>
      <c r="M103" s="22" t="str">
        <f aca="false">IF(AND(ISNUMBER(M39),ISNUMBER(L39),L39&lt;&gt;0),M39/L39-1,"")</f>
        <v/>
      </c>
      <c r="N103" s="22" t="str">
        <f aca="false">IF(AND(ISNUMBER(N39),ISNUMBER(M39),M39&lt;&gt;0),N39/M39-1,"")</f>
        <v/>
      </c>
    </row>
    <row r="104" customFormat="false" ht="15" hidden="false" customHeight="false" outlineLevel="0" collapsed="false">
      <c r="A104" s="43" t="s">
        <v>486</v>
      </c>
      <c r="C104" s="5" t="s">
        <v>487</v>
      </c>
      <c r="F104" s="22" t="str">
        <f aca="false">IF(AND(ISNUMBER(F40),ISNUMBER(E40),E40&lt;&gt;0),F40/E40-1,"")</f>
        <v/>
      </c>
      <c r="G104" s="22" t="str">
        <f aca="false">IF(AND(ISNUMBER(G40),ISNUMBER(F40),F40&lt;&gt;0),G40/F40-1,"")</f>
        <v/>
      </c>
      <c r="H104" s="22" t="str">
        <f aca="false">IF(AND(ISNUMBER(H40),ISNUMBER(G40),G40&lt;&gt;0),H40/G40-1,"")</f>
        <v/>
      </c>
      <c r="I104" s="22" t="str">
        <f aca="false">IF(AND(ISNUMBER(I40),ISNUMBER(H40),H40&lt;&gt;0),I40/H40-1,"")</f>
        <v/>
      </c>
      <c r="J104" s="22" t="str">
        <f aca="false">IF(AND(ISNUMBER(J40),ISNUMBER(I40),I40&lt;&gt;0),J40/I40-1,"")</f>
        <v/>
      </c>
      <c r="K104" s="22" t="str">
        <f aca="false">IF(AND(ISNUMBER(K40),ISNUMBER(J40),J40&lt;&gt;0),K40/J40-1,"")</f>
        <v/>
      </c>
      <c r="L104" s="22" t="str">
        <f aca="false">IF(AND(ISNUMBER(L40),ISNUMBER(K40),K40&lt;&gt;0),L40/K40-1,"")</f>
        <v/>
      </c>
      <c r="M104" s="22" t="str">
        <f aca="false">IF(AND(ISNUMBER(M40),ISNUMBER(L40),L40&lt;&gt;0),M40/L40-1,"")</f>
        <v/>
      </c>
      <c r="N104" s="22" t="str">
        <f aca="false">IF(AND(ISNUMBER(N40),ISNUMBER(M40),M40&lt;&gt;0),N40/M40-1,"")</f>
        <v/>
      </c>
    </row>
    <row r="105" customFormat="false" ht="15" hidden="false" customHeight="false" outlineLevel="0" collapsed="false">
      <c r="A105" s="43" t="s">
        <v>488</v>
      </c>
      <c r="C105" s="5" t="s">
        <v>489</v>
      </c>
      <c r="F105" s="22" t="str">
        <f aca="false">IF(AND(ISNUMBER(F41),ISNUMBER(E41),E41&lt;&gt;0),F41/E41-1,"")</f>
        <v/>
      </c>
      <c r="G105" s="22" t="str">
        <f aca="false">IF(AND(ISNUMBER(G41),ISNUMBER(F41),F41&lt;&gt;0),G41/F41-1,"")</f>
        <v/>
      </c>
      <c r="H105" s="22" t="str">
        <f aca="false">IF(AND(ISNUMBER(H41),ISNUMBER(G41),G41&lt;&gt;0),H41/G41-1,"")</f>
        <v/>
      </c>
      <c r="I105" s="22" t="str">
        <f aca="false">IF(AND(ISNUMBER(I41),ISNUMBER(H41),H41&lt;&gt;0),I41/H41-1,"")</f>
        <v/>
      </c>
      <c r="J105" s="22" t="str">
        <f aca="false">IF(AND(ISNUMBER(J41),ISNUMBER(I41),I41&lt;&gt;0),J41/I41-1,"")</f>
        <v/>
      </c>
      <c r="K105" s="22" t="str">
        <f aca="false">IF(AND(ISNUMBER(K41),ISNUMBER(J41),J41&lt;&gt;0),K41/J41-1,"")</f>
        <v/>
      </c>
      <c r="L105" s="22" t="str">
        <f aca="false">IF(AND(ISNUMBER(L41),ISNUMBER(K41),K41&lt;&gt;0),L41/K41-1,"")</f>
        <v/>
      </c>
      <c r="M105" s="22" t="str">
        <f aca="false">IF(AND(ISNUMBER(M41),ISNUMBER(L41),L41&lt;&gt;0),M41/L41-1,"")</f>
        <v/>
      </c>
      <c r="N105" s="22" t="str">
        <f aca="false">IF(AND(ISNUMBER(N41),ISNUMBER(M41),M41&lt;&gt;0),N41/M41-1,"")</f>
        <v/>
      </c>
    </row>
    <row r="106" customFormat="false" ht="15" hidden="false" customHeight="false" outlineLevel="0" collapsed="false">
      <c r="A106" s="43" t="s">
        <v>490</v>
      </c>
      <c r="C106" s="5" t="s">
        <v>491</v>
      </c>
      <c r="F106" s="22" t="str">
        <f aca="false">IF(AND(ISNUMBER(F42),ISNUMBER(E42),E42&lt;&gt;0),F42/E42-1,"")</f>
        <v/>
      </c>
      <c r="G106" s="22" t="str">
        <f aca="false">IF(AND(ISNUMBER(G42),ISNUMBER(F42),F42&lt;&gt;0),G42/F42-1,"")</f>
        <v/>
      </c>
      <c r="H106" s="22" t="str">
        <f aca="false">IF(AND(ISNUMBER(H42),ISNUMBER(G42),G42&lt;&gt;0),H42/G42-1,"")</f>
        <v/>
      </c>
      <c r="I106" s="22" t="str">
        <f aca="false">IF(AND(ISNUMBER(I42),ISNUMBER(H42),H42&lt;&gt;0),I42/H42-1,"")</f>
        <v/>
      </c>
      <c r="J106" s="22" t="str">
        <f aca="false">IF(AND(ISNUMBER(J42),ISNUMBER(I42),I42&lt;&gt;0),J42/I42-1,"")</f>
        <v/>
      </c>
      <c r="K106" s="22" t="str">
        <f aca="false">IF(AND(ISNUMBER(K42),ISNUMBER(J42),J42&lt;&gt;0),K42/J42-1,"")</f>
        <v/>
      </c>
      <c r="L106" s="22" t="str">
        <f aca="false">IF(AND(ISNUMBER(L42),ISNUMBER(K42),K42&lt;&gt;0),L42/K42-1,"")</f>
        <v/>
      </c>
      <c r="M106" s="22" t="str">
        <f aca="false">IF(AND(ISNUMBER(M42),ISNUMBER(L42),L42&lt;&gt;0),M42/L42-1,"")</f>
        <v/>
      </c>
      <c r="N106" s="22" t="str">
        <f aca="false">IF(AND(ISNUMBER(N42),ISNUMBER(M42),M42&lt;&gt;0),N42/M42-1,"")</f>
        <v/>
      </c>
    </row>
    <row r="107" customFormat="false" ht="15" hidden="false" customHeight="false" outlineLevel="0" collapsed="false">
      <c r="A107" s="43" t="s">
        <v>492</v>
      </c>
      <c r="C107" s="5" t="s">
        <v>493</v>
      </c>
      <c r="F107" s="22" t="str">
        <f aca="false">IF(AND(ISNUMBER(F43),ISNUMBER(E43),E43&lt;&gt;0),F43/E43-1,"")</f>
        <v/>
      </c>
      <c r="G107" s="22" t="str">
        <f aca="false">IF(AND(ISNUMBER(G43),ISNUMBER(F43),F43&lt;&gt;0),G43/F43-1,"")</f>
        <v/>
      </c>
      <c r="H107" s="22" t="str">
        <f aca="false">IF(AND(ISNUMBER(H43),ISNUMBER(G43),G43&lt;&gt;0),H43/G43-1,"")</f>
        <v/>
      </c>
      <c r="I107" s="22" t="str">
        <f aca="false">IF(AND(ISNUMBER(I43),ISNUMBER(H43),H43&lt;&gt;0),I43/H43-1,"")</f>
        <v/>
      </c>
      <c r="J107" s="22" t="str">
        <f aca="false">IF(AND(ISNUMBER(J43),ISNUMBER(I43),I43&lt;&gt;0),J43/I43-1,"")</f>
        <v/>
      </c>
      <c r="K107" s="22" t="str">
        <f aca="false">IF(AND(ISNUMBER(K43),ISNUMBER(J43),J43&lt;&gt;0),K43/J43-1,"")</f>
        <v/>
      </c>
      <c r="L107" s="22" t="str">
        <f aca="false">IF(AND(ISNUMBER(L43),ISNUMBER(K43),K43&lt;&gt;0),L43/K43-1,"")</f>
        <v/>
      </c>
      <c r="M107" s="22" t="str">
        <f aca="false">IF(AND(ISNUMBER(M43),ISNUMBER(L43),L43&lt;&gt;0),M43/L43-1,"")</f>
        <v/>
      </c>
      <c r="N107" s="22" t="str">
        <f aca="false">IF(AND(ISNUMBER(N43),ISNUMBER(M43),M43&lt;&gt;0),N43/M43-1,"")</f>
        <v/>
      </c>
    </row>
    <row r="108" customFormat="false" ht="15" hidden="false" customHeight="false" outlineLevel="0" collapsed="false">
      <c r="A108" s="43" t="s">
        <v>494</v>
      </c>
      <c r="C108" s="5" t="s">
        <v>495</v>
      </c>
      <c r="F108" s="22" t="str">
        <f aca="false">IF(AND(ISNUMBER(F44),ISNUMBER(E44),E44&lt;&gt;0),F44/E44-1,"")</f>
        <v/>
      </c>
      <c r="G108" s="22" t="str">
        <f aca="false">IF(AND(ISNUMBER(G44),ISNUMBER(F44),F44&lt;&gt;0),G44/F44-1,"")</f>
        <v/>
      </c>
      <c r="H108" s="22" t="str">
        <f aca="false">IF(AND(ISNUMBER(H44),ISNUMBER(G44),G44&lt;&gt;0),H44/G44-1,"")</f>
        <v/>
      </c>
      <c r="I108" s="22" t="str">
        <f aca="false">IF(AND(ISNUMBER(I44),ISNUMBER(H44),H44&lt;&gt;0),I44/H44-1,"")</f>
        <v/>
      </c>
      <c r="J108" s="22" t="str">
        <f aca="false">IF(AND(ISNUMBER(J44),ISNUMBER(I44),I44&lt;&gt;0),J44/I44-1,"")</f>
        <v/>
      </c>
      <c r="K108" s="22" t="str">
        <f aca="false">IF(AND(ISNUMBER(K44),ISNUMBER(J44),J44&lt;&gt;0),K44/J44-1,"")</f>
        <v/>
      </c>
      <c r="L108" s="22" t="str">
        <f aca="false">IF(AND(ISNUMBER(L44),ISNUMBER(K44),K44&lt;&gt;0),L44/K44-1,"")</f>
        <v/>
      </c>
      <c r="M108" s="22" t="str">
        <f aca="false">IF(AND(ISNUMBER(M44),ISNUMBER(L44),L44&lt;&gt;0),M44/L44-1,"")</f>
        <v/>
      </c>
      <c r="N108" s="22" t="str">
        <f aca="false">IF(AND(ISNUMBER(N44),ISNUMBER(M44),M44&lt;&gt;0),N44/M44-1,"")</f>
        <v/>
      </c>
    </row>
    <row r="109" customFormat="false" ht="15" hidden="false" customHeight="false" outlineLevel="0" collapsed="false">
      <c r="A109" s="43" t="s">
        <v>496</v>
      </c>
      <c r="C109" s="5" t="s">
        <v>497</v>
      </c>
      <c r="F109" s="22" t="str">
        <f aca="false">IF(AND(ISNUMBER(F45),ISNUMBER(E45),E45&lt;&gt;0),F45/E45-1,"")</f>
        <v/>
      </c>
      <c r="G109" s="22" t="str">
        <f aca="false">IF(AND(ISNUMBER(G45),ISNUMBER(F45),F45&lt;&gt;0),G45/F45-1,"")</f>
        <v/>
      </c>
      <c r="H109" s="22" t="str">
        <f aca="false">IF(AND(ISNUMBER(H45),ISNUMBER(G45),G45&lt;&gt;0),H45/G45-1,"")</f>
        <v/>
      </c>
      <c r="I109" s="22" t="str">
        <f aca="false">IF(AND(ISNUMBER(I45),ISNUMBER(H45),H45&lt;&gt;0),I45/H45-1,"")</f>
        <v/>
      </c>
      <c r="J109" s="22" t="str">
        <f aca="false">IF(AND(ISNUMBER(J45),ISNUMBER(I45),I45&lt;&gt;0),J45/I45-1,"")</f>
        <v/>
      </c>
      <c r="K109" s="22" t="str">
        <f aca="false">IF(AND(ISNUMBER(K45),ISNUMBER(J45),J45&lt;&gt;0),K45/J45-1,"")</f>
        <v/>
      </c>
      <c r="L109" s="22" t="str">
        <f aca="false">IF(AND(ISNUMBER(L45),ISNUMBER(K45),K45&lt;&gt;0),L45/K45-1,"")</f>
        <v/>
      </c>
      <c r="M109" s="22" t="str">
        <f aca="false">IF(AND(ISNUMBER(M45),ISNUMBER(L45),L45&lt;&gt;0),M45/L45-1,"")</f>
        <v/>
      </c>
      <c r="N109" s="22" t="str">
        <f aca="false">IF(AND(ISNUMBER(N45),ISNUMBER(M45),M45&lt;&gt;0),N45/M45-1,"")</f>
        <v/>
      </c>
    </row>
    <row r="110" customFormat="false" ht="15" hidden="false" customHeight="false" outlineLevel="0" collapsed="false">
      <c r="A110" s="43" t="s">
        <v>498</v>
      </c>
      <c r="C110" s="5" t="s">
        <v>500</v>
      </c>
      <c r="F110" s="22" t="str">
        <f aca="false">IF(AND(ISNUMBER(F46),ISNUMBER(E46),E46&lt;&gt;0),F46/E46-1,"")</f>
        <v/>
      </c>
      <c r="G110" s="22" t="str">
        <f aca="false">IF(AND(ISNUMBER(G46),ISNUMBER(F46),F46&lt;&gt;0),G46/F46-1,"")</f>
        <v/>
      </c>
      <c r="H110" s="22" t="str">
        <f aca="false">IF(AND(ISNUMBER(H46),ISNUMBER(G46),G46&lt;&gt;0),H46/G46-1,"")</f>
        <v/>
      </c>
      <c r="I110" s="22" t="str">
        <f aca="false">IF(AND(ISNUMBER(I46),ISNUMBER(H46),H46&lt;&gt;0),I46/H46-1,"")</f>
        <v/>
      </c>
      <c r="J110" s="22" t="str">
        <f aca="false">IF(AND(ISNUMBER(J46),ISNUMBER(I46),I46&lt;&gt;0),J46/I46-1,"")</f>
        <v/>
      </c>
      <c r="K110" s="22" t="str">
        <f aca="false">IF(AND(ISNUMBER(K46),ISNUMBER(J46),J46&lt;&gt;0),K46/J46-1,"")</f>
        <v/>
      </c>
      <c r="L110" s="22" t="str">
        <f aca="false">IF(AND(ISNUMBER(L46),ISNUMBER(K46),K46&lt;&gt;0),L46/K46-1,"")</f>
        <v/>
      </c>
      <c r="M110" s="22" t="str">
        <f aca="false">IF(AND(ISNUMBER(M46),ISNUMBER(L46),L46&lt;&gt;0),M46/L46-1,"")</f>
        <v/>
      </c>
      <c r="N110" s="22" t="str">
        <f aca="false">IF(AND(ISNUMBER(N46),ISNUMBER(M46),M46&lt;&gt;0),N46/M46-1,"")</f>
        <v/>
      </c>
    </row>
    <row r="111" customFormat="false" ht="15" hidden="false" customHeight="false" outlineLevel="0" collapsed="false">
      <c r="A111" s="43" t="s">
        <v>501</v>
      </c>
      <c r="C111" s="5" t="s">
        <v>502</v>
      </c>
      <c r="F111" s="22" t="str">
        <f aca="false">IF(AND(ISNUMBER(F47),ISNUMBER(E47),E47&lt;&gt;0),F47/E47-1,"")</f>
        <v/>
      </c>
      <c r="G111" s="22" t="str">
        <f aca="false">IF(AND(ISNUMBER(G47),ISNUMBER(F47),F47&lt;&gt;0),G47/F47-1,"")</f>
        <v/>
      </c>
      <c r="H111" s="22" t="str">
        <f aca="false">IF(AND(ISNUMBER(H47),ISNUMBER(G47),G47&lt;&gt;0),H47/G47-1,"")</f>
        <v/>
      </c>
      <c r="I111" s="22" t="str">
        <f aca="false">IF(AND(ISNUMBER(I47),ISNUMBER(H47),H47&lt;&gt;0),I47/H47-1,"")</f>
        <v/>
      </c>
      <c r="J111" s="22" t="str">
        <f aca="false">IF(AND(ISNUMBER(J47),ISNUMBER(I47),I47&lt;&gt;0),J47/I47-1,"")</f>
        <v/>
      </c>
      <c r="K111" s="22" t="str">
        <f aca="false">IF(AND(ISNUMBER(K47),ISNUMBER(J47),J47&lt;&gt;0),K47/J47-1,"")</f>
        <v/>
      </c>
      <c r="L111" s="22" t="str">
        <f aca="false">IF(AND(ISNUMBER(L47),ISNUMBER(K47),K47&lt;&gt;0),L47/K47-1,"")</f>
        <v/>
      </c>
      <c r="M111" s="22" t="str">
        <f aca="false">IF(AND(ISNUMBER(M47),ISNUMBER(L47),L47&lt;&gt;0),M47/L47-1,"")</f>
        <v/>
      </c>
      <c r="N111" s="22" t="str">
        <f aca="false">IF(AND(ISNUMBER(N47),ISNUMBER(M47),M47&lt;&gt;0),N47/M47-1,"")</f>
        <v/>
      </c>
    </row>
    <row r="112" customFormat="false" ht="15" hidden="false" customHeight="false" outlineLevel="0" collapsed="false">
      <c r="A112" s="43" t="s">
        <v>503</v>
      </c>
      <c r="C112" s="5" t="s">
        <v>504</v>
      </c>
      <c r="F112" s="22" t="str">
        <f aca="false">IF(AND(ISNUMBER(F48),ISNUMBER(E48),E48&lt;&gt;0),F48/E48-1,"")</f>
        <v/>
      </c>
      <c r="G112" s="22" t="str">
        <f aca="false">IF(AND(ISNUMBER(G48),ISNUMBER(F48),F48&lt;&gt;0),G48/F48-1,"")</f>
        <v/>
      </c>
      <c r="H112" s="22" t="str">
        <f aca="false">IF(AND(ISNUMBER(H48),ISNUMBER(G48),G48&lt;&gt;0),H48/G48-1,"")</f>
        <v/>
      </c>
      <c r="I112" s="22" t="str">
        <f aca="false">IF(AND(ISNUMBER(I48),ISNUMBER(H48),H48&lt;&gt;0),I48/H48-1,"")</f>
        <v/>
      </c>
      <c r="J112" s="22" t="str">
        <f aca="false">IF(AND(ISNUMBER(J48),ISNUMBER(I48),I48&lt;&gt;0),J48/I48-1,"")</f>
        <v/>
      </c>
      <c r="K112" s="22" t="str">
        <f aca="false">IF(AND(ISNUMBER(K48),ISNUMBER(J48),J48&lt;&gt;0),K48/J48-1,"")</f>
        <v/>
      </c>
      <c r="L112" s="22" t="str">
        <f aca="false">IF(AND(ISNUMBER(L48),ISNUMBER(K48),K48&lt;&gt;0),L48/K48-1,"")</f>
        <v/>
      </c>
      <c r="M112" s="22" t="str">
        <f aca="false">IF(AND(ISNUMBER(M48),ISNUMBER(L48),L48&lt;&gt;0),M48/L48-1,"")</f>
        <v/>
      </c>
      <c r="N112" s="22" t="str">
        <f aca="false">IF(AND(ISNUMBER(N48),ISNUMBER(M48),M48&lt;&gt;0),N48/M48-1,"")</f>
        <v/>
      </c>
    </row>
    <row r="113" customFormat="false" ht="15" hidden="false" customHeight="false" outlineLevel="0" collapsed="false">
      <c r="A113" s="43" t="s">
        <v>506</v>
      </c>
      <c r="C113" s="5" t="s">
        <v>507</v>
      </c>
      <c r="F113" s="22" t="str">
        <f aca="false">IF(AND(ISNUMBER(F49),ISNUMBER(E49),E49&lt;&gt;0),F49/E49-1,"")</f>
        <v/>
      </c>
      <c r="G113" s="22" t="str">
        <f aca="false">IF(AND(ISNUMBER(G49),ISNUMBER(F49),F49&lt;&gt;0),G49/F49-1,"")</f>
        <v/>
      </c>
      <c r="H113" s="22" t="str">
        <f aca="false">IF(AND(ISNUMBER(H49),ISNUMBER(G49),G49&lt;&gt;0),H49/G49-1,"")</f>
        <v/>
      </c>
      <c r="I113" s="22" t="str">
        <f aca="false">IF(AND(ISNUMBER(I49),ISNUMBER(H49),H49&lt;&gt;0),I49/H49-1,"")</f>
        <v/>
      </c>
      <c r="J113" s="22" t="str">
        <f aca="false">IF(AND(ISNUMBER(J49),ISNUMBER(I49),I49&lt;&gt;0),J49/I49-1,"")</f>
        <v/>
      </c>
      <c r="K113" s="22" t="str">
        <f aca="false">IF(AND(ISNUMBER(K49),ISNUMBER(J49),J49&lt;&gt;0),K49/J49-1,"")</f>
        <v/>
      </c>
      <c r="L113" s="22" t="str">
        <f aca="false">IF(AND(ISNUMBER(L49),ISNUMBER(K49),K49&lt;&gt;0),L49/K49-1,"")</f>
        <v/>
      </c>
      <c r="M113" s="22" t="str">
        <f aca="false">IF(AND(ISNUMBER(M49),ISNUMBER(L49),L49&lt;&gt;0),M49/L49-1,"")</f>
        <v/>
      </c>
      <c r="N113" s="22" t="str">
        <f aca="false">IF(AND(ISNUMBER(N49),ISNUMBER(M49),M49&lt;&gt;0),N49/M49-1,"")</f>
        <v/>
      </c>
    </row>
    <row r="114" customFormat="false" ht="15" hidden="false" customHeight="false" outlineLevel="0" collapsed="false">
      <c r="A114" s="43" t="s">
        <v>508</v>
      </c>
      <c r="C114" s="5" t="s">
        <v>509</v>
      </c>
      <c r="F114" s="22" t="str">
        <f aca="false">IF(AND(ISNUMBER(F50),ISNUMBER(E50),E50&lt;&gt;0),F50/E50-1,"")</f>
        <v/>
      </c>
      <c r="G114" s="22" t="str">
        <f aca="false">IF(AND(ISNUMBER(G50),ISNUMBER(F50),F50&lt;&gt;0),G50/F50-1,"")</f>
        <v/>
      </c>
      <c r="H114" s="22" t="str">
        <f aca="false">IF(AND(ISNUMBER(H50),ISNUMBER(G50),G50&lt;&gt;0),H50/G50-1,"")</f>
        <v/>
      </c>
      <c r="I114" s="22" t="str">
        <f aca="false">IF(AND(ISNUMBER(I50),ISNUMBER(H50),H50&lt;&gt;0),I50/H50-1,"")</f>
        <v/>
      </c>
      <c r="J114" s="22" t="str">
        <f aca="false">IF(AND(ISNUMBER(J50),ISNUMBER(I50),I50&lt;&gt;0),J50/I50-1,"")</f>
        <v/>
      </c>
      <c r="K114" s="22" t="str">
        <f aca="false">IF(AND(ISNUMBER(K50),ISNUMBER(J50),J50&lt;&gt;0),K50/J50-1,"")</f>
        <v/>
      </c>
      <c r="L114" s="22" t="str">
        <f aca="false">IF(AND(ISNUMBER(L50),ISNUMBER(K50),K50&lt;&gt;0),L50/K50-1,"")</f>
        <v/>
      </c>
      <c r="M114" s="22" t="str">
        <f aca="false">IF(AND(ISNUMBER(M50),ISNUMBER(L50),L50&lt;&gt;0),M50/L50-1,"")</f>
        <v/>
      </c>
      <c r="N114" s="22" t="str">
        <f aca="false">IF(AND(ISNUMBER(N50),ISNUMBER(M50),M50&lt;&gt;0),N50/M50-1,"")</f>
        <v/>
      </c>
    </row>
    <row r="115" customFormat="false" ht="15" hidden="false" customHeight="false" outlineLevel="0" collapsed="false">
      <c r="A115" s="43" t="s">
        <v>511</v>
      </c>
      <c r="C115" s="5" t="s">
        <v>512</v>
      </c>
      <c r="F115" s="22" t="str">
        <f aca="false">IF(AND(ISNUMBER(F51),ISNUMBER(E51),E51&lt;&gt;0),F51/E51-1,"")</f>
        <v/>
      </c>
      <c r="G115" s="22" t="str">
        <f aca="false">IF(AND(ISNUMBER(G51),ISNUMBER(F51),F51&lt;&gt;0),G51/F51-1,"")</f>
        <v/>
      </c>
      <c r="H115" s="22" t="str">
        <f aca="false">IF(AND(ISNUMBER(H51),ISNUMBER(G51),G51&lt;&gt;0),H51/G51-1,"")</f>
        <v/>
      </c>
      <c r="I115" s="22" t="str">
        <f aca="false">IF(AND(ISNUMBER(I51),ISNUMBER(H51),H51&lt;&gt;0),I51/H51-1,"")</f>
        <v/>
      </c>
      <c r="J115" s="22" t="str">
        <f aca="false">IF(AND(ISNUMBER(J51),ISNUMBER(I51),I51&lt;&gt;0),J51/I51-1,"")</f>
        <v/>
      </c>
      <c r="K115" s="22" t="str">
        <f aca="false">IF(AND(ISNUMBER(K51),ISNUMBER(J51),J51&lt;&gt;0),K51/J51-1,"")</f>
        <v/>
      </c>
      <c r="L115" s="22" t="str">
        <f aca="false">IF(AND(ISNUMBER(L51),ISNUMBER(K51),K51&lt;&gt;0),L51/K51-1,"")</f>
        <v/>
      </c>
      <c r="M115" s="22" t="str">
        <f aca="false">IF(AND(ISNUMBER(M51),ISNUMBER(L51),L51&lt;&gt;0),M51/L51-1,"")</f>
        <v/>
      </c>
      <c r="N115" s="22" t="str">
        <f aca="false">IF(AND(ISNUMBER(N51),ISNUMBER(M51),M51&lt;&gt;0),N51/M51-1,"")</f>
        <v/>
      </c>
    </row>
    <row r="116" customFormat="false" ht="15" hidden="false" customHeight="false" outlineLevel="0" collapsed="false">
      <c r="A116" s="43" t="s">
        <v>513</v>
      </c>
      <c r="C116" s="5" t="s">
        <v>515</v>
      </c>
      <c r="F116" s="22" t="str">
        <f aca="false">IF(AND(ISNUMBER(F52),ISNUMBER(E52),E52&lt;&gt;0),F52/E52-1,"")</f>
        <v/>
      </c>
      <c r="G116" s="22" t="str">
        <f aca="false">IF(AND(ISNUMBER(G52),ISNUMBER(F52),F52&lt;&gt;0),G52/F52-1,"")</f>
        <v/>
      </c>
      <c r="H116" s="22" t="str">
        <f aca="false">IF(AND(ISNUMBER(H52),ISNUMBER(G52),G52&lt;&gt;0),H52/G52-1,"")</f>
        <v/>
      </c>
      <c r="I116" s="22" t="str">
        <f aca="false">IF(AND(ISNUMBER(I52),ISNUMBER(H52),H52&lt;&gt;0),I52/H52-1,"")</f>
        <v/>
      </c>
      <c r="J116" s="22" t="str">
        <f aca="false">IF(AND(ISNUMBER(J52),ISNUMBER(I52),I52&lt;&gt;0),J52/I52-1,"")</f>
        <v/>
      </c>
      <c r="K116" s="22" t="str">
        <f aca="false">IF(AND(ISNUMBER(K52),ISNUMBER(J52),J52&lt;&gt;0),K52/J52-1,"")</f>
        <v/>
      </c>
      <c r="L116" s="22" t="str">
        <f aca="false">IF(AND(ISNUMBER(L52),ISNUMBER(K52),K52&lt;&gt;0),L52/K52-1,"")</f>
        <v/>
      </c>
      <c r="M116" s="22" t="str">
        <f aca="false">IF(AND(ISNUMBER(M52),ISNUMBER(L52),L52&lt;&gt;0),M52/L52-1,"")</f>
        <v/>
      </c>
      <c r="N116" s="22" t="str">
        <f aca="false">IF(AND(ISNUMBER(N52),ISNUMBER(M52),M52&lt;&gt;0),N52/M52-1,"")</f>
        <v/>
      </c>
    </row>
    <row r="117" customFormat="false" ht="15" hidden="false" customHeight="false" outlineLevel="0" collapsed="false">
      <c r="A117" s="43" t="s">
        <v>516</v>
      </c>
      <c r="C117" s="5" t="s">
        <v>517</v>
      </c>
      <c r="F117" s="22" t="str">
        <f aca="false">IF(AND(ISNUMBER(F53),ISNUMBER(E53),E53&lt;&gt;0),F53/E53-1,"")</f>
        <v/>
      </c>
      <c r="G117" s="22" t="str">
        <f aca="false">IF(AND(ISNUMBER(G53),ISNUMBER(F53),F53&lt;&gt;0),G53/F53-1,"")</f>
        <v/>
      </c>
      <c r="H117" s="22" t="str">
        <f aca="false">IF(AND(ISNUMBER(H53),ISNUMBER(G53),G53&lt;&gt;0),H53/G53-1,"")</f>
        <v/>
      </c>
      <c r="I117" s="22" t="str">
        <f aca="false">IF(AND(ISNUMBER(I53),ISNUMBER(H53),H53&lt;&gt;0),I53/H53-1,"")</f>
        <v/>
      </c>
      <c r="J117" s="22" t="str">
        <f aca="false">IF(AND(ISNUMBER(J53),ISNUMBER(I53),I53&lt;&gt;0),J53/I53-1,"")</f>
        <v/>
      </c>
      <c r="K117" s="22" t="str">
        <f aca="false">IF(AND(ISNUMBER(K53),ISNUMBER(J53),J53&lt;&gt;0),K53/J53-1,"")</f>
        <v/>
      </c>
      <c r="L117" s="22" t="str">
        <f aca="false">IF(AND(ISNUMBER(L53),ISNUMBER(K53),K53&lt;&gt;0),L53/K53-1,"")</f>
        <v/>
      </c>
      <c r="M117" s="22" t="str">
        <f aca="false">IF(AND(ISNUMBER(M53),ISNUMBER(L53),L53&lt;&gt;0),M53/L53-1,"")</f>
        <v/>
      </c>
      <c r="N117" s="22" t="str">
        <f aca="false">IF(AND(ISNUMBER(N53),ISNUMBER(M53),M53&lt;&gt;0),N53/M53-1,"")</f>
        <v/>
      </c>
    </row>
    <row r="118" customFormat="false" ht="15" hidden="false" customHeight="false" outlineLevel="0" collapsed="false">
      <c r="A118" s="43" t="s">
        <v>519</v>
      </c>
      <c r="C118" s="5" t="s">
        <v>520</v>
      </c>
      <c r="F118" s="22" t="str">
        <f aca="false">IF(AND(ISNUMBER(F54),ISNUMBER(E54),E54&lt;&gt;0),F54/E54-1,"")</f>
        <v/>
      </c>
      <c r="G118" s="22" t="str">
        <f aca="false">IF(AND(ISNUMBER(G54),ISNUMBER(F54),F54&lt;&gt;0),G54/F54-1,"")</f>
        <v/>
      </c>
      <c r="H118" s="22" t="str">
        <f aca="false">IF(AND(ISNUMBER(H54),ISNUMBER(G54),G54&lt;&gt;0),H54/G54-1,"")</f>
        <v/>
      </c>
      <c r="I118" s="22" t="str">
        <f aca="false">IF(AND(ISNUMBER(I54),ISNUMBER(H54),H54&lt;&gt;0),I54/H54-1,"")</f>
        <v/>
      </c>
      <c r="J118" s="22" t="str">
        <f aca="false">IF(AND(ISNUMBER(J54),ISNUMBER(I54),I54&lt;&gt;0),J54/I54-1,"")</f>
        <v/>
      </c>
      <c r="K118" s="22" t="str">
        <f aca="false">IF(AND(ISNUMBER(K54),ISNUMBER(J54),J54&lt;&gt;0),K54/J54-1,"")</f>
        <v/>
      </c>
      <c r="L118" s="22" t="str">
        <f aca="false">IF(AND(ISNUMBER(L54),ISNUMBER(K54),K54&lt;&gt;0),L54/K54-1,"")</f>
        <v/>
      </c>
      <c r="M118" s="22" t="str">
        <f aca="false">IF(AND(ISNUMBER(M54),ISNUMBER(L54),L54&lt;&gt;0),M54/L54-1,"")</f>
        <v/>
      </c>
      <c r="N118" s="22" t="str">
        <f aca="false">IF(AND(ISNUMBER(N54),ISNUMBER(M54),M54&lt;&gt;0),N54/M54-1,"")</f>
        <v/>
      </c>
    </row>
    <row r="119" customFormat="false" ht="15" hidden="false" customHeight="false" outlineLevel="0" collapsed="false">
      <c r="A119" s="43" t="s">
        <v>521</v>
      </c>
      <c r="C119" s="5" t="s">
        <v>523</v>
      </c>
      <c r="F119" s="22" t="str">
        <f aca="false">IF(AND(ISNUMBER(F55),ISNUMBER(E55),E55&lt;&gt;0),F55/E55-1,"")</f>
        <v/>
      </c>
      <c r="G119" s="22" t="str">
        <f aca="false">IF(AND(ISNUMBER(G55),ISNUMBER(F55),F55&lt;&gt;0),G55/F55-1,"")</f>
        <v/>
      </c>
      <c r="H119" s="22" t="str">
        <f aca="false">IF(AND(ISNUMBER(H55),ISNUMBER(G55),G55&lt;&gt;0),H55/G55-1,"")</f>
        <v/>
      </c>
      <c r="I119" s="22" t="str">
        <f aca="false">IF(AND(ISNUMBER(I55),ISNUMBER(H55),H55&lt;&gt;0),I55/H55-1,"")</f>
        <v/>
      </c>
      <c r="J119" s="22" t="str">
        <f aca="false">IF(AND(ISNUMBER(J55),ISNUMBER(I55),I55&lt;&gt;0),J55/I55-1,"")</f>
        <v/>
      </c>
      <c r="K119" s="22" t="str">
        <f aca="false">IF(AND(ISNUMBER(K55),ISNUMBER(J55),J55&lt;&gt;0),K55/J55-1,"")</f>
        <v/>
      </c>
      <c r="L119" s="22" t="str">
        <f aca="false">IF(AND(ISNUMBER(L55),ISNUMBER(K55),K55&lt;&gt;0),L55/K55-1,"")</f>
        <v/>
      </c>
      <c r="M119" s="22" t="str">
        <f aca="false">IF(AND(ISNUMBER(M55),ISNUMBER(L55),L55&lt;&gt;0),M55/L55-1,"")</f>
        <v/>
      </c>
      <c r="N119" s="22" t="str">
        <f aca="false">IF(AND(ISNUMBER(N55),ISNUMBER(M55),M55&lt;&gt;0),N55/M55-1,"")</f>
        <v/>
      </c>
    </row>
    <row r="120" customFormat="false" ht="15" hidden="false" customHeight="false" outlineLevel="0" collapsed="false">
      <c r="A120" s="43" t="s">
        <v>524</v>
      </c>
      <c r="C120" s="5" t="s">
        <v>525</v>
      </c>
      <c r="F120" s="22" t="str">
        <f aca="false">IF(AND(ISNUMBER(F56),ISNUMBER(E56),E56&lt;&gt;0),F56/E56-1,"")</f>
        <v/>
      </c>
      <c r="G120" s="22" t="str">
        <f aca="false">IF(AND(ISNUMBER(G56),ISNUMBER(F56),F56&lt;&gt;0),G56/F56-1,"")</f>
        <v/>
      </c>
      <c r="H120" s="22" t="str">
        <f aca="false">IF(AND(ISNUMBER(H56),ISNUMBER(G56),G56&lt;&gt;0),H56/G56-1,"")</f>
        <v/>
      </c>
      <c r="I120" s="22" t="str">
        <f aca="false">IF(AND(ISNUMBER(I56),ISNUMBER(H56),H56&lt;&gt;0),I56/H56-1,"")</f>
        <v/>
      </c>
      <c r="J120" s="22" t="str">
        <f aca="false">IF(AND(ISNUMBER(J56),ISNUMBER(I56),I56&lt;&gt;0),J56/I56-1,"")</f>
        <v/>
      </c>
      <c r="K120" s="22" t="str">
        <f aca="false">IF(AND(ISNUMBER(K56),ISNUMBER(J56),J56&lt;&gt;0),K56/J56-1,"")</f>
        <v/>
      </c>
      <c r="L120" s="22" t="str">
        <f aca="false">IF(AND(ISNUMBER(L56),ISNUMBER(K56),K56&lt;&gt;0),L56/K56-1,"")</f>
        <v/>
      </c>
      <c r="M120" s="22" t="str">
        <f aca="false">IF(AND(ISNUMBER(M56),ISNUMBER(L56),L56&lt;&gt;0),M56/L56-1,"")</f>
        <v/>
      </c>
      <c r="N120" s="22" t="str">
        <f aca="false">IF(AND(ISNUMBER(N56),ISNUMBER(M56),M56&lt;&gt;0),N56/M56-1,"")</f>
        <v/>
      </c>
    </row>
    <row r="121" customFormat="false" ht="15" hidden="false" customHeight="false" outlineLevel="0" collapsed="false">
      <c r="A121" s="43" t="s">
        <v>526</v>
      </c>
      <c r="C121" s="5" t="s">
        <v>528</v>
      </c>
      <c r="F121" s="22" t="str">
        <f aca="false">IF(AND(ISNUMBER(F57),ISNUMBER(E57),E57&lt;&gt;0),F57/E57-1,"")</f>
        <v/>
      </c>
      <c r="G121" s="22" t="str">
        <f aca="false">IF(AND(ISNUMBER(G57),ISNUMBER(F57),F57&lt;&gt;0),G57/F57-1,"")</f>
        <v/>
      </c>
      <c r="H121" s="22" t="str">
        <f aca="false">IF(AND(ISNUMBER(H57),ISNUMBER(G57),G57&lt;&gt;0),H57/G57-1,"")</f>
        <v/>
      </c>
      <c r="I121" s="22" t="str">
        <f aca="false">IF(AND(ISNUMBER(I57),ISNUMBER(H57),H57&lt;&gt;0),I57/H57-1,"")</f>
        <v/>
      </c>
      <c r="J121" s="22" t="str">
        <f aca="false">IF(AND(ISNUMBER(J57),ISNUMBER(I57),I57&lt;&gt;0),J57/I57-1,"")</f>
        <v/>
      </c>
      <c r="K121" s="22" t="str">
        <f aca="false">IF(AND(ISNUMBER(K57),ISNUMBER(J57),J57&lt;&gt;0),K57/J57-1,"")</f>
        <v/>
      </c>
      <c r="L121" s="22" t="str">
        <f aca="false">IF(AND(ISNUMBER(L57),ISNUMBER(K57),K57&lt;&gt;0),L57/K57-1,"")</f>
        <v/>
      </c>
      <c r="M121" s="22" t="str">
        <f aca="false">IF(AND(ISNUMBER(M57),ISNUMBER(L57),L57&lt;&gt;0),M57/L57-1,"")</f>
        <v/>
      </c>
      <c r="N121" s="22" t="str">
        <f aca="false">IF(AND(ISNUMBER(N57),ISNUMBER(M57),M57&lt;&gt;0),N57/M57-1,"")</f>
        <v/>
      </c>
    </row>
    <row r="122" customFormat="false" ht="15" hidden="false" customHeight="false" outlineLevel="0" collapsed="false">
      <c r="A122" s="43" t="s">
        <v>529</v>
      </c>
      <c r="C122" s="5" t="s">
        <v>530</v>
      </c>
      <c r="F122" s="22" t="str">
        <f aca="false">IF(AND(ISNUMBER(F58),ISNUMBER(E58),E58&lt;&gt;0),F58/E58-1,"")</f>
        <v/>
      </c>
      <c r="G122" s="22" t="str">
        <f aca="false">IF(AND(ISNUMBER(G58),ISNUMBER(F58),F58&lt;&gt;0),G58/F58-1,"")</f>
        <v/>
      </c>
      <c r="H122" s="22" t="str">
        <f aca="false">IF(AND(ISNUMBER(H58),ISNUMBER(G58),G58&lt;&gt;0),H58/G58-1,"")</f>
        <v/>
      </c>
      <c r="I122" s="22" t="str">
        <f aca="false">IF(AND(ISNUMBER(I58),ISNUMBER(H58),H58&lt;&gt;0),I58/H58-1,"")</f>
        <v/>
      </c>
      <c r="J122" s="22" t="str">
        <f aca="false">IF(AND(ISNUMBER(J58),ISNUMBER(I58),I58&lt;&gt;0),J58/I58-1,"")</f>
        <v/>
      </c>
      <c r="K122" s="22" t="str">
        <f aca="false">IF(AND(ISNUMBER(K58),ISNUMBER(J58),J58&lt;&gt;0),K58/J58-1,"")</f>
        <v/>
      </c>
      <c r="L122" s="22" t="str">
        <f aca="false">IF(AND(ISNUMBER(L58),ISNUMBER(K58),K58&lt;&gt;0),L58/K58-1,"")</f>
        <v/>
      </c>
      <c r="M122" s="22" t="str">
        <f aca="false">IF(AND(ISNUMBER(M58),ISNUMBER(L58),L58&lt;&gt;0),M58/L58-1,"")</f>
        <v/>
      </c>
      <c r="N122" s="22" t="str">
        <f aca="false">IF(AND(ISNUMBER(N58),ISNUMBER(M58),M58&lt;&gt;0),N58/M58-1,"")</f>
        <v/>
      </c>
    </row>
    <row r="123" customFormat="false" ht="15" hidden="false" customHeight="false" outlineLevel="0" collapsed="false">
      <c r="A123" s="43" t="s">
        <v>531</v>
      </c>
      <c r="C123" s="5" t="s">
        <v>532</v>
      </c>
      <c r="F123" s="22" t="str">
        <f aca="false">IF(AND(ISNUMBER(F59),ISNUMBER(E59),E59&lt;&gt;0),F59/E59-1,"")</f>
        <v/>
      </c>
      <c r="G123" s="22" t="str">
        <f aca="false">IF(AND(ISNUMBER(G59),ISNUMBER(F59),F59&lt;&gt;0),G59/F59-1,"")</f>
        <v/>
      </c>
      <c r="H123" s="22" t="str">
        <f aca="false">IF(AND(ISNUMBER(H59),ISNUMBER(G59),G59&lt;&gt;0),H59/G59-1,"")</f>
        <v/>
      </c>
      <c r="I123" s="22" t="str">
        <f aca="false">IF(AND(ISNUMBER(I59),ISNUMBER(H59),H59&lt;&gt;0),I59/H59-1,"")</f>
        <v/>
      </c>
      <c r="J123" s="22" t="str">
        <f aca="false">IF(AND(ISNUMBER(J59),ISNUMBER(I59),I59&lt;&gt;0),J59/I59-1,"")</f>
        <v/>
      </c>
      <c r="K123" s="22" t="str">
        <f aca="false">IF(AND(ISNUMBER(K59),ISNUMBER(J59),J59&lt;&gt;0),K59/J59-1,"")</f>
        <v/>
      </c>
      <c r="L123" s="22" t="str">
        <f aca="false">IF(AND(ISNUMBER(L59),ISNUMBER(K59),K59&lt;&gt;0),L59/K59-1,"")</f>
        <v/>
      </c>
      <c r="M123" s="22" t="str">
        <f aca="false">IF(AND(ISNUMBER(M59),ISNUMBER(L59),L59&lt;&gt;0),M59/L59-1,"")</f>
        <v/>
      </c>
      <c r="N123" s="22" t="str">
        <f aca="false">IF(AND(ISNUMBER(N59),ISNUMBER(M59),M59&lt;&gt;0),N59/M59-1,"")</f>
        <v/>
      </c>
    </row>
    <row r="124" customFormat="false" ht="15" hidden="false" customHeight="false" outlineLevel="0" collapsed="false">
      <c r="A124" s="43" t="s">
        <v>534</v>
      </c>
      <c r="C124" s="5" t="s">
        <v>535</v>
      </c>
      <c r="F124" s="22" t="str">
        <f aca="false">IF(AND(ISNUMBER(F60),ISNUMBER(E60),E60&lt;&gt;0),F60/E60-1,"")</f>
        <v/>
      </c>
      <c r="G124" s="22" t="str">
        <f aca="false">IF(AND(ISNUMBER(G60),ISNUMBER(F60),F60&lt;&gt;0),G60/F60-1,"")</f>
        <v/>
      </c>
      <c r="H124" s="22" t="str">
        <f aca="false">IF(AND(ISNUMBER(H60),ISNUMBER(G60),G60&lt;&gt;0),H60/G60-1,"")</f>
        <v/>
      </c>
      <c r="I124" s="22" t="str">
        <f aca="false">IF(AND(ISNUMBER(I60),ISNUMBER(H60),H60&lt;&gt;0),I60/H60-1,"")</f>
        <v/>
      </c>
      <c r="J124" s="22" t="str">
        <f aca="false">IF(AND(ISNUMBER(J60),ISNUMBER(I60),I60&lt;&gt;0),J60/I60-1,"")</f>
        <v/>
      </c>
      <c r="K124" s="22" t="str">
        <f aca="false">IF(AND(ISNUMBER(K60),ISNUMBER(J60),J60&lt;&gt;0),K60/J60-1,"")</f>
        <v/>
      </c>
      <c r="L124" s="22" t="str">
        <f aca="false">IF(AND(ISNUMBER(L60),ISNUMBER(K60),K60&lt;&gt;0),L60/K60-1,"")</f>
        <v/>
      </c>
      <c r="M124" s="22" t="str">
        <f aca="false">IF(AND(ISNUMBER(M60),ISNUMBER(L60),L60&lt;&gt;0),M60/L60-1,"")</f>
        <v/>
      </c>
      <c r="N124" s="22" t="str">
        <f aca="false">IF(AND(ISNUMBER(N60),ISNUMBER(M60),M60&lt;&gt;0),N60/M60-1,"")</f>
        <v/>
      </c>
    </row>
    <row r="125" customFormat="false" ht="15" hidden="false" customHeight="false" outlineLevel="0" collapsed="false">
      <c r="A125" s="43" t="s">
        <v>536</v>
      </c>
      <c r="C125" s="5" t="s">
        <v>537</v>
      </c>
      <c r="F125" s="22" t="str">
        <f aca="false">IF(AND(ISNUMBER(F61),ISNUMBER(E61),E61&lt;&gt;0),F61/E61-1,"")</f>
        <v/>
      </c>
      <c r="G125" s="22" t="str">
        <f aca="false">IF(AND(ISNUMBER(G61),ISNUMBER(F61),F61&lt;&gt;0),G61/F61-1,"")</f>
        <v/>
      </c>
      <c r="H125" s="22" t="str">
        <f aca="false">IF(AND(ISNUMBER(H61),ISNUMBER(G61),G61&lt;&gt;0),H61/G61-1,"")</f>
        <v/>
      </c>
      <c r="I125" s="22" t="str">
        <f aca="false">IF(AND(ISNUMBER(I61),ISNUMBER(H61),H61&lt;&gt;0),I61/H61-1,"")</f>
        <v/>
      </c>
      <c r="J125" s="22" t="str">
        <f aca="false">IF(AND(ISNUMBER(J61),ISNUMBER(I61),I61&lt;&gt;0),J61/I61-1,"")</f>
        <v/>
      </c>
      <c r="K125" s="22" t="str">
        <f aca="false">IF(AND(ISNUMBER(K61),ISNUMBER(J61),J61&lt;&gt;0),K61/J61-1,"")</f>
        <v/>
      </c>
      <c r="L125" s="22" t="str">
        <f aca="false">IF(AND(ISNUMBER(L61),ISNUMBER(K61),K61&lt;&gt;0),L61/K61-1,"")</f>
        <v/>
      </c>
      <c r="M125" s="22" t="str">
        <f aca="false">IF(AND(ISNUMBER(M61),ISNUMBER(L61),L61&lt;&gt;0),M61/L61-1,"")</f>
        <v/>
      </c>
      <c r="N125" s="22" t="str">
        <f aca="false">IF(AND(ISNUMBER(N61),ISNUMBER(M61),M61&lt;&gt;0),N61/M61-1,"")</f>
        <v/>
      </c>
    </row>
    <row r="126" customFormat="false" ht="15" hidden="false" customHeight="false" outlineLevel="0" collapsed="false">
      <c r="A126" s="43" t="s">
        <v>538</v>
      </c>
      <c r="C126" s="5" t="s">
        <v>540</v>
      </c>
      <c r="F126" s="22" t="str">
        <f aca="false">IF(AND(ISNUMBER(F62),ISNUMBER(E62),E62&lt;&gt;0),F62/E62-1,"")</f>
        <v/>
      </c>
      <c r="G126" s="22" t="str">
        <f aca="false">IF(AND(ISNUMBER(G62),ISNUMBER(F62),F62&lt;&gt;0),G62/F62-1,"")</f>
        <v/>
      </c>
      <c r="H126" s="22" t="str">
        <f aca="false">IF(AND(ISNUMBER(H62),ISNUMBER(G62),G62&lt;&gt;0),H62/G62-1,"")</f>
        <v/>
      </c>
      <c r="I126" s="22" t="str">
        <f aca="false">IF(AND(ISNUMBER(I62),ISNUMBER(H62),H62&lt;&gt;0),I62/H62-1,"")</f>
        <v/>
      </c>
      <c r="J126" s="22" t="str">
        <f aca="false">IF(AND(ISNUMBER(J62),ISNUMBER(I62),I62&lt;&gt;0),J62/I62-1,"")</f>
        <v/>
      </c>
      <c r="K126" s="22" t="str">
        <f aca="false">IF(AND(ISNUMBER(K62),ISNUMBER(J62),J62&lt;&gt;0),K62/J62-1,"")</f>
        <v/>
      </c>
      <c r="L126" s="22" t="str">
        <f aca="false">IF(AND(ISNUMBER(L62),ISNUMBER(K62),K62&lt;&gt;0),L62/K62-1,"")</f>
        <v/>
      </c>
      <c r="M126" s="22" t="str">
        <f aca="false">IF(AND(ISNUMBER(M62),ISNUMBER(L62),L62&lt;&gt;0),M62/L62-1,"")</f>
        <v/>
      </c>
      <c r="N126" s="22" t="str">
        <f aca="false">IF(AND(ISNUMBER(N62),ISNUMBER(M62),M62&lt;&gt;0),N62/M62-1,"")</f>
        <v/>
      </c>
    </row>
    <row r="127" customFormat="false" ht="15" hidden="false" customHeight="false" outlineLevel="0" collapsed="false">
      <c r="A127" s="43" t="s">
        <v>541</v>
      </c>
      <c r="C127" s="5" t="s">
        <v>542</v>
      </c>
      <c r="F127" s="22" t="str">
        <f aca="false">IF(AND(ISNUMBER(F63),ISNUMBER(E63),E63&lt;&gt;0),F63/E63-1,"")</f>
        <v/>
      </c>
      <c r="G127" s="22" t="str">
        <f aca="false">IF(AND(ISNUMBER(G63),ISNUMBER(F63),F63&lt;&gt;0),G63/F63-1,"")</f>
        <v/>
      </c>
      <c r="H127" s="22" t="str">
        <f aca="false">IF(AND(ISNUMBER(H63),ISNUMBER(G63),G63&lt;&gt;0),H63/G63-1,"")</f>
        <v/>
      </c>
      <c r="I127" s="22" t="str">
        <f aca="false">IF(AND(ISNUMBER(I63),ISNUMBER(H63),H63&lt;&gt;0),I63/H63-1,"")</f>
        <v/>
      </c>
      <c r="J127" s="22" t="str">
        <f aca="false">IF(AND(ISNUMBER(J63),ISNUMBER(I63),I63&lt;&gt;0),J63/I63-1,"")</f>
        <v/>
      </c>
      <c r="K127" s="22" t="str">
        <f aca="false">IF(AND(ISNUMBER(K63),ISNUMBER(J63),J63&lt;&gt;0),K63/J63-1,"")</f>
        <v/>
      </c>
      <c r="L127" s="22" t="str">
        <f aca="false">IF(AND(ISNUMBER(L63),ISNUMBER(K63),K63&lt;&gt;0),L63/K63-1,"")</f>
        <v/>
      </c>
      <c r="M127" s="22" t="str">
        <f aca="false">IF(AND(ISNUMBER(M63),ISNUMBER(L63),L63&lt;&gt;0),M63/L63-1,"")</f>
        <v/>
      </c>
      <c r="N127" s="22" t="str">
        <f aca="false">IF(AND(ISNUMBER(N63),ISNUMBER(M63),M63&lt;&gt;0),N63/M63-1,"")</f>
        <v/>
      </c>
    </row>
    <row r="128" customFormat="false" ht="15" hidden="false" customHeight="false" outlineLevel="0" collapsed="false">
      <c r="A128" s="43" t="s">
        <v>543</v>
      </c>
      <c r="C128" s="5" t="s">
        <v>544</v>
      </c>
      <c r="F128" s="22" t="str">
        <f aca="false">IF(AND(ISNUMBER(F64),ISNUMBER(E64),E64&lt;&gt;0),F64/E64-1,"")</f>
        <v/>
      </c>
      <c r="G128" s="22" t="str">
        <f aca="false">IF(AND(ISNUMBER(G64),ISNUMBER(F64),F64&lt;&gt;0),G64/F64-1,"")</f>
        <v/>
      </c>
      <c r="H128" s="22" t="str">
        <f aca="false">IF(AND(ISNUMBER(H64),ISNUMBER(G64),G64&lt;&gt;0),H64/G64-1,"")</f>
        <v/>
      </c>
      <c r="I128" s="22" t="str">
        <f aca="false">IF(AND(ISNUMBER(I64),ISNUMBER(H64),H64&lt;&gt;0),I64/H64-1,"")</f>
        <v/>
      </c>
      <c r="J128" s="22" t="str">
        <f aca="false">IF(AND(ISNUMBER(J64),ISNUMBER(I64),I64&lt;&gt;0),J64/I64-1,"")</f>
        <v/>
      </c>
      <c r="K128" s="22" t="str">
        <f aca="false">IF(AND(ISNUMBER(K64),ISNUMBER(J64),J64&lt;&gt;0),K64/J64-1,"")</f>
        <v/>
      </c>
      <c r="L128" s="22" t="str">
        <f aca="false">IF(AND(ISNUMBER(L64),ISNUMBER(K64),K64&lt;&gt;0),L64/K64-1,"")</f>
        <v/>
      </c>
      <c r="M128" s="22" t="str">
        <f aca="false">IF(AND(ISNUMBER(M64),ISNUMBER(L64),L64&lt;&gt;0),M64/L64-1,"")</f>
        <v/>
      </c>
      <c r="N128" s="22" t="str">
        <f aca="false">IF(AND(ISNUMBER(N64),ISNUMBER(M64),M64&lt;&gt;0),N64/M64-1,"")</f>
        <v/>
      </c>
    </row>
    <row r="129" customFormat="false" ht="15" hidden="false" customHeight="false" outlineLevel="0" collapsed="false">
      <c r="A129" s="43" t="s">
        <v>545</v>
      </c>
      <c r="C129" s="5" t="s">
        <v>546</v>
      </c>
      <c r="F129" s="22" t="str">
        <f aca="false">IF(AND(ISNUMBER(F65),ISNUMBER(E65),E65&lt;&gt;0),F65/E65-1,"")</f>
        <v/>
      </c>
      <c r="G129" s="22" t="str">
        <f aca="false">IF(AND(ISNUMBER(G65),ISNUMBER(F65),F65&lt;&gt;0),G65/F65-1,"")</f>
        <v/>
      </c>
      <c r="H129" s="22" t="str">
        <f aca="false">IF(AND(ISNUMBER(H65),ISNUMBER(G65),G65&lt;&gt;0),H65/G65-1,"")</f>
        <v/>
      </c>
      <c r="I129" s="22" t="str">
        <f aca="false">IF(AND(ISNUMBER(I65),ISNUMBER(H65),H65&lt;&gt;0),I65/H65-1,"")</f>
        <v/>
      </c>
      <c r="J129" s="22" t="str">
        <f aca="false">IF(AND(ISNUMBER(J65),ISNUMBER(I65),I65&lt;&gt;0),J65/I65-1,"")</f>
        <v/>
      </c>
      <c r="K129" s="22" t="str">
        <f aca="false">IF(AND(ISNUMBER(K65),ISNUMBER(J65),J65&lt;&gt;0),K65/J65-1,"")</f>
        <v/>
      </c>
      <c r="L129" s="22" t="str">
        <f aca="false">IF(AND(ISNUMBER(L65),ISNUMBER(K65),K65&lt;&gt;0),L65/K65-1,"")</f>
        <v/>
      </c>
      <c r="M129" s="22" t="str">
        <f aca="false">IF(AND(ISNUMBER(M65),ISNUMBER(L65),L65&lt;&gt;0),M65/L65-1,"")</f>
        <v/>
      </c>
      <c r="N129" s="22" t="str">
        <f aca="false">IF(AND(ISNUMBER(N65),ISNUMBER(M65),M65&lt;&gt;0),N65/M65-1,"")</f>
        <v/>
      </c>
    </row>
    <row r="130" customFormat="false" ht="15" hidden="false" customHeight="false" outlineLevel="0" collapsed="false">
      <c r="A130" s="43" t="s">
        <v>547</v>
      </c>
      <c r="C130" s="5" t="s">
        <v>548</v>
      </c>
      <c r="F130" s="22" t="str">
        <f aca="false">IF(AND(ISNUMBER(F66),ISNUMBER(E66),E66&lt;&gt;0),F66/E66-1,"")</f>
        <v/>
      </c>
      <c r="G130" s="22" t="str">
        <f aca="false">IF(AND(ISNUMBER(G66),ISNUMBER(F66),F66&lt;&gt;0),G66/F66-1,"")</f>
        <v/>
      </c>
      <c r="H130" s="22" t="str">
        <f aca="false">IF(AND(ISNUMBER(H66),ISNUMBER(G66),G66&lt;&gt;0),H66/G66-1,"")</f>
        <v/>
      </c>
      <c r="I130" s="22" t="str">
        <f aca="false">IF(AND(ISNUMBER(I66),ISNUMBER(H66),H66&lt;&gt;0),I66/H66-1,"")</f>
        <v/>
      </c>
      <c r="J130" s="22" t="str">
        <f aca="false">IF(AND(ISNUMBER(J66),ISNUMBER(I66),I66&lt;&gt;0),J66/I66-1,"")</f>
        <v/>
      </c>
      <c r="K130" s="22" t="str">
        <f aca="false">IF(AND(ISNUMBER(K66),ISNUMBER(J66),J66&lt;&gt;0),K66/J66-1,"")</f>
        <v/>
      </c>
      <c r="L130" s="22" t="str">
        <f aca="false">IF(AND(ISNUMBER(L66),ISNUMBER(K66),K66&lt;&gt;0),L66/K66-1,"")</f>
        <v/>
      </c>
      <c r="M130" s="22" t="str">
        <f aca="false">IF(AND(ISNUMBER(M66),ISNUMBER(L66),L66&lt;&gt;0),M66/L66-1,"")</f>
        <v/>
      </c>
      <c r="N130" s="22" t="str">
        <f aca="false">IF(AND(ISNUMBER(N66),ISNUMBER(M66),M66&lt;&gt;0),N66/M66-1,"")</f>
        <v/>
      </c>
    </row>
    <row r="132" customFormat="false" ht="46.25" hidden="false" customHeight="false" outlineLevel="0" collapsed="false">
      <c r="B132" s="11" t="s">
        <v>552</v>
      </c>
    </row>
    <row r="133" customFormat="false" ht="15" hidden="false" customHeight="false" outlineLevel="0" collapsed="false">
      <c r="A133" s="8"/>
      <c r="B133" s="8" t="s">
        <v>553</v>
      </c>
      <c r="C133" s="8"/>
      <c r="D133" s="8"/>
      <c r="E133" s="8" t="s">
        <v>397</v>
      </c>
      <c r="F133" s="8" t="s">
        <v>398</v>
      </c>
      <c r="G133" s="8" t="s">
        <v>399</v>
      </c>
      <c r="H133" s="8" t="s">
        <v>400</v>
      </c>
      <c r="I133" s="8" t="s">
        <v>401</v>
      </c>
      <c r="J133" s="8" t="s">
        <v>402</v>
      </c>
      <c r="K133" s="8" t="s">
        <v>403</v>
      </c>
      <c r="L133" s="8" t="s">
        <v>404</v>
      </c>
      <c r="M133" s="8" t="s">
        <v>405</v>
      </c>
      <c r="N133" s="8" t="s">
        <v>406</v>
      </c>
    </row>
    <row r="134" customFormat="false" ht="15" hidden="false" customHeight="false" outlineLevel="0" collapsed="false">
      <c r="B134" s="5" t="s">
        <v>554</v>
      </c>
      <c r="F134" s="14" t="str">
        <f aca="false">IF(AND(ISNUMBER(F78),ISNUMBER(F86)),IF(AND(F78&lt;0,F86&lt;0),"Both cut",""),"")</f>
        <v>Both cut</v>
      </c>
      <c r="G134" s="14" t="str">
        <f aca="false">IF(AND(ISNUMBER(G78),ISNUMBER(G86)),IF(AND(G78&lt;0,G86&lt;0),"Both cut",""),"")</f>
        <v/>
      </c>
      <c r="H134" s="14" t="str">
        <f aca="false">IF(AND(ISNUMBER(H78),ISNUMBER(H86)),IF(AND(H78&lt;0,H86&lt;0),"Both cut",""),"")</f>
        <v/>
      </c>
      <c r="I134" s="14" t="str">
        <f aca="false">IF(AND(ISNUMBER(I78),ISNUMBER(I86)),IF(AND(I78&lt;0,I86&lt;0),"Both cut",""),"")</f>
        <v/>
      </c>
      <c r="J134" s="14" t="str">
        <f aca="false">IF(AND(ISNUMBER(J78),ISNUMBER(J86)),IF(AND(J78&lt;0,J86&lt;0),"Both cut",""),"")</f>
        <v/>
      </c>
      <c r="K134" s="14" t="str">
        <f aca="false">IF(AND(ISNUMBER(K78),ISNUMBER(K86)),IF(AND(K78&lt;0,K86&lt;0),"Both cut",""),"")</f>
        <v/>
      </c>
      <c r="L134" s="14" t="str">
        <f aca="false">IF(AND(ISNUMBER(L78),ISNUMBER(L86)),IF(AND(L78&lt;0,L86&lt;0),"Both cut",""),"")</f>
        <v/>
      </c>
      <c r="M134" s="14" t="str">
        <f aca="false">IF(AND(ISNUMBER(M78),ISNUMBER(M86)),IF(AND(M78&lt;0,M86&lt;0),"Both cut",""),"")</f>
        <v/>
      </c>
      <c r="N134" s="14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555</v>
      </c>
      <c r="F135" s="14" t="str">
        <f aca="false">IF(AND(ISNUMBER(F79),ISNUMBER(F87)),IF(AND(F79&lt;0,F87&lt;0),"Both cut",""),"")</f>
        <v/>
      </c>
      <c r="G135" s="14" t="str">
        <f aca="false">IF(AND(ISNUMBER(G79),ISNUMBER(G87)),IF(AND(G79&lt;0,G87&lt;0),"Both cut",""),"")</f>
        <v/>
      </c>
      <c r="H135" s="14" t="str">
        <f aca="false">IF(AND(ISNUMBER(H79),ISNUMBER(H87)),IF(AND(H79&lt;0,H87&lt;0),"Both cut",""),"")</f>
        <v/>
      </c>
      <c r="I135" s="14" t="str">
        <f aca="false">IF(AND(ISNUMBER(I79),ISNUMBER(I87)),IF(AND(I79&lt;0,I87&lt;0),"Both cut",""),"")</f>
        <v/>
      </c>
      <c r="J135" s="14" t="str">
        <f aca="false">IF(AND(ISNUMBER(J79),ISNUMBER(J87)),IF(AND(J79&lt;0,J87&lt;0),"Both cut",""),"")</f>
        <v/>
      </c>
      <c r="K135" s="14" t="str">
        <f aca="false">IF(AND(ISNUMBER(K79),ISNUMBER(K87)),IF(AND(K79&lt;0,K87&lt;0),"Both cut",""),"")</f>
        <v/>
      </c>
      <c r="L135" s="14" t="str">
        <f aca="false">IF(AND(ISNUMBER(L79),ISNUMBER(L87)),IF(AND(L79&lt;0,L87&lt;0),"Both cut",""),"")</f>
        <v/>
      </c>
      <c r="M135" s="14" t="str">
        <f aca="false">IF(AND(ISNUMBER(M79),ISNUMBER(M87)),IF(AND(M79&lt;0,M87&lt;0),"Both cut",""),"")</f>
        <v/>
      </c>
      <c r="N135" s="14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556</v>
      </c>
      <c r="F136" s="14" t="str">
        <f aca="false">IF(AND(ISNUMBER(F80),ISNUMBER(F88)),IF(AND(F80&lt;0,F88&lt;0),"Both cut",""),"")</f>
        <v/>
      </c>
      <c r="G136" s="14" t="str">
        <f aca="false">IF(AND(ISNUMBER(G80),ISNUMBER(G88)),IF(AND(G80&lt;0,G88&lt;0),"Both cut",""),"")</f>
        <v/>
      </c>
      <c r="H136" s="14" t="str">
        <f aca="false">IF(AND(ISNUMBER(H80),ISNUMBER(H88)),IF(AND(H80&lt;0,H88&lt;0),"Both cut",""),"")</f>
        <v/>
      </c>
      <c r="I136" s="14" t="str">
        <f aca="false">IF(AND(ISNUMBER(I80),ISNUMBER(I88)),IF(AND(I80&lt;0,I88&lt;0),"Both cut",""),"")</f>
        <v/>
      </c>
      <c r="J136" s="14" t="str">
        <f aca="false">IF(AND(ISNUMBER(J80),ISNUMBER(J88)),IF(AND(J80&lt;0,J88&lt;0),"Both cut",""),"")</f>
        <v/>
      </c>
      <c r="K136" s="14" t="str">
        <f aca="false">IF(AND(ISNUMBER(K80),ISNUMBER(K88)),IF(AND(K80&lt;0,K88&lt;0),"Both cut",""),"")</f>
        <v/>
      </c>
      <c r="L136" s="14" t="str">
        <f aca="false">IF(AND(ISNUMBER(L80),ISNUMBER(L88)),IF(AND(L80&lt;0,L88&lt;0),"Both cut",""),"")</f>
        <v/>
      </c>
      <c r="M136" s="14" t="str">
        <f aca="false">IF(AND(ISNUMBER(M80),ISNUMBER(M88)),IF(AND(M80&lt;0,M88&lt;0),"Both cut",""),"")</f>
        <v/>
      </c>
      <c r="N136" s="14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557</v>
      </c>
      <c r="F137" s="14" t="str">
        <f aca="false">IF(AND(ISNUMBER(F81),ISNUMBER(F89)),IF(AND(F81&lt;0,F89&lt;0),"Both cut",""),"")</f>
        <v/>
      </c>
      <c r="G137" s="14" t="str">
        <f aca="false">IF(AND(ISNUMBER(G81),ISNUMBER(G89)),IF(AND(G81&lt;0,G89&lt;0),"Both cut",""),"")</f>
        <v/>
      </c>
      <c r="H137" s="14" t="str">
        <f aca="false">IF(AND(ISNUMBER(H81),ISNUMBER(H89)),IF(AND(H81&lt;0,H89&lt;0),"Both cut",""),"")</f>
        <v/>
      </c>
      <c r="I137" s="14" t="str">
        <f aca="false">IF(AND(ISNUMBER(I81),ISNUMBER(I89)),IF(AND(I81&lt;0,I89&lt;0),"Both cut",""),"")</f>
        <v/>
      </c>
      <c r="J137" s="14" t="str">
        <f aca="false">IF(AND(ISNUMBER(J81),ISNUMBER(J89)),IF(AND(J81&lt;0,J89&lt;0),"Both cut",""),"")</f>
        <v/>
      </c>
      <c r="K137" s="14" t="str">
        <f aca="false">IF(AND(ISNUMBER(K81),ISNUMBER(K89)),IF(AND(K81&lt;0,K89&lt;0),"Both cut",""),"")</f>
        <v/>
      </c>
      <c r="L137" s="14" t="str">
        <f aca="false">IF(AND(ISNUMBER(L81),ISNUMBER(L89)),IF(AND(L81&lt;0,L89&lt;0),"Both cut",""),"")</f>
        <v/>
      </c>
      <c r="M137" s="14" t="str">
        <f aca="false">IF(AND(ISNUMBER(M81),ISNUMBER(M89)),IF(AND(M81&lt;0,M89&lt;0),"Both cut",""),"")</f>
        <v/>
      </c>
      <c r="N137" s="14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558</v>
      </c>
      <c r="F138" s="14" t="str">
        <f aca="false">IF(AND(ISNUMBER(F82),ISNUMBER(F90)),IF(AND(F82&lt;0,F90&lt;0),"Both cut",""),"")</f>
        <v/>
      </c>
      <c r="G138" s="14" t="str">
        <f aca="false">IF(AND(ISNUMBER(G82),ISNUMBER(G90)),IF(AND(G82&lt;0,G90&lt;0),"Both cut",""),"")</f>
        <v/>
      </c>
      <c r="H138" s="14" t="str">
        <f aca="false">IF(AND(ISNUMBER(H82),ISNUMBER(H90)),IF(AND(H82&lt;0,H90&lt;0),"Both cut",""),"")</f>
        <v/>
      </c>
      <c r="I138" s="14" t="str">
        <f aca="false">IF(AND(ISNUMBER(I82),ISNUMBER(I90)),IF(AND(I82&lt;0,I90&lt;0),"Both cut",""),"")</f>
        <v/>
      </c>
      <c r="J138" s="14" t="str">
        <f aca="false">IF(AND(ISNUMBER(J82),ISNUMBER(J90)),IF(AND(J82&lt;0,J90&lt;0),"Both cut",""),"")</f>
        <v/>
      </c>
      <c r="K138" s="14" t="str">
        <f aca="false">IF(AND(ISNUMBER(K82),ISNUMBER(K90)),IF(AND(K82&lt;0,K90&lt;0),"Both cut",""),"")</f>
        <v/>
      </c>
      <c r="L138" s="14" t="str">
        <f aca="false">IF(AND(ISNUMBER(L82),ISNUMBER(L90)),IF(AND(L82&lt;0,L90&lt;0),"Both cut",""),"")</f>
        <v/>
      </c>
      <c r="M138" s="14" t="str">
        <f aca="false">IF(AND(ISNUMBER(M82),ISNUMBER(M90)),IF(AND(M82&lt;0,M90&lt;0),"Both cut",""),"")</f>
        <v/>
      </c>
      <c r="N138" s="14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559</v>
      </c>
      <c r="F139" s="14" t="str">
        <f aca="false">IF(AND(ISNUMBER(F83),ISNUMBER(F91)),IF(AND(F83&lt;0,F91&lt;0),"Both cut",""),"")</f>
        <v/>
      </c>
      <c r="G139" s="14" t="str">
        <f aca="false">IF(AND(ISNUMBER(G83),ISNUMBER(G91)),IF(AND(G83&lt;0,G91&lt;0),"Both cut",""),"")</f>
        <v/>
      </c>
      <c r="H139" s="14" t="str">
        <f aca="false">IF(AND(ISNUMBER(H83),ISNUMBER(H91)),IF(AND(H83&lt;0,H91&lt;0),"Both cut",""),"")</f>
        <v/>
      </c>
      <c r="I139" s="14" t="str">
        <f aca="false">IF(AND(ISNUMBER(I83),ISNUMBER(I91)),IF(AND(I83&lt;0,I91&lt;0),"Both cut",""),"")</f>
        <v/>
      </c>
      <c r="J139" s="14" t="str">
        <f aca="false">IF(AND(ISNUMBER(J83),ISNUMBER(J91)),IF(AND(J83&lt;0,J91&lt;0),"Both cut",""),"")</f>
        <v/>
      </c>
      <c r="K139" s="14" t="str">
        <f aca="false">IF(AND(ISNUMBER(K83),ISNUMBER(K91)),IF(AND(K83&lt;0,K91&lt;0),"Both cut",""),"")</f>
        <v/>
      </c>
      <c r="L139" s="14" t="str">
        <f aca="false">IF(AND(ISNUMBER(L83),ISNUMBER(L91)),IF(AND(L83&lt;0,L91&lt;0),"Both cut",""),"")</f>
        <v/>
      </c>
      <c r="M139" s="14" t="str">
        <f aca="false">IF(AND(ISNUMBER(M83),ISNUMBER(M91)),IF(AND(M83&lt;0,M91&lt;0),"Both cut",""),"")</f>
        <v/>
      </c>
      <c r="N139" s="14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560</v>
      </c>
      <c r="F140" s="14" t="str">
        <f aca="false">IF(AND(ISNUMBER(F84),ISNUMBER(F92)),IF(AND(F84&lt;0,F92&lt;0),"Both cut",""),"")</f>
        <v/>
      </c>
      <c r="G140" s="14" t="str">
        <f aca="false">IF(AND(ISNUMBER(G84),ISNUMBER(G92)),IF(AND(G84&lt;0,G92&lt;0),"Both cut",""),"")</f>
        <v/>
      </c>
      <c r="H140" s="14" t="str">
        <f aca="false">IF(AND(ISNUMBER(H84),ISNUMBER(H92)),IF(AND(H84&lt;0,H92&lt;0),"Both cut",""),"")</f>
        <v/>
      </c>
      <c r="I140" s="14" t="str">
        <f aca="false">IF(AND(ISNUMBER(I84),ISNUMBER(I92)),IF(AND(I84&lt;0,I92&lt;0),"Both cut",""),"")</f>
        <v/>
      </c>
      <c r="J140" s="14" t="str">
        <f aca="false">IF(AND(ISNUMBER(J84),ISNUMBER(J92)),IF(AND(J84&lt;0,J92&lt;0),"Both cut",""),"")</f>
        <v/>
      </c>
      <c r="K140" s="14" t="str">
        <f aca="false">IF(AND(ISNUMBER(K84),ISNUMBER(K92)),IF(AND(K84&lt;0,K92&lt;0),"Both cut",""),"")</f>
        <v/>
      </c>
      <c r="L140" s="14" t="str">
        <f aca="false">IF(AND(ISNUMBER(L84),ISNUMBER(L92)),IF(AND(L84&lt;0,L92&lt;0),"Both cut",""),"")</f>
        <v/>
      </c>
      <c r="M140" s="14" t="str">
        <f aca="false">IF(AND(ISNUMBER(M84),ISNUMBER(M92)),IF(AND(M84&lt;0,M92&lt;0),"Both cut",""),"")</f>
        <v/>
      </c>
      <c r="N140" s="14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561</v>
      </c>
      <c r="F141" s="14" t="str">
        <f aca="false">IF(AND(ISNUMBER(F85),ISNUMBER(F93)),IF(AND(F85&lt;0,F93&lt;0),"Both cut",""),"")</f>
        <v/>
      </c>
      <c r="G141" s="14" t="str">
        <f aca="false">IF(AND(ISNUMBER(G85),ISNUMBER(G93)),IF(AND(G85&lt;0,G93&lt;0),"Both cut",""),"")</f>
        <v/>
      </c>
      <c r="H141" s="14" t="str">
        <f aca="false">IF(AND(ISNUMBER(H85),ISNUMBER(H93)),IF(AND(H85&lt;0,H93&lt;0),"Both cut",""),"")</f>
        <v/>
      </c>
      <c r="I141" s="14" t="str">
        <f aca="false">IF(AND(ISNUMBER(I85),ISNUMBER(I93)),IF(AND(I85&lt;0,I93&lt;0),"Both cut",""),"")</f>
        <v/>
      </c>
      <c r="J141" s="14" t="str">
        <f aca="false">IF(AND(ISNUMBER(J85),ISNUMBER(J93)),IF(AND(J85&lt;0,J93&lt;0),"Both cut",""),"")</f>
        <v/>
      </c>
      <c r="K141" s="14" t="str">
        <f aca="false">IF(AND(ISNUMBER(K85),ISNUMBER(K93)),IF(AND(K85&lt;0,K93&lt;0),"Both cut",""),"")</f>
        <v/>
      </c>
      <c r="L141" s="14" t="str">
        <f aca="false">IF(AND(ISNUMBER(L85),ISNUMBER(L93)),IF(AND(L85&lt;0,L93&lt;0),"Both cut",""),"")</f>
        <v/>
      </c>
      <c r="M141" s="14" t="str">
        <f aca="false">IF(AND(ISNUMBER(M85),ISNUMBER(M93)),IF(AND(M85&lt;0,M93&lt;0),"Both cut",""),"")</f>
        <v/>
      </c>
      <c r="N141" s="14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45" t="s">
        <v>562</v>
      </c>
    </row>
    <row r="144" customFormat="false" ht="15" hidden="false" customHeight="false" outlineLevel="0" collapsed="false">
      <c r="B144" s="45" t="s">
        <v>563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564</v>
      </c>
    </row>
    <row r="2" customFormat="false" ht="15" hidden="false" customHeight="false" outlineLevel="0" collapsed="false">
      <c r="A2" s="3" t="s">
        <v>565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566</v>
      </c>
      <c r="B5" s="8" t="s">
        <v>335</v>
      </c>
      <c r="C5" s="8" t="s">
        <v>567</v>
      </c>
      <c r="D5" s="8" t="s">
        <v>568</v>
      </c>
      <c r="E5" s="8" t="s">
        <v>569</v>
      </c>
    </row>
    <row r="6" customFormat="false" ht="15" hidden="false" customHeight="false" outlineLevel="0" collapsed="false">
      <c r="A6" s="5" t="s">
        <v>570</v>
      </c>
      <c r="B6" s="46" t="n">
        <v>1.85</v>
      </c>
      <c r="C6" s="46" t="n">
        <v>2</v>
      </c>
      <c r="D6" s="47" t="n">
        <f aca="false">IF(AND(ISNUMBER(B6),ISNUMBER(C6)),B6-C6,"")</f>
        <v>-0.15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571</v>
      </c>
      <c r="B7" s="27" t="n">
        <v>0.142</v>
      </c>
      <c r="C7" s="27" t="n">
        <v>0.15</v>
      </c>
      <c r="D7" s="23" t="n">
        <f aca="false">IF(AND(ISNUMBER(B7),ISNUMBER(C7)),B7-C7,"")</f>
        <v>-0.00800000000000001</v>
      </c>
      <c r="E7" s="14" t="str">
        <f aca="false">IF(D7="","",IF(D7&gt;=0,"Yes","No"))</f>
        <v>No</v>
      </c>
    </row>
    <row r="8" customFormat="false" ht="15" hidden="false" customHeight="false" outlineLevel="0" collapsed="false">
      <c r="A8" s="5" t="s">
        <v>572</v>
      </c>
      <c r="B8" s="46" t="n">
        <v>22.4</v>
      </c>
      <c r="C8" s="46" t="n">
        <v>25</v>
      </c>
      <c r="D8" s="47" t="n">
        <f aca="false">IF(AND(ISNUMBER(B8),ISNUMBER(C8)),B8-C8,"")</f>
        <v>-2.6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573</v>
      </c>
      <c r="B9" s="9" t="s">
        <v>574</v>
      </c>
      <c r="C9" s="9" t="s">
        <v>575</v>
      </c>
      <c r="D9" s="48" t="n">
        <f aca="false">IF(OR(B9="",C9=""),"",IFERROR(MATCH(C9,CreditScale,0)-MATCH(B9,CreditScale,0),""))</f>
        <v>-2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576</v>
      </c>
      <c r="B10" s="42" t="n">
        <v>68</v>
      </c>
      <c r="C10" s="42" t="n">
        <v>70</v>
      </c>
      <c r="D10" s="10" t="n">
        <f aca="false">IF(AND(ISNUMBER(B10),ISNUMBER(C10)),B10-C10,"")</f>
        <v>-2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577</v>
      </c>
      <c r="B12" s="8" t="s">
        <v>578</v>
      </c>
    </row>
    <row r="13" customFormat="false" ht="15" hidden="false" customHeight="false" outlineLevel="0" collapsed="false">
      <c r="A13" s="5" t="s">
        <v>579</v>
      </c>
      <c r="B13" s="42" t="n">
        <v>78</v>
      </c>
    </row>
    <row r="14" customFormat="false" ht="15" hidden="false" customHeight="false" outlineLevel="0" collapsed="false">
      <c r="A14" s="5" t="s">
        <v>580</v>
      </c>
      <c r="B14" s="42" t="n">
        <v>3</v>
      </c>
    </row>
    <row r="15" customFormat="false" ht="15" hidden="false" customHeight="false" outlineLevel="0" collapsed="false">
      <c r="A15" s="5" t="s">
        <v>581</v>
      </c>
      <c r="B15" s="28" t="n">
        <v>412000</v>
      </c>
    </row>
    <row r="16" customFormat="false" ht="15" hidden="false" customHeight="false" outlineLevel="0" collapsed="false">
      <c r="A16" s="5" t="s">
        <v>582</v>
      </c>
      <c r="B16" s="28" t="n">
        <v>18500</v>
      </c>
    </row>
    <row r="17" customFormat="false" ht="15" hidden="false" customHeight="false" outlineLevel="0" collapsed="false">
      <c r="A17" s="5" t="s">
        <v>583</v>
      </c>
      <c r="B17" s="28" t="n">
        <v>14200</v>
      </c>
    </row>
    <row r="19" customFormat="false" ht="30" hidden="false" customHeight="true" outlineLevel="0" collapsed="false">
      <c r="A19" s="8" t="s">
        <v>584</v>
      </c>
      <c r="B19" s="8" t="s">
        <v>585</v>
      </c>
      <c r="C19" s="8" t="s">
        <v>586</v>
      </c>
    </row>
    <row r="20" customFormat="false" ht="15" hidden="false" customHeight="false" outlineLevel="0" collapsed="false">
      <c r="A20" s="5" t="s">
        <v>587</v>
      </c>
      <c r="B20" s="28" t="n">
        <v>1450</v>
      </c>
      <c r="C20" s="28" t="n">
        <v>120</v>
      </c>
    </row>
    <row r="21" customFormat="false" ht="15" hidden="false" customHeight="false" outlineLevel="0" collapsed="false">
      <c r="A21" s="5" t="s">
        <v>588</v>
      </c>
      <c r="B21" s="29" t="n">
        <v>264</v>
      </c>
      <c r="C21" s="29" t="n">
        <v>1237</v>
      </c>
    </row>
    <row r="22" customFormat="false" ht="15" hidden="false" customHeight="false" outlineLevel="0" collapsed="false">
      <c r="A22" s="5" t="s">
        <v>589</v>
      </c>
      <c r="B22" s="13" t="n">
        <v>4</v>
      </c>
      <c r="C22" s="13" t="n">
        <v>4.2</v>
      </c>
    </row>
    <row r="23" customFormat="false" ht="15" hidden="false" customHeight="false" outlineLevel="0" collapsed="false">
      <c r="A23" s="5" t="s">
        <v>590</v>
      </c>
      <c r="B23" s="29" t="n">
        <v>182</v>
      </c>
      <c r="C23" s="29" t="n">
        <v>905</v>
      </c>
    </row>
    <row r="24" customFormat="false" ht="15" hidden="false" customHeight="false" outlineLevel="0" collapsed="false">
      <c r="A24" s="5" t="s">
        <v>591</v>
      </c>
      <c r="B24" s="27" t="n">
        <v>0.11</v>
      </c>
      <c r="C24" s="27" t="n">
        <v>0.09</v>
      </c>
    </row>
    <row r="25" customFormat="false" ht="15" hidden="false" customHeight="false" outlineLevel="0" collapsed="false">
      <c r="A25" s="5" t="s">
        <v>592</v>
      </c>
      <c r="B25" s="29" t="n">
        <v>276</v>
      </c>
      <c r="C25" s="29" t="n">
        <v>1195</v>
      </c>
    </row>
    <row r="26" customFormat="false" ht="15" hidden="false" customHeight="false" outlineLevel="0" collapsed="false">
      <c r="A26" s="5" t="s">
        <v>593</v>
      </c>
      <c r="B26" s="13" t="n">
        <v>4</v>
      </c>
      <c r="C26" s="13" t="n">
        <v>4.1</v>
      </c>
    </row>
    <row r="27" customFormat="false" ht="15" hidden="false" customHeight="false" outlineLevel="0" collapsed="false">
      <c r="A27" s="5" t="s">
        <v>594</v>
      </c>
      <c r="B27" s="29" t="n">
        <v>186</v>
      </c>
      <c r="C27" s="29" t="n">
        <v>890</v>
      </c>
    </row>
    <row r="28" customFormat="false" ht="15" hidden="false" customHeight="false" outlineLevel="0" collapsed="false">
      <c r="A28" s="11" t="s">
        <v>595</v>
      </c>
      <c r="B28" s="49" t="n">
        <f aca="false">IF(AND(ISNUMBER(B21),ISNUMBER(B25)),B21/B25-1,"")</f>
        <v>-0.0434782608695652</v>
      </c>
      <c r="C28" s="49" t="n">
        <f aca="false">IF(AND(ISNUMBER(C21),ISNUMBER(C25)),C21/C25-1,"")</f>
        <v>0.0351464435146442</v>
      </c>
    </row>
    <row r="29" customFormat="false" ht="15" hidden="false" customHeight="false" outlineLevel="0" collapsed="false">
      <c r="A29" s="11" t="s">
        <v>596</v>
      </c>
      <c r="B29" s="49" t="n">
        <f aca="false">IF(AND(ISNUMBER(B23),ISNUMBER(B27)),B23/B27-1,"")</f>
        <v>-0.021505376344086</v>
      </c>
      <c r="C29" s="49" t="n">
        <f aca="false">IF(AND(ISNUMBER(C23),ISNUMBER(C27)),C23/C27-1,"")</f>
        <v>0.0168539325842696</v>
      </c>
    </row>
    <row r="31" customFormat="false" ht="30" hidden="false" customHeight="true" outlineLevel="0" collapsed="false">
      <c r="A31" s="8" t="s">
        <v>597</v>
      </c>
      <c r="B31" s="8" t="s">
        <v>585</v>
      </c>
      <c r="C31" s="8" t="s">
        <v>586</v>
      </c>
    </row>
    <row r="32" customFormat="false" ht="15" hidden="false" customHeight="false" outlineLevel="0" collapsed="false">
      <c r="A32" s="5" t="s">
        <v>598</v>
      </c>
      <c r="B32" s="13" t="n">
        <v>12</v>
      </c>
      <c r="C32" s="13" t="n">
        <v>12</v>
      </c>
    </row>
    <row r="33" customFormat="false" ht="15" hidden="false" customHeight="false" outlineLevel="0" collapsed="false">
      <c r="A33" s="5" t="s">
        <v>599</v>
      </c>
      <c r="B33" s="13" t="n">
        <v>11.5</v>
      </c>
      <c r="C33" s="13" t="n">
        <v>12.6</v>
      </c>
    </row>
    <row r="34" customFormat="false" ht="15" hidden="false" customHeight="false" outlineLevel="0" collapsed="false">
      <c r="A34" s="5" t="s">
        <v>600</v>
      </c>
      <c r="B34" s="13" t="n">
        <v>12.4</v>
      </c>
      <c r="C34" s="13" t="n">
        <v>11.1</v>
      </c>
    </row>
    <row r="35" customFormat="false" ht="15" hidden="false" customHeight="false" outlineLevel="0" collapsed="false">
      <c r="A35" s="5" t="s">
        <v>601</v>
      </c>
      <c r="B35" s="13" t="n">
        <v>13</v>
      </c>
      <c r="C35" s="13" t="n">
        <v>12.2</v>
      </c>
    </row>
    <row r="36" customFormat="false" ht="15" hidden="false" customHeight="false" outlineLevel="0" collapsed="false">
      <c r="A36" s="11" t="s">
        <v>602</v>
      </c>
      <c r="B36" s="12" t="n">
        <f aca="false">IF(COUNT(B32:B35)=0,"",AVERAGE(B32:B35))</f>
        <v>12.225</v>
      </c>
      <c r="C36" s="12" t="n">
        <f aca="false">IF(COUNT(C32:C35)=0,"",AVERAGE(C32:C35))</f>
        <v>11.975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603</v>
      </c>
    </row>
    <row r="2" customFormat="false" ht="15" hidden="false" customHeight="false" outlineLevel="0" collapsed="false">
      <c r="A2" s="3" t="s">
        <v>565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566</v>
      </c>
      <c r="B5" s="8" t="s">
        <v>335</v>
      </c>
      <c r="C5" s="8" t="s">
        <v>567</v>
      </c>
      <c r="D5" s="8" t="s">
        <v>568</v>
      </c>
      <c r="E5" s="8" t="s">
        <v>569</v>
      </c>
    </row>
    <row r="6" customFormat="false" ht="15" hidden="false" customHeight="false" outlineLevel="0" collapsed="false">
      <c r="A6" s="5" t="s">
        <v>570</v>
      </c>
      <c r="B6" s="46" t="n">
        <v>2.1</v>
      </c>
      <c r="C6" s="46" t="n">
        <v>2.15</v>
      </c>
      <c r="D6" s="47" t="n">
        <f aca="false">IF(AND(ISNUMBER(B6),ISNUMBER(C6)),B6-C6,"")</f>
        <v>-0.0499999999999998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571</v>
      </c>
      <c r="B7" s="27" t="n">
        <v>0.155</v>
      </c>
      <c r="C7" s="27" t="n">
        <v>0.155</v>
      </c>
      <c r="D7" s="23" t="n">
        <f aca="false">IF(AND(ISNUMBER(B7),ISNUMBER(C7)),B7-C7,"")</f>
        <v>0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572</v>
      </c>
      <c r="B8" s="46" t="n">
        <v>26.1</v>
      </c>
      <c r="C8" s="46" t="n">
        <v>27</v>
      </c>
      <c r="D8" s="47" t="n">
        <f aca="false">IF(AND(ISNUMBER(B8),ISNUMBER(C8)),B8-C8,"")</f>
        <v>-0.899999999999999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573</v>
      </c>
      <c r="B9" s="9" t="s">
        <v>604</v>
      </c>
      <c r="C9" s="9" t="s">
        <v>575</v>
      </c>
      <c r="D9" s="48" t="n">
        <f aca="false">IF(OR(B9="",C9=""),"",IFERROR(MATCH(C9,CreditScale,0)-MATCH(B9,CreditScale,0),""))</f>
        <v>-1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576</v>
      </c>
      <c r="B10" s="42" t="n">
        <v>71</v>
      </c>
      <c r="C10" s="42" t="n">
        <v>72</v>
      </c>
      <c r="D10" s="10" t="n">
        <f aca="false">IF(AND(ISNUMBER(B10),ISNUMBER(C10)),B10-C10,"")</f>
        <v>-1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577</v>
      </c>
      <c r="B12" s="8" t="s">
        <v>578</v>
      </c>
    </row>
    <row r="13" customFormat="false" ht="15" hidden="false" customHeight="false" outlineLevel="0" collapsed="false">
      <c r="A13" s="5" t="s">
        <v>579</v>
      </c>
      <c r="B13" s="42" t="n">
        <v>84</v>
      </c>
    </row>
    <row r="14" customFormat="false" ht="15" hidden="false" customHeight="false" outlineLevel="0" collapsed="false">
      <c r="A14" s="5" t="s">
        <v>580</v>
      </c>
      <c r="B14" s="42" t="n">
        <v>2</v>
      </c>
    </row>
    <row r="15" customFormat="false" ht="15" hidden="false" customHeight="false" outlineLevel="0" collapsed="false">
      <c r="A15" s="5" t="s">
        <v>581</v>
      </c>
      <c r="B15" s="28" t="n">
        <v>455000</v>
      </c>
    </row>
    <row r="16" customFormat="false" ht="15" hidden="false" customHeight="false" outlineLevel="0" collapsed="false">
      <c r="A16" s="5" t="s">
        <v>582</v>
      </c>
      <c r="B16" s="28" t="n">
        <v>21900</v>
      </c>
    </row>
    <row r="17" customFormat="false" ht="15" hidden="false" customHeight="false" outlineLevel="0" collapsed="false">
      <c r="A17" s="5" t="s">
        <v>583</v>
      </c>
      <c r="B17" s="28" t="n">
        <v>19800</v>
      </c>
    </row>
    <row r="19" customFormat="false" ht="30" hidden="false" customHeight="true" outlineLevel="0" collapsed="false">
      <c r="A19" s="8" t="s">
        <v>584</v>
      </c>
      <c r="B19" s="8" t="s">
        <v>585</v>
      </c>
      <c r="C19" s="8" t="s">
        <v>586</v>
      </c>
    </row>
    <row r="20" customFormat="false" ht="15" hidden="false" customHeight="false" outlineLevel="0" collapsed="false">
      <c r="A20" s="5" t="s">
        <v>587</v>
      </c>
      <c r="B20" s="28" t="n">
        <v>1610</v>
      </c>
      <c r="C20" s="28" t="n">
        <v>131</v>
      </c>
    </row>
    <row r="21" customFormat="false" ht="15" hidden="false" customHeight="false" outlineLevel="0" collapsed="false">
      <c r="A21" s="5" t="s">
        <v>588</v>
      </c>
      <c r="B21" s="29" t="n">
        <v>259</v>
      </c>
      <c r="C21" s="29" t="n">
        <v>1229</v>
      </c>
    </row>
    <row r="22" customFormat="false" ht="15" hidden="false" customHeight="false" outlineLevel="0" collapsed="false">
      <c r="A22" s="5" t="s">
        <v>589</v>
      </c>
      <c r="B22" s="13" t="n">
        <v>4.2</v>
      </c>
      <c r="C22" s="13" t="n">
        <v>4.4</v>
      </c>
    </row>
    <row r="23" customFormat="false" ht="15" hidden="false" customHeight="false" outlineLevel="0" collapsed="false">
      <c r="A23" s="5" t="s">
        <v>590</v>
      </c>
      <c r="B23" s="29" t="n">
        <v>176</v>
      </c>
      <c r="C23" s="29" t="n">
        <v>884</v>
      </c>
    </row>
    <row r="24" customFormat="false" ht="15" hidden="false" customHeight="false" outlineLevel="0" collapsed="false">
      <c r="A24" s="5" t="s">
        <v>591</v>
      </c>
      <c r="B24" s="27" t="n">
        <v>0.125</v>
      </c>
      <c r="C24" s="27" t="n">
        <v>0.105</v>
      </c>
    </row>
    <row r="25" customFormat="false" ht="15" hidden="false" customHeight="false" outlineLevel="0" collapsed="false">
      <c r="A25" s="5" t="s">
        <v>592</v>
      </c>
      <c r="B25" s="29" t="n">
        <v>271</v>
      </c>
      <c r="C25" s="29" t="n">
        <v>1188</v>
      </c>
    </row>
    <row r="26" customFormat="false" ht="15" hidden="false" customHeight="false" outlineLevel="0" collapsed="false">
      <c r="A26" s="5" t="s">
        <v>593</v>
      </c>
      <c r="B26" s="13" t="n">
        <v>4.1</v>
      </c>
      <c r="C26" s="13" t="n">
        <v>4.2</v>
      </c>
    </row>
    <row r="27" customFormat="false" ht="15" hidden="false" customHeight="false" outlineLevel="0" collapsed="false">
      <c r="A27" s="5" t="s">
        <v>594</v>
      </c>
      <c r="B27" s="29" t="n">
        <v>184</v>
      </c>
      <c r="C27" s="29" t="n">
        <v>879</v>
      </c>
    </row>
    <row r="28" customFormat="false" ht="15" hidden="false" customHeight="false" outlineLevel="0" collapsed="false">
      <c r="A28" s="11" t="s">
        <v>595</v>
      </c>
      <c r="B28" s="49" t="n">
        <f aca="false">IF(AND(ISNUMBER(B21),ISNUMBER(B25)),B21/B25-1,"")</f>
        <v>-0.044280442804428</v>
      </c>
      <c r="C28" s="49" t="n">
        <f aca="false">IF(AND(ISNUMBER(C21),ISNUMBER(C25)),C21/C25-1,"")</f>
        <v>0.0345117845117846</v>
      </c>
    </row>
    <row r="29" customFormat="false" ht="15" hidden="false" customHeight="false" outlineLevel="0" collapsed="false">
      <c r="A29" s="11" t="s">
        <v>596</v>
      </c>
      <c r="B29" s="49" t="n">
        <f aca="false">IF(AND(ISNUMBER(B23),ISNUMBER(B27)),B23/B27-1,"")</f>
        <v>-0.0434782608695652</v>
      </c>
      <c r="C29" s="49" t="n">
        <f aca="false">IF(AND(ISNUMBER(C23),ISNUMBER(C27)),C23/C27-1,"")</f>
        <v>0.00568828213879402</v>
      </c>
    </row>
    <row r="31" customFormat="false" ht="30" hidden="false" customHeight="true" outlineLevel="0" collapsed="false">
      <c r="A31" s="8" t="s">
        <v>597</v>
      </c>
      <c r="B31" s="8" t="s">
        <v>585</v>
      </c>
      <c r="C31" s="8" t="s">
        <v>586</v>
      </c>
    </row>
    <row r="32" customFormat="false" ht="15" hidden="false" customHeight="false" outlineLevel="0" collapsed="false">
      <c r="A32" s="5" t="s">
        <v>598</v>
      </c>
      <c r="B32" s="13" t="n">
        <v>13.1</v>
      </c>
      <c r="C32" s="13" t="n">
        <v>12.8</v>
      </c>
    </row>
    <row r="33" customFormat="false" ht="15" hidden="false" customHeight="false" outlineLevel="0" collapsed="false">
      <c r="A33" s="5" t="s">
        <v>599</v>
      </c>
      <c r="B33" s="13" t="n">
        <v>12.2</v>
      </c>
      <c r="C33" s="13" t="n">
        <v>13</v>
      </c>
    </row>
    <row r="34" customFormat="false" ht="15" hidden="false" customHeight="false" outlineLevel="0" collapsed="false">
      <c r="A34" s="5" t="s">
        <v>600</v>
      </c>
      <c r="B34" s="13" t="n">
        <v>13</v>
      </c>
      <c r="C34" s="13" t="n">
        <v>11.9</v>
      </c>
    </row>
    <row r="35" customFormat="false" ht="15" hidden="false" customHeight="false" outlineLevel="0" collapsed="false">
      <c r="A35" s="5" t="s">
        <v>601</v>
      </c>
      <c r="B35" s="13" t="n">
        <v>13.6</v>
      </c>
      <c r="C35" s="13" t="n">
        <v>12.5</v>
      </c>
    </row>
    <row r="36" customFormat="false" ht="15" hidden="false" customHeight="false" outlineLevel="0" collapsed="false">
      <c r="A36" s="11" t="s">
        <v>602</v>
      </c>
      <c r="B36" s="12" t="n">
        <f aca="false">IF(COUNT(B32:B35)=0,"",AVERAGE(B32:B35))</f>
        <v>12.975</v>
      </c>
      <c r="C36" s="12" t="n">
        <f aca="false">IF(COUNT(C32:C35)=0,"",AVERAGE(C32:C35))</f>
        <v>12.55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605</v>
      </c>
    </row>
    <row r="2" customFormat="false" ht="15" hidden="false" customHeight="false" outlineLevel="0" collapsed="false">
      <c r="A2" s="3" t="s">
        <v>565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566</v>
      </c>
      <c r="B5" s="8" t="s">
        <v>335</v>
      </c>
      <c r="C5" s="8" t="s">
        <v>567</v>
      </c>
      <c r="D5" s="8" t="s">
        <v>568</v>
      </c>
      <c r="E5" s="8" t="s">
        <v>569</v>
      </c>
    </row>
    <row r="6" customFormat="false" ht="15" hidden="false" customHeight="false" outlineLevel="0" collapsed="false">
      <c r="A6" s="5" t="s">
        <v>570</v>
      </c>
      <c r="B6" s="46" t="n">
        <v>2.32</v>
      </c>
      <c r="C6" s="46" t="n">
        <v>2.3</v>
      </c>
      <c r="D6" s="47" t="n">
        <f aca="false">IF(AND(ISNUMBER(B6),ISNUMBER(C6)),B6-C6,"")</f>
        <v>0.02</v>
      </c>
      <c r="E6" s="14" t="str">
        <f aca="false">IF(D6="","",IF(D6&gt;=0,"Yes","No"))</f>
        <v>Yes</v>
      </c>
    </row>
    <row r="7" customFormat="false" ht="15" hidden="false" customHeight="false" outlineLevel="0" collapsed="false">
      <c r="A7" s="5" t="s">
        <v>571</v>
      </c>
      <c r="B7" s="27" t="n">
        <v>0.168</v>
      </c>
      <c r="C7" s="27" t="n">
        <v>0.16</v>
      </c>
      <c r="D7" s="23" t="n">
        <f aca="false">IF(AND(ISNUMBER(B7),ISNUMBER(C7)),B7-C7,"")</f>
        <v>0.00800000000000001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572</v>
      </c>
      <c r="B8" s="46" t="n">
        <v>29.5</v>
      </c>
      <c r="C8" s="46" t="n">
        <v>29</v>
      </c>
      <c r="D8" s="47" t="n">
        <f aca="false">IF(AND(ISNUMBER(B8),ISNUMBER(C8)),B8-C8,"")</f>
        <v>0.5</v>
      </c>
      <c r="E8" s="14" t="str">
        <f aca="false">IF(D8="","",IF(D8&gt;=0,"Yes","No"))</f>
        <v>Yes</v>
      </c>
    </row>
    <row r="9" customFormat="false" ht="15" hidden="false" customHeight="false" outlineLevel="0" collapsed="false">
      <c r="A9" s="5" t="s">
        <v>573</v>
      </c>
      <c r="B9" s="9" t="s">
        <v>575</v>
      </c>
      <c r="C9" s="9" t="s">
        <v>575</v>
      </c>
      <c r="D9" s="48" t="n">
        <f aca="false">IF(OR(B9="",C9=""),"",IFERROR(MATCH(C9,CreditScale,0)-MATCH(B9,CreditScale,0),""))</f>
        <v>0</v>
      </c>
      <c r="E9" s="14" t="str">
        <f aca="false">IF(D9="","",IF(D9&gt;=0,"Yes","No"))</f>
        <v>Yes</v>
      </c>
    </row>
    <row r="10" customFormat="false" ht="15" hidden="false" customHeight="false" outlineLevel="0" collapsed="false">
      <c r="A10" s="5" t="s">
        <v>576</v>
      </c>
      <c r="B10" s="42" t="n">
        <v>74</v>
      </c>
      <c r="C10" s="42" t="n">
        <v>74</v>
      </c>
      <c r="D10" s="10" t="n">
        <f aca="false">IF(AND(ISNUMBER(B10),ISNUMBER(C10)),B10-C10,"")</f>
        <v>0</v>
      </c>
      <c r="E10" s="14" t="str">
        <f aca="false">IF(D10="","",IF(D10&gt;=0,"Yes","No"))</f>
        <v>Yes</v>
      </c>
    </row>
    <row r="12" customFormat="false" ht="30" hidden="false" customHeight="true" outlineLevel="0" collapsed="false">
      <c r="A12" s="8" t="s">
        <v>577</v>
      </c>
      <c r="B12" s="8" t="s">
        <v>578</v>
      </c>
    </row>
    <row r="13" customFormat="false" ht="15" hidden="false" customHeight="false" outlineLevel="0" collapsed="false">
      <c r="A13" s="5" t="s">
        <v>579</v>
      </c>
      <c r="B13" s="42" t="n">
        <v>89</v>
      </c>
    </row>
    <row r="14" customFormat="false" ht="15" hidden="false" customHeight="false" outlineLevel="0" collapsed="false">
      <c r="A14" s="5" t="s">
        <v>580</v>
      </c>
      <c r="B14" s="42" t="n">
        <v>1</v>
      </c>
    </row>
    <row r="15" customFormat="false" ht="15" hidden="false" customHeight="false" outlineLevel="0" collapsed="false">
      <c r="A15" s="5" t="s">
        <v>581</v>
      </c>
      <c r="B15" s="28" t="n">
        <v>498000</v>
      </c>
    </row>
    <row r="16" customFormat="false" ht="15" hidden="false" customHeight="false" outlineLevel="0" collapsed="false">
      <c r="A16" s="5" t="s">
        <v>582</v>
      </c>
      <c r="B16" s="28" t="n">
        <v>24800</v>
      </c>
    </row>
    <row r="17" customFormat="false" ht="15" hidden="false" customHeight="false" outlineLevel="0" collapsed="false">
      <c r="A17" s="5" t="s">
        <v>583</v>
      </c>
      <c r="B17" s="28" t="n">
        <v>23500</v>
      </c>
    </row>
    <row r="19" customFormat="false" ht="30" hidden="false" customHeight="true" outlineLevel="0" collapsed="false">
      <c r="A19" s="8" t="s">
        <v>584</v>
      </c>
      <c r="B19" s="8" t="s">
        <v>585</v>
      </c>
      <c r="C19" s="8" t="s">
        <v>586</v>
      </c>
    </row>
    <row r="20" customFormat="false" ht="15" hidden="false" customHeight="false" outlineLevel="0" collapsed="false">
      <c r="A20" s="5" t="s">
        <v>587</v>
      </c>
      <c r="B20" s="28" t="n">
        <v>1720</v>
      </c>
      <c r="C20" s="28" t="n">
        <v>142</v>
      </c>
    </row>
    <row r="21" customFormat="false" ht="15" hidden="false" customHeight="false" outlineLevel="0" collapsed="false">
      <c r="A21" s="5" t="s">
        <v>588</v>
      </c>
      <c r="B21" s="29" t="n">
        <v>255</v>
      </c>
      <c r="C21" s="29" t="n">
        <v>1219</v>
      </c>
    </row>
    <row r="22" customFormat="false" ht="15" hidden="false" customHeight="false" outlineLevel="0" collapsed="false">
      <c r="A22" s="5" t="s">
        <v>589</v>
      </c>
      <c r="B22" s="13" t="n">
        <v>4.3</v>
      </c>
      <c r="C22" s="13" t="n">
        <v>4.6</v>
      </c>
    </row>
    <row r="23" customFormat="false" ht="15" hidden="false" customHeight="false" outlineLevel="0" collapsed="false">
      <c r="A23" s="5" t="s">
        <v>590</v>
      </c>
      <c r="B23" s="29" t="n">
        <v>171</v>
      </c>
      <c r="C23" s="29" t="n">
        <v>870</v>
      </c>
    </row>
    <row r="24" customFormat="false" ht="15" hidden="false" customHeight="false" outlineLevel="0" collapsed="false">
      <c r="A24" s="5" t="s">
        <v>591</v>
      </c>
      <c r="B24" s="27" t="n">
        <v>0.135</v>
      </c>
      <c r="C24" s="27" t="n">
        <v>0.112</v>
      </c>
    </row>
    <row r="25" customFormat="false" ht="15" hidden="false" customHeight="false" outlineLevel="0" collapsed="false">
      <c r="A25" s="5" t="s">
        <v>592</v>
      </c>
      <c r="B25" s="29" t="n">
        <v>268</v>
      </c>
      <c r="C25" s="29" t="n">
        <v>1181</v>
      </c>
    </row>
    <row r="26" customFormat="false" ht="15" hidden="false" customHeight="false" outlineLevel="0" collapsed="false">
      <c r="A26" s="5" t="s">
        <v>593</v>
      </c>
      <c r="B26" s="13" t="n">
        <v>4.2</v>
      </c>
      <c r="C26" s="13" t="n">
        <v>4.3</v>
      </c>
    </row>
    <row r="27" customFormat="false" ht="15" hidden="false" customHeight="false" outlineLevel="0" collapsed="false">
      <c r="A27" s="5" t="s">
        <v>594</v>
      </c>
      <c r="B27" s="29" t="n">
        <v>181</v>
      </c>
      <c r="C27" s="29" t="n">
        <v>871</v>
      </c>
    </row>
    <row r="28" customFormat="false" ht="15" hidden="false" customHeight="false" outlineLevel="0" collapsed="false">
      <c r="A28" s="11" t="s">
        <v>595</v>
      </c>
      <c r="B28" s="49" t="n">
        <f aca="false">IF(AND(ISNUMBER(B21),ISNUMBER(B25)),B21/B25-1,"")</f>
        <v>-0.0485074626865671</v>
      </c>
      <c r="C28" s="49" t="n">
        <f aca="false">IF(AND(ISNUMBER(C21),ISNUMBER(C25)),C21/C25-1,"")</f>
        <v>0.0321761219305674</v>
      </c>
    </row>
    <row r="29" customFormat="false" ht="15" hidden="false" customHeight="false" outlineLevel="0" collapsed="false">
      <c r="A29" s="11" t="s">
        <v>596</v>
      </c>
      <c r="B29" s="49" t="n">
        <f aca="false">IF(AND(ISNUMBER(B23),ISNUMBER(B27)),B23/B27-1,"")</f>
        <v>-0.0552486187845304</v>
      </c>
      <c r="C29" s="49" t="n">
        <f aca="false">IF(AND(ISNUMBER(C23),ISNUMBER(C27)),C23/C27-1,"")</f>
        <v>-0.00114810562571754</v>
      </c>
    </row>
    <row r="31" customFormat="false" ht="30" hidden="false" customHeight="true" outlineLevel="0" collapsed="false">
      <c r="A31" s="8" t="s">
        <v>597</v>
      </c>
      <c r="B31" s="8" t="s">
        <v>585</v>
      </c>
      <c r="C31" s="8" t="s">
        <v>586</v>
      </c>
    </row>
    <row r="32" customFormat="false" ht="15" hidden="false" customHeight="false" outlineLevel="0" collapsed="false">
      <c r="A32" s="5" t="s">
        <v>598</v>
      </c>
      <c r="B32" s="13" t="n">
        <v>13.8</v>
      </c>
      <c r="C32" s="13" t="n">
        <v>13.4</v>
      </c>
    </row>
    <row r="33" customFormat="false" ht="15" hidden="false" customHeight="false" outlineLevel="0" collapsed="false">
      <c r="A33" s="5" t="s">
        <v>599</v>
      </c>
      <c r="B33" s="13" t="n">
        <v>12.9</v>
      </c>
      <c r="C33" s="13" t="n">
        <v>13.6</v>
      </c>
    </row>
    <row r="34" customFormat="false" ht="15" hidden="false" customHeight="false" outlineLevel="0" collapsed="false">
      <c r="A34" s="5" t="s">
        <v>600</v>
      </c>
      <c r="B34" s="13" t="n">
        <v>13.5</v>
      </c>
      <c r="C34" s="13" t="n">
        <v>12.5</v>
      </c>
    </row>
    <row r="35" customFormat="false" ht="15" hidden="false" customHeight="false" outlineLevel="0" collapsed="false">
      <c r="A35" s="5" t="s">
        <v>601</v>
      </c>
      <c r="B35" s="13" t="n">
        <v>14.1</v>
      </c>
      <c r="C35" s="13" t="n">
        <v>13</v>
      </c>
    </row>
    <row r="36" customFormat="false" ht="15" hidden="false" customHeight="false" outlineLevel="0" collapsed="false">
      <c r="A36" s="11" t="s">
        <v>602</v>
      </c>
      <c r="B36" s="12" t="n">
        <f aca="false">IF(COUNT(B32:B35)=0,"",AVERAGE(B32:B35))</f>
        <v>13.575</v>
      </c>
      <c r="C36" s="12" t="n">
        <f aca="false">IF(COUNT(C32:C35)=0,"",AVERAGE(C32:C35))</f>
        <v>13.125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2"/>
    <col collapsed="false" customWidth="true" hidden="true" outlineLevel="0" max="12" min="12" style="0" width="13"/>
  </cols>
  <sheetData>
    <row r="1" customFormat="false" ht="19.7" hidden="false" customHeight="false" outlineLevel="0" collapsed="false">
      <c r="A1" s="6" t="s">
        <v>606</v>
      </c>
    </row>
    <row r="2" customFormat="false" ht="15" hidden="false" customHeight="false" outlineLevel="0" collapsed="false">
      <c r="A2" s="3" t="s">
        <v>607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331</v>
      </c>
      <c r="B5" s="8" t="s">
        <v>397</v>
      </c>
      <c r="C5" s="8" t="s">
        <v>398</v>
      </c>
      <c r="D5" s="8" t="s">
        <v>399</v>
      </c>
    </row>
    <row r="6" customFormat="false" ht="15" hidden="false" customHeight="false" outlineLevel="0" collapsed="false">
      <c r="A6" s="11" t="s">
        <v>608</v>
      </c>
      <c r="B6" s="47" t="n">
        <f aca="false">IF('Y6 Results'!B6="","",'Y6 Results'!B6)</f>
        <v>1.85</v>
      </c>
      <c r="C6" s="47" t="n">
        <f aca="false">IF('Y7 Results'!B6="","",'Y7 Results'!B6)</f>
        <v>2.1</v>
      </c>
      <c r="D6" s="47" t="n">
        <f aca="false">IF('Y8 Results'!B6="","",'Y8 Results'!B6)</f>
        <v>2.32</v>
      </c>
      <c r="L6" s="50" t="s">
        <v>609</v>
      </c>
    </row>
    <row r="7" customFormat="false" ht="15" hidden="false" customHeight="false" outlineLevel="0" collapsed="false">
      <c r="A7" s="5" t="s">
        <v>610</v>
      </c>
      <c r="B7" s="47" t="n">
        <f aca="false">IF('Y6 Results'!C6="","",'Y6 Results'!C6)</f>
        <v>2</v>
      </c>
      <c r="C7" s="47" t="n">
        <f aca="false">IF('Y7 Results'!C6="","",'Y7 Results'!C6)</f>
        <v>2.15</v>
      </c>
      <c r="D7" s="47" t="n">
        <f aca="false">IF('Y8 Results'!C6="","",'Y8 Results'!C6)</f>
        <v>2.3</v>
      </c>
      <c r="L7" s="50" t="s">
        <v>611</v>
      </c>
    </row>
    <row r="8" customFormat="false" ht="15" hidden="false" customHeight="false" outlineLevel="0" collapsed="false">
      <c r="A8" s="11" t="s">
        <v>612</v>
      </c>
      <c r="B8" s="23" t="n">
        <f aca="false">IF('Y6 Results'!B7="","",'Y6 Results'!B7)</f>
        <v>0.142</v>
      </c>
      <c r="C8" s="23" t="n">
        <f aca="false">IF('Y7 Results'!B7="","",'Y7 Results'!B7)</f>
        <v>0.155</v>
      </c>
      <c r="D8" s="23" t="n">
        <f aca="false">IF('Y8 Results'!B7="","",'Y8 Results'!B7)</f>
        <v>0.168</v>
      </c>
      <c r="L8" s="50" t="s">
        <v>613</v>
      </c>
    </row>
    <row r="9" customFormat="false" ht="15" hidden="false" customHeight="false" outlineLevel="0" collapsed="false">
      <c r="A9" s="5" t="s">
        <v>614</v>
      </c>
      <c r="B9" s="23" t="n">
        <f aca="false">IF('Y6 Results'!C7="","",'Y6 Results'!C7)</f>
        <v>0.15</v>
      </c>
      <c r="C9" s="23" t="n">
        <f aca="false">IF('Y7 Results'!C7="","",'Y7 Results'!C7)</f>
        <v>0.155</v>
      </c>
      <c r="D9" s="23" t="n">
        <f aca="false">IF('Y8 Results'!C7="","",'Y8 Results'!C7)</f>
        <v>0.16</v>
      </c>
      <c r="L9" s="50" t="s">
        <v>615</v>
      </c>
    </row>
    <row r="10" customFormat="false" ht="15" hidden="false" customHeight="false" outlineLevel="0" collapsed="false">
      <c r="A10" s="11" t="s">
        <v>572</v>
      </c>
      <c r="B10" s="47" t="n">
        <f aca="false">IF('Y6 Results'!B8="","",'Y6 Results'!B8)</f>
        <v>22.4</v>
      </c>
      <c r="C10" s="47" t="n">
        <f aca="false">IF('Y7 Results'!B8="","",'Y7 Results'!B8)</f>
        <v>26.1</v>
      </c>
      <c r="D10" s="47" t="n">
        <f aca="false">IF('Y8 Results'!B8="","",'Y8 Results'!B8)</f>
        <v>29.5</v>
      </c>
      <c r="L10" s="50" t="s">
        <v>616</v>
      </c>
    </row>
    <row r="11" customFormat="false" ht="15" hidden="false" customHeight="false" outlineLevel="0" collapsed="false">
      <c r="A11" s="5" t="s">
        <v>617</v>
      </c>
      <c r="B11" s="47" t="n">
        <f aca="false">IF('Y6 Results'!C8="","",'Y6 Results'!C8)</f>
        <v>25</v>
      </c>
      <c r="C11" s="47" t="n">
        <f aca="false">IF('Y7 Results'!C8="","",'Y7 Results'!C8)</f>
        <v>27</v>
      </c>
      <c r="D11" s="47" t="n">
        <f aca="false">IF('Y8 Results'!C8="","",'Y8 Results'!C8)</f>
        <v>29</v>
      </c>
      <c r="L11" s="50" t="s">
        <v>380</v>
      </c>
    </row>
    <row r="12" customFormat="false" ht="15" hidden="false" customHeight="false" outlineLevel="0" collapsed="false">
      <c r="A12" s="11" t="s">
        <v>573</v>
      </c>
      <c r="B12" s="14" t="str">
        <f aca="false">IF('Y6 Results'!B9="","",'Y6 Results'!B9)</f>
        <v>B+</v>
      </c>
      <c r="C12" s="14" t="str">
        <f aca="false">IF('Y7 Results'!B9="","",'Y7 Results'!B9)</f>
        <v>BB-</v>
      </c>
      <c r="D12" s="14" t="str">
        <f aca="false">IF('Y8 Results'!B9="","",'Y8 Results'!B9)</f>
        <v>BB</v>
      </c>
      <c r="L12" s="50" t="s">
        <v>618</v>
      </c>
    </row>
    <row r="13" customFormat="false" ht="15" hidden="false" customHeight="false" outlineLevel="0" collapsed="false">
      <c r="A13" s="11" t="s">
        <v>619</v>
      </c>
      <c r="B13" s="10" t="n">
        <f aca="false">IF(B12="","",IFERROR(22-MATCH(B12,CreditScale,0),""))</f>
        <v>8</v>
      </c>
      <c r="C13" s="10" t="n">
        <f aca="false">IF(C12="","",IFERROR(22-MATCH(C12,CreditScale,0),""))</f>
        <v>9</v>
      </c>
      <c r="D13" s="10" t="n">
        <f aca="false">IF(D12="","",IFERROR(22-MATCH(D12,CreditScale,0),""))</f>
        <v>10</v>
      </c>
      <c r="L13" s="50" t="s">
        <v>620</v>
      </c>
    </row>
    <row r="14" customFormat="false" ht="15" hidden="false" customHeight="false" outlineLevel="0" collapsed="false">
      <c r="A14" s="11" t="s">
        <v>576</v>
      </c>
      <c r="B14" s="10" t="n">
        <f aca="false">IF('Y6 Results'!B10="","",'Y6 Results'!B10)</f>
        <v>68</v>
      </c>
      <c r="C14" s="10" t="n">
        <f aca="false">IF('Y7 Results'!B10="","",'Y7 Results'!B10)</f>
        <v>71</v>
      </c>
      <c r="D14" s="10" t="n">
        <f aca="false">IF('Y8 Results'!B10="","",'Y8 Results'!B10)</f>
        <v>74</v>
      </c>
      <c r="L14" s="50" t="s">
        <v>621</v>
      </c>
    </row>
    <row r="15" customFormat="false" ht="15" hidden="false" customHeight="false" outlineLevel="0" collapsed="false">
      <c r="A15" s="5" t="s">
        <v>622</v>
      </c>
      <c r="B15" s="10" t="n">
        <f aca="false">IF('Y6 Results'!C10="","",'Y6 Results'!C10)</f>
        <v>70</v>
      </c>
      <c r="C15" s="10" t="n">
        <f aca="false">IF('Y7 Results'!C10="","",'Y7 Results'!C10)</f>
        <v>72</v>
      </c>
      <c r="D15" s="10" t="n">
        <f aca="false">IF('Y8 Results'!C10="","",'Y8 Results'!C10)</f>
        <v>74</v>
      </c>
      <c r="L15" s="50" t="s">
        <v>623</v>
      </c>
    </row>
    <row r="16" customFormat="false" ht="15" hidden="false" customHeight="false" outlineLevel="0" collapsed="false">
      <c r="A16" s="11" t="s">
        <v>624</v>
      </c>
      <c r="B16" s="10" t="n">
        <f aca="false">IF('Y6 Results'!B13="","",'Y6 Results'!B13)</f>
        <v>78</v>
      </c>
      <c r="C16" s="10" t="n">
        <f aca="false">IF('Y7 Results'!B13="","",'Y7 Results'!B13)</f>
        <v>84</v>
      </c>
      <c r="D16" s="10" t="n">
        <f aca="false">IF('Y8 Results'!B13="","",'Y8 Results'!B13)</f>
        <v>89</v>
      </c>
      <c r="L16" s="50" t="s">
        <v>625</v>
      </c>
    </row>
    <row r="17" customFormat="false" ht="15" hidden="false" customHeight="false" outlineLevel="0" collapsed="false">
      <c r="A17" s="11" t="s">
        <v>116</v>
      </c>
      <c r="B17" s="10" t="n">
        <f aca="false">IF('Y6 Results'!B14="","",'Y6 Results'!B14)</f>
        <v>3</v>
      </c>
      <c r="C17" s="10" t="n">
        <f aca="false">IF('Y7 Results'!B14="","",'Y7 Results'!B14)</f>
        <v>2</v>
      </c>
      <c r="D17" s="10" t="n">
        <f aca="false">IF('Y8 Results'!B14="","",'Y8 Results'!B14)</f>
        <v>1</v>
      </c>
      <c r="L17" s="50" t="s">
        <v>575</v>
      </c>
    </row>
    <row r="18" customFormat="false" ht="15" hidden="false" customHeight="false" outlineLevel="0" collapsed="false">
      <c r="A18" s="11" t="s">
        <v>581</v>
      </c>
      <c r="B18" s="51" t="n">
        <f aca="false">IF('Y6 Results'!B15="","",'Y6 Results'!B15)</f>
        <v>412000</v>
      </c>
      <c r="C18" s="51" t="n">
        <f aca="false">IF('Y7 Results'!B15="","",'Y7 Results'!B15)</f>
        <v>455000</v>
      </c>
      <c r="D18" s="51" t="n">
        <f aca="false">IF('Y8 Results'!B15="","",'Y8 Results'!B15)</f>
        <v>498000</v>
      </c>
      <c r="L18" s="50" t="s">
        <v>604</v>
      </c>
    </row>
    <row r="19" customFormat="false" ht="15" hidden="false" customHeight="false" outlineLevel="0" collapsed="false">
      <c r="A19" s="11" t="s">
        <v>582</v>
      </c>
      <c r="B19" s="51" t="n">
        <f aca="false">IF('Y6 Results'!B16="","",'Y6 Results'!B16)</f>
        <v>18500</v>
      </c>
      <c r="C19" s="51" t="n">
        <f aca="false">IF('Y7 Results'!B16="","",'Y7 Results'!B16)</f>
        <v>21900</v>
      </c>
      <c r="D19" s="51" t="n">
        <f aca="false">IF('Y8 Results'!B16="","",'Y8 Results'!B16)</f>
        <v>24800</v>
      </c>
      <c r="L19" s="50" t="s">
        <v>574</v>
      </c>
    </row>
    <row r="20" customFormat="false" ht="15" hidden="false" customHeight="false" outlineLevel="0" collapsed="false">
      <c r="A20" s="11" t="s">
        <v>583</v>
      </c>
      <c r="B20" s="51" t="n">
        <f aca="false">IF('Y6 Results'!B17="","",'Y6 Results'!B17)</f>
        <v>14200</v>
      </c>
      <c r="C20" s="51" t="n">
        <f aca="false">IF('Y7 Results'!B17="","",'Y7 Results'!B17)</f>
        <v>19800</v>
      </c>
      <c r="D20" s="51" t="n">
        <f aca="false">IF('Y8 Results'!B17="","",'Y8 Results'!B17)</f>
        <v>23500</v>
      </c>
      <c r="L20" s="50" t="s">
        <v>382</v>
      </c>
    </row>
    <row r="21" customFormat="false" ht="15" hidden="false" customHeight="false" outlineLevel="0" collapsed="false">
      <c r="A21" s="11" t="s">
        <v>626</v>
      </c>
      <c r="B21" s="12" t="n">
        <f aca="false">IF('Y6 Results'!B36="","",'Y6 Results'!B36)</f>
        <v>12.225</v>
      </c>
      <c r="C21" s="12" t="n">
        <f aca="false">IF('Y7 Results'!B36="","",'Y7 Results'!B36)</f>
        <v>12.975</v>
      </c>
      <c r="D21" s="12" t="n">
        <f aca="false">IF('Y8 Results'!B36="","",'Y8 Results'!B36)</f>
        <v>13.575</v>
      </c>
      <c r="L21" s="50" t="s">
        <v>627</v>
      </c>
    </row>
    <row r="22" customFormat="false" ht="15" hidden="false" customHeight="false" outlineLevel="0" collapsed="false">
      <c r="A22" s="11" t="s">
        <v>628</v>
      </c>
      <c r="B22" s="12" t="n">
        <f aca="false">IF('Y6 Results'!C36="","",'Y6 Results'!C36)</f>
        <v>11.975</v>
      </c>
      <c r="C22" s="12" t="n">
        <f aca="false">IF('Y7 Results'!C36="","",'Y7 Results'!C36)</f>
        <v>12.55</v>
      </c>
      <c r="D22" s="12" t="n">
        <f aca="false">IF('Y8 Results'!C36="","",'Y8 Results'!C36)</f>
        <v>13.125</v>
      </c>
      <c r="L22" s="50" t="s">
        <v>629</v>
      </c>
    </row>
    <row r="23" customFormat="false" ht="15" hidden="false" customHeight="false" outlineLevel="0" collapsed="false">
      <c r="A23" s="11" t="s">
        <v>630</v>
      </c>
      <c r="B23" s="33" t="n">
        <f aca="false">IF('Y6 Results'!B23="","",'Y6 Results'!B23)</f>
        <v>182</v>
      </c>
      <c r="C23" s="33" t="n">
        <f aca="false">IF('Y7 Results'!B23="","",'Y7 Results'!B23)</f>
        <v>176</v>
      </c>
      <c r="D23" s="33" t="n">
        <f aca="false">IF('Y8 Results'!B23="","",'Y8 Results'!B23)</f>
        <v>171</v>
      </c>
      <c r="L23" s="50" t="s">
        <v>631</v>
      </c>
    </row>
    <row r="24" customFormat="false" ht="15" hidden="false" customHeight="false" outlineLevel="0" collapsed="false">
      <c r="A24" s="5" t="s">
        <v>632</v>
      </c>
      <c r="B24" s="33" t="n">
        <f aca="false">IF('Y6 Results'!B27="","",'Y6 Results'!B27)</f>
        <v>186</v>
      </c>
      <c r="C24" s="33" t="n">
        <f aca="false">IF('Y7 Results'!B27="","",'Y7 Results'!B27)</f>
        <v>184</v>
      </c>
      <c r="D24" s="33" t="n">
        <f aca="false">IF('Y8 Results'!B27="","",'Y8 Results'!B27)</f>
        <v>181</v>
      </c>
      <c r="L24" s="50" t="s">
        <v>633</v>
      </c>
    </row>
    <row r="25" customFormat="false" ht="15" hidden="false" customHeight="false" outlineLevel="0" collapsed="false">
      <c r="A25" s="11" t="s">
        <v>634</v>
      </c>
      <c r="B25" s="33" t="n">
        <f aca="false">IF('Y6 Results'!C23="","",'Y6 Results'!C23)</f>
        <v>905</v>
      </c>
      <c r="C25" s="33" t="n">
        <f aca="false">IF('Y7 Results'!C23="","",'Y7 Results'!C23)</f>
        <v>884</v>
      </c>
      <c r="D25" s="33" t="n">
        <f aca="false">IF('Y8 Results'!C23="","",'Y8 Results'!C23)</f>
        <v>870</v>
      </c>
      <c r="L25" s="50" t="s">
        <v>635</v>
      </c>
    </row>
    <row r="26" customFormat="false" ht="15" hidden="false" customHeight="false" outlineLevel="0" collapsed="false">
      <c r="A26" s="5" t="s">
        <v>636</v>
      </c>
      <c r="B26" s="33" t="n">
        <f aca="false">IF('Y6 Results'!C27="","",'Y6 Results'!C27)</f>
        <v>890</v>
      </c>
      <c r="C26" s="33" t="n">
        <f aca="false">IF('Y7 Results'!C27="","",'Y7 Results'!C27)</f>
        <v>879</v>
      </c>
      <c r="D26" s="33" t="n">
        <f aca="false">IF('Y8 Results'!C27="","",'Y8 Results'!C27)</f>
        <v>871</v>
      </c>
      <c r="L26" s="50" t="s">
        <v>383</v>
      </c>
    </row>
    <row r="27" customFormat="false" ht="15" hidden="false" customHeight="false" outlineLevel="0" collapsed="false">
      <c r="A27" s="11" t="s">
        <v>637</v>
      </c>
      <c r="B27" s="33" t="n">
        <f aca="false">IF('Y6 Results'!B21="","",'Y6 Results'!B21)</f>
        <v>264</v>
      </c>
      <c r="C27" s="33" t="n">
        <f aca="false">IF('Y7 Results'!B21="","",'Y7 Results'!B21)</f>
        <v>259</v>
      </c>
      <c r="D27" s="33" t="n">
        <f aca="false">IF('Y8 Results'!B21="","",'Y8 Results'!B21)</f>
        <v>255</v>
      </c>
    </row>
    <row r="28" customFormat="false" ht="15" hidden="false" customHeight="false" outlineLevel="0" collapsed="false">
      <c r="A28" s="11" t="s">
        <v>638</v>
      </c>
      <c r="B28" s="33" t="n">
        <f aca="false">IF('Y6 Results'!C21="","",'Y6 Results'!C21)</f>
        <v>1237</v>
      </c>
      <c r="C28" s="33" t="n">
        <f aca="false">IF('Y7 Results'!C21="","",'Y7 Results'!C21)</f>
        <v>1229</v>
      </c>
      <c r="D28" s="33" t="n">
        <f aca="false">IF('Y8 Results'!C21="","",'Y8 Results'!C21)</f>
        <v>1219</v>
      </c>
    </row>
    <row r="29" customFormat="false" ht="15" hidden="false" customHeight="false" outlineLevel="0" collapsed="false">
      <c r="A29" s="11" t="s">
        <v>639</v>
      </c>
      <c r="B29" s="12" t="n">
        <f aca="false">IF('Y6 Results'!B22="","",'Y6 Results'!B22)</f>
        <v>4</v>
      </c>
      <c r="C29" s="12" t="n">
        <f aca="false">IF('Y7 Results'!B22="","",'Y7 Results'!B22)</f>
        <v>4.2</v>
      </c>
      <c r="D29" s="12" t="n">
        <f aca="false">IF('Y8 Results'!B22="","",'Y8 Results'!B22)</f>
        <v>4.3</v>
      </c>
    </row>
    <row r="30" customFormat="false" ht="15" hidden="false" customHeight="false" outlineLevel="0" collapsed="false">
      <c r="A30" s="11" t="s">
        <v>640</v>
      </c>
      <c r="B30" s="12" t="n">
        <f aca="false">IF('Y6 Results'!C22="","",'Y6 Results'!C22)</f>
        <v>4.2</v>
      </c>
      <c r="C30" s="12" t="n">
        <f aca="false">IF('Y7 Results'!C22="","",'Y7 Results'!C22)</f>
        <v>4.4</v>
      </c>
      <c r="D30" s="12" t="n">
        <f aca="false">IF('Y8 Results'!C22="","",'Y8 Results'!C22)</f>
        <v>4.6</v>
      </c>
    </row>
    <row r="31" customFormat="false" ht="15" hidden="false" customHeight="false" outlineLevel="0" collapsed="false">
      <c r="A31" s="11" t="s">
        <v>641</v>
      </c>
      <c r="B31" s="23" t="n">
        <f aca="false">IF('Y6 Results'!B24="","",'Y6 Results'!B24)</f>
        <v>0.11</v>
      </c>
      <c r="C31" s="23" t="n">
        <f aca="false">IF('Y7 Results'!B24="","",'Y7 Results'!B24)</f>
        <v>0.125</v>
      </c>
      <c r="D31" s="23" t="n">
        <f aca="false">IF('Y8 Results'!B24="","",'Y8 Results'!B24)</f>
        <v>0.135</v>
      </c>
    </row>
    <row r="32" customFormat="false" ht="15" hidden="false" customHeight="false" outlineLevel="0" collapsed="false">
      <c r="A32" s="11" t="s">
        <v>642</v>
      </c>
      <c r="B32" s="23" t="n">
        <f aca="false">IF('Y6 Results'!C24="","",'Y6 Results'!C24)</f>
        <v>0.09</v>
      </c>
      <c r="C32" s="23" t="n">
        <f aca="false">IF('Y7 Results'!C24="","",'Y7 Results'!C24)</f>
        <v>0.105</v>
      </c>
      <c r="D32" s="23" t="n">
        <f aca="false">IF('Y8 Results'!C24="","",'Y8 Results'!C24)</f>
        <v>0.112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2026-10-07T19:57:29Z</dcterms:created>
  <dc:creator>openpyxl</dc:creator>
  <dc:description/>
  <dc:language>en-US</dc:language>
  <cp:lastModifiedBy/>
  <dcterms:modified xsi:type="dcterms:W3CDTF">2026-10-07T15:57:39Z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